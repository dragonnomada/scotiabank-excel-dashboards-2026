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8_{EBB05F15-B5AF-ED42-B2E3-A6FD88DACDEF}" xr6:coauthVersionLast="47" xr6:coauthVersionMax="47" xr10:uidLastSave="{00000000-0000-0000-0000-000000000000}"/>
  <bookViews>
    <workbookView xWindow="0" yWindow="0" windowWidth="38400" windowHeight="21600" activeTab="2" xr2:uid="{D1EB861A-2F67-7242-8BDF-B4BEAC48FEF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definedNames>
    <definedName name="_xlnm._FilterDatabase" localSheetId="2" hidden="1">Hoja3!$A$5:$D$5</definedName>
    <definedName name="_xlnm._FilterDatabase" localSheetId="3" hidden="1">Hoja4!$J$12:$L$12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0" i="3" l="1"/>
  <c r="U10" i="3"/>
  <c r="S10" i="3"/>
  <c r="V9" i="3"/>
  <c r="V8" i="3"/>
  <c r="M8" i="3"/>
  <c r="M9" i="3"/>
  <c r="O9" i="3"/>
  <c r="N9" i="3"/>
  <c r="O8" i="3"/>
  <c r="N8" i="3"/>
  <c r="M7" i="3" a="1"/>
  <c r="M7" i="3" s="1"/>
  <c r="L8" i="3" a="1"/>
  <c r="L8" i="3" s="1"/>
  <c r="N37" i="4"/>
  <c r="N28" i="4"/>
  <c r="N23" i="4"/>
  <c r="N21" i="4"/>
  <c r="N19" i="4"/>
  <c r="N16" i="4"/>
  <c r="J18" i="2"/>
  <c r="B20" i="2"/>
  <c r="H11" i="2" a="1"/>
  <c r="H11" i="2" s="1"/>
  <c r="D38" i="1" a="1"/>
  <c r="D38" i="1" s="1"/>
  <c r="D34" i="1" a="1"/>
  <c r="D34" i="1" s="1"/>
  <c r="K31" i="1" a="1"/>
  <c r="K31" i="1" s="1"/>
  <c r="K25" i="1" a="1"/>
  <c r="K25" i="1" s="1"/>
  <c r="J9" i="1"/>
  <c r="J8" i="1"/>
  <c r="I9" i="1"/>
  <c r="I8" i="1"/>
  <c r="I7" i="1"/>
  <c r="D29" i="1"/>
  <c r="C18" i="1" a="1"/>
  <c r="C18" i="1" s="1"/>
  <c r="I21" i="2" a="1"/>
  <c r="I2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<sst xmlns="http://schemas.openxmlformats.org/spreadsheetml/2006/main" count="215" uniqueCount="116">
  <si>
    <t>N22</t>
  </si>
  <si>
    <t>Nombre</t>
  </si>
  <si>
    <t>Edad</t>
  </si>
  <si>
    <t>Género</t>
  </si>
  <si>
    <t>Amigos</t>
  </si>
  <si>
    <t>Adrián</t>
  </si>
  <si>
    <t>Betsy</t>
  </si>
  <si>
    <t>Camilo</t>
  </si>
  <si>
    <t>Devora</t>
  </si>
  <si>
    <t>Eduardo</t>
  </si>
  <si>
    <t>HOMBRE</t>
  </si>
  <si>
    <t>MUJERES</t>
  </si>
  <si>
    <t>MUJER</t>
  </si>
  <si>
    <t>CELDA INCIAL</t>
  </si>
  <si>
    <t>C8</t>
  </si>
  <si>
    <t>:</t>
  </si>
  <si>
    <t>F12</t>
  </si>
  <si>
    <t>RANGO MATRIZ</t>
  </si>
  <si>
    <t>CELDA FINAL</t>
  </si>
  <si>
    <t>PROYECCIÓN DEL RANGO</t>
  </si>
  <si>
    <t>=</t>
  </si>
  <si>
    <t>C8:F12</t>
  </si>
  <si>
    <t>FÓRMULA</t>
  </si>
  <si>
    <t>ESTABLECE UN CÁLCULO QUE ALIMENTA EL VALOR RESULTANTE DE LA CELDA</t>
  </si>
  <si>
    <t>1 + 1</t>
  </si>
  <si>
    <t>HOMBRES</t>
  </si>
  <si>
    <t>TOTAL</t>
  </si>
  <si>
    <t>MATRICIAL</t>
  </si>
  <si>
    <t>VECTORIAL</t>
  </si>
  <si>
    <t>COLUMNA</t>
  </si>
  <si>
    <t>FILA</t>
  </si>
  <si>
    <t>VERTICALES</t>
  </si>
  <si>
    <t>HORIZONTALES</t>
  </si>
  <si>
    <t>COLUMNA C</t>
  </si>
  <si>
    <t>REBANADA</t>
  </si>
  <si>
    <t>FILA 8 A 12</t>
  </si>
  <si>
    <t>COLUMNA D</t>
  </si>
  <si>
    <t>FILA 8</t>
  </si>
  <si>
    <t>COLUMNA C A F</t>
  </si>
  <si>
    <t>FILA 9</t>
  </si>
  <si>
    <t>REBANADA COLUMNA C A F</t>
  </si>
  <si>
    <t>CONSULTAR LAS FILAS</t>
  </si>
  <si>
    <t>PROYECCIÓN</t>
  </si>
  <si>
    <t>NOMBRE</t>
  </si>
  <si>
    <t>EDAD</t>
  </si>
  <si>
    <t>GÉNERO</t>
  </si>
  <si>
    <t>AMIGOS</t>
  </si>
  <si>
    <t>B6:E6</t>
  </si>
  <si>
    <t>OPERADOR DE CONCATENACIÓN DE TEXTOS</t>
  </si>
  <si>
    <t>&amp;</t>
  </si>
  <si>
    <t>FUNCIÓN DE PROYECCIÓN INDIRECTA</t>
  </si>
  <si>
    <t>INDIRECTO</t>
  </si>
  <si>
    <t>HOLA</t>
  </si>
  <si>
    <t>ALAN</t>
  </si>
  <si>
    <t>"TEXTO1"</t>
  </si>
  <si>
    <t>"TEXTO2"</t>
  </si>
  <si>
    <t>CELDA</t>
  </si>
  <si>
    <t>"TEXTO3"</t>
  </si>
  <si>
    <t>ANÁLISIS LARGO</t>
  </si>
  <si>
    <t>ANÁLISIS VERTICAL</t>
  </si>
  <si>
    <t>ANÁLISIS ANCHO</t>
  </si>
  <si>
    <t>ANÁLISIS HORIZONTAL</t>
  </si>
  <si>
    <t>DOS TIPOS DE DATOS PRINCIPALES DE ANÁLISIS</t>
  </si>
  <si>
    <t>CONTINUO</t>
  </si>
  <si>
    <t>NUMÉRICO</t>
  </si>
  <si>
    <t>CATEGÓRICO</t>
  </si>
  <si>
    <t>DISCRETA</t>
  </si>
  <si>
    <t>1 AL 5</t>
  </si>
  <si>
    <t>1 DEL 10</t>
  </si>
  <si>
    <t>"-1, 0, 1"</t>
  </si>
  <si>
    <t>A,B,C</t>
  </si>
  <si>
    <t>H,M</t>
  </si>
  <si>
    <t>T,F</t>
  </si>
  <si>
    <t>SI,NO</t>
  </si>
  <si>
    <t>ROJO,AZUL,VERDE</t>
  </si>
  <si>
    <t>NÚMERO FINITO</t>
  </si>
  <si>
    <t>CATEGORÍA</t>
  </si>
  <si>
    <t>VALOR QUE EVOLUCIONA</t>
  </si>
  <si>
    <t>PERTENENCIA</t>
  </si>
  <si>
    <t>TIPO DE PUESTO</t>
  </si>
  <si>
    <t>TIPOS DE PUESTOS</t>
  </si>
  <si>
    <t>PERMANENTE</t>
  </si>
  <si>
    <t>TEMPORAL</t>
  </si>
  <si>
    <t>NIVELES DE MANDO</t>
  </si>
  <si>
    <t>GERENCIAL</t>
  </si>
  <si>
    <t>EJECUTIVO</t>
  </si>
  <si>
    <t>ADMINISTRAVO / CONSULTA</t>
  </si>
  <si>
    <t>NIVEL DE MANDO</t>
  </si>
  <si>
    <t>ANTIGÜEDAD</t>
  </si>
  <si>
    <t>N. MANDO</t>
  </si>
  <si>
    <t>T. PUESTO</t>
  </si>
  <si>
    <t>T. PUESTO / N. MANDO</t>
  </si>
  <si>
    <t>GRUPO LARGO</t>
  </si>
  <si>
    <t>* POSIBILIDAD DE CRECER</t>
  </si>
  <si>
    <t>GRUPO CORTO</t>
  </si>
  <si>
    <t>EL VALOR QUE CARACTERICE O RESUMA AMBOS GRUPOS</t>
  </si>
  <si>
    <t>EL VALOR AGREGADO / EL VALOR AGRUPADO</t>
  </si>
  <si>
    <t>RECUENTO</t>
  </si>
  <si>
    <t>SUMA</t>
  </si>
  <si>
    <t>PROMEDIO</t>
  </si>
  <si>
    <t>MEDIANA</t>
  </si>
  <si>
    <t>VARIANZA</t>
  </si>
  <si>
    <t>DESV. ESTÁNDAR</t>
  </si>
  <si>
    <t>PERCENTIL</t>
  </si>
  <si>
    <t>CUARTIL</t>
  </si>
  <si>
    <t>K MAYOR</t>
  </si>
  <si>
    <t>K MENOR</t>
  </si>
  <si>
    <t>ÍNDICE</t>
  </si>
  <si>
    <t>MÍN</t>
  </si>
  <si>
    <t>MÁX</t>
  </si>
  <si>
    <t>1. EL NIVEL DE MANDO 1 - GERENCIAL EN PUESTOS PERMANENTES TIENE UNA ANTIGÜEDAD MEDIA DE 9 AÑOS</t>
  </si>
  <si>
    <t>2. EL NIVEL DE MANDO 1 - GERENCIAL EN PUESTOS TEMPORALES TIENE UNA ANTIGÜEDAD MEDIA DE 2 AÑOS</t>
  </si>
  <si>
    <t>ANÁLISIS VERTICAL ESTÁ DISEÑADO PARA ENTENDER EL COMPORTAMIENTO DE DOS O MÁS EJES CONTINUOS</t>
  </si>
  <si>
    <t>ANÁLISIS HORIZONTAL ESTÁ DISEÑADO PARA ENTENDER EL COMPORTAMIENTO DE DOS O MÁS EJES CATEGÓRICOS</t>
  </si>
  <si>
    <t>CORRELACIONAL</t>
  </si>
  <si>
    <t>DE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</si>
</sst>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2" borderId="0" xfId="0" applyFill="1"/>
    <xf numFmtId="9" fontId="0" fillId="0" borderId="0" xfId="2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0" xfId="0" applyFill="1" applyAlignment="1">
      <alignment horizontal="center" vertical="center" textRotation="90"/>
    </xf>
    <xf numFmtId="0" fontId="0" fillId="7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/>
    <xf numFmtId="0" fontId="0" fillId="0" borderId="4" xfId="0" applyBorder="1"/>
    <xf numFmtId="0" fontId="0" fillId="0" borderId="5" xfId="0" applyBorder="1"/>
    <xf numFmtId="2" fontId="0" fillId="4" borderId="3" xfId="1" applyNumberFormat="1" applyFont="1" applyFill="1" applyBorder="1"/>
    <xf numFmtId="0" fontId="0" fillId="0" borderId="3" xfId="0" applyBorder="1"/>
    <xf numFmtId="0" fontId="0" fillId="6" borderId="3" xfId="0" applyFill="1" applyBorder="1" applyAlignment="1">
      <alignment horizontal="center"/>
    </xf>
    <xf numFmtId="0" fontId="0" fillId="7" borderId="3" xfId="0" applyFill="1" applyBorder="1"/>
    <xf numFmtId="2" fontId="0" fillId="0" borderId="3" xfId="0" applyNumberFormat="1" applyBorder="1"/>
    <xf numFmtId="2" fontId="3" fillId="0" borderId="0" xfId="0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Hoja4!$L$13:$L$37</c:f>
              <c:numCache>
                <c:formatCode>General</c:formatCode>
                <c:ptCount val="25"/>
                <c:pt idx="0">
                  <c:v>20</c:v>
                </c:pt>
                <c:pt idx="1">
                  <c:v>10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A-8A47-AF36-2B42787F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921279"/>
        <c:axId val="1076893375"/>
      </c:barChart>
      <c:catAx>
        <c:axId val="1063921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6893375"/>
        <c:crosses val="autoZero"/>
        <c:auto val="1"/>
        <c:lblAlgn val="ctr"/>
        <c:lblOffset val="100"/>
        <c:noMultiLvlLbl val="0"/>
      </c:catAx>
      <c:valAx>
        <c:axId val="107689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392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416659</xdr:colOff>
      <xdr:row>0</xdr:row>
      <xdr:rowOff>191476</xdr:rowOff>
    </xdr:from>
    <xdr:to>
      <xdr:col>29</xdr:col>
      <xdr:colOff>372209</xdr:colOff>
      <xdr:row>25</xdr:row>
      <xdr:rowOff>140676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64755D-428D-0EFB-B63E-D7D7C6E3E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940C-297C-5840-8B1B-BA7F7928D587}">
  <dimension ref="B7:O38"/>
  <sheetViews>
    <sheetView zoomScale="130" zoomScaleNormal="130" workbookViewId="0">
      <selection activeCell="D25" sqref="D25:I25"/>
    </sheetView>
  </sheetViews>
  <sheetFormatPr baseColWidth="10" defaultRowHeight="16" x14ac:dyDescent="0.2"/>
  <cols>
    <col min="2" max="2" width="15.6640625" customWidth="1"/>
    <col min="3" max="3" width="19.33203125" bestFit="1" customWidth="1"/>
    <col min="5" max="5" width="15.5" customWidth="1"/>
    <col min="7" max="7" width="15.5" customWidth="1"/>
    <col min="13" max="13" width="17.1640625" customWidth="1"/>
  </cols>
  <sheetData>
    <row r="7" spans="2:11" x14ac:dyDescent="0.2">
      <c r="C7" t="s">
        <v>1</v>
      </c>
      <c r="D7" t="s">
        <v>2</v>
      </c>
      <c r="E7" t="s">
        <v>3</v>
      </c>
      <c r="F7" t="s">
        <v>4</v>
      </c>
      <c r="H7" t="s">
        <v>26</v>
      </c>
      <c r="I7">
        <f>COUNTA(E8:E12)</f>
        <v>5</v>
      </c>
    </row>
    <row r="8" spans="2:11" x14ac:dyDescent="0.2">
      <c r="C8" s="4" t="s">
        <v>5</v>
      </c>
      <c r="D8" s="4">
        <v>45</v>
      </c>
      <c r="E8" s="4" t="s">
        <v>10</v>
      </c>
      <c r="F8" s="4">
        <v>4</v>
      </c>
      <c r="H8" t="s">
        <v>25</v>
      </c>
      <c r="I8">
        <f>COUNTIFS(E8:E12,"HOMBRE")</f>
        <v>3</v>
      </c>
      <c r="J8" s="3">
        <f>I8/I7</f>
        <v>0.6</v>
      </c>
    </row>
    <row r="9" spans="2:11" x14ac:dyDescent="0.2">
      <c r="C9" s="5" t="s">
        <v>6</v>
      </c>
      <c r="D9" s="5">
        <v>67</v>
      </c>
      <c r="E9" s="5" t="s">
        <v>12</v>
      </c>
      <c r="F9" s="5">
        <v>34</v>
      </c>
      <c r="H9" t="s">
        <v>11</v>
      </c>
      <c r="I9">
        <f>COUNTIFS(E8:E12,"MUJER")</f>
        <v>2</v>
      </c>
      <c r="J9" s="3">
        <f>I9/I7</f>
        <v>0.4</v>
      </c>
    </row>
    <row r="10" spans="2:11" x14ac:dyDescent="0.2">
      <c r="C10" t="s">
        <v>7</v>
      </c>
      <c r="D10">
        <v>32</v>
      </c>
      <c r="E10" t="s">
        <v>10</v>
      </c>
      <c r="F10">
        <v>7</v>
      </c>
    </row>
    <row r="11" spans="2:11" x14ac:dyDescent="0.2">
      <c r="C11" t="s">
        <v>8</v>
      </c>
      <c r="D11">
        <v>29</v>
      </c>
      <c r="E11" t="s">
        <v>12</v>
      </c>
      <c r="F11">
        <v>16</v>
      </c>
    </row>
    <row r="12" spans="2:11" x14ac:dyDescent="0.2">
      <c r="C12" t="s">
        <v>9</v>
      </c>
      <c r="D12">
        <v>45</v>
      </c>
      <c r="E12" t="s">
        <v>10</v>
      </c>
      <c r="F12">
        <v>10</v>
      </c>
    </row>
    <row r="15" spans="2:11" x14ac:dyDescent="0.2">
      <c r="E15" s="1" t="s">
        <v>18</v>
      </c>
    </row>
    <row r="16" spans="2:11" x14ac:dyDescent="0.2">
      <c r="B16" s="1" t="s">
        <v>13</v>
      </c>
      <c r="C16" t="s">
        <v>14</v>
      </c>
      <c r="D16" t="s">
        <v>15</v>
      </c>
      <c r="E16" t="s">
        <v>16</v>
      </c>
      <c r="G16" s="2" t="s">
        <v>17</v>
      </c>
      <c r="K16" t="s">
        <v>27</v>
      </c>
    </row>
    <row r="17" spans="3:15" x14ac:dyDescent="0.2">
      <c r="K17" t="s">
        <v>28</v>
      </c>
    </row>
    <row r="18" spans="3:15" x14ac:dyDescent="0.2">
      <c r="C18" t="str" cm="1">
        <f t="array" ref="C18:F22">C8:F12</f>
        <v>Adrián</v>
      </c>
      <c r="D18">
        <v>45</v>
      </c>
      <c r="E18" t="str">
        <v>HOMBRE</v>
      </c>
      <c r="F18">
        <v>4</v>
      </c>
      <c r="H18" t="s">
        <v>19</v>
      </c>
      <c r="L18" t="s">
        <v>29</v>
      </c>
      <c r="M18" t="s">
        <v>31</v>
      </c>
    </row>
    <row r="19" spans="3:15" x14ac:dyDescent="0.2">
      <c r="C19" t="str">
        <v>Betsy</v>
      </c>
      <c r="D19">
        <v>67</v>
      </c>
      <c r="E19" t="str">
        <v>MUJER</v>
      </c>
      <c r="F19">
        <v>34</v>
      </c>
      <c r="L19" t="s">
        <v>30</v>
      </c>
      <c r="M19" t="s">
        <v>32</v>
      </c>
    </row>
    <row r="20" spans="3:15" x14ac:dyDescent="0.2">
      <c r="C20" t="str">
        <v>Camilo</v>
      </c>
      <c r="D20">
        <v>32</v>
      </c>
      <c r="E20" t="str">
        <v>HOMBRE</v>
      </c>
      <c r="F20">
        <v>7</v>
      </c>
      <c r="H20" s="1" t="s">
        <v>20</v>
      </c>
      <c r="I20" s="1" t="s">
        <v>21</v>
      </c>
    </row>
    <row r="21" spans="3:15" x14ac:dyDescent="0.2">
      <c r="C21" t="str">
        <v>Devora</v>
      </c>
      <c r="D21">
        <v>29</v>
      </c>
      <c r="E21" t="str">
        <v>MUJER</v>
      </c>
      <c r="F21">
        <v>16</v>
      </c>
    </row>
    <row r="22" spans="3:15" x14ac:dyDescent="0.2">
      <c r="C22" t="str">
        <v>Eduardo</v>
      </c>
      <c r="D22">
        <v>45</v>
      </c>
      <c r="E22" t="str">
        <v>HOMBRE</v>
      </c>
      <c r="F22">
        <v>10</v>
      </c>
      <c r="N22" t="s">
        <v>0</v>
      </c>
    </row>
    <row r="24" spans="3:15" x14ac:dyDescent="0.2">
      <c r="C24" t="s">
        <v>22</v>
      </c>
    </row>
    <row r="25" spans="3:15" x14ac:dyDescent="0.2">
      <c r="D25" t="s">
        <v>23</v>
      </c>
      <c r="K25" t="str" cm="1">
        <f t="array" ref="K25:K29">C8:C12</f>
        <v>Adrián</v>
      </c>
      <c r="M25" t="s">
        <v>33</v>
      </c>
      <c r="N25" t="s">
        <v>34</v>
      </c>
      <c r="O25" t="s">
        <v>35</v>
      </c>
    </row>
    <row r="26" spans="3:15" x14ac:dyDescent="0.2">
      <c r="K26" t="str">
        <v>Betsy</v>
      </c>
    </row>
    <row r="27" spans="3:15" x14ac:dyDescent="0.2">
      <c r="D27" s="1" t="s">
        <v>20</v>
      </c>
      <c r="E27" s="1" t="s">
        <v>24</v>
      </c>
      <c r="K27" t="str">
        <v>Camilo</v>
      </c>
    </row>
    <row r="28" spans="3:15" x14ac:dyDescent="0.2">
      <c r="K28" t="str">
        <v>Devora</v>
      </c>
    </row>
    <row r="29" spans="3:15" x14ac:dyDescent="0.2">
      <c r="D29">
        <f>1+1</f>
        <v>2</v>
      </c>
      <c r="K29" t="str">
        <v>Eduardo</v>
      </c>
    </row>
    <row r="31" spans="3:15" x14ac:dyDescent="0.2">
      <c r="K31" cm="1">
        <f t="array" ref="K31:K35">D8:D12</f>
        <v>45</v>
      </c>
      <c r="M31" t="s">
        <v>36</v>
      </c>
      <c r="N31" t="s">
        <v>34</v>
      </c>
      <c r="O31" t="s">
        <v>35</v>
      </c>
    </row>
    <row r="32" spans="3:15" x14ac:dyDescent="0.2">
      <c r="C32" t="s">
        <v>37</v>
      </c>
      <c r="D32" t="s">
        <v>34</v>
      </c>
      <c r="E32" t="s">
        <v>38</v>
      </c>
      <c r="K32">
        <v>67</v>
      </c>
    </row>
    <row r="33" spans="3:11" x14ac:dyDescent="0.2">
      <c r="K33">
        <v>32</v>
      </c>
    </row>
    <row r="34" spans="3:11" x14ac:dyDescent="0.2">
      <c r="D34" s="4" t="str" cm="1">
        <f t="array" ref="D34:G34">C8:F8</f>
        <v>Adrián</v>
      </c>
      <c r="E34" s="4">
        <v>45</v>
      </c>
      <c r="F34" s="4" t="str">
        <v>HOMBRE</v>
      </c>
      <c r="G34" s="4">
        <v>4</v>
      </c>
      <c r="K34">
        <v>29</v>
      </c>
    </row>
    <row r="35" spans="3:11" x14ac:dyDescent="0.2">
      <c r="K35">
        <v>45</v>
      </c>
    </row>
    <row r="36" spans="3:11" x14ac:dyDescent="0.2">
      <c r="C36" t="s">
        <v>39</v>
      </c>
      <c r="D36" t="s">
        <v>40</v>
      </c>
    </row>
    <row r="38" spans="3:11" x14ac:dyDescent="0.2">
      <c r="D38" s="5" t="str" cm="1">
        <f t="array" ref="D38:G38">C9:F9</f>
        <v>Betsy</v>
      </c>
      <c r="E38" s="5">
        <v>67</v>
      </c>
      <c r="F38" s="5" t="str">
        <v>MUJER</v>
      </c>
      <c r="G38" s="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2B9D-FF2F-A942-A275-9AA4884AD146}">
  <dimension ref="B4:L21"/>
  <sheetViews>
    <sheetView zoomScale="180" zoomScaleNormal="180" workbookViewId="0">
      <selection activeCell="B23" sqref="B23:L23"/>
    </sheetView>
  </sheetViews>
  <sheetFormatPr baseColWidth="10" defaultRowHeight="16" x14ac:dyDescent="0.2"/>
  <cols>
    <col min="8" max="8" width="16.1640625" customWidth="1"/>
    <col min="9" max="9" width="15" customWidth="1"/>
  </cols>
  <sheetData>
    <row r="4" spans="2:12" x14ac:dyDescent="0.2">
      <c r="B4" t="s">
        <v>1</v>
      </c>
      <c r="C4" t="s">
        <v>2</v>
      </c>
      <c r="D4" t="s">
        <v>3</v>
      </c>
      <c r="E4" t="s">
        <v>4</v>
      </c>
      <c r="H4" t="s">
        <v>41</v>
      </c>
    </row>
    <row r="5" spans="2:12" x14ac:dyDescent="0.2">
      <c r="B5" t="s">
        <v>5</v>
      </c>
      <c r="C5">
        <v>45</v>
      </c>
      <c r="D5" t="s">
        <v>10</v>
      </c>
      <c r="E5">
        <v>4</v>
      </c>
    </row>
    <row r="6" spans="2:12" x14ac:dyDescent="0.2">
      <c r="B6" t="s">
        <v>6</v>
      </c>
      <c r="C6">
        <v>67</v>
      </c>
      <c r="D6" t="s">
        <v>12</v>
      </c>
      <c r="E6">
        <v>34</v>
      </c>
      <c r="H6" t="s">
        <v>30</v>
      </c>
      <c r="I6" s="4">
        <v>6</v>
      </c>
    </row>
    <row r="7" spans="2:12" x14ac:dyDescent="0.2">
      <c r="B7" t="s">
        <v>7</v>
      </c>
      <c r="C7">
        <v>32</v>
      </c>
      <c r="D7" t="s">
        <v>10</v>
      </c>
      <c r="E7">
        <v>7</v>
      </c>
    </row>
    <row r="8" spans="2:12" x14ac:dyDescent="0.2">
      <c r="B8" t="s">
        <v>8</v>
      </c>
      <c r="C8">
        <v>29</v>
      </c>
      <c r="D8" t="s">
        <v>12</v>
      </c>
      <c r="E8">
        <v>16</v>
      </c>
      <c r="H8" t="s">
        <v>42</v>
      </c>
      <c r="I8" t="s">
        <v>47</v>
      </c>
    </row>
    <row r="9" spans="2:12" x14ac:dyDescent="0.2">
      <c r="B9" t="s">
        <v>9</v>
      </c>
      <c r="C9">
        <v>45</v>
      </c>
      <c r="D9" t="s">
        <v>10</v>
      </c>
      <c r="E9">
        <v>10</v>
      </c>
    </row>
    <row r="10" spans="2:12" x14ac:dyDescent="0.2">
      <c r="H10" s="6" t="s">
        <v>43</v>
      </c>
      <c r="I10" s="6" t="s">
        <v>44</v>
      </c>
      <c r="J10" s="6" t="s">
        <v>45</v>
      </c>
      <c r="K10" s="6" t="s">
        <v>46</v>
      </c>
    </row>
    <row r="11" spans="2:12" x14ac:dyDescent="0.2">
      <c r="H11" t="str" cm="1">
        <f t="array" ref="H11:K11">B6:E6</f>
        <v>Betsy</v>
      </c>
      <c r="I11">
        <v>67</v>
      </c>
      <c r="J11" t="str">
        <v>MUJER</v>
      </c>
      <c r="K11">
        <v>34</v>
      </c>
    </row>
    <row r="14" spans="2:12" x14ac:dyDescent="0.2">
      <c r="B14" t="s">
        <v>48</v>
      </c>
      <c r="F14" s="1" t="s">
        <v>49</v>
      </c>
      <c r="I14" s="7" t="s">
        <v>41</v>
      </c>
      <c r="J14" s="7"/>
      <c r="K14" s="7"/>
      <c r="L14" s="7"/>
    </row>
    <row r="16" spans="2:12" x14ac:dyDescent="0.2">
      <c r="B16" t="s">
        <v>50</v>
      </c>
      <c r="F16" s="1" t="s">
        <v>51</v>
      </c>
      <c r="I16" t="s">
        <v>30</v>
      </c>
      <c r="J16" s="4">
        <v>7</v>
      </c>
    </row>
    <row r="18" spans="2:12" x14ac:dyDescent="0.2">
      <c r="B18" t="s">
        <v>52</v>
      </c>
      <c r="D18" t="s">
        <v>53</v>
      </c>
      <c r="I18" t="s">
        <v>42</v>
      </c>
      <c r="J18" t="str">
        <f>"B"&amp;J16&amp;":"&amp;"E"&amp;J16</f>
        <v>B7:E7</v>
      </c>
    </row>
    <row r="20" spans="2:12" x14ac:dyDescent="0.2">
      <c r="B20" t="str">
        <f>B18&amp;", "&amp;D18</f>
        <v>HOLA, ALAN</v>
      </c>
      <c r="D20" s="1" t="s">
        <v>20</v>
      </c>
      <c r="E20" s="1" t="s">
        <v>54</v>
      </c>
      <c r="F20" s="1" t="s">
        <v>49</v>
      </c>
      <c r="G20" s="1" t="s">
        <v>55</v>
      </c>
      <c r="I20" s="6" t="s">
        <v>43</v>
      </c>
      <c r="J20" s="6" t="s">
        <v>44</v>
      </c>
      <c r="K20" s="6" t="s">
        <v>45</v>
      </c>
      <c r="L20" s="6" t="s">
        <v>46</v>
      </c>
    </row>
    <row r="21" spans="2:12" x14ac:dyDescent="0.2">
      <c r="E21" s="1" t="s">
        <v>56</v>
      </c>
      <c r="F21" s="1" t="s">
        <v>49</v>
      </c>
      <c r="G21" s="1" t="s">
        <v>57</v>
      </c>
      <c r="I21" t="str" cm="1">
        <f t="array" aca="1" ref="I21:L21" ca="1">INDIRECT("B"&amp;J16&amp;":"&amp;"E"&amp;J16)</f>
        <v>Camilo</v>
      </c>
      <c r="J21">
        <f ca="1"/>
        <v>32</v>
      </c>
      <c r="K21" t="str">
        <f ca="1"/>
        <v>HOMBRE</v>
      </c>
      <c r="L21">
        <f ca="1"/>
        <v>7</v>
      </c>
    </row>
  </sheetData>
  <mergeCells count="1">
    <mergeCell ref="I14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B19A-EF0A-484E-BB7E-8FEF5C00B0B6}">
  <dimension ref="A3:V40"/>
  <sheetViews>
    <sheetView tabSelected="1" zoomScale="110" zoomScaleNormal="110" workbookViewId="0">
      <selection activeCell="L25" sqref="L25"/>
    </sheetView>
  </sheetViews>
  <sheetFormatPr baseColWidth="10" defaultRowHeight="16" x14ac:dyDescent="0.2"/>
  <cols>
    <col min="1" max="1" width="18" customWidth="1"/>
    <col min="2" max="2" width="14.6640625" customWidth="1"/>
    <col min="3" max="3" width="18.5" customWidth="1"/>
    <col min="4" max="4" width="18" customWidth="1"/>
    <col min="6" max="6" width="13.6640625" customWidth="1"/>
    <col min="7" max="7" width="11.83203125" customWidth="1"/>
    <col min="8" max="8" width="12.1640625" customWidth="1"/>
    <col min="11" max="11" width="13.33203125" customWidth="1"/>
    <col min="12" max="12" width="22.5" customWidth="1"/>
    <col min="18" max="18" width="21.5" customWidth="1"/>
    <col min="19" max="19" width="5.5" customWidth="1"/>
    <col min="20" max="20" width="4.5" customWidth="1"/>
    <col min="21" max="21" width="4.33203125" customWidth="1"/>
  </cols>
  <sheetData>
    <row r="3" spans="1:22" x14ac:dyDescent="0.2">
      <c r="B3" t="s">
        <v>58</v>
      </c>
      <c r="D3" t="s">
        <v>59</v>
      </c>
      <c r="L3" t="s">
        <v>60</v>
      </c>
      <c r="O3" t="s">
        <v>61</v>
      </c>
    </row>
    <row r="5" spans="1:22" x14ac:dyDescent="0.2">
      <c r="A5" s="20" t="s">
        <v>107</v>
      </c>
      <c r="B5" s="8" t="s">
        <v>79</v>
      </c>
      <c r="C5" s="8" t="s">
        <v>87</v>
      </c>
      <c r="D5" s="5" t="s">
        <v>88</v>
      </c>
      <c r="F5" s="8" t="s">
        <v>90</v>
      </c>
      <c r="G5" s="8" t="s">
        <v>89</v>
      </c>
      <c r="H5" s="5" t="s">
        <v>88</v>
      </c>
      <c r="M5" s="19" t="s">
        <v>94</v>
      </c>
      <c r="N5" s="19"/>
      <c r="O5" s="19"/>
      <c r="P5" s="19"/>
      <c r="Q5" s="19"/>
      <c r="R5" s="19"/>
    </row>
    <row r="6" spans="1:22" x14ac:dyDescent="0.2">
      <c r="A6">
        <v>1</v>
      </c>
      <c r="B6" s="9" t="s">
        <v>81</v>
      </c>
      <c r="C6" s="9">
        <v>1</v>
      </c>
      <c r="D6" s="9">
        <v>20</v>
      </c>
      <c r="F6" s="9" t="s">
        <v>81</v>
      </c>
      <c r="G6" s="9">
        <v>1</v>
      </c>
      <c r="H6" s="13">
        <v>9.25</v>
      </c>
    </row>
    <row r="7" spans="1:22" x14ac:dyDescent="0.2">
      <c r="A7">
        <v>4</v>
      </c>
      <c r="B7" s="9" t="s">
        <v>81</v>
      </c>
      <c r="C7" s="9">
        <v>1</v>
      </c>
      <c r="D7" s="9">
        <v>10</v>
      </c>
      <c r="F7" s="9"/>
      <c r="G7" s="9">
        <v>2</v>
      </c>
      <c r="H7" s="13">
        <v>2.6666666666666665</v>
      </c>
      <c r="L7" t="s">
        <v>91</v>
      </c>
      <c r="M7" s="18" cm="1">
        <f t="array" ref="M7:O7">TRANSPOSE(_xlfn.UNIQUE(C6:C30))</f>
        <v>1</v>
      </c>
      <c r="N7" s="18">
        <v>2</v>
      </c>
      <c r="O7" s="18">
        <v>3</v>
      </c>
      <c r="R7" s="24" t="s">
        <v>91</v>
      </c>
      <c r="S7" s="25">
        <v>1</v>
      </c>
      <c r="T7" s="25">
        <v>2</v>
      </c>
      <c r="U7" s="25">
        <v>3</v>
      </c>
    </row>
    <row r="8" spans="1:22" x14ac:dyDescent="0.2">
      <c r="A8">
        <v>9</v>
      </c>
      <c r="B8" s="9" t="s">
        <v>81</v>
      </c>
      <c r="C8" s="9">
        <v>1</v>
      </c>
      <c r="D8" s="9">
        <v>2</v>
      </c>
      <c r="F8" s="10"/>
      <c r="G8" s="10">
        <v>3</v>
      </c>
      <c r="H8" s="14">
        <v>3.5</v>
      </c>
      <c r="J8" s="16" t="s">
        <v>92</v>
      </c>
      <c r="L8" s="17" t="str" cm="1">
        <f t="array" ref="L8:L9">_xlfn.UNIQUE(B6:B30)</f>
        <v>PERMANENTE</v>
      </c>
      <c r="M8" s="23">
        <f>AVERAGE(D6:D9)</f>
        <v>9.25</v>
      </c>
      <c r="N8" s="23">
        <f>AVERAGE(D10:D12)</f>
        <v>2.6666666666666665</v>
      </c>
      <c r="O8" s="23">
        <f>AVERAGE(D13:D14)</f>
        <v>3.5</v>
      </c>
      <c r="R8" s="26" t="s">
        <v>81</v>
      </c>
      <c r="S8" s="27">
        <v>9.25</v>
      </c>
      <c r="T8" s="27">
        <v>2.6666666666666665</v>
      </c>
      <c r="U8" s="27">
        <v>3.5</v>
      </c>
      <c r="V8" s="28">
        <f>AVERAGE(S8:U8)</f>
        <v>5.1388888888888884</v>
      </c>
    </row>
    <row r="9" spans="1:22" ht="17" thickBot="1" x14ac:dyDescent="0.25">
      <c r="A9">
        <v>13</v>
      </c>
      <c r="B9" s="21" t="s">
        <v>81</v>
      </c>
      <c r="C9" s="21">
        <v>1</v>
      </c>
      <c r="D9" s="21">
        <v>5</v>
      </c>
      <c r="F9" s="11" t="s">
        <v>82</v>
      </c>
      <c r="G9" s="11">
        <v>1</v>
      </c>
      <c r="H9" s="15">
        <v>2</v>
      </c>
      <c r="J9" s="16"/>
      <c r="L9" s="17" t="str">
        <v>TEMPORAL</v>
      </c>
      <c r="M9" s="23">
        <f>AVERAGE(D15:D16)</f>
        <v>2</v>
      </c>
      <c r="N9" s="23">
        <f>AVERAGE(D17:D21)</f>
        <v>1.6</v>
      </c>
      <c r="O9" s="23">
        <f>AVERAGE(D22:D30)</f>
        <v>0.77777777777777779</v>
      </c>
      <c r="R9" s="26" t="s">
        <v>82</v>
      </c>
      <c r="S9" s="27">
        <v>2</v>
      </c>
      <c r="T9" s="27">
        <v>1.6</v>
      </c>
      <c r="U9" s="27">
        <v>0.77777777777777779</v>
      </c>
      <c r="V9" s="28">
        <f>AVERAGE(S9:U9)</f>
        <v>1.4592592592592595</v>
      </c>
    </row>
    <row r="10" spans="1:22" x14ac:dyDescent="0.2">
      <c r="A10">
        <v>7</v>
      </c>
      <c r="B10" s="22" t="s">
        <v>81</v>
      </c>
      <c r="C10" s="22">
        <v>2</v>
      </c>
      <c r="D10" s="22">
        <v>3</v>
      </c>
      <c r="F10" s="9"/>
      <c r="G10" s="9">
        <v>2</v>
      </c>
      <c r="H10" s="13">
        <v>1.6</v>
      </c>
      <c r="J10" s="16"/>
      <c r="S10" s="28">
        <f>AVERAGE(S8:S9)</f>
        <v>5.625</v>
      </c>
      <c r="T10" s="28">
        <f t="shared" ref="T10:U10" si="0">AVERAGE(T8:T9)</f>
        <v>2.1333333333333333</v>
      </c>
      <c r="U10" s="28">
        <f t="shared" si="0"/>
        <v>2.1388888888888888</v>
      </c>
    </row>
    <row r="11" spans="1:22" x14ac:dyDescent="0.2">
      <c r="A11">
        <v>16</v>
      </c>
      <c r="B11" s="9" t="s">
        <v>81</v>
      </c>
      <c r="C11" s="9">
        <v>2</v>
      </c>
      <c r="D11" s="9">
        <v>2</v>
      </c>
      <c r="F11" s="10"/>
      <c r="G11" s="10">
        <v>3</v>
      </c>
      <c r="H11" s="14">
        <v>0.77777777777777779</v>
      </c>
      <c r="J11" s="16"/>
    </row>
    <row r="12" spans="1:22" ht="17" thickBot="1" x14ac:dyDescent="0.25">
      <c r="A12">
        <v>17</v>
      </c>
      <c r="B12" s="21" t="s">
        <v>81</v>
      </c>
      <c r="C12" s="21">
        <v>2</v>
      </c>
      <c r="D12" s="21">
        <v>3</v>
      </c>
      <c r="J12" s="16"/>
      <c r="M12" t="s">
        <v>95</v>
      </c>
    </row>
    <row r="13" spans="1:22" x14ac:dyDescent="0.2">
      <c r="A13">
        <v>11</v>
      </c>
      <c r="B13" s="22" t="s">
        <v>81</v>
      </c>
      <c r="C13" s="22">
        <v>3</v>
      </c>
      <c r="D13" s="22">
        <v>5</v>
      </c>
      <c r="J13" s="16"/>
    </row>
    <row r="14" spans="1:22" ht="17" thickBot="1" x14ac:dyDescent="0.25">
      <c r="A14">
        <v>15</v>
      </c>
      <c r="B14" s="21" t="s">
        <v>81</v>
      </c>
      <c r="C14" s="21">
        <v>3</v>
      </c>
      <c r="D14" s="21">
        <v>2</v>
      </c>
      <c r="J14" s="16"/>
      <c r="N14" t="s">
        <v>96</v>
      </c>
    </row>
    <row r="15" spans="1:22" x14ac:dyDescent="0.2">
      <c r="A15">
        <v>14</v>
      </c>
      <c r="B15" s="22" t="s">
        <v>82</v>
      </c>
      <c r="C15" s="22">
        <v>1</v>
      </c>
      <c r="D15" s="22">
        <v>0</v>
      </c>
      <c r="J15" s="16"/>
    </row>
    <row r="16" spans="1:22" ht="17" thickBot="1" x14ac:dyDescent="0.25">
      <c r="A16">
        <v>18</v>
      </c>
      <c r="B16" s="21" t="s">
        <v>82</v>
      </c>
      <c r="C16" s="21">
        <v>1</v>
      </c>
      <c r="D16" s="21">
        <v>4</v>
      </c>
      <c r="J16" s="16"/>
      <c r="N16" t="s">
        <v>97</v>
      </c>
    </row>
    <row r="17" spans="1:14" x14ac:dyDescent="0.2">
      <c r="A17">
        <v>2</v>
      </c>
      <c r="B17" s="22" t="s">
        <v>82</v>
      </c>
      <c r="C17" s="22">
        <v>2</v>
      </c>
      <c r="D17" s="22">
        <v>3</v>
      </c>
      <c r="J17" s="16"/>
      <c r="N17" t="s">
        <v>98</v>
      </c>
    </row>
    <row r="18" spans="1:14" x14ac:dyDescent="0.2">
      <c r="A18">
        <v>3</v>
      </c>
      <c r="B18" s="9" t="s">
        <v>82</v>
      </c>
      <c r="C18" s="9">
        <v>2</v>
      </c>
      <c r="D18" s="9">
        <v>2</v>
      </c>
      <c r="J18" s="16"/>
      <c r="N18" t="s">
        <v>108</v>
      </c>
    </row>
    <row r="19" spans="1:14" x14ac:dyDescent="0.2">
      <c r="A19">
        <v>6</v>
      </c>
      <c r="B19" s="9" t="s">
        <v>82</v>
      </c>
      <c r="C19" s="9">
        <v>2</v>
      </c>
      <c r="D19" s="9">
        <v>1</v>
      </c>
      <c r="J19" s="16"/>
      <c r="N19" t="s">
        <v>109</v>
      </c>
    </row>
    <row r="20" spans="1:14" x14ac:dyDescent="0.2">
      <c r="A20">
        <v>10</v>
      </c>
      <c r="B20" s="9" t="s">
        <v>82</v>
      </c>
      <c r="C20" s="9">
        <v>2</v>
      </c>
      <c r="D20" s="9">
        <v>1</v>
      </c>
      <c r="N20" t="s">
        <v>99</v>
      </c>
    </row>
    <row r="21" spans="1:14" ht="17" thickBot="1" x14ac:dyDescent="0.25">
      <c r="A21">
        <v>12</v>
      </c>
      <c r="B21" s="21" t="s">
        <v>82</v>
      </c>
      <c r="C21" s="21">
        <v>2</v>
      </c>
      <c r="D21" s="21">
        <v>1</v>
      </c>
      <c r="J21" t="s">
        <v>93</v>
      </c>
      <c r="N21" t="s">
        <v>100</v>
      </c>
    </row>
    <row r="22" spans="1:14" x14ac:dyDescent="0.2">
      <c r="A22">
        <v>5</v>
      </c>
      <c r="B22" t="s">
        <v>82</v>
      </c>
      <c r="C22">
        <v>3</v>
      </c>
      <c r="D22">
        <v>1</v>
      </c>
      <c r="N22" t="s">
        <v>101</v>
      </c>
    </row>
    <row r="23" spans="1:14" x14ac:dyDescent="0.2">
      <c r="A23">
        <v>8</v>
      </c>
      <c r="B23" t="s">
        <v>82</v>
      </c>
      <c r="C23">
        <v>3</v>
      </c>
      <c r="D23">
        <v>0</v>
      </c>
      <c r="N23" t="s">
        <v>102</v>
      </c>
    </row>
    <row r="24" spans="1:14" x14ac:dyDescent="0.2">
      <c r="A24">
        <v>19</v>
      </c>
      <c r="B24" t="s">
        <v>82</v>
      </c>
      <c r="C24">
        <v>3</v>
      </c>
      <c r="D24">
        <v>1</v>
      </c>
      <c r="N24" t="s">
        <v>103</v>
      </c>
    </row>
    <row r="25" spans="1:14" x14ac:dyDescent="0.2">
      <c r="A25">
        <v>20</v>
      </c>
      <c r="B25" t="s">
        <v>82</v>
      </c>
      <c r="C25">
        <v>3</v>
      </c>
      <c r="D25">
        <v>2</v>
      </c>
      <c r="N25" t="s">
        <v>104</v>
      </c>
    </row>
    <row r="26" spans="1:14" x14ac:dyDescent="0.2">
      <c r="A26">
        <v>21</v>
      </c>
      <c r="B26" t="s">
        <v>82</v>
      </c>
      <c r="C26">
        <v>3</v>
      </c>
      <c r="D26">
        <v>0</v>
      </c>
      <c r="N26" t="s">
        <v>105</v>
      </c>
    </row>
    <row r="27" spans="1:14" x14ac:dyDescent="0.2">
      <c r="A27">
        <v>22</v>
      </c>
      <c r="B27" t="s">
        <v>82</v>
      </c>
      <c r="C27">
        <v>3</v>
      </c>
      <c r="D27">
        <v>1</v>
      </c>
      <c r="N27" t="s">
        <v>106</v>
      </c>
    </row>
    <row r="28" spans="1:14" x14ac:dyDescent="0.2">
      <c r="A28">
        <v>23</v>
      </c>
      <c r="B28" t="s">
        <v>82</v>
      </c>
      <c r="C28">
        <v>3</v>
      </c>
      <c r="D28">
        <v>0</v>
      </c>
    </row>
    <row r="29" spans="1:14" x14ac:dyDescent="0.2">
      <c r="A29">
        <v>24</v>
      </c>
      <c r="B29" t="s">
        <v>82</v>
      </c>
      <c r="C29">
        <v>3</v>
      </c>
      <c r="D29">
        <v>1</v>
      </c>
    </row>
    <row r="30" spans="1:14" x14ac:dyDescent="0.2">
      <c r="A30">
        <v>25</v>
      </c>
      <c r="B30" t="s">
        <v>82</v>
      </c>
      <c r="C30">
        <v>3</v>
      </c>
      <c r="D30">
        <v>1</v>
      </c>
      <c r="K30" t="s">
        <v>62</v>
      </c>
    </row>
    <row r="32" spans="1:14" x14ac:dyDescent="0.2">
      <c r="A32" t="s">
        <v>80</v>
      </c>
      <c r="H32" t="s">
        <v>77</v>
      </c>
      <c r="K32" s="5" t="s">
        <v>63</v>
      </c>
      <c r="M32" t="s">
        <v>64</v>
      </c>
    </row>
    <row r="33" spans="1:20" x14ac:dyDescent="0.2">
      <c r="B33" t="s">
        <v>81</v>
      </c>
    </row>
    <row r="34" spans="1:20" x14ac:dyDescent="0.2">
      <c r="B34" t="s">
        <v>82</v>
      </c>
      <c r="H34" t="s">
        <v>78</v>
      </c>
      <c r="K34" s="8" t="s">
        <v>65</v>
      </c>
      <c r="M34" t="s">
        <v>66</v>
      </c>
    </row>
    <row r="35" spans="1:20" x14ac:dyDescent="0.2">
      <c r="N35" t="s">
        <v>75</v>
      </c>
      <c r="P35" t="s">
        <v>67</v>
      </c>
      <c r="Q35" t="s">
        <v>68</v>
      </c>
      <c r="R35" t="s">
        <v>69</v>
      </c>
    </row>
    <row r="36" spans="1:20" x14ac:dyDescent="0.2">
      <c r="A36" t="s">
        <v>83</v>
      </c>
      <c r="N36" t="s">
        <v>76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</row>
    <row r="37" spans="1:20" x14ac:dyDescent="0.2">
      <c r="B37">
        <v>1</v>
      </c>
      <c r="C37" t="s">
        <v>84</v>
      </c>
    </row>
    <row r="38" spans="1:20" x14ac:dyDescent="0.2">
      <c r="B38">
        <v>2</v>
      </c>
      <c r="C38" t="s">
        <v>85</v>
      </c>
      <c r="F38" t="s">
        <v>112</v>
      </c>
      <c r="N38" t="s">
        <v>114</v>
      </c>
    </row>
    <row r="39" spans="1:20" x14ac:dyDescent="0.2">
      <c r="B39">
        <v>3</v>
      </c>
      <c r="C39" t="s">
        <v>86</v>
      </c>
    </row>
    <row r="40" spans="1:20" x14ac:dyDescent="0.2">
      <c r="F40" t="s">
        <v>113</v>
      </c>
      <c r="N40" t="s">
        <v>115</v>
      </c>
    </row>
  </sheetData>
  <autoFilter ref="A5:D5" xr:uid="{503BB19A-EF0A-484E-BB7E-8FEF5C00B0B6}">
    <sortState xmlns:xlrd2="http://schemas.microsoft.com/office/spreadsheetml/2017/richdata2" ref="A6:D30">
      <sortCondition ref="B5:B30"/>
    </sortState>
  </autoFilter>
  <mergeCells count="2">
    <mergeCell ref="J8:J19"/>
    <mergeCell ref="M5:R5"/>
  </mergeCells>
  <conditionalFormatting sqref="H6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U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EEF1-68DD-3348-B8DC-2CCDE183433D}">
  <dimension ref="J11:R37"/>
  <sheetViews>
    <sheetView topLeftCell="E2" zoomScale="130" zoomScaleNormal="130" workbookViewId="0">
      <selection activeCell="P11" sqref="P11:R17"/>
    </sheetView>
  </sheetViews>
  <sheetFormatPr baseColWidth="10" defaultRowHeight="16" x14ac:dyDescent="0.2"/>
  <cols>
    <col min="1" max="1" width="14.1640625" bestFit="1" customWidth="1"/>
    <col min="2" max="2" width="15.33203125" bestFit="1" customWidth="1"/>
    <col min="3" max="3" width="12" bestFit="1" customWidth="1"/>
    <col min="10" max="10" width="22.33203125" customWidth="1"/>
    <col min="11" max="11" width="21" customWidth="1"/>
    <col min="12" max="12" width="14.33203125" customWidth="1"/>
    <col min="14" max="14" width="10.83203125" style="12"/>
    <col min="16" max="16" width="12.33203125" customWidth="1"/>
    <col min="17" max="17" width="12" customWidth="1"/>
    <col min="18" max="18" width="12.6640625" customWidth="1"/>
  </cols>
  <sheetData>
    <row r="11" spans="10:18" x14ac:dyDescent="0.2">
      <c r="P11" s="8" t="s">
        <v>90</v>
      </c>
      <c r="Q11" s="8" t="s">
        <v>89</v>
      </c>
      <c r="R11" s="5" t="s">
        <v>88</v>
      </c>
    </row>
    <row r="12" spans="10:18" x14ac:dyDescent="0.2">
      <c r="J12" t="s">
        <v>79</v>
      </c>
      <c r="K12" t="s">
        <v>87</v>
      </c>
      <c r="L12" t="s">
        <v>88</v>
      </c>
      <c r="P12" s="9" t="s">
        <v>81</v>
      </c>
      <c r="Q12" s="9">
        <v>1</v>
      </c>
      <c r="R12" s="13">
        <v>9.25</v>
      </c>
    </row>
    <row r="13" spans="10:18" x14ac:dyDescent="0.2">
      <c r="J13" s="9" t="s">
        <v>81</v>
      </c>
      <c r="K13" s="9">
        <v>1</v>
      </c>
      <c r="L13" s="9">
        <v>20</v>
      </c>
      <c r="P13" s="9"/>
      <c r="Q13" s="9">
        <v>2</v>
      </c>
      <c r="R13" s="13">
        <v>2.6666666666666665</v>
      </c>
    </row>
    <row r="14" spans="10:18" x14ac:dyDescent="0.2">
      <c r="J14" s="9" t="s">
        <v>81</v>
      </c>
      <c r="K14" s="9">
        <v>1</v>
      </c>
      <c r="L14" s="9">
        <v>10</v>
      </c>
      <c r="P14" s="10"/>
      <c r="Q14" s="10">
        <v>3</v>
      </c>
      <c r="R14" s="14">
        <v>3.5</v>
      </c>
    </row>
    <row r="15" spans="10:18" x14ac:dyDescent="0.2">
      <c r="J15" s="9" t="s">
        <v>81</v>
      </c>
      <c r="K15" s="9">
        <v>1</v>
      </c>
      <c r="L15" s="9">
        <v>2</v>
      </c>
      <c r="P15" s="11" t="s">
        <v>82</v>
      </c>
      <c r="Q15" s="11">
        <v>1</v>
      </c>
      <c r="R15" s="15">
        <v>2</v>
      </c>
    </row>
    <row r="16" spans="10:18" x14ac:dyDescent="0.2">
      <c r="J16" s="10" t="s">
        <v>81</v>
      </c>
      <c r="K16" s="10">
        <v>1</v>
      </c>
      <c r="L16" s="10">
        <v>5</v>
      </c>
      <c r="N16" s="12">
        <f>AVERAGE(L13:L16)</f>
        <v>9.25</v>
      </c>
      <c r="P16" s="9"/>
      <c r="Q16" s="9">
        <v>2</v>
      </c>
      <c r="R16" s="13">
        <v>1.6</v>
      </c>
    </row>
    <row r="17" spans="10:18" x14ac:dyDescent="0.2">
      <c r="J17" s="11" t="s">
        <v>81</v>
      </c>
      <c r="K17" s="11">
        <v>2</v>
      </c>
      <c r="L17" s="11">
        <v>3</v>
      </c>
      <c r="P17" s="10"/>
      <c r="Q17" s="10">
        <v>3</v>
      </c>
      <c r="R17" s="14">
        <v>0.77777777777777779</v>
      </c>
    </row>
    <row r="18" spans="10:18" x14ac:dyDescent="0.2">
      <c r="J18" s="9" t="s">
        <v>81</v>
      </c>
      <c r="K18" s="9">
        <v>2</v>
      </c>
      <c r="L18" s="9">
        <v>2</v>
      </c>
    </row>
    <row r="19" spans="10:18" x14ac:dyDescent="0.2">
      <c r="J19" s="10" t="s">
        <v>81</v>
      </c>
      <c r="K19" s="10">
        <v>2</v>
      </c>
      <c r="L19" s="10">
        <v>3</v>
      </c>
      <c r="N19" s="12">
        <f>AVERAGE(L17:L19)</f>
        <v>2.6666666666666665</v>
      </c>
    </row>
    <row r="20" spans="10:18" x14ac:dyDescent="0.2">
      <c r="J20" s="11" t="s">
        <v>81</v>
      </c>
      <c r="K20" s="11">
        <v>3</v>
      </c>
      <c r="L20" s="11">
        <v>5</v>
      </c>
    </row>
    <row r="21" spans="10:18" x14ac:dyDescent="0.2">
      <c r="J21" s="10" t="s">
        <v>81</v>
      </c>
      <c r="K21" s="10">
        <v>3</v>
      </c>
      <c r="L21" s="10">
        <v>2</v>
      </c>
      <c r="N21" s="12">
        <f>AVERAGE(L20:L21)</f>
        <v>3.5</v>
      </c>
    </row>
    <row r="22" spans="10:18" x14ac:dyDescent="0.2">
      <c r="J22" s="11" t="s">
        <v>82</v>
      </c>
      <c r="K22" s="11">
        <v>1</v>
      </c>
      <c r="L22" s="11">
        <v>0</v>
      </c>
    </row>
    <row r="23" spans="10:18" x14ac:dyDescent="0.2">
      <c r="J23" s="10" t="s">
        <v>82</v>
      </c>
      <c r="K23" s="10">
        <v>1</v>
      </c>
      <c r="L23" s="10">
        <v>4</v>
      </c>
      <c r="N23" s="12">
        <f>AVERAGE(L22:L23)</f>
        <v>2</v>
      </c>
    </row>
    <row r="24" spans="10:18" x14ac:dyDescent="0.2">
      <c r="J24" s="11" t="s">
        <v>82</v>
      </c>
      <c r="K24" s="11">
        <v>2</v>
      </c>
      <c r="L24" s="11">
        <v>3</v>
      </c>
    </row>
    <row r="25" spans="10:18" x14ac:dyDescent="0.2">
      <c r="J25" s="9" t="s">
        <v>82</v>
      </c>
      <c r="K25" s="9">
        <v>2</v>
      </c>
      <c r="L25" s="9">
        <v>2</v>
      </c>
    </row>
    <row r="26" spans="10:18" x14ac:dyDescent="0.2">
      <c r="J26" s="9" t="s">
        <v>82</v>
      </c>
      <c r="K26" s="9">
        <v>2</v>
      </c>
      <c r="L26" s="9">
        <v>1</v>
      </c>
    </row>
    <row r="27" spans="10:18" x14ac:dyDescent="0.2">
      <c r="J27" s="9" t="s">
        <v>82</v>
      </c>
      <c r="K27" s="9">
        <v>2</v>
      </c>
      <c r="L27" s="9">
        <v>1</v>
      </c>
    </row>
    <row r="28" spans="10:18" x14ac:dyDescent="0.2">
      <c r="J28" s="10" t="s">
        <v>82</v>
      </c>
      <c r="K28" s="10">
        <v>2</v>
      </c>
      <c r="L28" s="10">
        <v>1</v>
      </c>
      <c r="N28" s="12">
        <f>AVERAGE(L24:L28)</f>
        <v>1.6</v>
      </c>
    </row>
    <row r="29" spans="10:18" x14ac:dyDescent="0.2">
      <c r="J29" s="11" t="s">
        <v>82</v>
      </c>
      <c r="K29" s="11">
        <v>3</v>
      </c>
      <c r="L29" s="11">
        <v>1</v>
      </c>
    </row>
    <row r="30" spans="10:18" x14ac:dyDescent="0.2">
      <c r="J30" s="9" t="s">
        <v>82</v>
      </c>
      <c r="K30" s="9">
        <v>3</v>
      </c>
      <c r="L30" s="9">
        <v>0</v>
      </c>
    </row>
    <row r="31" spans="10:18" x14ac:dyDescent="0.2">
      <c r="J31" s="9" t="s">
        <v>82</v>
      </c>
      <c r="K31" s="9">
        <v>3</v>
      </c>
      <c r="L31" s="9">
        <v>1</v>
      </c>
    </row>
    <row r="32" spans="10:18" x14ac:dyDescent="0.2">
      <c r="J32" s="9" t="s">
        <v>82</v>
      </c>
      <c r="K32" s="9">
        <v>3</v>
      </c>
      <c r="L32" s="9">
        <v>2</v>
      </c>
    </row>
    <row r="33" spans="10:14" x14ac:dyDescent="0.2">
      <c r="J33" s="9" t="s">
        <v>82</v>
      </c>
      <c r="K33" s="9">
        <v>3</v>
      </c>
      <c r="L33" s="9">
        <v>0</v>
      </c>
    </row>
    <row r="34" spans="10:14" x14ac:dyDescent="0.2">
      <c r="J34" s="9" t="s">
        <v>82</v>
      </c>
      <c r="K34" s="9">
        <v>3</v>
      </c>
      <c r="L34" s="9">
        <v>1</v>
      </c>
    </row>
    <row r="35" spans="10:14" x14ac:dyDescent="0.2">
      <c r="J35" s="9" t="s">
        <v>82</v>
      </c>
      <c r="K35" s="9">
        <v>3</v>
      </c>
      <c r="L35" s="9">
        <v>0</v>
      </c>
    </row>
    <row r="36" spans="10:14" x14ac:dyDescent="0.2">
      <c r="J36" s="9" t="s">
        <v>82</v>
      </c>
      <c r="K36" s="9">
        <v>3</v>
      </c>
      <c r="L36" s="9">
        <v>1</v>
      </c>
    </row>
    <row r="37" spans="10:14" x14ac:dyDescent="0.2">
      <c r="J37" s="10" t="s">
        <v>82</v>
      </c>
      <c r="K37" s="10">
        <v>3</v>
      </c>
      <c r="L37" s="10">
        <v>1</v>
      </c>
      <c r="N37" s="12">
        <f>AVERAGE(L29:L37)</f>
        <v>0.77777777777777779</v>
      </c>
    </row>
  </sheetData>
  <autoFilter ref="J12:L12" xr:uid="{94D4EEF1-68DD-3348-B8DC-2CCDE183433D}">
    <sortState xmlns:xlrd2="http://schemas.microsoft.com/office/spreadsheetml/2017/richdata2" ref="J13:L37">
      <sortCondition ref="J12:J37"/>
    </sortState>
  </autoFilter>
  <conditionalFormatting sqref="R12:R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98A4-3445-194F-8466-D372C6929266}">
  <dimension ref="F9:I15"/>
  <sheetViews>
    <sheetView zoomScale="180" zoomScaleNormal="180" workbookViewId="0">
      <selection activeCell="F9" sqref="F9:I11"/>
    </sheetView>
  </sheetViews>
  <sheetFormatPr baseColWidth="10" defaultRowHeight="16" x14ac:dyDescent="0.2"/>
  <cols>
    <col min="6" max="6" width="24.6640625" customWidth="1"/>
  </cols>
  <sheetData>
    <row r="9" spans="6:9" x14ac:dyDescent="0.2">
      <c r="F9" s="24" t="s">
        <v>91</v>
      </c>
      <c r="G9" s="25">
        <v>1</v>
      </c>
      <c r="H9" s="25">
        <v>2</v>
      </c>
      <c r="I9" s="25">
        <v>3</v>
      </c>
    </row>
    <row r="10" spans="6:9" ht="38" customHeight="1" x14ac:dyDescent="0.2">
      <c r="F10" s="26" t="s">
        <v>81</v>
      </c>
      <c r="G10" s="27">
        <v>9.25</v>
      </c>
      <c r="H10" s="27">
        <v>2.6666666666666665</v>
      </c>
      <c r="I10" s="27">
        <v>3.5</v>
      </c>
    </row>
    <row r="11" spans="6:9" ht="44" customHeight="1" x14ac:dyDescent="0.2">
      <c r="F11" s="26" t="s">
        <v>82</v>
      </c>
      <c r="G11" s="27">
        <v>2</v>
      </c>
      <c r="H11" s="27">
        <v>1.6</v>
      </c>
      <c r="I11" s="27">
        <v>0.77777777777777779</v>
      </c>
    </row>
    <row r="14" spans="6:9" x14ac:dyDescent="0.2">
      <c r="F14" t="s">
        <v>110</v>
      </c>
    </row>
    <row r="15" spans="6:9" x14ac:dyDescent="0.2">
      <c r="F15" t="s">
        <v>111</v>
      </c>
    </row>
  </sheetData>
  <conditionalFormatting sqref="G10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2026-06-15T23:24:01Z</dcterms:created>
  <dcterms:modified xsi:type="dcterms:W3CDTF">2026-06-16T01:02:22Z</dcterms:modified>
</cp:coreProperties>
</file>