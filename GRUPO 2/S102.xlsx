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E7E14C7E-C300-8440-8437-14442112B53A}" xr6:coauthVersionLast="47" xr6:coauthVersionMax="47" xr10:uidLastSave="{00000000-0000-0000-0000-000000000000}"/>
  <bookViews>
    <workbookView xWindow="0" yWindow="0" windowWidth="38400" windowHeight="21600" activeTab="3" xr2:uid="{3E0FA82C-5185-F84E-9C56-E9D5C84DDF6B}"/>
  </bookViews>
  <sheets>
    <sheet name="Hoja1" sheetId="1" r:id="rId1"/>
    <sheet name="Hoja2" sheetId="2" r:id="rId2"/>
    <sheet name="Hoja3" sheetId="3" r:id="rId3"/>
    <sheet name="Hoja4" sheetId="4" r:id="rId4"/>
    <sheet name="Hoja7" sheetId="7" r:id="rId5"/>
    <sheet name="Hoja5" sheetId="5" r:id="rId6"/>
    <sheet name="Hoja6" sheetId="6" r:id="rId7"/>
  </sheets>
  <calcPr calcId="181029"/>
  <pivotCaches>
    <pivotCache cacheId="18" r:id="rId8"/>
    <pivotCache cacheId="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5" i="4" l="1"/>
  <c r="R44" i="4"/>
  <c r="R42" i="4"/>
  <c r="R41" i="4"/>
  <c r="R37" i="4"/>
  <c r="R36" i="4"/>
  <c r="R34" i="4"/>
  <c r="R33" i="4"/>
  <c r="D8" i="7" a="1"/>
  <c r="D8" i="7" s="1"/>
  <c r="C9" i="7" a="1"/>
  <c r="C9" i="7" s="1"/>
  <c r="E9" i="7" s="1" a="1"/>
  <c r="E9" i="7" s="1"/>
  <c r="E4" i="6" a="1"/>
  <c r="E4" i="6" s="1"/>
  <c r="D4" i="6" a="1"/>
  <c r="D4" i="6" s="1"/>
  <c r="C4" i="6" a="1"/>
  <c r="C4" i="6" s="1"/>
  <c r="B4" i="6" a="1"/>
  <c r="B4" i="6" s="1"/>
  <c r="B3" i="5" a="1"/>
  <c r="B3" i="5" s="1"/>
  <c r="J17" i="2" a="1"/>
  <c r="J17" i="2" s="1"/>
  <c r="J21" i="2" a="1"/>
  <c r="J21" i="2" s="1"/>
  <c r="J22" i="2" a="1"/>
  <c r="J22" i="2" s="1"/>
  <c r="J23" i="2" a="1"/>
  <c r="J23" i="2" s="1"/>
  <c r="I22" i="2" a="1"/>
  <c r="I22" i="2" s="1"/>
  <c r="I23" i="2" a="1"/>
  <c r="I23" i="2" s="1"/>
  <c r="I21" i="2" a="1"/>
  <c r="I21" i="2" s="1"/>
  <c r="I16" i="2" a="1"/>
  <c r="I16" i="2" s="1"/>
  <c r="J16" i="2" a="1"/>
  <c r="J16" i="2" s="1"/>
  <c r="I17" i="2" a="1"/>
  <c r="I17" i="2" s="1"/>
  <c r="J15" i="2" a="1"/>
  <c r="J15" i="2" s="1"/>
  <c r="I15" i="2" a="1"/>
  <c r="I15" i="2" s="1"/>
  <c r="I10" i="2" a="1"/>
  <c r="I10" i="2" s="1"/>
  <c r="J10" i="2" a="1"/>
  <c r="J10" i="2" s="1"/>
  <c r="I11" i="2" a="1"/>
  <c r="I11" i="2" s="1"/>
  <c r="J11" i="2" a="1"/>
  <c r="J11" i="2" s="1"/>
  <c r="J9" i="2" a="1"/>
  <c r="J9" i="2" s="1"/>
  <c r="I9" i="2" a="1"/>
  <c r="I9" i="2" s="1"/>
  <c r="AC5" i="2" a="1"/>
  <c r="AC5" i="2" s="1"/>
  <c r="AA5" i="2" a="1"/>
  <c r="AA5" i="2" s="1"/>
  <c r="Y5" i="2" a="1"/>
  <c r="Y5" i="2" s="1"/>
  <c r="W5" i="2" a="1"/>
  <c r="W5" i="2" s="1"/>
  <c r="V5" i="2" a="1"/>
  <c r="V5" i="2" s="1"/>
  <c r="I23" i="1"/>
  <c r="H23" i="1"/>
  <c r="I22" i="1"/>
  <c r="H22" i="1"/>
  <c r="I21" i="1"/>
  <c r="H21" i="1"/>
  <c r="I17" i="1"/>
  <c r="H17" i="1"/>
  <c r="I16" i="1"/>
  <c r="H16" i="1"/>
  <c r="I15" i="1"/>
  <c r="H15" i="1"/>
  <c r="I11" i="1"/>
  <c r="H11" i="1"/>
  <c r="I10" i="1"/>
  <c r="H10" i="1"/>
  <c r="I9" i="1"/>
  <c r="H9" i="1"/>
  <c r="O32" i="1"/>
  <c r="P32" i="1"/>
  <c r="Q32" i="1"/>
  <c r="R32" i="1"/>
  <c r="O33" i="1"/>
  <c r="P33" i="1"/>
  <c r="Q33" i="1"/>
  <c r="R33" i="1"/>
  <c r="O34" i="1"/>
  <c r="P34" i="1"/>
  <c r="Q34" i="1"/>
  <c r="R34" i="1"/>
  <c r="M8" i="1" a="1"/>
  <c r="M8" i="1" s="1"/>
  <c r="N8" i="1" a="1"/>
  <c r="N8" i="1" s="1"/>
  <c r="N32" i="1" s="1"/>
  <c r="P8" i="1" a="1"/>
  <c r="P8" i="1" s="1"/>
  <c r="Q8" i="1" a="1"/>
  <c r="Q8" i="1" s="1"/>
  <c r="R8" i="1" a="1"/>
  <c r="R8" i="1" s="1"/>
  <c r="O8" i="1" a="1"/>
  <c r="O8" i="1" s="1"/>
  <c r="R29" i="4"/>
  <c r="R28" i="4"/>
  <c r="R26" i="4"/>
  <c r="R25" i="4"/>
  <c r="R21" i="4"/>
  <c r="R20" i="4"/>
  <c r="R18" i="4"/>
  <c r="R17" i="4"/>
  <c r="D9" i="7" l="1" a="1"/>
  <c r="D9" i="7" s="1"/>
  <c r="D10" i="7" a="1"/>
  <c r="D10" i="7" s="1"/>
  <c r="E10" i="7" a="1"/>
  <c r="E10" i="7" s="1"/>
  <c r="M34" i="1"/>
  <c r="M33" i="1"/>
  <c r="M32" i="1"/>
  <c r="N34" i="1"/>
  <c r="N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<sst xmlns="http://schemas.openxmlformats.org/spreadsheetml/2006/main" count="3032" uniqueCount="1016">
  <si>
    <t>Naturaleza de los datos</t>
  </si>
  <si>
    <t>Análisis de datos</t>
  </si>
  <si>
    <t>Continua</t>
  </si>
  <si>
    <t>Grupo</t>
  </si>
  <si>
    <t>Numérica</t>
  </si>
  <si>
    <t>Categórico</t>
  </si>
  <si>
    <t>Ordenados</t>
  </si>
  <si>
    <t>No ordenados</t>
  </si>
  <si>
    <t>Mínimo</t>
  </si>
  <si>
    <t>Máximo</t>
  </si>
  <si>
    <t>Rango</t>
  </si>
  <si>
    <t>Recuento</t>
  </si>
  <si>
    <t>Suma</t>
  </si>
  <si>
    <t>Media</t>
  </si>
  <si>
    <t>(Promedio)</t>
  </si>
  <si>
    <t>Varianza</t>
  </si>
  <si>
    <t>Desviación Estándar</t>
  </si>
  <si>
    <t>K Mayor</t>
  </si>
  <si>
    <t>M Menor</t>
  </si>
  <si>
    <t>Cuantiles</t>
  </si>
  <si>
    <t>Percentiles</t>
  </si>
  <si>
    <t>Deciles</t>
  </si>
  <si>
    <t>Quinteles</t>
  </si>
  <si>
    <t>Cuartiles</t>
  </si>
  <si>
    <t>Conteo</t>
  </si>
  <si>
    <t>Pertencia</t>
  </si>
  <si>
    <t>Segmento</t>
  </si>
  <si>
    <t>Contraste</t>
  </si>
  <si>
    <t>Matriz de confusión</t>
  </si>
  <si>
    <t>Probabilidades</t>
  </si>
  <si>
    <t>Grupo 1</t>
  </si>
  <si>
    <t>Grupo 2</t>
  </si>
  <si>
    <t>A</t>
  </si>
  <si>
    <t>C</t>
  </si>
  <si>
    <t>B</t>
  </si>
  <si>
    <t>X</t>
  </si>
  <si>
    <t>Y</t>
  </si>
  <si>
    <t>Valor</t>
  </si>
  <si>
    <t>Observaciones</t>
  </si>
  <si>
    <t>AX</t>
  </si>
  <si>
    <t>AY</t>
  </si>
  <si>
    <t>BX</t>
  </si>
  <si>
    <t>BY</t>
  </si>
  <si>
    <t>CX</t>
  </si>
  <si>
    <t>CY</t>
  </si>
  <si>
    <t>SUMA</t>
  </si>
  <si>
    <t>Agregación</t>
  </si>
  <si>
    <t>PROMEDIO</t>
  </si>
  <si>
    <t>RECUENTO</t>
  </si>
  <si>
    <t>Proveedor</t>
  </si>
  <si>
    <t>Producto</t>
  </si>
  <si>
    <t>Cantidad</t>
  </si>
  <si>
    <t>Cantidad total del producto X entregado por el provedor A</t>
  </si>
  <si>
    <t>Cantidad promedio que el proveedor A entrega del producto X</t>
  </si>
  <si>
    <t>Número de entregas del proveedor A del producto X</t>
  </si>
  <si>
    <t>MÁSCARA / VECTOR DE ACTIVACIÓN / PRUEBA LÓGICA</t>
  </si>
  <si>
    <t>FÓRMULA FILTRAR</t>
  </si>
  <si>
    <t>MÁSCARA</t>
  </si>
  <si>
    <t>=</t>
  </si>
  <si>
    <t>D8:D30="A"</t>
  </si>
  <si>
    <t>E8:E30="X"</t>
  </si>
  <si>
    <t>(D8:D30="A")*(E8:E30="X")</t>
  </si>
  <si>
    <t>FILTRO</t>
  </si>
  <si>
    <t>VALORES</t>
  </si>
  <si>
    <t>FILTRAR(</t>
  </si>
  <si>
    <t>F8:F30</t>
  </si>
  <si>
    <t>AGREACIÓN</t>
  </si>
  <si>
    <t>CONTAR</t>
  </si>
  <si>
    <t>…</t>
  </si>
  <si>
    <t>SUMA(</t>
  </si>
  <si>
    <t>VALORES FILTRADOS</t>
  </si>
  <si>
    <t>Ejercicio</t>
  </si>
  <si>
    <t>SUMA(FILTRAR($F$8:$F$30,($D$8:$D$30=$H9)*($E$8:$E$30=I$8)))</t>
  </si>
  <si>
    <t>Etiquetas de fila</t>
  </si>
  <si>
    <t>Total general</t>
  </si>
  <si>
    <t>Etiquetas de columna</t>
  </si>
  <si>
    <t>Suma de Valor</t>
  </si>
  <si>
    <t>Promedio de Valor</t>
  </si>
  <si>
    <t>Cuenta de Valor</t>
  </si>
  <si>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</si>
  <si>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</si>
  <si>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</si>
  <si>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</si>
  <si>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</si>
  <si>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</si>
  <si>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</si>
  <si>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</si>
  <si>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</si>
  <si>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</si>
  <si>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</si>
  <si>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</si>
  <si>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</si>
  <si>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</si>
  <si>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</si>
  <si>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</si>
  <si>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</si>
  <si>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</si>
  <si>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</si>
  <si>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</si>
  <si>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</si>
  <si>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</si>
  <si>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</si>
  <si>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</si>
  <si>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</si>
  <si>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</si>
  <si>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</si>
  <si>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</si>
  <si>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</si>
  <si>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</si>
  <si>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</si>
  <si>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</si>
  <si>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</si>
  <si>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</si>
  <si>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</si>
  <si>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</si>
  <si>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</si>
  <si>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</si>
  <si>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</si>
  <si>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</si>
  <si>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</si>
  <si>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</si>
  <si>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</si>
  <si>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</si>
  <si>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</si>
  <si>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</si>
  <si>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</si>
  <si>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</si>
  <si>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</si>
  <si>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</si>
  <si>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</si>
  <si>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</si>
  <si>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</si>
  <si>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</si>
  <si>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</si>
  <si>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</si>
  <si>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</si>
  <si>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</si>
  <si>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</si>
  <si>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</si>
  <si>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</si>
  <si>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</si>
  <si>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</si>
  <si>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</si>
  <si>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</si>
  <si>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</si>
  <si>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</si>
  <si>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</si>
  <si>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</si>
  <si>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</si>
  <si>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</si>
  <si>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</si>
  <si>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</si>
  <si>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</si>
  <si>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</si>
  <si>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</si>
  <si>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</si>
  <si>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</si>
  <si>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</si>
  <si>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</si>
  <si>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</si>
  <si>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</si>
  <si>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</si>
  <si>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</si>
  <si>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</si>
  <si>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</si>
  <si>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</si>
  <si>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</si>
  <si>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</si>
  <si>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</si>
  <si>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</si>
  <si>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</si>
  <si>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</si>
  <si>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</si>
  <si>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</si>
  <si>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</si>
  <si>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</si>
  <si>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</si>
  <si>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</si>
  <si>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</si>
  <si>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</si>
  <si>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</si>
  <si>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</si>
  <si>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</si>
  <si>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</si>
  <si>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</si>
  <si>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</si>
  <si>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</si>
  <si>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</si>
  <si>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</si>
  <si>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</si>
  <si>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</si>
  <si>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</si>
  <si>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</si>
  <si>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</si>
  <si>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</si>
  <si>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</si>
  <si>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</si>
  <si>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</si>
  <si>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</si>
  <si>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</si>
  <si>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</si>
  <si>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</si>
  <si>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</si>
  <si>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</si>
  <si>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</si>
  <si>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</si>
  <si>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</si>
  <si>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</si>
  <si>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</si>
  <si>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</si>
  <si>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</si>
  <si>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</si>
  <si>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</si>
  <si>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</si>
  <si>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</si>
  <si>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</si>
  <si>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</si>
  <si>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</si>
  <si>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</si>
  <si>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</si>
  <si>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</si>
  <si>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</si>
  <si>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</si>
  <si>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</si>
  <si>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</si>
  <si>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</si>
  <si>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</si>
  <si>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</si>
  <si>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</si>
  <si>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</si>
  <si>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</si>
  <si>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</si>
  <si>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</si>
  <si>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</si>
  <si>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</si>
  <si>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</si>
  <si>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</si>
  <si>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</si>
  <si>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</si>
  <si>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</si>
  <si>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</si>
  <si>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</si>
  <si>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</si>
  <si>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</si>
  <si>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</si>
  <si>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</si>
  <si>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</si>
  <si>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</si>
  <si>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</si>
  <si>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</si>
  <si>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</si>
  <si>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</si>
  <si>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</si>
  <si>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</si>
  <si>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</si>
  <si>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</si>
  <si>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</si>
  <si>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</si>
  <si>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</si>
  <si>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</si>
  <si>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</si>
  <si>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</si>
  <si>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</si>
  <si>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</si>
  <si>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</si>
  <si>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</si>
  <si>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</si>
  <si>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</si>
  <si>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</si>
  <si>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</si>
  <si>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</si>
  <si>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</si>
  <si>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</si>
  <si>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</si>
  <si>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</si>
  <si>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</si>
  <si>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</si>
  <si>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</si>
  <si>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</si>
  <si>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</si>
  <si>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</si>
  <si>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</si>
  <si>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</si>
  <si>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</si>
  <si>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</si>
  <si>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</si>
  <si>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</si>
  <si>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</si>
  <si>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</si>
  <si>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</si>
  <si>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</si>
  <si>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</si>
  <si>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</si>
  <si>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</si>
  <si>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</si>
  <si>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</si>
  <si>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</si>
  <si>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</si>
  <si>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</si>
  <si>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</si>
  <si>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</si>
  <si>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</si>
  <si>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</si>
  <si>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</si>
  <si>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</si>
  <si>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</si>
  <si>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</si>
  <si>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</si>
  <si>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</si>
  <si>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</si>
  <si>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</si>
  <si>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</si>
  <si>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</si>
  <si>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</si>
  <si>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</si>
  <si>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</si>
  <si>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</si>
  <si>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</si>
  <si>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</si>
  <si>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</si>
  <si>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</si>
  <si>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</si>
  <si>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</si>
  <si>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</si>
  <si>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</si>
  <si>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</si>
  <si>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</si>
  <si>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</si>
  <si>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</si>
  <si>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</si>
  <si>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</si>
  <si>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</si>
  <si>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</si>
  <si>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</si>
  <si>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</si>
  <si>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</si>
  <si>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</si>
  <si>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</si>
  <si>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</si>
  <si>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</si>
  <si>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</si>
  <si>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</si>
  <si>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</si>
  <si>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</si>
  <si>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</si>
  <si>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</si>
  <si>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</si>
  <si>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</si>
  <si>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</si>
  <si>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</si>
  <si>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</si>
  <si>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</si>
  <si>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</si>
  <si>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</si>
  <si>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</si>
  <si>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</si>
  <si>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</si>
  <si>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</si>
  <si>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</si>
  <si>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</si>
  <si>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</si>
  <si>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</si>
  <si>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</si>
  <si>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</si>
  <si>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</si>
  <si>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</si>
  <si>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</si>
  <si>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</si>
  <si>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</si>
  <si>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</si>
  <si>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</si>
  <si>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</si>
  <si>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</si>
  <si>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</si>
  <si>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</si>
  <si>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</si>
  <si>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</si>
  <si>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</si>
  <si>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</si>
  <si>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</si>
  <si>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</si>
  <si>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</si>
  <si>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</si>
  <si>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</si>
  <si>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</si>
  <si>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</si>
  <si>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</si>
  <si>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</si>
  <si>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</si>
  <si>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</si>
  <si>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</si>
  <si>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</si>
  <si>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</si>
  <si>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</si>
  <si>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</si>
  <si>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</si>
  <si>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</si>
  <si>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</si>
  <si>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</si>
  <si>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</si>
  <si>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</si>
  <si>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</si>
  <si>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</si>
  <si>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</si>
  <si>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</si>
  <si>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</si>
  <si>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</si>
  <si>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</si>
  <si>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</si>
  <si>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</si>
  <si>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</si>
  <si>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</si>
  <si>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</si>
  <si>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</si>
  <si>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</si>
  <si>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</si>
  <si>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</si>
  <si>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</si>
  <si>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</si>
  <si>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</si>
  <si>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</si>
  <si>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</si>
  <si>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</si>
  <si>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</si>
  <si>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</si>
  <si>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</si>
  <si>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</si>
  <si>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</si>
  <si>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</si>
  <si>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</si>
  <si>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</si>
  <si>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</si>
  <si>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</si>
  <si>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</si>
  <si>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</si>
  <si>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</si>
  <si>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</si>
  <si>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</si>
  <si>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</si>
  <si>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</si>
  <si>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</si>
  <si>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</si>
  <si>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</si>
  <si>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</si>
  <si>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</si>
  <si>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</si>
  <si>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</si>
  <si>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</si>
  <si>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</si>
  <si>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</si>
  <si>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</si>
  <si>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</si>
  <si>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</si>
  <si>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</si>
  <si>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</si>
  <si>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</si>
  <si>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</si>
  <si>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</si>
  <si>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</si>
  <si>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</si>
  <si>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</si>
  <si>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</si>
  <si>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</si>
  <si>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</si>
  <si>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</si>
  <si>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</si>
  <si>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</si>
  <si>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</si>
  <si>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</si>
  <si>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</si>
  <si>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</si>
  <si>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</si>
  <si>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</si>
  <si>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</si>
  <si>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</si>
  <si>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</si>
  <si>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</si>
  <si>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</si>
  <si>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</si>
  <si>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</si>
  <si>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</si>
  <si>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</si>
  <si>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</si>
  <si>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</si>
  <si>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</si>
  <si>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</si>
  <si>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</si>
  <si>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</si>
  <si>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</si>
  <si>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</si>
  <si>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</si>
  <si>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</si>
  <si>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</si>
  <si>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</si>
  <si>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</si>
  <si>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</si>
  <si>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</si>
  <si>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</si>
  <si>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</si>
  <si>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</si>
  <si>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</si>
  <si>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</si>
  <si>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</si>
  <si>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</si>
  <si>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</si>
  <si>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</si>
  <si>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</si>
  <si>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</si>
  <si>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</si>
  <si>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</si>
  <si>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</si>
  <si>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</si>
  <si>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</si>
  <si>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</si>
  <si>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</si>
  <si>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</si>
  <si>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</si>
  <si>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</si>
  <si>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</si>
  <si>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</si>
  <si>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</si>
  <si>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</si>
  <si>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</si>
  <si>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</si>
  <si>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</si>
  <si>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</si>
  <si>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</si>
  <si>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</si>
  <si>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</si>
  <si>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</si>
  <si>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</si>
  <si>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</si>
  <si>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</si>
  <si>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</si>
  <si>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</si>
  <si>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</si>
  <si>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</si>
  <si>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</si>
  <si>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</si>
  <si>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</si>
  <si>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</si>
  <si>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</si>
  <si>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</si>
  <si>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</si>
  <si>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</si>
  <si>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</si>
  <si>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</si>
  <si>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</si>
  <si>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</si>
  <si>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</si>
  <si>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</si>
  <si>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</si>
  <si>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</si>
  <si>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</si>
  <si>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</si>
  <si>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</si>
  <si>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</si>
  <si>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</si>
  <si>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</si>
  <si>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</si>
  <si>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</si>
  <si>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</si>
  <si>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</si>
  <si>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</si>
  <si>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</si>
  <si>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</si>
  <si>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</si>
  <si>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</si>
  <si>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</si>
  <si>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</si>
  <si>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</si>
  <si>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</si>
  <si>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</si>
  <si>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</si>
  <si>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</si>
  <si>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</si>
  <si>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</si>
  <si>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</si>
  <si>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</si>
  <si>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</si>
  <si>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</si>
  <si>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</si>
  <si>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</si>
  <si>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</si>
  <si>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</si>
  <si>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</si>
  <si>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</si>
  <si>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</si>
  <si>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</si>
  <si>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</si>
  <si>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</si>
  <si>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</si>
  <si>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</si>
  <si>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</si>
  <si>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</si>
  <si>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</si>
  <si>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</si>
  <si>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</si>
  <si>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</si>
  <si>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</si>
  <si>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</si>
  <si>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</si>
  <si>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</si>
  <si>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</si>
  <si>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</si>
  <si>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</si>
  <si>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</si>
  <si>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</si>
  <si>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</si>
  <si>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</si>
  <si>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</si>
  <si>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</si>
  <si>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</si>
  <si>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</si>
  <si>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</si>
  <si>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</si>
  <si>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</si>
  <si>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</si>
  <si>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</si>
  <si>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</si>
  <si>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</si>
  <si>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</si>
  <si>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</si>
  <si>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</si>
  <si>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</si>
  <si>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</si>
  <si>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</si>
  <si>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</si>
  <si>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</si>
  <si>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</si>
  <si>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</si>
  <si>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</si>
  <si>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</si>
  <si>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</si>
  <si>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</si>
  <si>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</si>
  <si>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</si>
  <si>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</si>
  <si>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</si>
  <si>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</si>
  <si>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</si>
  <si>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</si>
  <si>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</si>
  <si>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</si>
  <si>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</si>
  <si>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</si>
  <si>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</si>
  <si>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</si>
  <si>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</si>
  <si>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</si>
  <si>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</si>
  <si>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</si>
  <si>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</si>
  <si>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</si>
  <si>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</si>
  <si>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</si>
  <si>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</si>
  <si>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</si>
  <si>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</si>
  <si>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</si>
  <si>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</si>
  <si>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</si>
  <si>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</si>
  <si>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</si>
  <si>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</si>
  <si>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</si>
  <si>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</si>
  <si>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</si>
  <si>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</si>
  <si>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</si>
  <si>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</si>
  <si>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</si>
  <si>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</si>
  <si>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</si>
  <si>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</si>
  <si>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</si>
  <si>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</si>
  <si>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</si>
  <si>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</si>
  <si>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</si>
  <si>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</si>
  <si>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</si>
  <si>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</si>
  <si>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</si>
  <si>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</si>
  <si>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</si>
  <si>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</si>
  <si>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</si>
  <si>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</si>
  <si>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</si>
  <si>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</si>
  <si>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</si>
  <si>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</si>
  <si>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</si>
  <si>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</si>
  <si>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</si>
  <si>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</si>
  <si>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</si>
  <si>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</si>
  <si>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</si>
  <si>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</si>
  <si>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</si>
  <si>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</si>
  <si>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</si>
  <si>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</si>
  <si>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</si>
  <si>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</si>
  <si>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</si>
  <si>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</si>
  <si>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</si>
  <si>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</si>
  <si>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</si>
  <si>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</si>
  <si>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</si>
  <si>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</si>
  <si>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</si>
  <si>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</si>
  <si>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</si>
  <si>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</si>
  <si>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</si>
  <si>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</si>
  <si>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</si>
  <si>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</si>
  <si>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</si>
  <si>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</si>
  <si>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</si>
  <si>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</si>
  <si>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</si>
  <si>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</si>
  <si>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</si>
  <si>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</si>
  <si>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</si>
  <si>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</si>
  <si>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</si>
  <si>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</si>
  <si>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</si>
  <si>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</si>
  <si>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</si>
  <si>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</si>
  <si>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</si>
  <si>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</si>
  <si>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</si>
  <si>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</si>
  <si>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</si>
  <si>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</si>
  <si>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</si>
  <si>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</si>
  <si>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</si>
  <si>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</si>
  <si>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</si>
  <si>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</si>
  <si>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</si>
  <si>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</si>
  <si>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</si>
  <si>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</si>
  <si>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</si>
  <si>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</si>
  <si>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</si>
  <si>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</si>
  <si>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</si>
  <si>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</si>
  <si>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</si>
  <si>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</si>
  <si>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</si>
  <si>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</si>
  <si>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</si>
  <si>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</si>
  <si>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</si>
  <si>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</si>
  <si>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</si>
  <si>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</si>
  <si>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</si>
  <si>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</si>
  <si>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</si>
  <si>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</si>
  <si>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</si>
  <si>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</si>
  <si>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</si>
  <si>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</si>
  <si>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</si>
  <si>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</si>
  <si>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</si>
  <si>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</si>
  <si>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</si>
  <si>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</si>
  <si>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</si>
  <si>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</si>
  <si>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</si>
  <si>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</si>
  <si>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</si>
  <si>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</si>
  <si>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</si>
  <si>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</si>
  <si>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</si>
  <si>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</si>
  <si>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</si>
  <si>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</si>
  <si>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</si>
  <si>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</si>
  <si>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</si>
  <si>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</si>
  <si>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</si>
  <si>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</si>
  <si>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</si>
  <si>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</si>
  <si>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</si>
  <si>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</si>
  <si>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</si>
  <si>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</si>
  <si>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</si>
  <si>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</si>
  <si>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</si>
  <si>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</si>
  <si>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</si>
  <si>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</si>
  <si>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</si>
  <si>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</si>
  <si>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</si>
  <si>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</si>
  <si>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</si>
  <si>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</si>
  <si>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</si>
  <si>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</si>
  <si>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</si>
  <si>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</si>
  <si>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</si>
  <si>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</si>
  <si>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</si>
  <si>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</si>
  <si>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</si>
  <si>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</si>
  <si>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</si>
  <si>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</si>
  <si>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</si>
  <si>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</si>
  <si>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</si>
  <si>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</si>
  <si>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</si>
  <si>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</si>
  <si>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</si>
  <si>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</si>
  <si>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</si>
  <si>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</si>
  <si>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</si>
  <si>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</si>
  <si>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</si>
  <si>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</si>
  <si>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</si>
  <si>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</si>
  <si>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</si>
  <si>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</si>
  <si>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</si>
  <si>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</si>
  <si>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</si>
  <si>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</si>
  <si>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</si>
  <si>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</si>
  <si>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</si>
  <si>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</si>
  <si>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</si>
  <si>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</si>
  <si>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</si>
  <si>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</si>
  <si>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</si>
  <si>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</si>
  <si>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</si>
  <si>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</si>
  <si>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</si>
  <si>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</si>
  <si>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</si>
  <si>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</si>
  <si>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</si>
  <si>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</si>
  <si>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</si>
  <si>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</si>
  <si>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</si>
  <si>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</si>
  <si>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</si>
  <si>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</si>
  <si>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</si>
  <si>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</si>
  <si>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</si>
  <si>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</si>
  <si>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</si>
  <si>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</si>
  <si>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</si>
  <si>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</si>
  <si>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</si>
  <si>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</si>
  <si>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</si>
  <si>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</si>
  <si>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</si>
  <si>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</si>
  <si>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</si>
  <si>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</si>
  <si>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</si>
  <si>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</si>
  <si>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</si>
  <si>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</si>
  <si>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</si>
  <si>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</si>
  <si>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</si>
  <si>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</si>
  <si>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</si>
  <si>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</si>
  <si>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</si>
  <si>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</si>
  <si>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</si>
  <si>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</si>
  <si>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</si>
  <si>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</si>
  <si>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</si>
  <si>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</si>
  <si>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</si>
  <si>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</si>
  <si>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</si>
  <si>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</si>
  <si>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</si>
  <si>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</si>
  <si>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</si>
  <si>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</si>
  <si>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</si>
  <si>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</si>
  <si>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</si>
  <si>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</si>
  <si>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</si>
  <si>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</si>
  <si>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</si>
  <si>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</si>
  <si>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</si>
  <si>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</si>
  <si>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</si>
  <si>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</si>
  <si>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</si>
  <si>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</si>
  <si>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</si>
  <si>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</si>
  <si>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</si>
  <si>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</si>
  <si>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</si>
  <si>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</si>
  <si>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</si>
  <si>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</si>
  <si>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</si>
  <si>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</si>
  <si>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</si>
  <si>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</si>
  <si>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</si>
  <si>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</si>
  <si>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</si>
  <si>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</si>
  <si>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</si>
  <si>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</si>
  <si>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</si>
  <si>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</si>
  <si>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</si>
  <si>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</si>
  <si>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</si>
  <si>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</si>
  <si>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</si>
  <si>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</si>
  <si>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</si>
  <si>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</si>
  <si>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</si>
  <si>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</si>
  <si>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</si>
  <si>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</si>
  <si>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</si>
  <si>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</si>
  <si>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</si>
  <si>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</si>
  <si>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</si>
  <si>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</si>
  <si>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</si>
  <si>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</si>
  <si>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</si>
  <si>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</si>
  <si>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</si>
  <si>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</si>
  <si>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</si>
  <si>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</si>
  <si>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</si>
  <si>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</si>
  <si>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</si>
  <si>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</si>
  <si>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Cuenta de Sobrevive</t>
  </si>
  <si>
    <t>Matriz de conteos entre dos grupos</t>
  </si>
  <si>
    <t>Probabilidades marginales</t>
  </si>
  <si>
    <t>P(Hombre)</t>
  </si>
  <si>
    <t>P(Mujer)</t>
  </si>
  <si>
    <t>P(Sobrevive)</t>
  </si>
  <si>
    <t>P(Hombre ^ Sobrevive)</t>
  </si>
  <si>
    <t>Probabilidades conjuntas ^</t>
  </si>
  <si>
    <t>P(Hombre ^ No sobrevive)</t>
  </si>
  <si>
    <t>P(Mujer ^ Sobrevive)</t>
  </si>
  <si>
    <t>P(Mujer ^ No sobrevive)</t>
  </si>
  <si>
    <t>Probabilidad condicionada |</t>
  </si>
  <si>
    <t>P(Sobrevive | Hombre)</t>
  </si>
  <si>
    <t>P(No sobrevive | Hombre)</t>
  </si>
  <si>
    <t>P(Sobrevive | Mujer)</t>
  </si>
  <si>
    <t>P(No sobrevive | Mujer)</t>
  </si>
  <si>
    <t>Probabilidad inversa (Teorema de Bayes)</t>
  </si>
  <si>
    <t>P(Hombre | Sobrevive)</t>
  </si>
  <si>
    <t>P(Mujer | Sobrevive)</t>
  </si>
  <si>
    <t>P(No sobrevive)</t>
  </si>
  <si>
    <t>P(Mujer | No sobrevive)</t>
  </si>
  <si>
    <t>P(Hombre | No sobrevive)</t>
  </si>
  <si>
    <t>Resumen descriptivo de las probabilidades</t>
  </si>
  <si>
    <t>De 891 personas que viajaron en el Titanic,</t>
  </si>
  <si>
    <t>577 eran hombres (65%)</t>
  </si>
  <si>
    <t>314 eran mujeres (35%)</t>
  </si>
  <si>
    <t>342 sobreviven (38%)</t>
  </si>
  <si>
    <t>549 no sobreviven (62%)</t>
  </si>
  <si>
    <t>La probabilidad de sobrevivir siendo hombre es de 19%</t>
  </si>
  <si>
    <t>La probabilidad de no sobrevivir siendo hombre es de 81%</t>
  </si>
  <si>
    <t>La probabilidad de ser hombre dado que se sobrevive es de 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</si>
</sst>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0" fillId="7" borderId="0" xfId="0" applyFill="1"/>
    <xf numFmtId="0" fontId="0" fillId="3" borderId="0" xfId="0" applyFill="1"/>
    <xf numFmtId="0" fontId="0" fillId="11" borderId="0" xfId="0" applyFill="1"/>
    <xf numFmtId="0" fontId="0" fillId="8" borderId="0" xfId="0" applyFill="1"/>
    <xf numFmtId="0" fontId="0" fillId="0" borderId="0" xfId="0" applyFill="1" applyAlignment="1">
      <alignment horizontal="center"/>
    </xf>
    <xf numFmtId="2" fontId="0" fillId="0" borderId="0" xfId="0" applyNumberFormat="1"/>
    <xf numFmtId="0" fontId="0" fillId="12" borderId="0" xfId="0" applyFill="1"/>
    <xf numFmtId="0" fontId="0" fillId="9" borderId="0" xfId="0" applyFill="1"/>
    <xf numFmtId="0" fontId="0" fillId="5" borderId="0" xfId="0" applyFill="1"/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12" borderId="0" xfId="0" applyFill="1" applyAlignment="1">
      <alignment horizontal="center"/>
    </xf>
    <xf numFmtId="0" fontId="2" fillId="0" borderId="0" xfId="0" applyFont="1"/>
    <xf numFmtId="2" fontId="0" fillId="8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13" borderId="0" xfId="0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9" fontId="0" fillId="0" borderId="0" xfId="1" applyFont="1"/>
    <xf numFmtId="9" fontId="0" fillId="12" borderId="0" xfId="1" applyFont="1" applyFill="1"/>
    <xf numFmtId="0" fontId="0" fillId="11" borderId="0" xfId="0" applyFill="1" applyAlignment="1">
      <alignment horizontal="center"/>
    </xf>
    <xf numFmtId="0" fontId="8" fillId="10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801077</xdr:colOff>
      <xdr:row>32</xdr:row>
      <xdr:rowOff>9769</xdr:rowOff>
    </xdr:from>
    <xdr:to>
      <xdr:col>21</xdr:col>
      <xdr:colOff>672123</xdr:colOff>
      <xdr:row>35</xdr:row>
      <xdr:rowOff>194407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47DB30-9EA3-DB4F-84BD-847DBEEEA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5000" y="6574692"/>
          <a:ext cx="2362200" cy="800100"/>
        </a:xfrm>
        <a:prstGeom prst="rect">
          <a:avLst/>
        </a:prstGeom>
      </xdr:spPr>
    </xdr:pic>
    <xdr:clientData/>
  </xdr:twoCellAnchor>
  <xdr:twoCellAnchor editAs="oneCell">
    <xdr:from>
      <xdr:col>19</xdr:col>
      <xdr:colOff>39077</xdr:colOff>
      <xdr:row>39</xdr:row>
      <xdr:rowOff>173233</xdr:rowOff>
    </xdr:from>
    <xdr:to>
      <xdr:col>22</xdr:col>
      <xdr:colOff>779584</xdr:colOff>
      <xdr:row>44</xdr:row>
      <xdr:rowOff>23445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88A48F-CAAF-2934-DC0F-3C295320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57462" y="8174233"/>
          <a:ext cx="3231660" cy="8759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89.762446064815" createdVersion="8" refreshedVersion="8" minRefreshableVersion="3" recordCount="23" xr:uid="{999FC36B-6475-CB4A-8610-BB7FB4E1004B}">
  <cacheSource type="worksheet">
    <worksheetSource ref="C7:E30" sheet="Hoja3"/>
  </cacheSource>
  <cacheFields count="3">
    <cacheField name="Grupo 1" numFmtId="0">
      <sharedItems count="3">
        <s v="A"/>
        <s v="B"/>
        <s v="C"/>
      </sharedItems>
    </cacheField>
    <cacheField name="Grupo 2" numFmtId="0">
      <sharedItems count="2">
        <s v="X"/>
        <s v="Y"/>
      </sharedItems>
    </cacheField>
    <cacheField name="Valor" numFmtId="0">
      <sharedItems containsSemiMixedTypes="0" containsString="0" containsNumber="1" containsInteger="1" minValue="13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89.775862152776" createdVersion="8" refreshedVersion="8" minRefreshableVersion="3" recordCount="891" xr:uid="{BFAF4F25-E881-8A4A-B30E-22A201A06DCE}">
  <cacheSource type="worksheet">
    <worksheetSource name="Titanic"/>
  </cacheSource>
  <cacheFields count="10">
    <cacheField name="Sobrevive" numFmtId="0">
      <sharedItems containsSemiMixedTypes="0" containsString="0" containsNumber="1" containsInteger="1" minValue="0" maxValue="1" count="2">
        <n v="0"/>
        <n v="1"/>
      </sharedItems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n v="13"/>
  </r>
  <r>
    <x v="1"/>
    <x v="1"/>
    <n v="27"/>
  </r>
  <r>
    <x v="2"/>
    <x v="1"/>
    <n v="28"/>
  </r>
  <r>
    <x v="0"/>
    <x v="1"/>
    <n v="81"/>
  </r>
  <r>
    <x v="1"/>
    <x v="1"/>
    <n v="72"/>
  </r>
  <r>
    <x v="1"/>
    <x v="0"/>
    <n v="82"/>
  </r>
  <r>
    <x v="0"/>
    <x v="1"/>
    <n v="63"/>
  </r>
  <r>
    <x v="1"/>
    <x v="1"/>
    <n v="15"/>
  </r>
  <r>
    <x v="2"/>
    <x v="0"/>
    <n v="28"/>
  </r>
  <r>
    <x v="1"/>
    <x v="1"/>
    <n v="60"/>
  </r>
  <r>
    <x v="0"/>
    <x v="0"/>
    <n v="31"/>
  </r>
  <r>
    <x v="2"/>
    <x v="0"/>
    <n v="30"/>
  </r>
  <r>
    <x v="0"/>
    <x v="0"/>
    <n v="16"/>
  </r>
  <r>
    <x v="1"/>
    <x v="1"/>
    <n v="58"/>
  </r>
  <r>
    <x v="0"/>
    <x v="0"/>
    <n v="54"/>
  </r>
  <r>
    <x v="2"/>
    <x v="1"/>
    <n v="23"/>
  </r>
  <r>
    <x v="0"/>
    <x v="0"/>
    <n v="32"/>
  </r>
  <r>
    <x v="1"/>
    <x v="0"/>
    <n v="30"/>
  </r>
  <r>
    <x v="0"/>
    <x v="0"/>
    <n v="17"/>
  </r>
  <r>
    <x v="0"/>
    <x v="1"/>
    <n v="22"/>
  </r>
  <r>
    <x v="1"/>
    <x v="0"/>
    <n v="34"/>
  </r>
  <r>
    <x v="2"/>
    <x v="0"/>
    <n v="45"/>
  </r>
  <r>
    <x v="2"/>
    <x v="0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n v="3"/>
    <s v="Braund, Mr. Owen Harris"/>
    <x v="0"/>
    <n v="22"/>
    <n v="1"/>
    <n v="0"/>
    <n v="725"/>
    <n v="0"/>
    <s v="Southampton"/>
  </r>
  <r>
    <x v="1"/>
    <n v="1"/>
    <s v="Cumings, Mrs. John Bradley (Florence Briggs Thayer)"/>
    <x v="1"/>
    <n v="38"/>
    <n v="1"/>
    <n v="0"/>
    <n v="712833"/>
    <n v="1"/>
    <s v="Cherburg"/>
  </r>
  <r>
    <x v="1"/>
    <n v="3"/>
    <s v="Heikkinen, Miss. Laina"/>
    <x v="1"/>
    <n v="26"/>
    <n v="0"/>
    <n v="0"/>
    <n v="7925"/>
    <n v="0"/>
    <s v="Southampton"/>
  </r>
  <r>
    <x v="1"/>
    <n v="1"/>
    <s v="Futrelle, Mrs. Jacques Heath (Lily May Peel)"/>
    <x v="1"/>
    <n v="35"/>
    <n v="1"/>
    <n v="0"/>
    <n v="531"/>
    <n v="1"/>
    <s v="Southampton"/>
  </r>
  <r>
    <x v="0"/>
    <n v="3"/>
    <s v="Allen, Mr. William Henry"/>
    <x v="0"/>
    <n v="35"/>
    <n v="0"/>
    <n v="0"/>
    <n v="805"/>
    <n v="0"/>
    <s v="Southampton"/>
  </r>
  <r>
    <x v="0"/>
    <n v="3"/>
    <s v="Moran, Mr. James"/>
    <x v="0"/>
    <m/>
    <n v="0"/>
    <n v="0"/>
    <n v="84583"/>
    <n v="0"/>
    <s v="Queenstown"/>
  </r>
  <r>
    <x v="0"/>
    <n v="1"/>
    <s v="McCarthy, Mr. Timothy J"/>
    <x v="0"/>
    <n v="54"/>
    <n v="0"/>
    <n v="0"/>
    <n v="518625"/>
    <n v="1"/>
    <s v="Southampton"/>
  </r>
  <r>
    <x v="0"/>
    <n v="3"/>
    <s v="Palsson, Master. Gosta Leonard"/>
    <x v="0"/>
    <n v="2"/>
    <n v="3"/>
    <n v="1"/>
    <n v="21075"/>
    <n v="0"/>
    <s v="Southampton"/>
  </r>
  <r>
    <x v="1"/>
    <n v="3"/>
    <s v="Johnson, Mrs. Oscar W (Elisabeth Vilhelmina Berg)"/>
    <x v="1"/>
    <n v="27"/>
    <n v="0"/>
    <n v="2"/>
    <n v="111333"/>
    <n v="0"/>
    <s v="Southampton"/>
  </r>
  <r>
    <x v="1"/>
    <n v="2"/>
    <s v="Nasser, Mrs. Nicholas (Adele Achem)"/>
    <x v="1"/>
    <n v="14"/>
    <n v="1"/>
    <n v="0"/>
    <n v="300708"/>
    <n v="0"/>
    <s v="Cherburg"/>
  </r>
  <r>
    <x v="1"/>
    <n v="3"/>
    <s v="Sandstrom, Miss. Marguerite Rut"/>
    <x v="1"/>
    <n v="4"/>
    <n v="1"/>
    <n v="1"/>
    <n v="167"/>
    <n v="1"/>
    <s v="Southampton"/>
  </r>
  <r>
    <x v="1"/>
    <n v="1"/>
    <s v="Bonnell, Miss. Elizabeth"/>
    <x v="1"/>
    <n v="58"/>
    <n v="0"/>
    <n v="0"/>
    <n v="2655"/>
    <n v="1"/>
    <s v="Southampton"/>
  </r>
  <r>
    <x v="0"/>
    <n v="3"/>
    <s v="Saundercock, Mr. William Henry"/>
    <x v="0"/>
    <n v="20"/>
    <n v="0"/>
    <n v="0"/>
    <n v="805"/>
    <n v="0"/>
    <s v="Southampton"/>
  </r>
  <r>
    <x v="0"/>
    <n v="3"/>
    <s v="Andersson, Mr. Anders Johan"/>
    <x v="0"/>
    <n v="39"/>
    <n v="1"/>
    <n v="5"/>
    <n v="31275"/>
    <n v="0"/>
    <s v="Southampton"/>
  </r>
  <r>
    <x v="0"/>
    <n v="3"/>
    <s v="Vestrom, Miss. Hulda Amanda Adolfina"/>
    <x v="1"/>
    <n v="14"/>
    <n v="0"/>
    <n v="0"/>
    <n v="78542"/>
    <n v="0"/>
    <s v="Southampton"/>
  </r>
  <r>
    <x v="1"/>
    <n v="2"/>
    <s v="Hewlett, Mrs. (Mary D Kingcome) "/>
    <x v="1"/>
    <n v="55"/>
    <n v="0"/>
    <n v="0"/>
    <n v="16"/>
    <n v="0"/>
    <s v="Southampton"/>
  </r>
  <r>
    <x v="0"/>
    <n v="3"/>
    <s v="Rice, Master. Eugene"/>
    <x v="0"/>
    <n v="2"/>
    <n v="4"/>
    <n v="1"/>
    <n v="29125"/>
    <n v="0"/>
    <s v="Queenstown"/>
  </r>
  <r>
    <x v="1"/>
    <n v="2"/>
    <s v="Williams, Mr. Charles Eugene"/>
    <x v="0"/>
    <m/>
    <n v="0"/>
    <n v="0"/>
    <n v="13"/>
    <n v="0"/>
    <s v="Southampton"/>
  </r>
  <r>
    <x v="0"/>
    <n v="3"/>
    <s v="Vander Planke, Mrs. Julius (Emelia Maria Vandemoortele)"/>
    <x v="1"/>
    <n v="31"/>
    <n v="1"/>
    <n v="0"/>
    <n v="18"/>
    <n v="0"/>
    <s v="Southampton"/>
  </r>
  <r>
    <x v="1"/>
    <n v="3"/>
    <s v="Masselmani, Mrs. Fatima"/>
    <x v="1"/>
    <m/>
    <n v="0"/>
    <n v="0"/>
    <n v="7225"/>
    <n v="0"/>
    <s v="Cherburg"/>
  </r>
  <r>
    <x v="0"/>
    <n v="2"/>
    <s v="Fynney, Mr. Joseph J"/>
    <x v="0"/>
    <n v="35"/>
    <n v="0"/>
    <n v="0"/>
    <n v="26"/>
    <n v="0"/>
    <s v="Southampton"/>
  </r>
  <r>
    <x v="1"/>
    <n v="2"/>
    <s v="Beesley, Mr. Lawrence"/>
    <x v="0"/>
    <n v="34"/>
    <n v="0"/>
    <n v="0"/>
    <n v="13"/>
    <n v="1"/>
    <s v="Southampton"/>
  </r>
  <r>
    <x v="1"/>
    <n v="3"/>
    <s v="McGowan, Miss. Anna &quot;Annie&quot;"/>
    <x v="1"/>
    <n v="15"/>
    <n v="0"/>
    <n v="0"/>
    <n v="80292"/>
    <n v="0"/>
    <s v="Queenstown"/>
  </r>
  <r>
    <x v="1"/>
    <n v="1"/>
    <s v="Sloper, Mr. William Thompson"/>
    <x v="0"/>
    <n v="28"/>
    <n v="0"/>
    <n v="0"/>
    <n v="355"/>
    <n v="1"/>
    <s v="Southampton"/>
  </r>
  <r>
    <x v="0"/>
    <n v="3"/>
    <s v="Palsson, Miss. Torborg Danira"/>
    <x v="1"/>
    <n v="8"/>
    <n v="3"/>
    <n v="1"/>
    <n v="21075"/>
    <n v="0"/>
    <s v="Southampton"/>
  </r>
  <r>
    <x v="1"/>
    <n v="3"/>
    <s v="Asplund, Mrs. Carl Oscar (Selma Augusta Emilia Johansson)"/>
    <x v="1"/>
    <n v="38"/>
    <n v="1"/>
    <n v="5"/>
    <n v="313875"/>
    <n v="0"/>
    <s v="Southampton"/>
  </r>
  <r>
    <x v="0"/>
    <n v="3"/>
    <s v="Emir, Mr. Farred Chehab"/>
    <x v="0"/>
    <m/>
    <n v="0"/>
    <n v="0"/>
    <n v="7225"/>
    <n v="0"/>
    <s v="Cherburg"/>
  </r>
  <r>
    <x v="0"/>
    <n v="1"/>
    <s v="Fortune, Mr. Charles Alexander"/>
    <x v="0"/>
    <n v="19"/>
    <n v="3"/>
    <n v="2"/>
    <n v="263"/>
    <n v="1"/>
    <s v="Southampton"/>
  </r>
  <r>
    <x v="1"/>
    <n v="3"/>
    <s v="O'Dwyer, Miss. Ellen &quot;Nellie&quot;"/>
    <x v="1"/>
    <m/>
    <n v="0"/>
    <n v="0"/>
    <n v="78792"/>
    <n v="0"/>
    <s v="Queenstown"/>
  </r>
  <r>
    <x v="0"/>
    <n v="3"/>
    <s v="Todoroff, Mr. Lalio"/>
    <x v="0"/>
    <m/>
    <n v="0"/>
    <n v="0"/>
    <n v="78958"/>
    <n v="0"/>
    <s v="Southampton"/>
  </r>
  <r>
    <x v="0"/>
    <n v="1"/>
    <s v="Uruchurtu, Don. Manuel E"/>
    <x v="0"/>
    <n v="40"/>
    <n v="0"/>
    <n v="0"/>
    <n v="277208"/>
    <n v="0"/>
    <s v="Cherburg"/>
  </r>
  <r>
    <x v="1"/>
    <n v="1"/>
    <s v="Spencer, Mrs. William Augustus (Marie Eugenie)"/>
    <x v="1"/>
    <m/>
    <n v="1"/>
    <n v="0"/>
    <n v="1465208"/>
    <n v="1"/>
    <s v="Cherburg"/>
  </r>
  <r>
    <x v="1"/>
    <n v="3"/>
    <s v="Glynn, Miss. Mary Agatha"/>
    <x v="1"/>
    <m/>
    <n v="0"/>
    <n v="0"/>
    <n v="775"/>
    <n v="0"/>
    <s v="Queenstown"/>
  </r>
  <r>
    <x v="0"/>
    <n v="2"/>
    <s v="Wheadon, Mr. Edward H"/>
    <x v="0"/>
    <n v="66"/>
    <n v="0"/>
    <n v="0"/>
    <n v="105"/>
    <n v="0"/>
    <s v="Southampton"/>
  </r>
  <r>
    <x v="0"/>
    <n v="1"/>
    <s v="Meyer, Mr. Edgar Joseph"/>
    <x v="0"/>
    <n v="28"/>
    <n v="1"/>
    <n v="0"/>
    <n v="821708"/>
    <n v="0"/>
    <s v="Cherburg"/>
  </r>
  <r>
    <x v="0"/>
    <n v="1"/>
    <s v="Holverson, Mr. Alexander Oskar"/>
    <x v="0"/>
    <n v="42"/>
    <n v="1"/>
    <n v="0"/>
    <n v="52"/>
    <n v="0"/>
    <s v="Southampton"/>
  </r>
  <r>
    <x v="1"/>
    <n v="3"/>
    <s v="Mamee, Mr. Hanna"/>
    <x v="0"/>
    <m/>
    <n v="0"/>
    <n v="0"/>
    <n v="72292"/>
    <n v="0"/>
    <s v="Cherburg"/>
  </r>
  <r>
    <x v="0"/>
    <n v="3"/>
    <s v="Cann, Mr. Ernest Charles"/>
    <x v="0"/>
    <n v="21"/>
    <n v="0"/>
    <n v="0"/>
    <n v="805"/>
    <n v="0"/>
    <s v="Southampton"/>
  </r>
  <r>
    <x v="0"/>
    <n v="3"/>
    <s v="Vander Planke, Miss. Augusta Maria"/>
    <x v="1"/>
    <n v="18"/>
    <n v="2"/>
    <n v="0"/>
    <n v="18"/>
    <n v="0"/>
    <s v="Southampton"/>
  </r>
  <r>
    <x v="1"/>
    <n v="3"/>
    <s v="Nicola-Yarred, Miss. Jamila"/>
    <x v="1"/>
    <n v="14"/>
    <n v="1"/>
    <n v="0"/>
    <n v="112417"/>
    <n v="0"/>
    <s v="Cherburg"/>
  </r>
  <r>
    <x v="0"/>
    <n v="3"/>
    <s v="Ahlin, Mrs. Johan (Johanna Persdotter Larsson)"/>
    <x v="1"/>
    <n v="40"/>
    <n v="1"/>
    <n v="0"/>
    <n v="9475"/>
    <n v="0"/>
    <s v="Southampton"/>
  </r>
  <r>
    <x v="0"/>
    <n v="2"/>
    <s v="Turpin, Mrs. William John Robert (Dorothy Ann Wonnacott)"/>
    <x v="1"/>
    <n v="27"/>
    <n v="1"/>
    <n v="0"/>
    <n v="21"/>
    <n v="0"/>
    <s v="Southampton"/>
  </r>
  <r>
    <x v="0"/>
    <n v="3"/>
    <s v="Kraeff, Mr. Theodor"/>
    <x v="0"/>
    <m/>
    <n v="0"/>
    <n v="0"/>
    <n v="78958"/>
    <n v="0"/>
    <s v="Cherburg"/>
  </r>
  <r>
    <x v="1"/>
    <n v="2"/>
    <s v="Laroche, Miss. Simonne Marie Anne Andree"/>
    <x v="1"/>
    <n v="3"/>
    <n v="1"/>
    <n v="2"/>
    <n v="415792"/>
    <n v="0"/>
    <s v="Cherburg"/>
  </r>
  <r>
    <x v="1"/>
    <n v="3"/>
    <s v="Devaney, Miss. Margaret Delia"/>
    <x v="1"/>
    <n v="19"/>
    <n v="0"/>
    <n v="0"/>
    <n v="78792"/>
    <n v="0"/>
    <s v="Queenstown"/>
  </r>
  <r>
    <x v="0"/>
    <n v="3"/>
    <s v="Rogers, Mr. William John"/>
    <x v="0"/>
    <m/>
    <n v="0"/>
    <n v="0"/>
    <n v="805"/>
    <n v="0"/>
    <s v="Southampton"/>
  </r>
  <r>
    <x v="0"/>
    <n v="3"/>
    <s v="Lennon, Mr. Denis"/>
    <x v="0"/>
    <m/>
    <n v="1"/>
    <n v="0"/>
    <n v="155"/>
    <n v="0"/>
    <s v="Queenstown"/>
  </r>
  <r>
    <x v="1"/>
    <n v="3"/>
    <s v="O'Driscoll, Miss. Bridget"/>
    <x v="1"/>
    <m/>
    <n v="0"/>
    <n v="0"/>
    <n v="775"/>
    <n v="0"/>
    <s v="Queenstown"/>
  </r>
  <r>
    <x v="0"/>
    <n v="3"/>
    <s v="Samaan, Mr. Youssef"/>
    <x v="0"/>
    <m/>
    <n v="2"/>
    <n v="0"/>
    <n v="216792"/>
    <n v="0"/>
    <s v="Cherburg"/>
  </r>
  <r>
    <x v="0"/>
    <n v="3"/>
    <s v="Arnold-Franchi, Mrs. Josef (Josefine Franchi)"/>
    <x v="1"/>
    <n v="18"/>
    <n v="1"/>
    <n v="0"/>
    <n v="178"/>
    <n v="0"/>
    <s v="Southampton"/>
  </r>
  <r>
    <x v="0"/>
    <n v="3"/>
    <s v="Panula, Master. Juha Niilo"/>
    <x v="0"/>
    <n v="7"/>
    <n v="4"/>
    <n v="1"/>
    <n v="396875"/>
    <n v="0"/>
    <s v="Southampton"/>
  </r>
  <r>
    <x v="0"/>
    <n v="3"/>
    <s v="Nosworthy, Mr. Richard Cater"/>
    <x v="0"/>
    <n v="21"/>
    <n v="0"/>
    <n v="0"/>
    <n v="78"/>
    <n v="0"/>
    <s v="Southampton"/>
  </r>
  <r>
    <x v="1"/>
    <n v="1"/>
    <s v="Harper, Mrs. Henry Sleeper (Myna Haxtun)"/>
    <x v="1"/>
    <n v="49"/>
    <n v="1"/>
    <n v="0"/>
    <n v="767292"/>
    <n v="1"/>
    <s v="Cherburg"/>
  </r>
  <r>
    <x v="1"/>
    <n v="2"/>
    <s v="Faunthorpe, Mrs. Lizzie (Elizabeth Anne Wilkinson)"/>
    <x v="1"/>
    <n v="29"/>
    <n v="1"/>
    <n v="0"/>
    <n v="26"/>
    <n v="0"/>
    <s v="Southampton"/>
  </r>
  <r>
    <x v="0"/>
    <n v="1"/>
    <s v="Ostby, Mr. Engelhart Cornelius"/>
    <x v="0"/>
    <n v="65"/>
    <n v="0"/>
    <n v="1"/>
    <n v="619792"/>
    <n v="1"/>
    <s v="Cherburg"/>
  </r>
  <r>
    <x v="1"/>
    <n v="1"/>
    <s v="Woolner, Mr. Hugh"/>
    <x v="0"/>
    <m/>
    <n v="0"/>
    <n v="0"/>
    <n v="355"/>
    <n v="1"/>
    <s v="Southampton"/>
  </r>
  <r>
    <x v="1"/>
    <n v="2"/>
    <s v="Rugg, Miss. Emily"/>
    <x v="1"/>
    <n v="21"/>
    <n v="0"/>
    <n v="0"/>
    <n v="105"/>
    <n v="0"/>
    <s v="Southampton"/>
  </r>
  <r>
    <x v="0"/>
    <n v="3"/>
    <s v="Novel, Mr. Mansouer"/>
    <x v="0"/>
    <n v="285"/>
    <n v="0"/>
    <n v="0"/>
    <n v="72292"/>
    <n v="0"/>
    <s v="Cherburg"/>
  </r>
  <r>
    <x v="1"/>
    <n v="2"/>
    <s v="West, Miss. Constance Mirium"/>
    <x v="1"/>
    <n v="5"/>
    <n v="1"/>
    <n v="2"/>
    <n v="2775"/>
    <n v="0"/>
    <s v="Southampton"/>
  </r>
  <r>
    <x v="0"/>
    <n v="3"/>
    <s v="Goodwin, Master. William Frederick"/>
    <x v="0"/>
    <n v="11"/>
    <n v="5"/>
    <n v="2"/>
    <n v="469"/>
    <n v="0"/>
    <s v="Southampton"/>
  </r>
  <r>
    <x v="0"/>
    <n v="3"/>
    <s v="Sirayanian, Mr. Orsen"/>
    <x v="0"/>
    <n v="22"/>
    <n v="0"/>
    <n v="0"/>
    <n v="72292"/>
    <n v="0"/>
    <s v="Cherburg"/>
  </r>
  <r>
    <x v="1"/>
    <n v="1"/>
    <s v="Icard, Miss. Amelie"/>
    <x v="1"/>
    <n v="38"/>
    <n v="0"/>
    <n v="0"/>
    <n v="80"/>
    <n v="1"/>
    <m/>
  </r>
  <r>
    <x v="0"/>
    <n v="1"/>
    <s v="Harris, Mr. Henry Birkhardt"/>
    <x v="0"/>
    <n v="45"/>
    <n v="1"/>
    <n v="0"/>
    <n v="83475"/>
    <n v="1"/>
    <s v="Southampton"/>
  </r>
  <r>
    <x v="0"/>
    <n v="3"/>
    <s v="Skoog, Master. Harald"/>
    <x v="0"/>
    <n v="4"/>
    <n v="3"/>
    <n v="2"/>
    <n v="279"/>
    <n v="0"/>
    <s v="Southampton"/>
  </r>
  <r>
    <x v="0"/>
    <n v="1"/>
    <s v="Stewart, Mr. Albert A"/>
    <x v="0"/>
    <m/>
    <n v="0"/>
    <n v="0"/>
    <n v="277208"/>
    <n v="0"/>
    <s v="Cherburg"/>
  </r>
  <r>
    <x v="1"/>
    <n v="3"/>
    <s v="Moubarek, Master. Gerios"/>
    <x v="0"/>
    <m/>
    <n v="1"/>
    <n v="1"/>
    <n v="152458"/>
    <n v="0"/>
    <s v="Cherburg"/>
  </r>
  <r>
    <x v="1"/>
    <n v="2"/>
    <s v="Nye, Mrs. (Elizabeth Ramell)"/>
    <x v="1"/>
    <n v="29"/>
    <n v="0"/>
    <n v="0"/>
    <n v="105"/>
    <n v="1"/>
    <s v="Southampton"/>
  </r>
  <r>
    <x v="0"/>
    <n v="3"/>
    <s v="Crease, Mr. Ernest James"/>
    <x v="0"/>
    <n v="19"/>
    <n v="0"/>
    <n v="0"/>
    <n v="81583"/>
    <n v="0"/>
    <s v="Southampton"/>
  </r>
  <r>
    <x v="1"/>
    <n v="3"/>
    <s v="Andersson, Miss. Erna Alexandra"/>
    <x v="1"/>
    <n v="17"/>
    <n v="4"/>
    <n v="2"/>
    <n v="7925"/>
    <n v="0"/>
    <s v="Southampton"/>
  </r>
  <r>
    <x v="0"/>
    <n v="3"/>
    <s v="Kink, Mr. Vincenz"/>
    <x v="0"/>
    <n v="26"/>
    <n v="2"/>
    <n v="0"/>
    <n v="86625"/>
    <n v="0"/>
    <s v="Southampton"/>
  </r>
  <r>
    <x v="0"/>
    <n v="2"/>
    <s v="Jenkin, Mr. Stephen Curnow"/>
    <x v="0"/>
    <n v="32"/>
    <n v="0"/>
    <n v="0"/>
    <n v="105"/>
    <n v="0"/>
    <s v="Southampton"/>
  </r>
  <r>
    <x v="0"/>
    <n v="3"/>
    <s v="Goodwin, Miss. Lillian Amy"/>
    <x v="1"/>
    <n v="16"/>
    <n v="5"/>
    <n v="2"/>
    <n v="469"/>
    <n v="0"/>
    <s v="Southampton"/>
  </r>
  <r>
    <x v="0"/>
    <n v="2"/>
    <s v="Hood, Mr. Ambrose Jr"/>
    <x v="0"/>
    <n v="21"/>
    <n v="0"/>
    <n v="0"/>
    <n v="735"/>
    <n v="0"/>
    <s v="Southampton"/>
  </r>
  <r>
    <x v="0"/>
    <n v="3"/>
    <s v="Chronopoulos, Mr. Apostolos"/>
    <x v="0"/>
    <n v="26"/>
    <n v="1"/>
    <n v="0"/>
    <n v="144542"/>
    <n v="0"/>
    <s v="Cherburg"/>
  </r>
  <r>
    <x v="1"/>
    <n v="3"/>
    <s v="Bing, Mr. Lee"/>
    <x v="0"/>
    <n v="32"/>
    <n v="0"/>
    <n v="0"/>
    <n v="564958"/>
    <n v="0"/>
    <s v="Southampton"/>
  </r>
  <r>
    <x v="0"/>
    <n v="3"/>
    <s v="Moen, Mr. Sigurd Hansen"/>
    <x v="0"/>
    <n v="25"/>
    <n v="0"/>
    <n v="0"/>
    <n v="765"/>
    <n v="1"/>
    <s v="Southampton"/>
  </r>
  <r>
    <x v="0"/>
    <n v="3"/>
    <s v="Staneff, Mr. Ivan"/>
    <x v="0"/>
    <m/>
    <n v="0"/>
    <n v="0"/>
    <n v="78958"/>
    <n v="0"/>
    <s v="Southampton"/>
  </r>
  <r>
    <x v="0"/>
    <n v="3"/>
    <s v="Moutal, Mr. Rahamin Haim"/>
    <x v="0"/>
    <m/>
    <n v="0"/>
    <n v="0"/>
    <n v="805"/>
    <n v="0"/>
    <s v="Southampton"/>
  </r>
  <r>
    <x v="1"/>
    <n v="2"/>
    <s v="Caldwell, Master. Alden Gates"/>
    <x v="0"/>
    <n v="83"/>
    <n v="0"/>
    <n v="2"/>
    <n v="29"/>
    <n v="0"/>
    <s v="Southampton"/>
  </r>
  <r>
    <x v="1"/>
    <n v="3"/>
    <s v="Dowdell, Miss. Elizabeth"/>
    <x v="1"/>
    <n v="30"/>
    <n v="0"/>
    <n v="0"/>
    <n v="12475"/>
    <n v="0"/>
    <s v="Southampton"/>
  </r>
  <r>
    <x v="0"/>
    <n v="3"/>
    <s v="Waelens, Mr. Achille"/>
    <x v="0"/>
    <n v="22"/>
    <n v="0"/>
    <n v="0"/>
    <n v="9"/>
    <n v="0"/>
    <s v="Southampton"/>
  </r>
  <r>
    <x v="1"/>
    <n v="3"/>
    <s v="Sheerlinck, Mr. Jan Baptist"/>
    <x v="0"/>
    <n v="29"/>
    <n v="0"/>
    <n v="0"/>
    <n v="95"/>
    <n v="0"/>
    <s v="Southampton"/>
  </r>
  <r>
    <x v="1"/>
    <n v="3"/>
    <s v="McDermott, Miss. Brigdet Delia"/>
    <x v="1"/>
    <m/>
    <n v="0"/>
    <n v="0"/>
    <n v="77875"/>
    <n v="0"/>
    <s v="Queenstown"/>
  </r>
  <r>
    <x v="0"/>
    <n v="1"/>
    <s v="Carrau, Mr. Francisco M"/>
    <x v="0"/>
    <n v="28"/>
    <n v="0"/>
    <n v="0"/>
    <n v="471"/>
    <n v="0"/>
    <s v="Southampton"/>
  </r>
  <r>
    <x v="1"/>
    <n v="2"/>
    <s v="Ilett, Miss. Bertha"/>
    <x v="1"/>
    <n v="17"/>
    <n v="0"/>
    <n v="0"/>
    <n v="105"/>
    <n v="0"/>
    <s v="Southampton"/>
  </r>
  <r>
    <x v="1"/>
    <n v="3"/>
    <s v="Backstrom, Mrs. Karl Alfred (Maria Mathilda Gustafsson)"/>
    <x v="1"/>
    <n v="33"/>
    <n v="3"/>
    <n v="0"/>
    <n v="1585"/>
    <n v="0"/>
    <s v="Southampton"/>
  </r>
  <r>
    <x v="0"/>
    <n v="3"/>
    <s v="Ford, Mr. William Neal"/>
    <x v="0"/>
    <n v="16"/>
    <n v="1"/>
    <n v="3"/>
    <n v="34375"/>
    <n v="0"/>
    <s v="Southampton"/>
  </r>
  <r>
    <x v="0"/>
    <n v="3"/>
    <s v="Slocovski, Mr. Selman Francis"/>
    <x v="0"/>
    <m/>
    <n v="0"/>
    <n v="0"/>
    <n v="805"/>
    <n v="0"/>
    <s v="Southampton"/>
  </r>
  <r>
    <x v="1"/>
    <n v="1"/>
    <s v="Fortune, Miss. Mabel Helen"/>
    <x v="1"/>
    <n v="23"/>
    <n v="3"/>
    <n v="2"/>
    <n v="263"/>
    <n v="1"/>
    <s v="Southampton"/>
  </r>
  <r>
    <x v="0"/>
    <n v="3"/>
    <s v="Celotti, Mr. Francesco"/>
    <x v="0"/>
    <n v="24"/>
    <n v="0"/>
    <n v="0"/>
    <n v="805"/>
    <n v="0"/>
    <s v="Southampton"/>
  </r>
  <r>
    <x v="0"/>
    <n v="3"/>
    <s v="Christmann, Mr. Emil"/>
    <x v="0"/>
    <n v="29"/>
    <n v="0"/>
    <n v="0"/>
    <n v="805"/>
    <n v="0"/>
    <s v="Southampton"/>
  </r>
  <r>
    <x v="0"/>
    <n v="3"/>
    <s v="Andreasson, Mr. Paul Edvin"/>
    <x v="0"/>
    <n v="20"/>
    <n v="0"/>
    <n v="0"/>
    <n v="78542"/>
    <n v="0"/>
    <s v="Southampton"/>
  </r>
  <r>
    <x v="0"/>
    <n v="1"/>
    <s v="Chaffee, Mr. Herbert Fuller"/>
    <x v="0"/>
    <n v="46"/>
    <n v="1"/>
    <n v="0"/>
    <n v="61175"/>
    <n v="1"/>
    <s v="Southampton"/>
  </r>
  <r>
    <x v="0"/>
    <n v="3"/>
    <s v="Dean, Mr. Bertram Frank"/>
    <x v="0"/>
    <n v="26"/>
    <n v="1"/>
    <n v="2"/>
    <n v="20575"/>
    <n v="0"/>
    <s v="Southampton"/>
  </r>
  <r>
    <x v="0"/>
    <n v="3"/>
    <s v="Coxon, Mr. Daniel"/>
    <x v="0"/>
    <n v="59"/>
    <n v="0"/>
    <n v="0"/>
    <n v="725"/>
    <n v="0"/>
    <s v="Southampton"/>
  </r>
  <r>
    <x v="0"/>
    <n v="3"/>
    <s v="Shorney, Mr. Charles Joseph"/>
    <x v="0"/>
    <m/>
    <n v="0"/>
    <n v="0"/>
    <n v="805"/>
    <n v="0"/>
    <s v="Southampton"/>
  </r>
  <r>
    <x v="0"/>
    <n v="1"/>
    <s v="Goldschmidt, Mr. George B"/>
    <x v="0"/>
    <n v="71"/>
    <n v="0"/>
    <n v="0"/>
    <n v="346542"/>
    <n v="1"/>
    <s v="Cherburg"/>
  </r>
  <r>
    <x v="1"/>
    <n v="1"/>
    <s v="Greenfield, Mr. William Bertram"/>
    <x v="0"/>
    <n v="23"/>
    <n v="0"/>
    <n v="1"/>
    <n v="633583"/>
    <n v="1"/>
    <s v="Cherburg"/>
  </r>
  <r>
    <x v="1"/>
    <n v="2"/>
    <s v="Doling, Mrs. John T (Ada Julia Bone)"/>
    <x v="1"/>
    <n v="34"/>
    <n v="0"/>
    <n v="1"/>
    <n v="23"/>
    <n v="0"/>
    <s v="Southampton"/>
  </r>
  <r>
    <x v="0"/>
    <n v="2"/>
    <s v="Kantor, Mr. Sinai"/>
    <x v="0"/>
    <n v="34"/>
    <n v="1"/>
    <n v="0"/>
    <n v="26"/>
    <n v="0"/>
    <s v="Southampton"/>
  </r>
  <r>
    <x v="0"/>
    <n v="3"/>
    <s v="Petranec, Miss. Matilda"/>
    <x v="1"/>
    <n v="28"/>
    <n v="0"/>
    <n v="0"/>
    <n v="78958"/>
    <n v="0"/>
    <s v="Southampton"/>
  </r>
  <r>
    <x v="0"/>
    <n v="3"/>
    <s v="Petroff, Mr. Pastcho (&quot;Pentcho&quot;)"/>
    <x v="0"/>
    <m/>
    <n v="0"/>
    <n v="0"/>
    <n v="78958"/>
    <n v="0"/>
    <s v="Southampton"/>
  </r>
  <r>
    <x v="0"/>
    <n v="1"/>
    <s v="White, Mr. Richard Frasar"/>
    <x v="0"/>
    <n v="21"/>
    <n v="0"/>
    <n v="1"/>
    <n v="772875"/>
    <n v="1"/>
    <s v="Southampton"/>
  </r>
  <r>
    <x v="0"/>
    <n v="3"/>
    <s v="Johansson, Mr. Gustaf Joel"/>
    <x v="0"/>
    <n v="33"/>
    <n v="0"/>
    <n v="0"/>
    <n v="86542"/>
    <n v="0"/>
    <s v="Southampton"/>
  </r>
  <r>
    <x v="0"/>
    <n v="3"/>
    <s v="Gustafsson, Mr. Anders Vilhelm"/>
    <x v="0"/>
    <n v="37"/>
    <n v="2"/>
    <n v="0"/>
    <n v="7925"/>
    <n v="0"/>
    <s v="Southampton"/>
  </r>
  <r>
    <x v="0"/>
    <n v="3"/>
    <s v="Mionoff, Mr. Stoytcho"/>
    <x v="0"/>
    <n v="28"/>
    <n v="0"/>
    <n v="0"/>
    <n v="78958"/>
    <n v="0"/>
    <s v="Southampton"/>
  </r>
  <r>
    <x v="1"/>
    <n v="3"/>
    <s v="Salkjelsvik, Miss. Anna Kristine"/>
    <x v="1"/>
    <n v="21"/>
    <n v="0"/>
    <n v="0"/>
    <n v="765"/>
    <n v="0"/>
    <s v="Southampton"/>
  </r>
  <r>
    <x v="1"/>
    <n v="3"/>
    <s v="Moss, Mr. Albert Johan"/>
    <x v="0"/>
    <m/>
    <n v="0"/>
    <n v="0"/>
    <n v="7775"/>
    <n v="0"/>
    <s v="Southampton"/>
  </r>
  <r>
    <x v="0"/>
    <n v="3"/>
    <s v="Rekic, Mr. Tido"/>
    <x v="0"/>
    <n v="38"/>
    <n v="0"/>
    <n v="0"/>
    <n v="78958"/>
    <n v="0"/>
    <s v="Southampton"/>
  </r>
  <r>
    <x v="1"/>
    <n v="3"/>
    <s v="Moran, Miss. Bertha"/>
    <x v="1"/>
    <m/>
    <n v="1"/>
    <n v="0"/>
    <n v="2415"/>
    <n v="0"/>
    <s v="Queenstown"/>
  </r>
  <r>
    <x v="0"/>
    <n v="1"/>
    <s v="Porter, Mr. Walter Chamberlain"/>
    <x v="0"/>
    <n v="47"/>
    <n v="0"/>
    <n v="0"/>
    <n v="52"/>
    <n v="1"/>
    <s v="Southampton"/>
  </r>
  <r>
    <x v="0"/>
    <n v="3"/>
    <s v="Zabour, Miss. Hileni"/>
    <x v="1"/>
    <n v="145"/>
    <n v="1"/>
    <n v="0"/>
    <n v="144542"/>
    <n v="0"/>
    <s v="Cherburg"/>
  </r>
  <r>
    <x v="0"/>
    <n v="3"/>
    <s v="Barton, Mr. David John"/>
    <x v="0"/>
    <n v="22"/>
    <n v="0"/>
    <n v="0"/>
    <n v="805"/>
    <n v="0"/>
    <s v="Southampton"/>
  </r>
  <r>
    <x v="0"/>
    <n v="3"/>
    <s v="Jussila, Miss. Katriina"/>
    <x v="1"/>
    <n v="20"/>
    <n v="1"/>
    <n v="0"/>
    <n v="9825"/>
    <n v="0"/>
    <s v="Southampton"/>
  </r>
  <r>
    <x v="0"/>
    <n v="3"/>
    <s v="Attalah, Miss. Malake"/>
    <x v="1"/>
    <n v="17"/>
    <n v="0"/>
    <n v="0"/>
    <n v="144583"/>
    <n v="0"/>
    <s v="Cherburg"/>
  </r>
  <r>
    <x v="0"/>
    <n v="3"/>
    <s v="Pekoniemi, Mr. Edvard"/>
    <x v="0"/>
    <n v="21"/>
    <n v="0"/>
    <n v="0"/>
    <n v="7925"/>
    <n v="0"/>
    <s v="Southampton"/>
  </r>
  <r>
    <x v="0"/>
    <n v="3"/>
    <s v="Connors, Mr. Patrick"/>
    <x v="0"/>
    <n v="705"/>
    <n v="0"/>
    <n v="0"/>
    <n v="775"/>
    <n v="0"/>
    <s v="Queenstown"/>
  </r>
  <r>
    <x v="0"/>
    <n v="2"/>
    <s v="Turpin, Mr. William John Robert"/>
    <x v="0"/>
    <n v="29"/>
    <n v="1"/>
    <n v="0"/>
    <n v="21"/>
    <n v="0"/>
    <s v="Southampton"/>
  </r>
  <r>
    <x v="0"/>
    <n v="1"/>
    <s v="Baxter, Mr. Quigg Edmond"/>
    <x v="0"/>
    <n v="24"/>
    <n v="0"/>
    <n v="1"/>
    <n v="2475208"/>
    <n v="1"/>
    <s v="Cherburg"/>
  </r>
  <r>
    <x v="0"/>
    <n v="3"/>
    <s v="Andersson, Miss. Ellis Anna Maria"/>
    <x v="1"/>
    <n v="2"/>
    <n v="4"/>
    <n v="2"/>
    <n v="31275"/>
    <n v="0"/>
    <s v="Southampton"/>
  </r>
  <r>
    <x v="0"/>
    <n v="2"/>
    <s v="Hickman, Mr. Stanley George"/>
    <x v="0"/>
    <n v="21"/>
    <n v="2"/>
    <n v="0"/>
    <n v="735"/>
    <n v="0"/>
    <s v="Southampton"/>
  </r>
  <r>
    <x v="0"/>
    <n v="3"/>
    <s v="Moore, Mr. Leonard Charles"/>
    <x v="0"/>
    <m/>
    <n v="0"/>
    <n v="0"/>
    <n v="805"/>
    <n v="0"/>
    <s v="Southampton"/>
  </r>
  <r>
    <x v="0"/>
    <n v="2"/>
    <s v="Nasser, Mr. Nicholas"/>
    <x v="0"/>
    <n v="325"/>
    <n v="1"/>
    <n v="0"/>
    <n v="300708"/>
    <n v="0"/>
    <s v="Cherburg"/>
  </r>
  <r>
    <x v="1"/>
    <n v="2"/>
    <s v="Webber, Miss. Susan"/>
    <x v="1"/>
    <n v="325"/>
    <n v="0"/>
    <n v="0"/>
    <n v="13"/>
    <n v="1"/>
    <s v="Southampton"/>
  </r>
  <r>
    <x v="0"/>
    <n v="1"/>
    <s v="White, Mr. Percival Wayland"/>
    <x v="0"/>
    <n v="54"/>
    <n v="0"/>
    <n v="1"/>
    <n v="772875"/>
    <n v="1"/>
    <s v="Southampton"/>
  </r>
  <r>
    <x v="1"/>
    <n v="3"/>
    <s v="Nicola-Yarred, Master. Elias"/>
    <x v="0"/>
    <n v="12"/>
    <n v="1"/>
    <n v="0"/>
    <n v="112417"/>
    <n v="0"/>
    <s v="Cherburg"/>
  </r>
  <r>
    <x v="0"/>
    <n v="3"/>
    <s v="McMahon, Mr. Martin"/>
    <x v="0"/>
    <m/>
    <n v="0"/>
    <n v="0"/>
    <n v="775"/>
    <n v="0"/>
    <s v="Queenstown"/>
  </r>
  <r>
    <x v="1"/>
    <n v="3"/>
    <s v="Madsen, Mr. Fridtjof Arne"/>
    <x v="0"/>
    <n v="24"/>
    <n v="0"/>
    <n v="0"/>
    <n v="71417"/>
    <n v="0"/>
    <s v="Southampton"/>
  </r>
  <r>
    <x v="1"/>
    <n v="3"/>
    <s v="Peter, Miss. Anna"/>
    <x v="1"/>
    <m/>
    <n v="1"/>
    <n v="1"/>
    <n v="223583"/>
    <n v="1"/>
    <s v="Cherburg"/>
  </r>
  <r>
    <x v="0"/>
    <n v="3"/>
    <s v="Ekstrom, Mr. Johan"/>
    <x v="0"/>
    <n v="45"/>
    <n v="0"/>
    <n v="0"/>
    <n v="6975"/>
    <n v="0"/>
    <s v="Southampton"/>
  </r>
  <r>
    <x v="0"/>
    <n v="3"/>
    <s v="Drazenoic, Mr. Jozef"/>
    <x v="0"/>
    <n v="33"/>
    <n v="0"/>
    <n v="0"/>
    <n v="78958"/>
    <n v="0"/>
    <s v="Cherburg"/>
  </r>
  <r>
    <x v="0"/>
    <n v="3"/>
    <s v="Coelho, Mr. Domingos Fernandeo"/>
    <x v="0"/>
    <n v="20"/>
    <n v="0"/>
    <n v="0"/>
    <n v="705"/>
    <n v="0"/>
    <s v="Southampton"/>
  </r>
  <r>
    <x v="0"/>
    <n v="3"/>
    <s v="Robins, Mrs. Alexander A (Grace Charity Laury)"/>
    <x v="1"/>
    <n v="47"/>
    <n v="1"/>
    <n v="0"/>
    <n v="145"/>
    <n v="0"/>
    <s v="Southampton"/>
  </r>
  <r>
    <x v="1"/>
    <n v="2"/>
    <s v="Weisz, Mrs. Leopold (Mathilde Francoise Pede)"/>
    <x v="1"/>
    <n v="29"/>
    <n v="1"/>
    <n v="0"/>
    <n v="26"/>
    <n v="0"/>
    <s v="Southampton"/>
  </r>
  <r>
    <x v="0"/>
    <n v="2"/>
    <s v="Sobey, Mr. Samuel James Hayden"/>
    <x v="0"/>
    <n v="25"/>
    <n v="0"/>
    <n v="0"/>
    <n v="13"/>
    <n v="0"/>
    <s v="Southampton"/>
  </r>
  <r>
    <x v="0"/>
    <n v="2"/>
    <s v="Richard, Mr. Emile"/>
    <x v="0"/>
    <n v="23"/>
    <n v="0"/>
    <n v="0"/>
    <n v="150458"/>
    <n v="0"/>
    <s v="Cherburg"/>
  </r>
  <r>
    <x v="1"/>
    <n v="1"/>
    <s v="Newsom, Miss. Helen Monypeny"/>
    <x v="1"/>
    <n v="19"/>
    <n v="0"/>
    <n v="2"/>
    <n v="262833"/>
    <n v="1"/>
    <s v="Southampton"/>
  </r>
  <r>
    <x v="0"/>
    <n v="1"/>
    <s v="Futrelle, Mr. Jacques Heath"/>
    <x v="0"/>
    <n v="37"/>
    <n v="1"/>
    <n v="0"/>
    <n v="531"/>
    <n v="1"/>
    <s v="Southampton"/>
  </r>
  <r>
    <x v="0"/>
    <n v="3"/>
    <s v="Osen, Mr. Olaf Elon"/>
    <x v="0"/>
    <n v="16"/>
    <n v="0"/>
    <n v="0"/>
    <n v="92167"/>
    <n v="0"/>
    <s v="Southampton"/>
  </r>
  <r>
    <x v="0"/>
    <n v="1"/>
    <s v="Giglio, Mr. Victor"/>
    <x v="0"/>
    <n v="24"/>
    <n v="0"/>
    <n v="0"/>
    <n v="792"/>
    <n v="1"/>
    <s v="Cherburg"/>
  </r>
  <r>
    <x v="0"/>
    <n v="3"/>
    <s v="Boulos, Mrs. Joseph (Sultana)"/>
    <x v="1"/>
    <m/>
    <n v="0"/>
    <n v="2"/>
    <n v="152458"/>
    <n v="0"/>
    <s v="Cherburg"/>
  </r>
  <r>
    <x v="1"/>
    <n v="3"/>
    <s v="Nysten, Miss. Anna Sofia"/>
    <x v="1"/>
    <n v="22"/>
    <n v="0"/>
    <n v="0"/>
    <n v="775"/>
    <n v="0"/>
    <s v="Southampton"/>
  </r>
  <r>
    <x v="1"/>
    <n v="3"/>
    <s v="Hakkarainen, Mrs. Pekka Pietari (Elin Matilda Dolck)"/>
    <x v="1"/>
    <n v="24"/>
    <n v="1"/>
    <n v="0"/>
    <n v="1585"/>
    <n v="0"/>
    <s v="Southampton"/>
  </r>
  <r>
    <x v="0"/>
    <n v="3"/>
    <s v="Burke, Mr. Jeremiah"/>
    <x v="0"/>
    <n v="19"/>
    <n v="0"/>
    <n v="0"/>
    <n v="675"/>
    <n v="0"/>
    <s v="Queenstown"/>
  </r>
  <r>
    <x v="0"/>
    <n v="2"/>
    <s v="Andrew, Mr. Edgardo Samuel"/>
    <x v="0"/>
    <n v="18"/>
    <n v="0"/>
    <n v="0"/>
    <n v="115"/>
    <n v="0"/>
    <s v="Southampton"/>
  </r>
  <r>
    <x v="0"/>
    <n v="2"/>
    <s v="Nicholls, Mr. Joseph Charles"/>
    <x v="0"/>
    <n v="19"/>
    <n v="1"/>
    <n v="1"/>
    <n v="3675"/>
    <n v="0"/>
    <s v="Southampton"/>
  </r>
  <r>
    <x v="1"/>
    <n v="3"/>
    <s v="Andersson, Mr. August Edvard (&quot;Wennerstrom&quot;)"/>
    <x v="0"/>
    <n v="27"/>
    <n v="0"/>
    <n v="0"/>
    <n v="77958"/>
    <n v="0"/>
    <s v="Southampton"/>
  </r>
  <r>
    <x v="0"/>
    <n v="3"/>
    <s v="Ford, Miss. Robina Maggie &quot;Ruby&quot;"/>
    <x v="1"/>
    <n v="9"/>
    <n v="2"/>
    <n v="2"/>
    <n v="34375"/>
    <n v="0"/>
    <s v="Southampton"/>
  </r>
  <r>
    <x v="0"/>
    <n v="2"/>
    <s v="Navratil, Mr. Michel (&quot;Louis M Hoffman&quot;)"/>
    <x v="0"/>
    <n v="365"/>
    <n v="0"/>
    <n v="2"/>
    <n v="26"/>
    <n v="1"/>
    <s v="Southampton"/>
  </r>
  <r>
    <x v="0"/>
    <n v="2"/>
    <s v="Byles, Rev. Thomas Roussel Davids"/>
    <x v="0"/>
    <n v="42"/>
    <n v="0"/>
    <n v="0"/>
    <n v="13"/>
    <n v="0"/>
    <s v="Southampton"/>
  </r>
  <r>
    <x v="0"/>
    <n v="2"/>
    <s v="Bateman, Rev. Robert James"/>
    <x v="0"/>
    <n v="51"/>
    <n v="0"/>
    <n v="0"/>
    <n v="12525"/>
    <n v="0"/>
    <s v="Southampton"/>
  </r>
  <r>
    <x v="1"/>
    <n v="1"/>
    <s v="Pears, Mrs. Thomas (Edith Wearne)"/>
    <x v="1"/>
    <n v="22"/>
    <n v="1"/>
    <n v="0"/>
    <n v="666"/>
    <n v="1"/>
    <s v="Southampton"/>
  </r>
  <r>
    <x v="0"/>
    <n v="3"/>
    <s v="Meo, Mr. Alfonzo"/>
    <x v="0"/>
    <n v="555"/>
    <n v="0"/>
    <n v="0"/>
    <n v="805"/>
    <n v="0"/>
    <s v="Southampton"/>
  </r>
  <r>
    <x v="0"/>
    <n v="3"/>
    <s v="van Billiard, Mr. Austin Blyler"/>
    <x v="0"/>
    <n v="405"/>
    <n v="0"/>
    <n v="2"/>
    <n v="145"/>
    <n v="0"/>
    <s v="Southampton"/>
  </r>
  <r>
    <x v="0"/>
    <n v="3"/>
    <s v="Olsen, Mr. Ole Martin"/>
    <x v="0"/>
    <m/>
    <n v="0"/>
    <n v="0"/>
    <n v="73125"/>
    <n v="0"/>
    <s v="Southampton"/>
  </r>
  <r>
    <x v="0"/>
    <n v="1"/>
    <s v="Williams, Mr. Charles Duane"/>
    <x v="0"/>
    <n v="51"/>
    <n v="0"/>
    <n v="1"/>
    <n v="613792"/>
    <n v="0"/>
    <s v="Cherburg"/>
  </r>
  <r>
    <x v="1"/>
    <n v="3"/>
    <s v="Gilnagh, Miss. Katherine &quot;Katie&quot;"/>
    <x v="1"/>
    <n v="16"/>
    <n v="0"/>
    <n v="0"/>
    <n v="77333"/>
    <n v="0"/>
    <s v="Queenstown"/>
  </r>
  <r>
    <x v="0"/>
    <n v="3"/>
    <s v="Corn, Mr. Harry"/>
    <x v="0"/>
    <n v="30"/>
    <n v="0"/>
    <n v="0"/>
    <n v="805"/>
    <n v="0"/>
    <s v="Southampton"/>
  </r>
  <r>
    <x v="0"/>
    <n v="3"/>
    <s v="Smiljanic, Mr. Mile"/>
    <x v="0"/>
    <m/>
    <n v="0"/>
    <n v="0"/>
    <n v="86625"/>
    <n v="0"/>
    <s v="Southampton"/>
  </r>
  <r>
    <x v="0"/>
    <n v="3"/>
    <s v="Sage, Master. Thomas Henry"/>
    <x v="0"/>
    <m/>
    <n v="8"/>
    <n v="2"/>
    <n v="6955"/>
    <n v="0"/>
    <s v="Southampton"/>
  </r>
  <r>
    <x v="0"/>
    <n v="3"/>
    <s v="Cribb, Mr. John Hatfield"/>
    <x v="0"/>
    <n v="44"/>
    <n v="0"/>
    <n v="1"/>
    <n v="161"/>
    <n v="0"/>
    <s v="Southampton"/>
  </r>
  <r>
    <x v="1"/>
    <n v="2"/>
    <s v="Watt, Mrs. James (Elizabeth &quot;Bessie&quot; Inglis Milne)"/>
    <x v="1"/>
    <n v="40"/>
    <n v="0"/>
    <n v="0"/>
    <n v="1575"/>
    <n v="0"/>
    <s v="Southampton"/>
  </r>
  <r>
    <x v="0"/>
    <n v="3"/>
    <s v="Bengtsson, Mr. John Viktor"/>
    <x v="0"/>
    <n v="26"/>
    <n v="0"/>
    <n v="0"/>
    <n v="7775"/>
    <n v="0"/>
    <s v="Southampton"/>
  </r>
  <r>
    <x v="0"/>
    <n v="3"/>
    <s v="Calic, Mr. Jovo"/>
    <x v="0"/>
    <n v="17"/>
    <n v="0"/>
    <n v="0"/>
    <n v="86625"/>
    <n v="0"/>
    <s v="Southampton"/>
  </r>
  <r>
    <x v="0"/>
    <n v="3"/>
    <s v="Panula, Master. Eino Viljami"/>
    <x v="0"/>
    <n v="1"/>
    <n v="4"/>
    <n v="1"/>
    <n v="396875"/>
    <n v="0"/>
    <s v="Southampton"/>
  </r>
  <r>
    <x v="1"/>
    <n v="3"/>
    <s v="Goldsmith, Master. Frank John William &quot;Frankie&quot;"/>
    <x v="0"/>
    <n v="9"/>
    <n v="0"/>
    <n v="2"/>
    <n v="20525"/>
    <n v="0"/>
    <s v="Southampton"/>
  </r>
  <r>
    <x v="1"/>
    <n v="1"/>
    <s v="Chibnall, Mrs. (Edith Martha Bowerman)"/>
    <x v="1"/>
    <m/>
    <n v="0"/>
    <n v="1"/>
    <n v="55"/>
    <n v="1"/>
    <s v="Southampton"/>
  </r>
  <r>
    <x v="0"/>
    <n v="3"/>
    <s v="Skoog, Mrs. William (Anna Bernhardina Karlsson)"/>
    <x v="1"/>
    <n v="45"/>
    <n v="1"/>
    <n v="4"/>
    <n v="279"/>
    <n v="0"/>
    <s v="Southampton"/>
  </r>
  <r>
    <x v="0"/>
    <n v="1"/>
    <s v="Baumann, Mr. John D"/>
    <x v="0"/>
    <m/>
    <n v="0"/>
    <n v="0"/>
    <n v="25925"/>
    <n v="0"/>
    <s v="Southampton"/>
  </r>
  <r>
    <x v="0"/>
    <n v="3"/>
    <s v="Ling, Mr. Lee"/>
    <x v="0"/>
    <n v="28"/>
    <n v="0"/>
    <n v="0"/>
    <n v="564958"/>
    <n v="0"/>
    <s v="Southampton"/>
  </r>
  <r>
    <x v="0"/>
    <n v="1"/>
    <s v="Van der hoef, Mr. Wyckoff"/>
    <x v="0"/>
    <n v="61"/>
    <n v="0"/>
    <n v="0"/>
    <n v="335"/>
    <n v="1"/>
    <s v="Southampton"/>
  </r>
  <r>
    <x v="0"/>
    <n v="3"/>
    <s v="Rice, Master. Arthur"/>
    <x v="0"/>
    <n v="4"/>
    <n v="4"/>
    <n v="1"/>
    <n v="29125"/>
    <n v="0"/>
    <s v="Queenstown"/>
  </r>
  <r>
    <x v="1"/>
    <n v="3"/>
    <s v="Johnson, Miss. Eleanor Ileen"/>
    <x v="1"/>
    <n v="1"/>
    <n v="1"/>
    <n v="1"/>
    <n v="111333"/>
    <n v="0"/>
    <s v="Southampton"/>
  </r>
  <r>
    <x v="0"/>
    <n v="3"/>
    <s v="Sivola, Mr. Antti Wilhelm"/>
    <x v="0"/>
    <n v="21"/>
    <n v="0"/>
    <n v="0"/>
    <n v="7925"/>
    <n v="0"/>
    <s v="Southampton"/>
  </r>
  <r>
    <x v="0"/>
    <n v="1"/>
    <s v="Smith, Mr. James Clinch"/>
    <x v="0"/>
    <n v="56"/>
    <n v="0"/>
    <n v="0"/>
    <n v="306958"/>
    <n v="1"/>
    <s v="Cherburg"/>
  </r>
  <r>
    <x v="0"/>
    <n v="3"/>
    <s v="Klasen, Mr. Klas Albin"/>
    <x v="0"/>
    <n v="18"/>
    <n v="1"/>
    <n v="1"/>
    <n v="78542"/>
    <n v="0"/>
    <s v="Southampton"/>
  </r>
  <r>
    <x v="0"/>
    <n v="3"/>
    <s v="Lefebre, Master. Henry Forbes"/>
    <x v="0"/>
    <m/>
    <n v="3"/>
    <n v="1"/>
    <n v="254667"/>
    <n v="0"/>
    <s v="Southampton"/>
  </r>
  <r>
    <x v="0"/>
    <n v="1"/>
    <s v="Isham, Miss. Ann Elizabeth"/>
    <x v="1"/>
    <n v="50"/>
    <n v="0"/>
    <n v="0"/>
    <n v="287125"/>
    <n v="1"/>
    <s v="Cherburg"/>
  </r>
  <r>
    <x v="0"/>
    <n v="2"/>
    <s v="Hale, Mr. Reginald"/>
    <x v="0"/>
    <n v="30"/>
    <n v="0"/>
    <n v="0"/>
    <n v="13"/>
    <n v="0"/>
    <s v="Southampton"/>
  </r>
  <r>
    <x v="0"/>
    <n v="3"/>
    <s v="Leonard, Mr. Lionel"/>
    <x v="0"/>
    <n v="36"/>
    <n v="0"/>
    <n v="0"/>
    <n v="0"/>
    <n v="0"/>
    <s v="Southampton"/>
  </r>
  <r>
    <x v="0"/>
    <n v="3"/>
    <s v="Sage, Miss. Constance Gladys"/>
    <x v="1"/>
    <m/>
    <n v="8"/>
    <n v="2"/>
    <n v="6955"/>
    <n v="0"/>
    <s v="Southampton"/>
  </r>
  <r>
    <x v="0"/>
    <n v="2"/>
    <s v="Pernot, Mr. Rene"/>
    <x v="0"/>
    <m/>
    <n v="0"/>
    <n v="0"/>
    <n v="1505"/>
    <n v="0"/>
    <s v="Cherburg"/>
  </r>
  <r>
    <x v="0"/>
    <n v="3"/>
    <s v="Asplund, Master. Clarence Gustaf Hugo"/>
    <x v="0"/>
    <n v="9"/>
    <n v="4"/>
    <n v="2"/>
    <n v="313875"/>
    <n v="0"/>
    <s v="Southampton"/>
  </r>
  <r>
    <x v="1"/>
    <n v="2"/>
    <s v="Becker, Master. Richard F"/>
    <x v="0"/>
    <n v="1"/>
    <n v="2"/>
    <n v="1"/>
    <n v="39"/>
    <n v="1"/>
    <s v="Southampton"/>
  </r>
  <r>
    <x v="1"/>
    <n v="3"/>
    <s v="Kink-Heilmann, Miss. Luise Gretchen"/>
    <x v="1"/>
    <n v="4"/>
    <n v="0"/>
    <n v="2"/>
    <n v="22025"/>
    <n v="0"/>
    <s v="Southampton"/>
  </r>
  <r>
    <x v="0"/>
    <n v="1"/>
    <s v="Rood, Mr. Hugh Roscoe"/>
    <x v="0"/>
    <m/>
    <n v="0"/>
    <n v="0"/>
    <n v="50"/>
    <n v="1"/>
    <s v="Southampton"/>
  </r>
  <r>
    <x v="1"/>
    <n v="3"/>
    <s v="O'Brien, Mrs. Thomas (Johanna &quot;Hannah&quot; Godfrey)"/>
    <x v="1"/>
    <m/>
    <n v="1"/>
    <n v="0"/>
    <n v="155"/>
    <n v="0"/>
    <s v="Queenstown"/>
  </r>
  <r>
    <x v="1"/>
    <n v="1"/>
    <s v="Romaine, Mr. Charles Hallace (&quot;Mr C Rolmane&quot;)"/>
    <x v="0"/>
    <n v="45"/>
    <n v="0"/>
    <n v="0"/>
    <n v="2655"/>
    <n v="0"/>
    <s v="Southampton"/>
  </r>
  <r>
    <x v="0"/>
    <n v="3"/>
    <s v="Bourke, Mr. John"/>
    <x v="0"/>
    <n v="40"/>
    <n v="1"/>
    <n v="1"/>
    <n v="155"/>
    <n v="0"/>
    <s v="Queenstown"/>
  </r>
  <r>
    <x v="0"/>
    <n v="3"/>
    <s v="Turcin, Mr. Stjepan"/>
    <x v="0"/>
    <n v="36"/>
    <n v="0"/>
    <n v="0"/>
    <n v="78958"/>
    <n v="0"/>
    <s v="Southampton"/>
  </r>
  <r>
    <x v="1"/>
    <n v="2"/>
    <s v="Pinsky, Mrs. (Rosa)"/>
    <x v="1"/>
    <n v="32"/>
    <n v="0"/>
    <n v="0"/>
    <n v="13"/>
    <n v="0"/>
    <s v="Southampton"/>
  </r>
  <r>
    <x v="0"/>
    <n v="2"/>
    <s v="Carbines, Mr. William"/>
    <x v="0"/>
    <n v="19"/>
    <n v="0"/>
    <n v="0"/>
    <n v="13"/>
    <n v="0"/>
    <s v="Southampton"/>
  </r>
  <r>
    <x v="1"/>
    <n v="3"/>
    <s v="Andersen-Jensen, Miss. Carla Christine Nielsine"/>
    <x v="1"/>
    <n v="19"/>
    <n v="1"/>
    <n v="0"/>
    <n v="78542"/>
    <n v="0"/>
    <s v="Southampton"/>
  </r>
  <r>
    <x v="1"/>
    <n v="2"/>
    <s v="Navratil, Master. Michel M"/>
    <x v="0"/>
    <n v="3"/>
    <n v="1"/>
    <n v="1"/>
    <n v="26"/>
    <n v="1"/>
    <s v="Southampton"/>
  </r>
  <r>
    <x v="1"/>
    <n v="1"/>
    <s v="Brown, Mrs. James Joseph (Margaret Tobin)"/>
    <x v="1"/>
    <n v="44"/>
    <n v="0"/>
    <n v="0"/>
    <n v="277208"/>
    <n v="1"/>
    <s v="Cherburg"/>
  </r>
  <r>
    <x v="1"/>
    <n v="1"/>
    <s v="Lurette, Miss. Elise"/>
    <x v="1"/>
    <n v="58"/>
    <n v="0"/>
    <n v="0"/>
    <n v="1465208"/>
    <n v="1"/>
    <s v="Cherburg"/>
  </r>
  <r>
    <x v="0"/>
    <n v="3"/>
    <s v="Mernagh, Mr. Robert"/>
    <x v="0"/>
    <m/>
    <n v="0"/>
    <n v="0"/>
    <n v="775"/>
    <n v="0"/>
    <s v="Queenstown"/>
  </r>
  <r>
    <x v="0"/>
    <n v="3"/>
    <s v="Olsen, Mr. Karl Siegwart Andreas"/>
    <x v="0"/>
    <n v="42"/>
    <n v="0"/>
    <n v="1"/>
    <n v="84042"/>
    <n v="0"/>
    <s v="Southampton"/>
  </r>
  <r>
    <x v="1"/>
    <n v="3"/>
    <s v="Madigan, Miss. Margaret &quot;Maggie&quot;"/>
    <x v="1"/>
    <m/>
    <n v="0"/>
    <n v="0"/>
    <n v="775"/>
    <n v="0"/>
    <s v="Queenstown"/>
  </r>
  <r>
    <x v="0"/>
    <n v="2"/>
    <s v="Yrois, Miss. Henriette (&quot;Mrs Harbeck&quot;)"/>
    <x v="1"/>
    <n v="24"/>
    <n v="0"/>
    <n v="0"/>
    <n v="13"/>
    <n v="0"/>
    <s v="Southampton"/>
  </r>
  <r>
    <x v="0"/>
    <n v="3"/>
    <s v="Vande Walle, Mr. Nestor Cyriel"/>
    <x v="0"/>
    <n v="28"/>
    <n v="0"/>
    <n v="0"/>
    <n v="95"/>
    <n v="0"/>
    <s v="Southampton"/>
  </r>
  <r>
    <x v="0"/>
    <n v="3"/>
    <s v="Sage, Mr. Frederick"/>
    <x v="0"/>
    <m/>
    <n v="8"/>
    <n v="2"/>
    <n v="6955"/>
    <n v="0"/>
    <s v="Southampton"/>
  </r>
  <r>
    <x v="0"/>
    <n v="3"/>
    <s v="Johanson, Mr. Jakob Alfred"/>
    <x v="0"/>
    <n v="34"/>
    <n v="0"/>
    <n v="0"/>
    <n v="64958"/>
    <n v="0"/>
    <s v="Southampton"/>
  </r>
  <r>
    <x v="0"/>
    <n v="3"/>
    <s v="Youseff, Mr. Gerious"/>
    <x v="0"/>
    <n v="455"/>
    <n v="0"/>
    <n v="0"/>
    <n v="7225"/>
    <n v="0"/>
    <s v="Cherburg"/>
  </r>
  <r>
    <x v="1"/>
    <n v="3"/>
    <s v="Cohen, Mr. Gurshon &quot;Gus&quot;"/>
    <x v="0"/>
    <n v="18"/>
    <n v="0"/>
    <n v="0"/>
    <n v="805"/>
    <n v="0"/>
    <s v="Southampton"/>
  </r>
  <r>
    <x v="0"/>
    <n v="3"/>
    <s v="Strom, Miss. Telma Matilda"/>
    <x v="1"/>
    <n v="2"/>
    <n v="0"/>
    <n v="1"/>
    <n v="104625"/>
    <n v="1"/>
    <s v="Southampton"/>
  </r>
  <r>
    <x v="0"/>
    <n v="3"/>
    <s v="Backstrom, Mr. Karl Alfred"/>
    <x v="0"/>
    <n v="32"/>
    <n v="1"/>
    <n v="0"/>
    <n v="1585"/>
    <n v="0"/>
    <s v="Southampton"/>
  </r>
  <r>
    <x v="1"/>
    <n v="3"/>
    <s v="Albimona, Mr. Nassef Cassem"/>
    <x v="0"/>
    <n v="26"/>
    <n v="0"/>
    <n v="0"/>
    <n v="187875"/>
    <n v="0"/>
    <s v="Cherburg"/>
  </r>
  <r>
    <x v="1"/>
    <n v="3"/>
    <s v="Carr, Miss. Helen &quot;Ellen&quot;"/>
    <x v="1"/>
    <n v="16"/>
    <n v="0"/>
    <n v="0"/>
    <n v="775"/>
    <n v="0"/>
    <s v="Queenstown"/>
  </r>
  <r>
    <x v="1"/>
    <n v="1"/>
    <s v="Blank, Mr. Henry"/>
    <x v="0"/>
    <n v="40"/>
    <n v="0"/>
    <n v="0"/>
    <n v="31"/>
    <n v="1"/>
    <s v="Cherburg"/>
  </r>
  <r>
    <x v="0"/>
    <n v="3"/>
    <s v="Ali, Mr. Ahmed"/>
    <x v="0"/>
    <n v="24"/>
    <n v="0"/>
    <n v="0"/>
    <n v="705"/>
    <n v="0"/>
    <s v="Southampton"/>
  </r>
  <r>
    <x v="1"/>
    <n v="2"/>
    <s v="Cameron, Miss. Clear Annie"/>
    <x v="1"/>
    <n v="35"/>
    <n v="0"/>
    <n v="0"/>
    <n v="21"/>
    <n v="0"/>
    <s v="Southampton"/>
  </r>
  <r>
    <x v="0"/>
    <n v="3"/>
    <s v="Perkin, Mr. John Henry"/>
    <x v="0"/>
    <n v="22"/>
    <n v="0"/>
    <n v="0"/>
    <n v="725"/>
    <n v="0"/>
    <s v="Southampton"/>
  </r>
  <r>
    <x v="0"/>
    <n v="2"/>
    <s v="Givard, Mr. Hans Kristensen"/>
    <x v="0"/>
    <n v="30"/>
    <n v="0"/>
    <n v="0"/>
    <n v="13"/>
    <n v="0"/>
    <s v="Southampton"/>
  </r>
  <r>
    <x v="0"/>
    <n v="3"/>
    <s v="Kiernan, Mr. Philip"/>
    <x v="0"/>
    <m/>
    <n v="1"/>
    <n v="0"/>
    <n v="775"/>
    <n v="0"/>
    <s v="Queenstown"/>
  </r>
  <r>
    <x v="1"/>
    <n v="1"/>
    <s v="Newell, Miss. Madeleine"/>
    <x v="1"/>
    <n v="31"/>
    <n v="1"/>
    <n v="0"/>
    <n v="113275"/>
    <n v="1"/>
    <s v="Cherburg"/>
  </r>
  <r>
    <x v="1"/>
    <n v="3"/>
    <s v="Honkanen, Miss. Eliina"/>
    <x v="1"/>
    <n v="27"/>
    <n v="0"/>
    <n v="0"/>
    <n v="7925"/>
    <n v="0"/>
    <s v="Southampton"/>
  </r>
  <r>
    <x v="0"/>
    <n v="2"/>
    <s v="Jacobsohn, Mr. Sidney Samuel"/>
    <x v="0"/>
    <n v="42"/>
    <n v="1"/>
    <n v="0"/>
    <n v="27"/>
    <n v="0"/>
    <s v="Southampton"/>
  </r>
  <r>
    <x v="1"/>
    <n v="1"/>
    <s v="Bazzani, Miss. Albina"/>
    <x v="1"/>
    <n v="32"/>
    <n v="0"/>
    <n v="0"/>
    <n v="762917"/>
    <n v="1"/>
    <s v="Cherburg"/>
  </r>
  <r>
    <x v="0"/>
    <n v="2"/>
    <s v="Harris, Mr. Walter"/>
    <x v="0"/>
    <n v="30"/>
    <n v="0"/>
    <n v="0"/>
    <n v="105"/>
    <n v="0"/>
    <s v="Southampton"/>
  </r>
  <r>
    <x v="1"/>
    <n v="3"/>
    <s v="Sunderland, Mr. Victor Francis"/>
    <x v="0"/>
    <n v="16"/>
    <n v="0"/>
    <n v="0"/>
    <n v="805"/>
    <n v="0"/>
    <s v="Southampton"/>
  </r>
  <r>
    <x v="0"/>
    <n v="2"/>
    <s v="Bracken, Mr. James H"/>
    <x v="0"/>
    <n v="27"/>
    <n v="0"/>
    <n v="0"/>
    <n v="13"/>
    <n v="0"/>
    <s v="Southampton"/>
  </r>
  <r>
    <x v="0"/>
    <n v="3"/>
    <s v="Green, Mr. George Henry"/>
    <x v="0"/>
    <n v="51"/>
    <n v="0"/>
    <n v="0"/>
    <n v="805"/>
    <n v="0"/>
    <s v="Southampton"/>
  </r>
  <r>
    <x v="0"/>
    <n v="3"/>
    <s v="Nenkoff, Mr. Christo"/>
    <x v="0"/>
    <m/>
    <n v="0"/>
    <n v="0"/>
    <n v="78958"/>
    <n v="0"/>
    <s v="Southampton"/>
  </r>
  <r>
    <x v="1"/>
    <n v="1"/>
    <s v="Hoyt, Mr. Frederick Maxfield"/>
    <x v="0"/>
    <n v="38"/>
    <n v="1"/>
    <n v="0"/>
    <n v="90"/>
    <n v="1"/>
    <s v="Southampton"/>
  </r>
  <r>
    <x v="0"/>
    <n v="3"/>
    <s v="Berglund, Mr. Karl Ivar Sven"/>
    <x v="0"/>
    <n v="22"/>
    <n v="0"/>
    <n v="0"/>
    <n v="935"/>
    <n v="0"/>
    <s v="Southampton"/>
  </r>
  <r>
    <x v="1"/>
    <n v="2"/>
    <s v="Mellors, Mr. William John"/>
    <x v="0"/>
    <n v="19"/>
    <n v="0"/>
    <n v="0"/>
    <n v="105"/>
    <n v="0"/>
    <s v="Southampton"/>
  </r>
  <r>
    <x v="0"/>
    <n v="3"/>
    <s v="Lovell, Mr. John Hall (&quot;Henry&quot;)"/>
    <x v="0"/>
    <n v="205"/>
    <n v="0"/>
    <n v="0"/>
    <n v="725"/>
    <n v="0"/>
    <s v="Southampton"/>
  </r>
  <r>
    <x v="0"/>
    <n v="2"/>
    <s v="Fahlstrom, Mr. Arne Jonas"/>
    <x v="0"/>
    <n v="18"/>
    <n v="0"/>
    <n v="0"/>
    <n v="13"/>
    <n v="0"/>
    <s v="Southampton"/>
  </r>
  <r>
    <x v="0"/>
    <n v="3"/>
    <s v="Lefebre, Miss. Mathilde"/>
    <x v="1"/>
    <m/>
    <n v="3"/>
    <n v="1"/>
    <n v="254667"/>
    <n v="0"/>
    <s v="Southampton"/>
  </r>
  <r>
    <x v="1"/>
    <n v="1"/>
    <s v="Harris, Mrs. Henry Birkhardt (Irene Wallach)"/>
    <x v="1"/>
    <n v="35"/>
    <n v="1"/>
    <n v="0"/>
    <n v="83475"/>
    <n v="1"/>
    <s v="Southampton"/>
  </r>
  <r>
    <x v="0"/>
    <n v="3"/>
    <s v="Larsson, Mr. Bengt Edvin"/>
    <x v="0"/>
    <n v="29"/>
    <n v="0"/>
    <n v="0"/>
    <n v="7775"/>
    <n v="0"/>
    <s v="Southampton"/>
  </r>
  <r>
    <x v="0"/>
    <n v="2"/>
    <s v="Sjostedt, Mr. Ernst Adolf"/>
    <x v="0"/>
    <n v="59"/>
    <n v="0"/>
    <n v="0"/>
    <n v="135"/>
    <n v="0"/>
    <s v="Southampton"/>
  </r>
  <r>
    <x v="1"/>
    <n v="3"/>
    <s v="Asplund, Miss. Lillian Gertrud"/>
    <x v="1"/>
    <n v="5"/>
    <n v="4"/>
    <n v="2"/>
    <n v="313875"/>
    <n v="0"/>
    <s v="Southampton"/>
  </r>
  <r>
    <x v="0"/>
    <n v="2"/>
    <s v="Leyson, Mr. Robert William Norman"/>
    <x v="0"/>
    <n v="24"/>
    <n v="0"/>
    <n v="0"/>
    <n v="105"/>
    <n v="0"/>
    <s v="Southampton"/>
  </r>
  <r>
    <x v="0"/>
    <n v="3"/>
    <s v="Harknett, Miss. Alice Phoebe"/>
    <x v="1"/>
    <m/>
    <n v="0"/>
    <n v="0"/>
    <n v="755"/>
    <n v="0"/>
    <s v="Southampton"/>
  </r>
  <r>
    <x v="0"/>
    <n v="2"/>
    <s v="Hold, Mr. Stephen"/>
    <x v="0"/>
    <n v="44"/>
    <n v="1"/>
    <n v="0"/>
    <n v="26"/>
    <n v="0"/>
    <s v="Southampton"/>
  </r>
  <r>
    <x v="1"/>
    <n v="2"/>
    <s v="Collyer, Miss. Marjorie &quot;Lottie&quot;"/>
    <x v="1"/>
    <n v="8"/>
    <n v="0"/>
    <n v="2"/>
    <n v="2625"/>
    <n v="0"/>
    <s v="Southampton"/>
  </r>
  <r>
    <x v="0"/>
    <n v="2"/>
    <s v="Pengelly, Mr. Frederick William"/>
    <x v="0"/>
    <n v="19"/>
    <n v="0"/>
    <n v="0"/>
    <n v="105"/>
    <n v="0"/>
    <s v="Southampton"/>
  </r>
  <r>
    <x v="0"/>
    <n v="2"/>
    <s v="Hunt, Mr. George Henry"/>
    <x v="0"/>
    <n v="33"/>
    <n v="0"/>
    <n v="0"/>
    <n v="12275"/>
    <n v="0"/>
    <s v="Southampton"/>
  </r>
  <r>
    <x v="0"/>
    <n v="3"/>
    <s v="Zabour, Miss. Thamine"/>
    <x v="1"/>
    <m/>
    <n v="1"/>
    <n v="0"/>
    <n v="144542"/>
    <n v="0"/>
    <s v="Cherburg"/>
  </r>
  <r>
    <x v="1"/>
    <n v="3"/>
    <s v="Murphy, Miss. Katherine &quot;Kate&quot;"/>
    <x v="1"/>
    <m/>
    <n v="1"/>
    <n v="0"/>
    <n v="155"/>
    <n v="0"/>
    <s v="Queenstown"/>
  </r>
  <r>
    <x v="0"/>
    <n v="2"/>
    <s v="Coleridge, Mr. Reginald Charles"/>
    <x v="0"/>
    <n v="29"/>
    <n v="0"/>
    <n v="0"/>
    <n v="105"/>
    <n v="0"/>
    <s v="Southampton"/>
  </r>
  <r>
    <x v="0"/>
    <n v="3"/>
    <s v="Maenpaa, Mr. Matti Alexanteri"/>
    <x v="0"/>
    <n v="22"/>
    <n v="0"/>
    <n v="0"/>
    <n v="7125"/>
    <n v="0"/>
    <s v="Southampton"/>
  </r>
  <r>
    <x v="0"/>
    <n v="3"/>
    <s v="Attalah, Mr. Sleiman"/>
    <x v="0"/>
    <n v="30"/>
    <n v="0"/>
    <n v="0"/>
    <n v="7225"/>
    <n v="0"/>
    <s v="Cherburg"/>
  </r>
  <r>
    <x v="0"/>
    <n v="1"/>
    <s v="Minahan, Dr. William Edward"/>
    <x v="0"/>
    <n v="44"/>
    <n v="2"/>
    <n v="0"/>
    <n v="90"/>
    <n v="1"/>
    <s v="Queenstown"/>
  </r>
  <r>
    <x v="0"/>
    <n v="3"/>
    <s v="Lindahl, Miss. Agda Thorilda Viktoria"/>
    <x v="1"/>
    <n v="25"/>
    <n v="0"/>
    <n v="0"/>
    <n v="7775"/>
    <n v="0"/>
    <s v="Southampton"/>
  </r>
  <r>
    <x v="1"/>
    <n v="2"/>
    <s v="Hamalainen, Mrs. William (Anna)"/>
    <x v="1"/>
    <n v="24"/>
    <n v="0"/>
    <n v="2"/>
    <n v="145"/>
    <n v="0"/>
    <s v="Southampton"/>
  </r>
  <r>
    <x v="1"/>
    <n v="1"/>
    <s v="Beckwith, Mr. Richard Leonard"/>
    <x v="0"/>
    <n v="37"/>
    <n v="1"/>
    <n v="1"/>
    <n v="525542"/>
    <n v="1"/>
    <s v="Southampton"/>
  </r>
  <r>
    <x v="0"/>
    <n v="2"/>
    <s v="Carter, Rev. Ernest Courtenay"/>
    <x v="0"/>
    <n v="54"/>
    <n v="1"/>
    <n v="0"/>
    <n v="26"/>
    <n v="0"/>
    <s v="Southampton"/>
  </r>
  <r>
    <x v="0"/>
    <n v="3"/>
    <s v="Reed, Mr. James George"/>
    <x v="0"/>
    <m/>
    <n v="0"/>
    <n v="0"/>
    <n v="725"/>
    <n v="0"/>
    <s v="Southampton"/>
  </r>
  <r>
    <x v="0"/>
    <n v="3"/>
    <s v="Strom, Mrs. Wilhelm (Elna Matilda Persson)"/>
    <x v="1"/>
    <n v="29"/>
    <n v="1"/>
    <n v="1"/>
    <n v="104625"/>
    <n v="1"/>
    <s v="Southampton"/>
  </r>
  <r>
    <x v="0"/>
    <n v="1"/>
    <s v="Stead, Mr. William Thomas"/>
    <x v="0"/>
    <n v="62"/>
    <n v="0"/>
    <n v="0"/>
    <n v="2655"/>
    <n v="1"/>
    <s v="Southampton"/>
  </r>
  <r>
    <x v="0"/>
    <n v="3"/>
    <s v="Lobb, Mr. William Arthur"/>
    <x v="0"/>
    <n v="30"/>
    <n v="1"/>
    <n v="0"/>
    <n v="161"/>
    <n v="0"/>
    <s v="Southampton"/>
  </r>
  <r>
    <x v="0"/>
    <n v="3"/>
    <s v="Rosblom, Mrs. Viktor (Helena Wilhelmina)"/>
    <x v="1"/>
    <n v="41"/>
    <n v="0"/>
    <n v="2"/>
    <n v="202125"/>
    <n v="0"/>
    <s v="Southampton"/>
  </r>
  <r>
    <x v="1"/>
    <n v="3"/>
    <s v="Touma, Mrs. Darwis (Hanne Youssef Razi)"/>
    <x v="1"/>
    <n v="29"/>
    <n v="0"/>
    <n v="2"/>
    <n v="152458"/>
    <n v="0"/>
    <s v="Cherburg"/>
  </r>
  <r>
    <x v="1"/>
    <n v="1"/>
    <s v="Thorne, Mrs. Gertrude Maybelle"/>
    <x v="1"/>
    <m/>
    <n v="0"/>
    <n v="0"/>
    <n v="792"/>
    <n v="0"/>
    <s v="Cherburg"/>
  </r>
  <r>
    <x v="1"/>
    <n v="1"/>
    <s v="Cherry, Miss. Gladys"/>
    <x v="1"/>
    <n v="30"/>
    <n v="0"/>
    <n v="0"/>
    <n v="865"/>
    <n v="1"/>
    <s v="Southampton"/>
  </r>
  <r>
    <x v="1"/>
    <n v="1"/>
    <s v="Ward, Miss. Anna"/>
    <x v="1"/>
    <n v="35"/>
    <n v="0"/>
    <n v="0"/>
    <n v="5123292"/>
    <n v="0"/>
    <s v="Cherburg"/>
  </r>
  <r>
    <x v="1"/>
    <n v="2"/>
    <s v="Parrish, Mrs. (Lutie Davis)"/>
    <x v="1"/>
    <n v="50"/>
    <n v="0"/>
    <n v="1"/>
    <n v="26"/>
    <n v="0"/>
    <s v="Southampton"/>
  </r>
  <r>
    <x v="0"/>
    <n v="3"/>
    <s v="Smith, Mr. Thomas"/>
    <x v="0"/>
    <m/>
    <n v="0"/>
    <n v="0"/>
    <n v="775"/>
    <n v="0"/>
    <s v="Queenstown"/>
  </r>
  <r>
    <x v="1"/>
    <n v="3"/>
    <s v="Asplund, Master. Edvin Rojj Felix"/>
    <x v="0"/>
    <n v="3"/>
    <n v="4"/>
    <n v="2"/>
    <n v="313875"/>
    <n v="0"/>
    <s v="Southampton"/>
  </r>
  <r>
    <x v="0"/>
    <n v="1"/>
    <s v="Taussig, Mr. Emil"/>
    <x v="0"/>
    <n v="52"/>
    <n v="1"/>
    <n v="1"/>
    <n v="7965"/>
    <n v="1"/>
    <s v="Southampton"/>
  </r>
  <r>
    <x v="0"/>
    <n v="1"/>
    <s v="Harrison, Mr. William"/>
    <x v="0"/>
    <n v="40"/>
    <n v="0"/>
    <n v="0"/>
    <n v="0"/>
    <n v="1"/>
    <s v="Southampton"/>
  </r>
  <r>
    <x v="0"/>
    <n v="3"/>
    <s v="Henry, Miss. Delia"/>
    <x v="1"/>
    <m/>
    <n v="0"/>
    <n v="0"/>
    <n v="775"/>
    <n v="0"/>
    <s v="Queenstown"/>
  </r>
  <r>
    <x v="0"/>
    <n v="2"/>
    <s v="Reeves, Mr. David"/>
    <x v="0"/>
    <n v="36"/>
    <n v="0"/>
    <n v="0"/>
    <n v="105"/>
    <n v="0"/>
    <s v="Southampton"/>
  </r>
  <r>
    <x v="0"/>
    <n v="3"/>
    <s v="Panula, Mr. Ernesti Arvid"/>
    <x v="0"/>
    <n v="16"/>
    <n v="4"/>
    <n v="1"/>
    <n v="396875"/>
    <n v="0"/>
    <s v="Southampton"/>
  </r>
  <r>
    <x v="1"/>
    <n v="3"/>
    <s v="Persson, Mr. Ernst Ulrik"/>
    <x v="0"/>
    <n v="25"/>
    <n v="1"/>
    <n v="0"/>
    <n v="7775"/>
    <n v="0"/>
    <s v="Southampton"/>
  </r>
  <r>
    <x v="1"/>
    <n v="1"/>
    <s v="Graham, Mrs. William Thompson (Edith Junkins)"/>
    <x v="1"/>
    <n v="58"/>
    <n v="0"/>
    <n v="1"/>
    <n v="1534625"/>
    <n v="1"/>
    <s v="Southampton"/>
  </r>
  <r>
    <x v="1"/>
    <n v="1"/>
    <s v="Bissette, Miss. Amelia"/>
    <x v="1"/>
    <n v="35"/>
    <n v="0"/>
    <n v="0"/>
    <n v="1356333"/>
    <n v="1"/>
    <s v="Southampton"/>
  </r>
  <r>
    <x v="0"/>
    <n v="1"/>
    <s v="Cairns, Mr. Alexander"/>
    <x v="0"/>
    <m/>
    <n v="0"/>
    <n v="0"/>
    <n v="31"/>
    <n v="0"/>
    <s v="Southampton"/>
  </r>
  <r>
    <x v="1"/>
    <n v="3"/>
    <s v="Tornquist, Mr. William Henry"/>
    <x v="0"/>
    <n v="25"/>
    <n v="0"/>
    <n v="0"/>
    <n v="0"/>
    <n v="0"/>
    <s v="Southampton"/>
  </r>
  <r>
    <x v="1"/>
    <n v="2"/>
    <s v="Mellinger, Mrs. (Elizabeth Anne Maidment)"/>
    <x v="1"/>
    <n v="41"/>
    <n v="0"/>
    <n v="1"/>
    <n v="195"/>
    <n v="0"/>
    <s v="Southampton"/>
  </r>
  <r>
    <x v="0"/>
    <n v="1"/>
    <s v="Natsch, Mr. Charles H"/>
    <x v="0"/>
    <n v="37"/>
    <n v="0"/>
    <n v="1"/>
    <n v="297"/>
    <n v="1"/>
    <s v="Cherburg"/>
  </r>
  <r>
    <x v="1"/>
    <n v="3"/>
    <s v="Healy, Miss. Hanora &quot;Nora&quot;"/>
    <x v="1"/>
    <m/>
    <n v="0"/>
    <n v="0"/>
    <n v="775"/>
    <n v="0"/>
    <s v="Queenstown"/>
  </r>
  <r>
    <x v="1"/>
    <n v="1"/>
    <s v="Andrews, Miss. Kornelia Theodosia"/>
    <x v="1"/>
    <n v="63"/>
    <n v="1"/>
    <n v="0"/>
    <n v="779583"/>
    <n v="1"/>
    <s v="Southampton"/>
  </r>
  <r>
    <x v="0"/>
    <n v="3"/>
    <s v="Lindblom, Miss. Augusta Charlotta"/>
    <x v="1"/>
    <n v="45"/>
    <n v="0"/>
    <n v="0"/>
    <n v="775"/>
    <n v="0"/>
    <s v="Southampton"/>
  </r>
  <r>
    <x v="0"/>
    <n v="2"/>
    <s v="Parkes, Mr. Francis &quot;Frank&quot;"/>
    <x v="0"/>
    <m/>
    <n v="0"/>
    <n v="0"/>
    <n v="0"/>
    <n v="0"/>
    <s v="Southampton"/>
  </r>
  <r>
    <x v="0"/>
    <n v="3"/>
    <s v="Rice, Master. Eric"/>
    <x v="0"/>
    <n v="7"/>
    <n v="4"/>
    <n v="1"/>
    <n v="29125"/>
    <n v="0"/>
    <s v="Queenstown"/>
  </r>
  <r>
    <x v="1"/>
    <n v="3"/>
    <s v="Abbott, Mrs. Stanton (Rosa Hunt)"/>
    <x v="1"/>
    <n v="35"/>
    <n v="1"/>
    <n v="1"/>
    <n v="2025"/>
    <n v="0"/>
    <s v="Southampton"/>
  </r>
  <r>
    <x v="0"/>
    <n v="3"/>
    <s v="Duane, Mr. Frank"/>
    <x v="0"/>
    <n v="65"/>
    <n v="0"/>
    <n v="0"/>
    <n v="775"/>
    <n v="0"/>
    <s v="Queenstown"/>
  </r>
  <r>
    <x v="0"/>
    <n v="3"/>
    <s v="Olsson, Mr. Nils Johan Goransson"/>
    <x v="0"/>
    <n v="28"/>
    <n v="0"/>
    <n v="0"/>
    <n v="78542"/>
    <n v="0"/>
    <s v="Southampton"/>
  </r>
  <r>
    <x v="0"/>
    <n v="3"/>
    <s v="de Pelsmaeker, Mr. Alfons"/>
    <x v="0"/>
    <n v="16"/>
    <n v="0"/>
    <n v="0"/>
    <n v="95"/>
    <n v="0"/>
    <s v="Southampton"/>
  </r>
  <r>
    <x v="1"/>
    <n v="3"/>
    <s v="Dorking, Mr. Edward Arthur"/>
    <x v="0"/>
    <n v="19"/>
    <n v="0"/>
    <n v="0"/>
    <n v="805"/>
    <n v="0"/>
    <s v="Southampton"/>
  </r>
  <r>
    <x v="0"/>
    <n v="1"/>
    <s v="Smith, Mr. Richard William"/>
    <x v="0"/>
    <m/>
    <n v="0"/>
    <n v="0"/>
    <n v="26"/>
    <n v="1"/>
    <s v="Southampton"/>
  </r>
  <r>
    <x v="0"/>
    <n v="3"/>
    <s v="Stankovic, Mr. Ivan"/>
    <x v="0"/>
    <n v="33"/>
    <n v="0"/>
    <n v="0"/>
    <n v="86625"/>
    <n v="0"/>
    <s v="Cherburg"/>
  </r>
  <r>
    <x v="1"/>
    <n v="3"/>
    <s v="de Mulder, Mr. Theodore"/>
    <x v="0"/>
    <n v="30"/>
    <n v="0"/>
    <n v="0"/>
    <n v="95"/>
    <n v="0"/>
    <s v="Southampton"/>
  </r>
  <r>
    <x v="0"/>
    <n v="3"/>
    <s v="Naidenoff, Mr. Penko"/>
    <x v="0"/>
    <n v="22"/>
    <n v="0"/>
    <n v="0"/>
    <n v="78958"/>
    <n v="0"/>
    <s v="Southampton"/>
  </r>
  <r>
    <x v="1"/>
    <n v="2"/>
    <s v="Hosono, Mr. Masabumi"/>
    <x v="0"/>
    <n v="42"/>
    <n v="0"/>
    <n v="0"/>
    <n v="13"/>
    <n v="0"/>
    <s v="Southampton"/>
  </r>
  <r>
    <x v="1"/>
    <n v="3"/>
    <s v="Connolly, Miss. Kate"/>
    <x v="1"/>
    <n v="22"/>
    <n v="0"/>
    <n v="0"/>
    <n v="775"/>
    <n v="0"/>
    <s v="Queenstown"/>
  </r>
  <r>
    <x v="1"/>
    <n v="1"/>
    <s v="Barber, Miss. Ellen &quot;Nellie&quot;"/>
    <x v="1"/>
    <n v="26"/>
    <n v="0"/>
    <n v="0"/>
    <n v="7885"/>
    <n v="0"/>
    <s v="Southampton"/>
  </r>
  <r>
    <x v="1"/>
    <n v="1"/>
    <s v="Bishop, Mrs. Dickinson H (Helen Walton)"/>
    <x v="1"/>
    <n v="19"/>
    <n v="1"/>
    <n v="0"/>
    <n v="910792"/>
    <n v="1"/>
    <s v="Cherburg"/>
  </r>
  <r>
    <x v="0"/>
    <n v="2"/>
    <s v="Levy, Mr. Rene Jacques"/>
    <x v="0"/>
    <n v="36"/>
    <n v="0"/>
    <n v="0"/>
    <n v="12875"/>
    <n v="1"/>
    <s v="Cherburg"/>
  </r>
  <r>
    <x v="0"/>
    <n v="3"/>
    <s v="Haas, Miss. Aloisia"/>
    <x v="1"/>
    <n v="24"/>
    <n v="0"/>
    <n v="0"/>
    <n v="885"/>
    <n v="0"/>
    <s v="Southampton"/>
  </r>
  <r>
    <x v="0"/>
    <n v="3"/>
    <s v="Mineff, Mr. Ivan"/>
    <x v="0"/>
    <n v="24"/>
    <n v="0"/>
    <n v="0"/>
    <n v="78958"/>
    <n v="0"/>
    <s v="Southampton"/>
  </r>
  <r>
    <x v="0"/>
    <n v="1"/>
    <s v="Lewy, Mr. Ervin G"/>
    <x v="0"/>
    <m/>
    <n v="0"/>
    <n v="0"/>
    <n v="277208"/>
    <n v="0"/>
    <s v="Cherburg"/>
  </r>
  <r>
    <x v="0"/>
    <n v="3"/>
    <s v="Hanna, Mr. Mansour"/>
    <x v="0"/>
    <n v="235"/>
    <n v="0"/>
    <n v="0"/>
    <n v="72292"/>
    <n v="0"/>
    <s v="Cherburg"/>
  </r>
  <r>
    <x v="0"/>
    <n v="1"/>
    <s v="Allison, Miss. Helen Loraine"/>
    <x v="1"/>
    <n v="2"/>
    <n v="1"/>
    <n v="2"/>
    <n v="15155"/>
    <n v="1"/>
    <s v="Southampton"/>
  </r>
  <r>
    <x v="1"/>
    <n v="1"/>
    <s v="Saalfeld, Mr. Adolphe"/>
    <x v="0"/>
    <m/>
    <n v="0"/>
    <n v="0"/>
    <n v="305"/>
    <n v="1"/>
    <s v="Southampton"/>
  </r>
  <r>
    <x v="1"/>
    <n v="1"/>
    <s v="Baxter, Mrs. James (Helene DeLaudeniere Chaput)"/>
    <x v="1"/>
    <n v="50"/>
    <n v="0"/>
    <n v="1"/>
    <n v="2475208"/>
    <n v="1"/>
    <s v="Cherburg"/>
  </r>
  <r>
    <x v="1"/>
    <n v="3"/>
    <s v="Kelly, Miss. Anna Katherine &quot;Annie Kate&quot;"/>
    <x v="1"/>
    <m/>
    <n v="0"/>
    <n v="0"/>
    <n v="775"/>
    <n v="0"/>
    <s v="Queenstown"/>
  </r>
  <r>
    <x v="1"/>
    <n v="3"/>
    <s v="McCoy, Mr. Bernard"/>
    <x v="0"/>
    <m/>
    <n v="2"/>
    <n v="0"/>
    <n v="2325"/>
    <n v="0"/>
    <s v="Queenstown"/>
  </r>
  <r>
    <x v="0"/>
    <n v="3"/>
    <s v="Johnson, Mr. William Cahoone Jr"/>
    <x v="0"/>
    <n v="19"/>
    <n v="0"/>
    <n v="0"/>
    <n v="0"/>
    <n v="0"/>
    <s v="Southampton"/>
  </r>
  <r>
    <x v="1"/>
    <n v="2"/>
    <s v="Keane, Miss. Nora A"/>
    <x v="1"/>
    <m/>
    <n v="0"/>
    <n v="0"/>
    <n v="1235"/>
    <n v="1"/>
    <s v="Queenstown"/>
  </r>
  <r>
    <x v="0"/>
    <n v="3"/>
    <s v="Williams, Mr. Howard Hugh &quot;Harry&quot;"/>
    <x v="0"/>
    <m/>
    <n v="0"/>
    <n v="0"/>
    <n v="805"/>
    <n v="0"/>
    <s v="Southampton"/>
  </r>
  <r>
    <x v="1"/>
    <n v="1"/>
    <s v="Allison, Master. Hudson Trevor"/>
    <x v="0"/>
    <n v="92"/>
    <n v="1"/>
    <n v="2"/>
    <n v="15155"/>
    <n v="1"/>
    <s v="Southampton"/>
  </r>
  <r>
    <x v="1"/>
    <n v="1"/>
    <s v="Fleming, Miss. Margaret"/>
    <x v="1"/>
    <m/>
    <n v="0"/>
    <n v="0"/>
    <n v="1108833"/>
    <n v="0"/>
    <s v="Cherburg"/>
  </r>
  <r>
    <x v="1"/>
    <n v="1"/>
    <s v="Penasco y Castellana, Mrs. Victor de Satode (Maria Josefa Perez de Soto y Vallejo)"/>
    <x v="1"/>
    <n v="17"/>
    <n v="1"/>
    <n v="0"/>
    <n v="1089"/>
    <n v="1"/>
    <s v="Cherburg"/>
  </r>
  <r>
    <x v="0"/>
    <n v="2"/>
    <s v="Abelson, Mr. Samuel"/>
    <x v="0"/>
    <n v="30"/>
    <n v="1"/>
    <n v="0"/>
    <n v="24"/>
    <n v="0"/>
    <s v="Cherburg"/>
  </r>
  <r>
    <x v="1"/>
    <n v="1"/>
    <s v="Francatelli, Miss. Laura Mabel"/>
    <x v="1"/>
    <n v="30"/>
    <n v="0"/>
    <n v="0"/>
    <n v="569292"/>
    <n v="1"/>
    <s v="Cherburg"/>
  </r>
  <r>
    <x v="1"/>
    <n v="1"/>
    <s v="Hays, Miss. Margaret Bechstein"/>
    <x v="1"/>
    <n v="24"/>
    <n v="0"/>
    <n v="0"/>
    <n v="831583"/>
    <n v="1"/>
    <s v="Cherburg"/>
  </r>
  <r>
    <x v="1"/>
    <n v="1"/>
    <s v="Ryerson, Miss. Emily Borie"/>
    <x v="1"/>
    <n v="18"/>
    <n v="2"/>
    <n v="2"/>
    <n v="262375"/>
    <n v="1"/>
    <s v="Cherburg"/>
  </r>
  <r>
    <x v="0"/>
    <n v="2"/>
    <s v="Lahtinen, Mrs. William (Anna Sylfven)"/>
    <x v="1"/>
    <n v="26"/>
    <n v="1"/>
    <n v="1"/>
    <n v="26"/>
    <n v="0"/>
    <s v="Southampton"/>
  </r>
  <r>
    <x v="0"/>
    <n v="3"/>
    <s v="Hendekovic, Mr. Ignjac"/>
    <x v="0"/>
    <n v="28"/>
    <n v="0"/>
    <n v="0"/>
    <n v="78958"/>
    <n v="0"/>
    <s v="Southampton"/>
  </r>
  <r>
    <x v="0"/>
    <n v="2"/>
    <s v="Hart, Mr. Benjamin"/>
    <x v="0"/>
    <n v="43"/>
    <n v="1"/>
    <n v="1"/>
    <n v="2625"/>
    <n v="0"/>
    <s v="Southampton"/>
  </r>
  <r>
    <x v="1"/>
    <n v="3"/>
    <s v="Nilsson, Miss. Helmina Josefina"/>
    <x v="1"/>
    <n v="26"/>
    <n v="0"/>
    <n v="0"/>
    <n v="78542"/>
    <n v="0"/>
    <s v="Southampton"/>
  </r>
  <r>
    <x v="1"/>
    <n v="2"/>
    <s v="Kantor, Mrs. Sinai (Miriam Sternin)"/>
    <x v="1"/>
    <n v="24"/>
    <n v="1"/>
    <n v="0"/>
    <n v="26"/>
    <n v="0"/>
    <s v="Southampton"/>
  </r>
  <r>
    <x v="0"/>
    <n v="2"/>
    <s v="Moraweck, Dr. Ernest"/>
    <x v="0"/>
    <n v="54"/>
    <n v="0"/>
    <n v="0"/>
    <n v="14"/>
    <n v="0"/>
    <s v="Southampton"/>
  </r>
  <r>
    <x v="1"/>
    <n v="1"/>
    <s v="Wick, Miss. Mary Natalie"/>
    <x v="1"/>
    <n v="31"/>
    <n v="0"/>
    <n v="2"/>
    <n v="1648667"/>
    <n v="1"/>
    <s v="Southampton"/>
  </r>
  <r>
    <x v="1"/>
    <n v="1"/>
    <s v="Spedden, Mrs. Frederic Oakley (Margaretta Corning Stone)"/>
    <x v="1"/>
    <n v="40"/>
    <n v="1"/>
    <n v="1"/>
    <n v="1345"/>
    <n v="1"/>
    <s v="Cherburg"/>
  </r>
  <r>
    <x v="0"/>
    <n v="3"/>
    <s v="Dennis, Mr. Samuel"/>
    <x v="0"/>
    <n v="22"/>
    <n v="0"/>
    <n v="0"/>
    <n v="725"/>
    <n v="0"/>
    <s v="Southampton"/>
  </r>
  <r>
    <x v="0"/>
    <n v="3"/>
    <s v="Danoff, Mr. Yoto"/>
    <x v="0"/>
    <n v="27"/>
    <n v="0"/>
    <n v="0"/>
    <n v="78958"/>
    <n v="0"/>
    <s v="Southampton"/>
  </r>
  <r>
    <x v="1"/>
    <n v="2"/>
    <s v="Slayter, Miss. Hilda Mary"/>
    <x v="1"/>
    <n v="30"/>
    <n v="0"/>
    <n v="0"/>
    <n v="1235"/>
    <n v="0"/>
    <s v="Queenstown"/>
  </r>
  <r>
    <x v="1"/>
    <n v="2"/>
    <s v="Caldwell, Mrs. Albert Francis (Sylvia Mae Harbaugh)"/>
    <x v="1"/>
    <n v="22"/>
    <n v="1"/>
    <n v="1"/>
    <n v="29"/>
    <n v="0"/>
    <s v="Southampton"/>
  </r>
  <r>
    <x v="0"/>
    <n v="3"/>
    <s v="Sage, Mr. George John Jr"/>
    <x v="0"/>
    <m/>
    <n v="8"/>
    <n v="2"/>
    <n v="6955"/>
    <n v="0"/>
    <s v="Southampton"/>
  </r>
  <r>
    <x v="1"/>
    <n v="1"/>
    <s v="Young, Miss. Marie Grice"/>
    <x v="1"/>
    <n v="36"/>
    <n v="0"/>
    <n v="0"/>
    <n v="1356333"/>
    <n v="1"/>
    <s v="Cherburg"/>
  </r>
  <r>
    <x v="0"/>
    <n v="3"/>
    <s v="Nysveen, Mr. Johan Hansen"/>
    <x v="0"/>
    <n v="61"/>
    <n v="0"/>
    <n v="0"/>
    <n v="62375"/>
    <n v="0"/>
    <s v="Southampton"/>
  </r>
  <r>
    <x v="1"/>
    <n v="2"/>
    <s v="Ball, Mrs. (Ada E Hall)"/>
    <x v="1"/>
    <n v="36"/>
    <n v="0"/>
    <n v="0"/>
    <n v="13"/>
    <n v="1"/>
    <s v="Southampton"/>
  </r>
  <r>
    <x v="1"/>
    <n v="3"/>
    <s v="Goldsmith, Mrs. Frank John (Emily Alice Brown)"/>
    <x v="1"/>
    <n v="31"/>
    <n v="1"/>
    <n v="1"/>
    <n v="20525"/>
    <n v="0"/>
    <s v="Southampton"/>
  </r>
  <r>
    <x v="1"/>
    <n v="1"/>
    <s v="Hippach, Miss. Jean Gertrude"/>
    <x v="1"/>
    <n v="16"/>
    <n v="0"/>
    <n v="1"/>
    <n v="579792"/>
    <n v="1"/>
    <s v="Cherburg"/>
  </r>
  <r>
    <x v="1"/>
    <n v="3"/>
    <s v="McCoy, Miss. Agnes"/>
    <x v="1"/>
    <m/>
    <n v="2"/>
    <n v="0"/>
    <n v="2325"/>
    <n v="0"/>
    <s v="Queenstown"/>
  </r>
  <r>
    <x v="0"/>
    <n v="1"/>
    <s v="Partner, Mr. Austen"/>
    <x v="0"/>
    <n v="455"/>
    <n v="0"/>
    <n v="0"/>
    <n v="285"/>
    <n v="1"/>
    <s v="Southampton"/>
  </r>
  <r>
    <x v="0"/>
    <n v="1"/>
    <s v="Graham, Mr. George Edward"/>
    <x v="0"/>
    <n v="38"/>
    <n v="0"/>
    <n v="1"/>
    <n v="1534625"/>
    <n v="1"/>
    <s v="Southampton"/>
  </r>
  <r>
    <x v="0"/>
    <n v="3"/>
    <s v="Vander Planke, Mr. Leo Edmondus"/>
    <x v="0"/>
    <n v="16"/>
    <n v="2"/>
    <n v="0"/>
    <n v="18"/>
    <n v="0"/>
    <s v="Southampton"/>
  </r>
  <r>
    <x v="1"/>
    <n v="1"/>
    <s v="Frauenthal, Mrs. Henry William (Clara Heinsheimer)"/>
    <x v="1"/>
    <m/>
    <n v="1"/>
    <n v="0"/>
    <n v="13365"/>
    <n v="0"/>
    <s v="Southampton"/>
  </r>
  <r>
    <x v="0"/>
    <n v="3"/>
    <s v="Denkoff, Mr. Mitto"/>
    <x v="0"/>
    <m/>
    <n v="0"/>
    <n v="0"/>
    <n v="78958"/>
    <n v="0"/>
    <s v="Southampton"/>
  </r>
  <r>
    <x v="0"/>
    <n v="1"/>
    <s v="Pears, Mr. Thomas Clinton"/>
    <x v="0"/>
    <n v="29"/>
    <n v="1"/>
    <n v="0"/>
    <n v="666"/>
    <n v="1"/>
    <s v="Southampton"/>
  </r>
  <r>
    <x v="1"/>
    <n v="1"/>
    <s v="Burns, Miss. Elizabeth Margaret"/>
    <x v="1"/>
    <n v="41"/>
    <n v="0"/>
    <n v="0"/>
    <n v="1345"/>
    <n v="1"/>
    <s v="Cherburg"/>
  </r>
  <r>
    <x v="1"/>
    <n v="3"/>
    <s v="Dahl, Mr. Karl Edwart"/>
    <x v="0"/>
    <n v="45"/>
    <n v="0"/>
    <n v="0"/>
    <n v="805"/>
    <n v="0"/>
    <s v="Southampton"/>
  </r>
  <r>
    <x v="0"/>
    <n v="1"/>
    <s v="Blackwell, Mr. Stephen Weart"/>
    <x v="0"/>
    <n v="45"/>
    <n v="0"/>
    <n v="0"/>
    <n v="355"/>
    <n v="1"/>
    <s v="Southampton"/>
  </r>
  <r>
    <x v="1"/>
    <n v="2"/>
    <s v="Navratil, Master. Edmond Roger"/>
    <x v="0"/>
    <n v="2"/>
    <n v="1"/>
    <n v="1"/>
    <n v="26"/>
    <n v="1"/>
    <s v="Southampton"/>
  </r>
  <r>
    <x v="1"/>
    <n v="1"/>
    <s v="Fortune, Miss. Alice Elizabeth"/>
    <x v="1"/>
    <n v="24"/>
    <n v="3"/>
    <n v="2"/>
    <n v="263"/>
    <n v="1"/>
    <s v="Southampton"/>
  </r>
  <r>
    <x v="0"/>
    <n v="2"/>
    <s v="Collander, Mr. Erik Gustaf"/>
    <x v="0"/>
    <n v="28"/>
    <n v="0"/>
    <n v="0"/>
    <n v="13"/>
    <n v="0"/>
    <s v="Southampton"/>
  </r>
  <r>
    <x v="0"/>
    <n v="2"/>
    <s v="Sedgwick, Mr. Charles Frederick Waddington"/>
    <x v="0"/>
    <n v="25"/>
    <n v="0"/>
    <n v="0"/>
    <n v="13"/>
    <n v="0"/>
    <s v="Southampton"/>
  </r>
  <r>
    <x v="0"/>
    <n v="2"/>
    <s v="Fox, Mr. Stanley Hubert"/>
    <x v="0"/>
    <n v="36"/>
    <n v="0"/>
    <n v="0"/>
    <n v="13"/>
    <n v="0"/>
    <s v="Southampton"/>
  </r>
  <r>
    <x v="1"/>
    <n v="2"/>
    <s v="Brown, Miss. Amelia &quot;Mildred&quot;"/>
    <x v="1"/>
    <n v="24"/>
    <n v="0"/>
    <n v="0"/>
    <n v="13"/>
    <n v="1"/>
    <s v="Southampton"/>
  </r>
  <r>
    <x v="1"/>
    <n v="2"/>
    <s v="Smith, Miss. Marion Elsie"/>
    <x v="1"/>
    <n v="40"/>
    <n v="0"/>
    <n v="0"/>
    <n v="13"/>
    <n v="0"/>
    <s v="Southampton"/>
  </r>
  <r>
    <x v="1"/>
    <n v="3"/>
    <s v="Davison, Mrs. Thomas Henry (Mary E Finck)"/>
    <x v="1"/>
    <m/>
    <n v="1"/>
    <n v="0"/>
    <n v="161"/>
    <n v="0"/>
    <s v="Southampton"/>
  </r>
  <r>
    <x v="1"/>
    <n v="3"/>
    <s v="Coutts, Master. William Loch &quot;William&quot;"/>
    <x v="0"/>
    <n v="3"/>
    <n v="1"/>
    <n v="1"/>
    <n v="159"/>
    <n v="0"/>
    <s v="Southampton"/>
  </r>
  <r>
    <x v="0"/>
    <n v="3"/>
    <s v="Dimic, Mr. Jovan"/>
    <x v="0"/>
    <n v="42"/>
    <n v="0"/>
    <n v="0"/>
    <n v="86625"/>
    <n v="0"/>
    <s v="Southampton"/>
  </r>
  <r>
    <x v="0"/>
    <n v="3"/>
    <s v="Odahl, Mr. Nils Martin"/>
    <x v="0"/>
    <n v="23"/>
    <n v="0"/>
    <n v="0"/>
    <n v="9225"/>
    <n v="0"/>
    <s v="Southampton"/>
  </r>
  <r>
    <x v="0"/>
    <n v="1"/>
    <s v="Williams-Lambert, Mr. Fletcher Fellows"/>
    <x v="0"/>
    <m/>
    <n v="0"/>
    <n v="0"/>
    <n v="35"/>
    <n v="1"/>
    <s v="Southampton"/>
  </r>
  <r>
    <x v="0"/>
    <n v="3"/>
    <s v="Elias, Mr. Tannous"/>
    <x v="0"/>
    <n v="15"/>
    <n v="1"/>
    <n v="1"/>
    <n v="72292"/>
    <n v="0"/>
    <s v="Cherburg"/>
  </r>
  <r>
    <x v="0"/>
    <n v="3"/>
    <s v="Arnold-Franchi, Mr. Josef"/>
    <x v="0"/>
    <n v="25"/>
    <n v="1"/>
    <n v="0"/>
    <n v="178"/>
    <n v="0"/>
    <s v="Southampton"/>
  </r>
  <r>
    <x v="0"/>
    <n v="3"/>
    <s v="Yousif, Mr. Wazli"/>
    <x v="0"/>
    <m/>
    <n v="0"/>
    <n v="0"/>
    <n v="7225"/>
    <n v="0"/>
    <s v="Cherburg"/>
  </r>
  <r>
    <x v="0"/>
    <n v="3"/>
    <s v="Vanden Steen, Mr. Leo Peter"/>
    <x v="0"/>
    <n v="28"/>
    <n v="0"/>
    <n v="0"/>
    <n v="95"/>
    <n v="0"/>
    <s v="Southampton"/>
  </r>
  <r>
    <x v="1"/>
    <n v="1"/>
    <s v="Bowerman, Miss. Elsie Edith"/>
    <x v="1"/>
    <n v="22"/>
    <n v="0"/>
    <n v="1"/>
    <n v="55"/>
    <n v="1"/>
    <s v="Southampton"/>
  </r>
  <r>
    <x v="0"/>
    <n v="2"/>
    <s v="Funk, Miss. Annie Clemmer"/>
    <x v="1"/>
    <n v="38"/>
    <n v="0"/>
    <n v="0"/>
    <n v="13"/>
    <n v="0"/>
    <s v="Southampton"/>
  </r>
  <r>
    <x v="1"/>
    <n v="3"/>
    <s v="McGovern, Miss. Mary"/>
    <x v="1"/>
    <m/>
    <n v="0"/>
    <n v="0"/>
    <n v="78792"/>
    <n v="0"/>
    <s v="Queenstown"/>
  </r>
  <r>
    <x v="1"/>
    <n v="3"/>
    <s v="Mockler, Miss. Helen Mary &quot;Ellie&quot;"/>
    <x v="1"/>
    <m/>
    <n v="0"/>
    <n v="0"/>
    <n v="78792"/>
    <n v="0"/>
    <s v="Queenstown"/>
  </r>
  <r>
    <x v="0"/>
    <n v="3"/>
    <s v="Skoog, Mr. Wilhelm"/>
    <x v="0"/>
    <n v="40"/>
    <n v="1"/>
    <n v="4"/>
    <n v="279"/>
    <n v="0"/>
    <s v="Southampton"/>
  </r>
  <r>
    <x v="0"/>
    <n v="2"/>
    <s v="del Carlo, Mr. Sebastiano"/>
    <x v="0"/>
    <n v="29"/>
    <n v="1"/>
    <n v="0"/>
    <n v="277208"/>
    <n v="0"/>
    <s v="Cherburg"/>
  </r>
  <r>
    <x v="0"/>
    <n v="3"/>
    <s v="Barbara, Mrs. (Catherine David)"/>
    <x v="1"/>
    <n v="45"/>
    <n v="0"/>
    <n v="1"/>
    <n v="144542"/>
    <n v="0"/>
    <s v="Cherburg"/>
  </r>
  <r>
    <x v="0"/>
    <n v="3"/>
    <s v="Asim, Mr. Adola"/>
    <x v="0"/>
    <n v="35"/>
    <n v="0"/>
    <n v="0"/>
    <n v="705"/>
    <n v="0"/>
    <s v="Southampton"/>
  </r>
  <r>
    <x v="0"/>
    <n v="3"/>
    <s v="O'Brien, Mr. Thomas"/>
    <x v="0"/>
    <m/>
    <n v="1"/>
    <n v="0"/>
    <n v="155"/>
    <n v="0"/>
    <s v="Queenstown"/>
  </r>
  <r>
    <x v="0"/>
    <n v="3"/>
    <s v="Adahl, Mr. Mauritz Nils Martin"/>
    <x v="0"/>
    <n v="30"/>
    <n v="0"/>
    <n v="0"/>
    <n v="725"/>
    <n v="0"/>
    <s v="Southampton"/>
  </r>
  <r>
    <x v="1"/>
    <n v="1"/>
    <s v="Warren, Mrs. Frank Manley (Anna Sophia Atkinson)"/>
    <x v="1"/>
    <n v="60"/>
    <n v="1"/>
    <n v="0"/>
    <n v="7525"/>
    <n v="1"/>
    <s v="Cherburg"/>
  </r>
  <r>
    <x v="1"/>
    <n v="3"/>
    <s v="Moussa, Mrs. (Mantoura Boulos)"/>
    <x v="1"/>
    <m/>
    <n v="0"/>
    <n v="0"/>
    <n v="72292"/>
    <n v="0"/>
    <s v="Cherburg"/>
  </r>
  <r>
    <x v="1"/>
    <n v="3"/>
    <s v="Jermyn, Miss. Annie"/>
    <x v="1"/>
    <m/>
    <n v="0"/>
    <n v="0"/>
    <n v="775"/>
    <n v="0"/>
    <s v="Queenstown"/>
  </r>
  <r>
    <x v="1"/>
    <n v="1"/>
    <s v="Aubart, Mme. Leontine Pauline"/>
    <x v="1"/>
    <n v="24"/>
    <n v="0"/>
    <n v="0"/>
    <n v="693"/>
    <n v="1"/>
    <s v="Cherburg"/>
  </r>
  <r>
    <x v="1"/>
    <n v="1"/>
    <s v="Harder, Mr. George Achilles"/>
    <x v="0"/>
    <n v="25"/>
    <n v="1"/>
    <n v="0"/>
    <n v="554417"/>
    <n v="1"/>
    <s v="Cherburg"/>
  </r>
  <r>
    <x v="0"/>
    <n v="3"/>
    <s v="Wiklund, Mr. Jakob Alfred"/>
    <x v="0"/>
    <n v="18"/>
    <n v="1"/>
    <n v="0"/>
    <n v="64958"/>
    <n v="0"/>
    <s v="Southampton"/>
  </r>
  <r>
    <x v="0"/>
    <n v="3"/>
    <s v="Beavan, Mr. William Thomas"/>
    <x v="0"/>
    <n v="19"/>
    <n v="0"/>
    <n v="0"/>
    <n v="805"/>
    <n v="0"/>
    <s v="Southampton"/>
  </r>
  <r>
    <x v="0"/>
    <n v="1"/>
    <s v="Ringhini, Mr. Sante"/>
    <x v="0"/>
    <n v="22"/>
    <n v="0"/>
    <n v="0"/>
    <n v="1356333"/>
    <n v="0"/>
    <s v="Cherburg"/>
  </r>
  <r>
    <x v="0"/>
    <n v="3"/>
    <s v="Palsson, Miss. Stina Viola"/>
    <x v="1"/>
    <n v="3"/>
    <n v="3"/>
    <n v="1"/>
    <n v="21075"/>
    <n v="0"/>
    <s v="Southampton"/>
  </r>
  <r>
    <x v="1"/>
    <n v="1"/>
    <s v="Meyer, Mrs. Edgar Joseph (Leila Saks)"/>
    <x v="1"/>
    <m/>
    <n v="1"/>
    <n v="0"/>
    <n v="821708"/>
    <n v="0"/>
    <s v="Cherburg"/>
  </r>
  <r>
    <x v="1"/>
    <n v="3"/>
    <s v="Landergren, Miss. Aurora Adelia"/>
    <x v="1"/>
    <n v="22"/>
    <n v="0"/>
    <n v="0"/>
    <n v="725"/>
    <n v="0"/>
    <s v="Southampton"/>
  </r>
  <r>
    <x v="0"/>
    <n v="1"/>
    <s v="Widener, Mr. Harry Elkins"/>
    <x v="0"/>
    <n v="27"/>
    <n v="0"/>
    <n v="2"/>
    <n v="2115"/>
    <n v="1"/>
    <s v="Cherburg"/>
  </r>
  <r>
    <x v="0"/>
    <n v="3"/>
    <s v="Betros, Mr. Tannous"/>
    <x v="0"/>
    <n v="20"/>
    <n v="0"/>
    <n v="0"/>
    <n v="40125"/>
    <n v="0"/>
    <s v="Cherburg"/>
  </r>
  <r>
    <x v="0"/>
    <n v="3"/>
    <s v="Gustafsson, Mr. Karl Gideon"/>
    <x v="0"/>
    <n v="19"/>
    <n v="0"/>
    <n v="0"/>
    <n v="7775"/>
    <n v="0"/>
    <s v="Southampton"/>
  </r>
  <r>
    <x v="1"/>
    <n v="1"/>
    <s v="Bidois, Miss. Rosalie"/>
    <x v="1"/>
    <n v="42"/>
    <n v="0"/>
    <n v="0"/>
    <n v="227525"/>
    <n v="0"/>
    <s v="Cherburg"/>
  </r>
  <r>
    <x v="1"/>
    <n v="3"/>
    <s v="Nakid, Miss. Maria (&quot;Mary&quot;)"/>
    <x v="1"/>
    <n v="1"/>
    <n v="0"/>
    <n v="2"/>
    <n v="157417"/>
    <n v="0"/>
    <s v="Cherburg"/>
  </r>
  <r>
    <x v="0"/>
    <n v="3"/>
    <s v="Tikkanen, Mr. Juho"/>
    <x v="0"/>
    <n v="32"/>
    <n v="0"/>
    <n v="0"/>
    <n v="7925"/>
    <n v="0"/>
    <s v="Southampton"/>
  </r>
  <r>
    <x v="1"/>
    <n v="1"/>
    <s v="Holverson, Mrs. Alexander Oskar (Mary Aline Towner)"/>
    <x v="1"/>
    <n v="35"/>
    <n v="1"/>
    <n v="0"/>
    <n v="52"/>
    <n v="0"/>
    <s v="Southampton"/>
  </r>
  <r>
    <x v="0"/>
    <n v="3"/>
    <s v="Plotcharsky, Mr. Vasil"/>
    <x v="0"/>
    <m/>
    <n v="0"/>
    <n v="0"/>
    <n v="78958"/>
    <n v="0"/>
    <s v="Southampton"/>
  </r>
  <r>
    <x v="0"/>
    <n v="2"/>
    <s v="Davies, Mr. Charles Henry"/>
    <x v="0"/>
    <n v="18"/>
    <n v="0"/>
    <n v="0"/>
    <n v="735"/>
    <n v="0"/>
    <s v="Southampton"/>
  </r>
  <r>
    <x v="0"/>
    <n v="3"/>
    <s v="Goodwin, Master. Sidney Leonard"/>
    <x v="0"/>
    <n v="1"/>
    <n v="5"/>
    <n v="2"/>
    <n v="469"/>
    <n v="0"/>
    <s v="Southampton"/>
  </r>
  <r>
    <x v="1"/>
    <n v="2"/>
    <s v="Buss, Miss. Kate"/>
    <x v="1"/>
    <n v="36"/>
    <n v="0"/>
    <n v="0"/>
    <n v="13"/>
    <n v="0"/>
    <s v="Southampton"/>
  </r>
  <r>
    <x v="0"/>
    <n v="3"/>
    <s v="Sadlier, Mr. Matthew"/>
    <x v="0"/>
    <m/>
    <n v="0"/>
    <n v="0"/>
    <n v="77292"/>
    <n v="0"/>
    <s v="Queenstown"/>
  </r>
  <r>
    <x v="1"/>
    <n v="2"/>
    <s v="Lehmann, Miss. Bertha"/>
    <x v="1"/>
    <n v="17"/>
    <n v="0"/>
    <n v="0"/>
    <n v="12"/>
    <n v="0"/>
    <s v="Cherburg"/>
  </r>
  <r>
    <x v="1"/>
    <n v="1"/>
    <s v="Carter, Mr. William Ernest"/>
    <x v="0"/>
    <n v="36"/>
    <n v="1"/>
    <n v="2"/>
    <n v="120"/>
    <n v="1"/>
    <s v="Southampton"/>
  </r>
  <r>
    <x v="1"/>
    <n v="3"/>
    <s v="Jansson, Mr. Carl Olof"/>
    <x v="0"/>
    <n v="21"/>
    <n v="0"/>
    <n v="0"/>
    <n v="77958"/>
    <n v="0"/>
    <s v="Southampton"/>
  </r>
  <r>
    <x v="0"/>
    <n v="3"/>
    <s v="Gustafsson, Mr. Johan Birger"/>
    <x v="0"/>
    <n v="28"/>
    <n v="2"/>
    <n v="0"/>
    <n v="7925"/>
    <n v="0"/>
    <s v="Southampton"/>
  </r>
  <r>
    <x v="1"/>
    <n v="1"/>
    <s v="Newell, Miss. Marjorie"/>
    <x v="1"/>
    <n v="23"/>
    <n v="1"/>
    <n v="0"/>
    <n v="113275"/>
    <n v="1"/>
    <s v="Cherburg"/>
  </r>
  <r>
    <x v="1"/>
    <n v="3"/>
    <s v="Sandstrom, Mrs. Hjalmar (Agnes Charlotta Bengtsson)"/>
    <x v="1"/>
    <n v="24"/>
    <n v="0"/>
    <n v="2"/>
    <n v="167"/>
    <n v="1"/>
    <s v="Southampton"/>
  </r>
  <r>
    <x v="0"/>
    <n v="3"/>
    <s v="Johansson, Mr. Erik"/>
    <x v="0"/>
    <n v="22"/>
    <n v="0"/>
    <n v="0"/>
    <n v="77958"/>
    <n v="0"/>
    <s v="Southampton"/>
  </r>
  <r>
    <x v="0"/>
    <n v="3"/>
    <s v="Olsson, Miss. Elina"/>
    <x v="1"/>
    <n v="31"/>
    <n v="0"/>
    <n v="0"/>
    <n v="78542"/>
    <n v="0"/>
    <s v="Southampton"/>
  </r>
  <r>
    <x v="0"/>
    <n v="2"/>
    <s v="McKane, Mr. Peter David"/>
    <x v="0"/>
    <n v="46"/>
    <n v="0"/>
    <n v="0"/>
    <n v="26"/>
    <n v="0"/>
    <s v="Southampton"/>
  </r>
  <r>
    <x v="0"/>
    <n v="2"/>
    <s v="Pain, Dr. Alfred"/>
    <x v="0"/>
    <n v="23"/>
    <n v="0"/>
    <n v="0"/>
    <n v="105"/>
    <n v="0"/>
    <s v="Southampton"/>
  </r>
  <r>
    <x v="1"/>
    <n v="2"/>
    <s v="Trout, Mrs. William H (Jessie L)"/>
    <x v="1"/>
    <n v="28"/>
    <n v="0"/>
    <n v="0"/>
    <n v="1265"/>
    <n v="0"/>
    <s v="Southampton"/>
  </r>
  <r>
    <x v="1"/>
    <n v="3"/>
    <s v="Niskanen, Mr. Juha"/>
    <x v="0"/>
    <n v="39"/>
    <n v="0"/>
    <n v="0"/>
    <n v="7925"/>
    <n v="0"/>
    <s v="Southampton"/>
  </r>
  <r>
    <x v="0"/>
    <n v="3"/>
    <s v="Adams, Mr. John"/>
    <x v="0"/>
    <n v="26"/>
    <n v="0"/>
    <n v="0"/>
    <n v="805"/>
    <n v="0"/>
    <s v="Southampton"/>
  </r>
  <r>
    <x v="0"/>
    <n v="3"/>
    <s v="Jussila, Miss. Mari Aina"/>
    <x v="1"/>
    <n v="21"/>
    <n v="1"/>
    <n v="0"/>
    <n v="9825"/>
    <n v="0"/>
    <s v="Southampton"/>
  </r>
  <r>
    <x v="0"/>
    <n v="3"/>
    <s v="Hakkarainen, Mr. Pekka Pietari"/>
    <x v="0"/>
    <n v="28"/>
    <n v="1"/>
    <n v="0"/>
    <n v="1585"/>
    <n v="0"/>
    <s v="Southampton"/>
  </r>
  <r>
    <x v="0"/>
    <n v="3"/>
    <s v="Oreskovic, Miss. Marija"/>
    <x v="1"/>
    <n v="20"/>
    <n v="0"/>
    <n v="0"/>
    <n v="86625"/>
    <n v="0"/>
    <s v="Southampton"/>
  </r>
  <r>
    <x v="0"/>
    <n v="2"/>
    <s v="Gale, Mr. Shadrach"/>
    <x v="0"/>
    <n v="34"/>
    <n v="1"/>
    <n v="0"/>
    <n v="21"/>
    <n v="0"/>
    <s v="Southampton"/>
  </r>
  <r>
    <x v="0"/>
    <n v="3"/>
    <s v="Widegren, Mr. Carl/Charles Peter"/>
    <x v="0"/>
    <n v="51"/>
    <n v="0"/>
    <n v="0"/>
    <n v="775"/>
    <n v="0"/>
    <s v="Southampton"/>
  </r>
  <r>
    <x v="1"/>
    <n v="2"/>
    <s v="Richards, Master. William Rowe"/>
    <x v="0"/>
    <n v="3"/>
    <n v="1"/>
    <n v="1"/>
    <n v="1875"/>
    <n v="0"/>
    <s v="Southampton"/>
  </r>
  <r>
    <x v="0"/>
    <n v="3"/>
    <s v="Birkeland, Mr. Hans Martin Monsen"/>
    <x v="0"/>
    <n v="21"/>
    <n v="0"/>
    <n v="0"/>
    <n v="7775"/>
    <n v="0"/>
    <s v="Southampton"/>
  </r>
  <r>
    <x v="0"/>
    <n v="3"/>
    <s v="Lefebre, Miss. Ida"/>
    <x v="1"/>
    <m/>
    <n v="3"/>
    <n v="1"/>
    <n v="254667"/>
    <n v="0"/>
    <s v="Southampton"/>
  </r>
  <r>
    <x v="0"/>
    <n v="3"/>
    <s v="Sdycoff, Mr. Todor"/>
    <x v="0"/>
    <m/>
    <n v="0"/>
    <n v="0"/>
    <n v="78958"/>
    <n v="0"/>
    <s v="Southampton"/>
  </r>
  <r>
    <x v="0"/>
    <n v="3"/>
    <s v="Hart, Mr. Henry"/>
    <x v="0"/>
    <m/>
    <n v="0"/>
    <n v="0"/>
    <n v="68583"/>
    <n v="0"/>
    <s v="Queenstown"/>
  </r>
  <r>
    <x v="1"/>
    <n v="1"/>
    <s v="Minahan, Miss. Daisy E"/>
    <x v="1"/>
    <n v="33"/>
    <n v="1"/>
    <n v="0"/>
    <n v="90"/>
    <n v="1"/>
    <s v="Queenstown"/>
  </r>
  <r>
    <x v="0"/>
    <n v="2"/>
    <s v="Cunningham, Mr. Alfred Fleming"/>
    <x v="0"/>
    <m/>
    <n v="0"/>
    <n v="0"/>
    <n v="0"/>
    <n v="0"/>
    <s v="Southampton"/>
  </r>
  <r>
    <x v="1"/>
    <n v="3"/>
    <s v="Sundman, Mr. Johan Julian"/>
    <x v="0"/>
    <n v="44"/>
    <n v="0"/>
    <n v="0"/>
    <n v="7925"/>
    <n v="0"/>
    <s v="Southampton"/>
  </r>
  <r>
    <x v="0"/>
    <n v="3"/>
    <s v="Meek, Mrs. Thomas (Annie Louise Rowley)"/>
    <x v="1"/>
    <m/>
    <n v="0"/>
    <n v="0"/>
    <n v="805"/>
    <n v="0"/>
    <s v="Southampton"/>
  </r>
  <r>
    <x v="1"/>
    <n v="2"/>
    <s v="Drew, Mrs. James Vivian (Lulu Thorne Christian)"/>
    <x v="1"/>
    <n v="34"/>
    <n v="1"/>
    <n v="1"/>
    <n v="325"/>
    <n v="0"/>
    <s v="Southampton"/>
  </r>
  <r>
    <x v="1"/>
    <n v="2"/>
    <s v="Silven, Miss. Lyyli Karoliina"/>
    <x v="1"/>
    <n v="18"/>
    <n v="0"/>
    <n v="2"/>
    <n v="13"/>
    <n v="0"/>
    <s v="Southampton"/>
  </r>
  <r>
    <x v="0"/>
    <n v="2"/>
    <s v="Matthews, Mr. William John"/>
    <x v="0"/>
    <n v="30"/>
    <n v="0"/>
    <n v="0"/>
    <n v="13"/>
    <n v="0"/>
    <s v="Southampton"/>
  </r>
  <r>
    <x v="0"/>
    <n v="3"/>
    <s v="Van Impe, Miss. Catharina"/>
    <x v="1"/>
    <n v="10"/>
    <n v="0"/>
    <n v="2"/>
    <n v="2415"/>
    <n v="0"/>
    <s v="Southampton"/>
  </r>
  <r>
    <x v="0"/>
    <n v="3"/>
    <s v="Gheorgheff, Mr. Stanio"/>
    <x v="0"/>
    <m/>
    <n v="0"/>
    <n v="0"/>
    <n v="78958"/>
    <n v="0"/>
    <s v="Cherburg"/>
  </r>
  <r>
    <x v="0"/>
    <n v="3"/>
    <s v="Charters, Mr. David"/>
    <x v="0"/>
    <n v="21"/>
    <n v="0"/>
    <n v="0"/>
    <n v="77333"/>
    <n v="0"/>
    <s v="Queenstown"/>
  </r>
  <r>
    <x v="0"/>
    <n v="3"/>
    <s v="Zimmerman, Mr. Leo"/>
    <x v="0"/>
    <n v="29"/>
    <n v="0"/>
    <n v="0"/>
    <n v="7875"/>
    <n v="0"/>
    <s v="Southampton"/>
  </r>
  <r>
    <x v="0"/>
    <n v="3"/>
    <s v="Danbom, Mrs. Ernst Gilbert (Anna Sigrid Maria Brogren)"/>
    <x v="1"/>
    <n v="28"/>
    <n v="1"/>
    <n v="1"/>
    <n v="144"/>
    <n v="0"/>
    <s v="Southampton"/>
  </r>
  <r>
    <x v="0"/>
    <n v="3"/>
    <s v="Rosblom, Mr. Viktor Richard"/>
    <x v="0"/>
    <n v="18"/>
    <n v="1"/>
    <n v="1"/>
    <n v="202125"/>
    <n v="0"/>
    <s v="Southampton"/>
  </r>
  <r>
    <x v="0"/>
    <n v="3"/>
    <s v="Wiseman, Mr. Phillippe"/>
    <x v="0"/>
    <m/>
    <n v="0"/>
    <n v="0"/>
    <n v="725"/>
    <n v="0"/>
    <s v="Southampton"/>
  </r>
  <r>
    <x v="1"/>
    <n v="2"/>
    <s v="Clarke, Mrs. Charles V (Ada Maria Winfield)"/>
    <x v="1"/>
    <n v="28"/>
    <n v="1"/>
    <n v="0"/>
    <n v="26"/>
    <n v="0"/>
    <s v="Southampton"/>
  </r>
  <r>
    <x v="1"/>
    <n v="2"/>
    <s v="Phillips, Miss. Kate Florence (&quot;Mrs Kate Louise Phillips Marshall&quot;)"/>
    <x v="1"/>
    <n v="19"/>
    <n v="0"/>
    <n v="0"/>
    <n v="26"/>
    <n v="0"/>
    <s v="Southampton"/>
  </r>
  <r>
    <x v="0"/>
    <n v="3"/>
    <s v="Flynn, Mr. James"/>
    <x v="0"/>
    <m/>
    <n v="0"/>
    <n v="0"/>
    <n v="775"/>
    <n v="0"/>
    <s v="Queenstown"/>
  </r>
  <r>
    <x v="1"/>
    <n v="3"/>
    <s v="Pickard, Mr. Berk (Berk Trembisky)"/>
    <x v="0"/>
    <n v="32"/>
    <n v="0"/>
    <n v="0"/>
    <n v="805"/>
    <n v="1"/>
    <s v="Southampton"/>
  </r>
  <r>
    <x v="1"/>
    <n v="1"/>
    <s v="Bjornstrom-Steffansson, Mr. Mauritz Hakan"/>
    <x v="0"/>
    <n v="28"/>
    <n v="0"/>
    <n v="0"/>
    <n v="2655"/>
    <n v="1"/>
    <s v="Southampton"/>
  </r>
  <r>
    <x v="1"/>
    <n v="3"/>
    <s v="Thorneycroft, Mrs. Percival (Florence Kate White)"/>
    <x v="1"/>
    <m/>
    <n v="1"/>
    <n v="0"/>
    <n v="161"/>
    <n v="0"/>
    <s v="Southampton"/>
  </r>
  <r>
    <x v="1"/>
    <n v="2"/>
    <s v="Louch, Mrs. Charles Alexander (Alice Adelaide Slow)"/>
    <x v="1"/>
    <n v="42"/>
    <n v="1"/>
    <n v="0"/>
    <n v="26"/>
    <n v="0"/>
    <s v="Southampton"/>
  </r>
  <r>
    <x v="0"/>
    <n v="3"/>
    <s v="Kallio, Mr. Nikolai Erland"/>
    <x v="0"/>
    <n v="17"/>
    <n v="0"/>
    <n v="0"/>
    <n v="7125"/>
    <n v="0"/>
    <s v="Southampton"/>
  </r>
  <r>
    <x v="0"/>
    <n v="1"/>
    <s v="Silvey, Mr. William Baird"/>
    <x v="0"/>
    <n v="50"/>
    <n v="1"/>
    <n v="0"/>
    <n v="559"/>
    <n v="1"/>
    <s v="Southampton"/>
  </r>
  <r>
    <x v="1"/>
    <n v="1"/>
    <s v="Carter, Miss. Lucile Polk"/>
    <x v="1"/>
    <n v="14"/>
    <n v="1"/>
    <n v="2"/>
    <n v="120"/>
    <n v="1"/>
    <s v="Southampton"/>
  </r>
  <r>
    <x v="0"/>
    <n v="3"/>
    <s v="Ford, Miss. Doolina Margaret &quot;Daisy&quot;"/>
    <x v="1"/>
    <n v="21"/>
    <n v="2"/>
    <n v="2"/>
    <n v="34375"/>
    <n v="0"/>
    <s v="Southampton"/>
  </r>
  <r>
    <x v="1"/>
    <n v="2"/>
    <s v="Richards, Mrs. Sidney (Emily Hocking)"/>
    <x v="1"/>
    <n v="24"/>
    <n v="2"/>
    <n v="3"/>
    <n v="1875"/>
    <n v="0"/>
    <s v="Southampton"/>
  </r>
  <r>
    <x v="0"/>
    <n v="1"/>
    <s v="Fortune, Mr. Mark"/>
    <x v="0"/>
    <n v="64"/>
    <n v="1"/>
    <n v="4"/>
    <n v="263"/>
    <n v="1"/>
    <s v="Southampton"/>
  </r>
  <r>
    <x v="0"/>
    <n v="2"/>
    <s v="Kvillner, Mr. Johan Henrik Johannesson"/>
    <x v="0"/>
    <n v="31"/>
    <n v="0"/>
    <n v="0"/>
    <n v="105"/>
    <n v="0"/>
    <s v="Southampton"/>
  </r>
  <r>
    <x v="1"/>
    <n v="2"/>
    <s v="Hart, Mrs. Benjamin (Esther Ada Bloomfield)"/>
    <x v="1"/>
    <n v="45"/>
    <n v="1"/>
    <n v="1"/>
    <n v="2625"/>
    <n v="0"/>
    <s v="Southampton"/>
  </r>
  <r>
    <x v="0"/>
    <n v="3"/>
    <s v="Hampe, Mr. Leon"/>
    <x v="0"/>
    <n v="20"/>
    <n v="0"/>
    <n v="0"/>
    <n v="95"/>
    <n v="0"/>
    <s v="Southampton"/>
  </r>
  <r>
    <x v="0"/>
    <n v="3"/>
    <s v="Petterson, Mr. Johan Emil"/>
    <x v="0"/>
    <n v="25"/>
    <n v="1"/>
    <n v="0"/>
    <n v="7775"/>
    <n v="0"/>
    <s v="Southampton"/>
  </r>
  <r>
    <x v="1"/>
    <n v="2"/>
    <s v="Reynaldo, Ms. Encarnacion"/>
    <x v="1"/>
    <n v="28"/>
    <n v="0"/>
    <n v="0"/>
    <n v="13"/>
    <n v="0"/>
    <s v="Southampton"/>
  </r>
  <r>
    <x v="1"/>
    <n v="3"/>
    <s v="Johannesen-Bratthammer, Mr. Bernt"/>
    <x v="0"/>
    <m/>
    <n v="0"/>
    <n v="0"/>
    <n v="81125"/>
    <n v="0"/>
    <s v="Southampton"/>
  </r>
  <r>
    <x v="1"/>
    <n v="1"/>
    <s v="Dodge, Master. Washington"/>
    <x v="0"/>
    <n v="4"/>
    <n v="0"/>
    <n v="2"/>
    <n v="818583"/>
    <n v="1"/>
    <s v="Southampton"/>
  </r>
  <r>
    <x v="1"/>
    <n v="2"/>
    <s v="Mellinger, Miss. Madeleine Violet"/>
    <x v="1"/>
    <n v="13"/>
    <n v="0"/>
    <n v="1"/>
    <n v="195"/>
    <n v="0"/>
    <s v="Southampton"/>
  </r>
  <r>
    <x v="1"/>
    <n v="1"/>
    <s v="Seward, Mr. Frederic Kimber"/>
    <x v="0"/>
    <n v="34"/>
    <n v="0"/>
    <n v="0"/>
    <n v="2655"/>
    <n v="0"/>
    <s v="Southampton"/>
  </r>
  <r>
    <x v="1"/>
    <n v="3"/>
    <s v="Baclini, Miss. Marie Catherine"/>
    <x v="1"/>
    <n v="5"/>
    <n v="2"/>
    <n v="1"/>
    <n v="192583"/>
    <n v="0"/>
    <s v="Cherburg"/>
  </r>
  <r>
    <x v="1"/>
    <n v="1"/>
    <s v="Peuchen, Major. Arthur Godfrey"/>
    <x v="0"/>
    <n v="52"/>
    <n v="0"/>
    <n v="0"/>
    <n v="305"/>
    <n v="1"/>
    <s v="Southampton"/>
  </r>
  <r>
    <x v="0"/>
    <n v="2"/>
    <s v="West, Mr. Edwy Arthur"/>
    <x v="0"/>
    <n v="36"/>
    <n v="1"/>
    <n v="2"/>
    <n v="2775"/>
    <n v="0"/>
    <s v="Southampton"/>
  </r>
  <r>
    <x v="0"/>
    <n v="3"/>
    <s v="Hagland, Mr. Ingvald Olai Olsen"/>
    <x v="0"/>
    <m/>
    <n v="1"/>
    <n v="0"/>
    <n v="199667"/>
    <n v="0"/>
    <s v="Southampton"/>
  </r>
  <r>
    <x v="0"/>
    <n v="1"/>
    <s v="Foreman, Mr. Benjamin Laventall"/>
    <x v="0"/>
    <n v="30"/>
    <n v="0"/>
    <n v="0"/>
    <n v="2775"/>
    <n v="1"/>
    <s v="Cherburg"/>
  </r>
  <r>
    <x v="1"/>
    <n v="1"/>
    <s v="Goldenberg, Mr. Samuel L"/>
    <x v="0"/>
    <n v="49"/>
    <n v="1"/>
    <n v="0"/>
    <n v="891042"/>
    <n v="1"/>
    <s v="Cherburg"/>
  </r>
  <r>
    <x v="0"/>
    <n v="3"/>
    <s v="Peduzzi, Mr. Joseph"/>
    <x v="0"/>
    <m/>
    <n v="0"/>
    <n v="0"/>
    <n v="805"/>
    <n v="0"/>
    <s v="Southampton"/>
  </r>
  <r>
    <x v="1"/>
    <n v="3"/>
    <s v="Jalsevac, Mr. Ivan"/>
    <x v="0"/>
    <n v="29"/>
    <n v="0"/>
    <n v="0"/>
    <n v="78958"/>
    <n v="0"/>
    <s v="Cherburg"/>
  </r>
  <r>
    <x v="0"/>
    <n v="1"/>
    <s v="Millet, Mr. Francis Davis"/>
    <x v="0"/>
    <n v="65"/>
    <n v="0"/>
    <n v="0"/>
    <n v="2655"/>
    <n v="1"/>
    <s v="Southampton"/>
  </r>
  <r>
    <x v="1"/>
    <n v="1"/>
    <s v="Kenyon, Mrs. Frederick R (Marion)"/>
    <x v="1"/>
    <m/>
    <n v="1"/>
    <n v="0"/>
    <n v="518625"/>
    <n v="1"/>
    <s v="Southampton"/>
  </r>
  <r>
    <x v="1"/>
    <n v="2"/>
    <s v="Toomey, Miss. Ellen"/>
    <x v="1"/>
    <n v="50"/>
    <n v="0"/>
    <n v="0"/>
    <n v="105"/>
    <n v="0"/>
    <s v="Southampton"/>
  </r>
  <r>
    <x v="0"/>
    <n v="3"/>
    <s v="O'Connor, Mr. Maurice"/>
    <x v="0"/>
    <m/>
    <n v="0"/>
    <n v="0"/>
    <n v="775"/>
    <n v="0"/>
    <s v="Queenstown"/>
  </r>
  <r>
    <x v="1"/>
    <n v="1"/>
    <s v="Anderson, Mr. Harry"/>
    <x v="0"/>
    <n v="48"/>
    <n v="0"/>
    <n v="0"/>
    <n v="2655"/>
    <n v="1"/>
    <s v="Southampton"/>
  </r>
  <r>
    <x v="0"/>
    <n v="3"/>
    <s v="Morley, Mr. William"/>
    <x v="0"/>
    <n v="34"/>
    <n v="0"/>
    <n v="0"/>
    <n v="805"/>
    <n v="0"/>
    <s v="Southampton"/>
  </r>
  <r>
    <x v="0"/>
    <n v="1"/>
    <s v="Gee, Mr. Arthur H"/>
    <x v="0"/>
    <n v="47"/>
    <n v="0"/>
    <n v="0"/>
    <n v="385"/>
    <n v="1"/>
    <s v="Southampton"/>
  </r>
  <r>
    <x v="0"/>
    <n v="2"/>
    <s v="Milling, Mr. Jacob Christian"/>
    <x v="0"/>
    <n v="48"/>
    <n v="0"/>
    <n v="0"/>
    <n v="13"/>
    <n v="0"/>
    <s v="Southampton"/>
  </r>
  <r>
    <x v="0"/>
    <n v="3"/>
    <s v="Maisner, Mr. Simon"/>
    <x v="0"/>
    <m/>
    <n v="0"/>
    <n v="0"/>
    <n v="805"/>
    <n v="0"/>
    <s v="Southampton"/>
  </r>
  <r>
    <x v="0"/>
    <n v="3"/>
    <s v="Goncalves, Mr. Manuel Estanslas"/>
    <x v="0"/>
    <n v="38"/>
    <n v="0"/>
    <n v="0"/>
    <n v="705"/>
    <n v="0"/>
    <s v="Southampton"/>
  </r>
  <r>
    <x v="0"/>
    <n v="2"/>
    <s v="Campbell, Mr. William"/>
    <x v="0"/>
    <m/>
    <n v="0"/>
    <n v="0"/>
    <n v="0"/>
    <n v="0"/>
    <s v="Southampton"/>
  </r>
  <r>
    <x v="0"/>
    <n v="1"/>
    <s v="Smart, Mr. John Montgomery"/>
    <x v="0"/>
    <n v="56"/>
    <n v="0"/>
    <n v="0"/>
    <n v="2655"/>
    <n v="0"/>
    <s v="Southampton"/>
  </r>
  <r>
    <x v="0"/>
    <n v="3"/>
    <s v="Scanlan, Mr. James"/>
    <x v="0"/>
    <m/>
    <n v="0"/>
    <n v="0"/>
    <n v="7725"/>
    <n v="0"/>
    <s v="Queenstown"/>
  </r>
  <r>
    <x v="1"/>
    <n v="3"/>
    <s v="Baclini, Miss. Helene Barbara"/>
    <x v="1"/>
    <n v="75"/>
    <n v="2"/>
    <n v="1"/>
    <n v="192583"/>
    <n v="0"/>
    <s v="Cherburg"/>
  </r>
  <r>
    <x v="0"/>
    <n v="3"/>
    <s v="Keefe, Mr. Arthur"/>
    <x v="0"/>
    <m/>
    <n v="0"/>
    <n v="0"/>
    <n v="725"/>
    <n v="0"/>
    <s v="Southampton"/>
  </r>
  <r>
    <x v="0"/>
    <n v="3"/>
    <s v="Cacic, Mr. Luka"/>
    <x v="0"/>
    <n v="38"/>
    <n v="0"/>
    <n v="0"/>
    <n v="86625"/>
    <n v="0"/>
    <s v="Southampton"/>
  </r>
  <r>
    <x v="1"/>
    <n v="2"/>
    <s v="West, Mrs. Edwy Arthur (Ada Mary Worth)"/>
    <x v="1"/>
    <n v="33"/>
    <n v="1"/>
    <n v="2"/>
    <n v="2775"/>
    <n v="0"/>
    <s v="Southampton"/>
  </r>
  <r>
    <x v="1"/>
    <n v="2"/>
    <s v="Jerwan, Mrs. Amin S (Marie Marthe Thuillard)"/>
    <x v="1"/>
    <n v="23"/>
    <n v="0"/>
    <n v="0"/>
    <n v="137917"/>
    <n v="1"/>
    <s v="Cherburg"/>
  </r>
  <r>
    <x v="0"/>
    <n v="3"/>
    <s v="Strandberg, Miss. Ida Sofia"/>
    <x v="1"/>
    <n v="22"/>
    <n v="0"/>
    <n v="0"/>
    <n v="98375"/>
    <n v="0"/>
    <s v="Southampton"/>
  </r>
  <r>
    <x v="0"/>
    <n v="1"/>
    <s v="Clifford, Mr. George Quincy"/>
    <x v="0"/>
    <m/>
    <n v="0"/>
    <n v="0"/>
    <n v="52"/>
    <n v="1"/>
    <s v="Southampton"/>
  </r>
  <r>
    <x v="0"/>
    <n v="2"/>
    <s v="Renouf, Mr. Peter Henry"/>
    <x v="0"/>
    <n v="34"/>
    <n v="1"/>
    <n v="0"/>
    <n v="21"/>
    <n v="0"/>
    <s v="Southampton"/>
  </r>
  <r>
    <x v="0"/>
    <n v="3"/>
    <s v="Braund, Mr. Lewis Richard"/>
    <x v="0"/>
    <n v="29"/>
    <n v="1"/>
    <n v="0"/>
    <n v="70458"/>
    <n v="0"/>
    <s v="Southampton"/>
  </r>
  <r>
    <x v="0"/>
    <n v="3"/>
    <s v="Karlsson, Mr. Nils August"/>
    <x v="0"/>
    <n v="22"/>
    <n v="0"/>
    <n v="0"/>
    <n v="75208"/>
    <n v="0"/>
    <s v="Southampton"/>
  </r>
  <r>
    <x v="1"/>
    <n v="3"/>
    <s v="Hirvonen, Miss. Hildur E"/>
    <x v="1"/>
    <n v="2"/>
    <n v="0"/>
    <n v="1"/>
    <n v="122875"/>
    <n v="0"/>
    <s v="Southampton"/>
  </r>
  <r>
    <x v="0"/>
    <n v="3"/>
    <s v="Goodwin, Master. Harold Victor"/>
    <x v="0"/>
    <n v="9"/>
    <n v="5"/>
    <n v="2"/>
    <n v="469"/>
    <n v="0"/>
    <s v="Southampton"/>
  </r>
  <r>
    <x v="0"/>
    <n v="2"/>
    <s v="Frost, Mr. Anthony Wood &quot;Archie&quot;"/>
    <x v="0"/>
    <m/>
    <n v="0"/>
    <n v="0"/>
    <n v="0"/>
    <n v="0"/>
    <s v="Southampton"/>
  </r>
  <r>
    <x v="0"/>
    <n v="3"/>
    <s v="Rouse, Mr. Richard Henry"/>
    <x v="0"/>
    <n v="50"/>
    <n v="0"/>
    <n v="0"/>
    <n v="805"/>
    <n v="0"/>
    <s v="Southampton"/>
  </r>
  <r>
    <x v="1"/>
    <n v="3"/>
    <s v="Turkula, Mrs. (Hedwig)"/>
    <x v="1"/>
    <n v="63"/>
    <n v="0"/>
    <n v="0"/>
    <n v="95875"/>
    <n v="0"/>
    <s v="Southampton"/>
  </r>
  <r>
    <x v="1"/>
    <n v="1"/>
    <s v="Bishop, Mr. Dickinson H"/>
    <x v="0"/>
    <n v="25"/>
    <n v="1"/>
    <n v="0"/>
    <n v="910792"/>
    <n v="1"/>
    <s v="Cherburg"/>
  </r>
  <r>
    <x v="0"/>
    <n v="3"/>
    <s v="Lefebre, Miss. Jeannie"/>
    <x v="1"/>
    <m/>
    <n v="3"/>
    <n v="1"/>
    <n v="254667"/>
    <n v="0"/>
    <s v="Southampton"/>
  </r>
  <r>
    <x v="1"/>
    <n v="1"/>
    <s v="Hoyt, Mrs. Frederick Maxfield (Jane Anne Forby)"/>
    <x v="1"/>
    <n v="35"/>
    <n v="1"/>
    <n v="0"/>
    <n v="90"/>
    <n v="1"/>
    <s v="Southampton"/>
  </r>
  <r>
    <x v="0"/>
    <n v="1"/>
    <s v="Kent, Mr. Edward Austin"/>
    <x v="0"/>
    <n v="58"/>
    <n v="0"/>
    <n v="0"/>
    <n v="297"/>
    <n v="1"/>
    <s v="Cherburg"/>
  </r>
  <r>
    <x v="0"/>
    <n v="3"/>
    <s v="Somerton, Mr. Francis William"/>
    <x v="0"/>
    <n v="30"/>
    <n v="0"/>
    <n v="0"/>
    <n v="805"/>
    <n v="0"/>
    <s v="Southampton"/>
  </r>
  <r>
    <x v="1"/>
    <n v="3"/>
    <s v="Coutts, Master. Eden Leslie &quot;Neville&quot;"/>
    <x v="0"/>
    <n v="9"/>
    <n v="1"/>
    <n v="1"/>
    <n v="159"/>
    <n v="0"/>
    <s v="Southampton"/>
  </r>
  <r>
    <x v="0"/>
    <n v="3"/>
    <s v="Hagland, Mr. Konrad Mathias Reiersen"/>
    <x v="0"/>
    <m/>
    <n v="1"/>
    <n v="0"/>
    <n v="199667"/>
    <n v="0"/>
    <s v="Southampton"/>
  </r>
  <r>
    <x v="0"/>
    <n v="3"/>
    <s v="Windelov, Mr. Einar"/>
    <x v="0"/>
    <n v="21"/>
    <n v="0"/>
    <n v="0"/>
    <n v="725"/>
    <n v="0"/>
    <s v="Southampton"/>
  </r>
  <r>
    <x v="0"/>
    <n v="1"/>
    <s v="Molson, Mr. Harry Markland"/>
    <x v="0"/>
    <n v="55"/>
    <n v="0"/>
    <n v="0"/>
    <n v="305"/>
    <n v="1"/>
    <s v="Southampton"/>
  </r>
  <r>
    <x v="0"/>
    <n v="1"/>
    <s v="Artagaveytia, Mr. Ramon"/>
    <x v="0"/>
    <n v="71"/>
    <n v="0"/>
    <n v="0"/>
    <n v="495042"/>
    <n v="0"/>
    <s v="Cherburg"/>
  </r>
  <r>
    <x v="0"/>
    <n v="3"/>
    <s v="Stanley, Mr. Edward Roland"/>
    <x v="0"/>
    <n v="21"/>
    <n v="0"/>
    <n v="0"/>
    <n v="805"/>
    <n v="0"/>
    <s v="Southampton"/>
  </r>
  <r>
    <x v="0"/>
    <n v="3"/>
    <s v="Yousseff, Mr. Gerious"/>
    <x v="0"/>
    <m/>
    <n v="0"/>
    <n v="0"/>
    <n v="144583"/>
    <n v="0"/>
    <s v="Cherburg"/>
  </r>
  <r>
    <x v="1"/>
    <n v="1"/>
    <s v="Eustis, Miss. Elizabeth Mussey"/>
    <x v="1"/>
    <n v="54"/>
    <n v="1"/>
    <n v="0"/>
    <n v="782667"/>
    <n v="1"/>
    <s v="Cherburg"/>
  </r>
  <r>
    <x v="0"/>
    <n v="3"/>
    <s v="Shellard, Mr. Frederick William"/>
    <x v="0"/>
    <m/>
    <n v="0"/>
    <n v="0"/>
    <n v="151"/>
    <n v="0"/>
    <s v="Southampton"/>
  </r>
  <r>
    <x v="0"/>
    <n v="1"/>
    <s v="Allison, Mrs. Hudson J C (Bessie Waldo Daniels)"/>
    <x v="1"/>
    <n v="25"/>
    <n v="1"/>
    <n v="2"/>
    <n v="15155"/>
    <n v="1"/>
    <s v="Southampton"/>
  </r>
  <r>
    <x v="0"/>
    <n v="3"/>
    <s v="Svensson, Mr. Olof"/>
    <x v="0"/>
    <n v="24"/>
    <n v="0"/>
    <n v="0"/>
    <n v="77958"/>
    <n v="0"/>
    <s v="Southampton"/>
  </r>
  <r>
    <x v="0"/>
    <n v="3"/>
    <s v="Calic, Mr. Petar"/>
    <x v="0"/>
    <n v="17"/>
    <n v="0"/>
    <n v="0"/>
    <n v="86625"/>
    <n v="0"/>
    <s v="Southampton"/>
  </r>
  <r>
    <x v="0"/>
    <n v="3"/>
    <s v="Canavan, Miss. Mary"/>
    <x v="1"/>
    <n v="21"/>
    <n v="0"/>
    <n v="0"/>
    <n v="775"/>
    <n v="0"/>
    <s v="Queenstown"/>
  </r>
  <r>
    <x v="0"/>
    <n v="3"/>
    <s v="O'Sullivan, Miss. Bridget Mary"/>
    <x v="1"/>
    <m/>
    <n v="0"/>
    <n v="0"/>
    <n v="76292"/>
    <n v="0"/>
    <s v="Queenstown"/>
  </r>
  <r>
    <x v="0"/>
    <n v="3"/>
    <s v="Laitinen, Miss. Kristina Sofia"/>
    <x v="1"/>
    <n v="37"/>
    <n v="0"/>
    <n v="0"/>
    <n v="95875"/>
    <n v="0"/>
    <s v="Southampton"/>
  </r>
  <r>
    <x v="1"/>
    <n v="1"/>
    <s v="Maioni, Miss. Roberta"/>
    <x v="1"/>
    <n v="16"/>
    <n v="0"/>
    <n v="0"/>
    <n v="865"/>
    <n v="1"/>
    <s v="Southampton"/>
  </r>
  <r>
    <x v="0"/>
    <n v="1"/>
    <s v="Penasco y Castellana, Mr. Victor de Satode"/>
    <x v="0"/>
    <n v="18"/>
    <n v="1"/>
    <n v="0"/>
    <n v="1089"/>
    <n v="1"/>
    <s v="Cherburg"/>
  </r>
  <r>
    <x v="1"/>
    <n v="2"/>
    <s v="Quick, Mrs. Frederick Charles (Jane Richards)"/>
    <x v="1"/>
    <n v="33"/>
    <n v="0"/>
    <n v="2"/>
    <n v="26"/>
    <n v="0"/>
    <s v="Southampton"/>
  </r>
  <r>
    <x v="1"/>
    <n v="1"/>
    <s v="Bradley, Mr. George (&quot;George Arthur Brayton&quot;)"/>
    <x v="0"/>
    <m/>
    <n v="0"/>
    <n v="0"/>
    <n v="2655"/>
    <n v="0"/>
    <s v="Southampton"/>
  </r>
  <r>
    <x v="0"/>
    <n v="3"/>
    <s v="Olsen, Mr. Henry Margido"/>
    <x v="0"/>
    <n v="28"/>
    <n v="0"/>
    <n v="0"/>
    <n v="22525"/>
    <n v="0"/>
    <s v="Southampton"/>
  </r>
  <r>
    <x v="1"/>
    <n v="3"/>
    <s v="Lang, Mr. Fang"/>
    <x v="0"/>
    <n v="26"/>
    <n v="0"/>
    <n v="0"/>
    <n v="564958"/>
    <n v="0"/>
    <s v="Southampton"/>
  </r>
  <r>
    <x v="1"/>
    <n v="3"/>
    <s v="Daly, Mr. Eugene Patrick"/>
    <x v="0"/>
    <n v="29"/>
    <n v="0"/>
    <n v="0"/>
    <n v="775"/>
    <n v="0"/>
    <s v="Queenstown"/>
  </r>
  <r>
    <x v="0"/>
    <n v="3"/>
    <s v="Webber, Mr. James"/>
    <x v="0"/>
    <m/>
    <n v="0"/>
    <n v="0"/>
    <n v="805"/>
    <n v="0"/>
    <s v="Southampton"/>
  </r>
  <r>
    <x v="1"/>
    <n v="1"/>
    <s v="McGough, Mr. James Robert"/>
    <x v="0"/>
    <n v="36"/>
    <n v="0"/>
    <n v="0"/>
    <n v="262875"/>
    <n v="1"/>
    <s v="Southampton"/>
  </r>
  <r>
    <x v="1"/>
    <n v="1"/>
    <s v="Rothschild, Mrs. Martin (Elizabeth L. Barrett)"/>
    <x v="1"/>
    <n v="54"/>
    <n v="1"/>
    <n v="0"/>
    <n v="594"/>
    <n v="0"/>
    <s v="Cherburg"/>
  </r>
  <r>
    <x v="0"/>
    <n v="3"/>
    <s v="Coleff, Mr. Satio"/>
    <x v="0"/>
    <n v="24"/>
    <n v="0"/>
    <n v="0"/>
    <n v="74958"/>
    <n v="0"/>
    <s v="Southampton"/>
  </r>
  <r>
    <x v="0"/>
    <n v="1"/>
    <s v="Walker, Mr. William Anderson"/>
    <x v="0"/>
    <n v="47"/>
    <n v="0"/>
    <n v="0"/>
    <n v="340208"/>
    <n v="1"/>
    <s v="Southampton"/>
  </r>
  <r>
    <x v="1"/>
    <n v="2"/>
    <s v="Lemore, Mrs. (Amelia Milley)"/>
    <x v="1"/>
    <n v="34"/>
    <n v="0"/>
    <n v="0"/>
    <n v="105"/>
    <n v="1"/>
    <s v="Southampton"/>
  </r>
  <r>
    <x v="0"/>
    <n v="3"/>
    <s v="Ryan, Mr. Patrick"/>
    <x v="0"/>
    <m/>
    <n v="0"/>
    <n v="0"/>
    <n v="2415"/>
    <n v="0"/>
    <s v="Queenstown"/>
  </r>
  <r>
    <x v="1"/>
    <n v="2"/>
    <s v="Angle, Mrs. William A (Florence &quot;Mary&quot; Agnes Hughes)"/>
    <x v="1"/>
    <n v="36"/>
    <n v="1"/>
    <n v="0"/>
    <n v="26"/>
    <n v="0"/>
    <s v="Southampton"/>
  </r>
  <r>
    <x v="0"/>
    <n v="3"/>
    <s v="Pavlovic, Mr. Stefo"/>
    <x v="0"/>
    <n v="32"/>
    <n v="0"/>
    <n v="0"/>
    <n v="78958"/>
    <n v="0"/>
    <s v="Southampton"/>
  </r>
  <r>
    <x v="1"/>
    <n v="1"/>
    <s v="Perreault, Miss. Anne"/>
    <x v="1"/>
    <n v="30"/>
    <n v="0"/>
    <n v="0"/>
    <n v="935"/>
    <n v="1"/>
    <s v="Southampton"/>
  </r>
  <r>
    <x v="0"/>
    <n v="3"/>
    <s v="Vovk, Mr. Janko"/>
    <x v="0"/>
    <n v="22"/>
    <n v="0"/>
    <n v="0"/>
    <n v="78958"/>
    <n v="0"/>
    <s v="Southampton"/>
  </r>
  <r>
    <x v="0"/>
    <n v="3"/>
    <s v="Lahoud, Mr. Sarkis"/>
    <x v="0"/>
    <m/>
    <n v="0"/>
    <n v="0"/>
    <n v="7225"/>
    <n v="0"/>
    <s v="Cherburg"/>
  </r>
  <r>
    <x v="1"/>
    <n v="1"/>
    <s v="Hippach, Mrs. Louis Albert (Ida Sophia Fischer)"/>
    <x v="1"/>
    <n v="44"/>
    <n v="0"/>
    <n v="1"/>
    <n v="579792"/>
    <n v="1"/>
    <s v="Cherburg"/>
  </r>
  <r>
    <x v="0"/>
    <n v="3"/>
    <s v="Kassem, Mr. Fared"/>
    <x v="0"/>
    <m/>
    <n v="0"/>
    <n v="0"/>
    <n v="72292"/>
    <n v="0"/>
    <s v="Cherburg"/>
  </r>
  <r>
    <x v="0"/>
    <n v="3"/>
    <s v="Farrell, Mr. James"/>
    <x v="0"/>
    <n v="405"/>
    <n v="0"/>
    <n v="0"/>
    <n v="775"/>
    <n v="0"/>
    <s v="Queenstown"/>
  </r>
  <r>
    <x v="1"/>
    <n v="2"/>
    <s v="Ridsdale, Miss. Lucy"/>
    <x v="1"/>
    <n v="50"/>
    <n v="0"/>
    <n v="0"/>
    <n v="105"/>
    <n v="0"/>
    <s v="Southampton"/>
  </r>
  <r>
    <x v="0"/>
    <n v="1"/>
    <s v="Farthing, Mr. John"/>
    <x v="0"/>
    <m/>
    <n v="0"/>
    <n v="0"/>
    <n v="2217792"/>
    <n v="1"/>
    <s v="Southampton"/>
  </r>
  <r>
    <x v="0"/>
    <n v="3"/>
    <s v="Salonen, Mr. Johan Werner"/>
    <x v="0"/>
    <n v="39"/>
    <n v="0"/>
    <n v="0"/>
    <n v="7925"/>
    <n v="0"/>
    <s v="Southampton"/>
  </r>
  <r>
    <x v="0"/>
    <n v="2"/>
    <s v="Hocking, Mr. Richard George"/>
    <x v="0"/>
    <n v="23"/>
    <n v="2"/>
    <n v="1"/>
    <n v="115"/>
    <n v="0"/>
    <s v="Southampton"/>
  </r>
  <r>
    <x v="1"/>
    <n v="2"/>
    <s v="Quick, Miss. Phyllis May"/>
    <x v="1"/>
    <n v="2"/>
    <n v="1"/>
    <n v="1"/>
    <n v="26"/>
    <n v="0"/>
    <s v="Southampton"/>
  </r>
  <r>
    <x v="0"/>
    <n v="3"/>
    <s v="Toufik, Mr. Nakli"/>
    <x v="0"/>
    <m/>
    <n v="0"/>
    <n v="0"/>
    <n v="72292"/>
    <n v="0"/>
    <s v="Cherburg"/>
  </r>
  <r>
    <x v="0"/>
    <n v="3"/>
    <s v="Elias, Mr. Joseph Jr"/>
    <x v="0"/>
    <n v="17"/>
    <n v="1"/>
    <n v="1"/>
    <n v="72292"/>
    <n v="0"/>
    <s v="Cherburg"/>
  </r>
  <r>
    <x v="1"/>
    <n v="3"/>
    <s v="Peter, Mrs. Catherine (Catherine Rizk)"/>
    <x v="1"/>
    <m/>
    <n v="0"/>
    <n v="2"/>
    <n v="223583"/>
    <n v="0"/>
    <s v="Cherburg"/>
  </r>
  <r>
    <x v="0"/>
    <n v="3"/>
    <s v="Cacic, Miss. Marija"/>
    <x v="1"/>
    <n v="30"/>
    <n v="0"/>
    <n v="0"/>
    <n v="86625"/>
    <n v="0"/>
    <s v="Southampton"/>
  </r>
  <r>
    <x v="1"/>
    <n v="2"/>
    <s v="Hart, Miss. Eva Miriam"/>
    <x v="1"/>
    <n v="7"/>
    <n v="0"/>
    <n v="2"/>
    <n v="2625"/>
    <n v="0"/>
    <s v="Southampton"/>
  </r>
  <r>
    <x v="0"/>
    <n v="1"/>
    <s v="Butt, Major. Archibald Willingham"/>
    <x v="0"/>
    <n v="45"/>
    <n v="0"/>
    <n v="0"/>
    <n v="2655"/>
    <n v="1"/>
    <s v="Southampton"/>
  </r>
  <r>
    <x v="1"/>
    <n v="1"/>
    <s v="LeRoy, Miss. Bertha"/>
    <x v="1"/>
    <n v="30"/>
    <n v="0"/>
    <n v="0"/>
    <n v="106425"/>
    <n v="0"/>
    <s v="Cherburg"/>
  </r>
  <r>
    <x v="0"/>
    <n v="3"/>
    <s v="Risien, Mr. Samuel Beard"/>
    <x v="0"/>
    <m/>
    <n v="0"/>
    <n v="0"/>
    <n v="145"/>
    <n v="0"/>
    <s v="Southampton"/>
  </r>
  <r>
    <x v="1"/>
    <n v="1"/>
    <s v="Frolicher, Miss. Hedwig Margaritha"/>
    <x v="1"/>
    <n v="22"/>
    <n v="0"/>
    <n v="2"/>
    <n v="495"/>
    <n v="1"/>
    <s v="Cherburg"/>
  </r>
  <r>
    <x v="1"/>
    <n v="1"/>
    <s v="Crosby, Miss. Harriet R"/>
    <x v="1"/>
    <n v="36"/>
    <n v="0"/>
    <n v="2"/>
    <n v="71"/>
    <n v="1"/>
    <s v="Southampton"/>
  </r>
  <r>
    <x v="0"/>
    <n v="3"/>
    <s v="Andersson, Miss. Ingeborg Constanzia"/>
    <x v="1"/>
    <n v="9"/>
    <n v="4"/>
    <n v="2"/>
    <n v="31275"/>
    <n v="0"/>
    <s v="Southampton"/>
  </r>
  <r>
    <x v="0"/>
    <n v="3"/>
    <s v="Andersson, Miss. Sigrid Elisabeth"/>
    <x v="1"/>
    <n v="11"/>
    <n v="4"/>
    <n v="2"/>
    <n v="31275"/>
    <n v="0"/>
    <s v="Southampton"/>
  </r>
  <r>
    <x v="1"/>
    <n v="2"/>
    <s v="Beane, Mr. Edward"/>
    <x v="0"/>
    <n v="32"/>
    <n v="1"/>
    <n v="0"/>
    <n v="26"/>
    <n v="0"/>
    <s v="Southampton"/>
  </r>
  <r>
    <x v="0"/>
    <n v="1"/>
    <s v="Douglas, Mr. Walter Donald"/>
    <x v="0"/>
    <n v="50"/>
    <n v="1"/>
    <n v="0"/>
    <n v="106425"/>
    <n v="1"/>
    <s v="Cherburg"/>
  </r>
  <r>
    <x v="0"/>
    <n v="1"/>
    <s v="Nicholson, Mr. Arthur Ernest"/>
    <x v="0"/>
    <n v="64"/>
    <n v="0"/>
    <n v="0"/>
    <n v="26"/>
    <n v="0"/>
    <s v="Southampton"/>
  </r>
  <r>
    <x v="1"/>
    <n v="2"/>
    <s v="Beane, Mrs. Edward (Ethel Clarke)"/>
    <x v="1"/>
    <n v="19"/>
    <n v="1"/>
    <n v="0"/>
    <n v="26"/>
    <n v="0"/>
    <s v="Southampton"/>
  </r>
  <r>
    <x v="1"/>
    <n v="2"/>
    <s v="Padro y Manent, Mr. Julian"/>
    <x v="0"/>
    <m/>
    <n v="0"/>
    <n v="0"/>
    <n v="138625"/>
    <n v="0"/>
    <s v="Cherburg"/>
  </r>
  <r>
    <x v="0"/>
    <n v="3"/>
    <s v="Goldsmith, Mr. Frank John"/>
    <x v="0"/>
    <n v="33"/>
    <n v="1"/>
    <n v="1"/>
    <n v="20525"/>
    <n v="0"/>
    <s v="Southampton"/>
  </r>
  <r>
    <x v="1"/>
    <n v="2"/>
    <s v="Davies, Master. John Morgan Jr"/>
    <x v="0"/>
    <n v="8"/>
    <n v="1"/>
    <n v="1"/>
    <n v="3675"/>
    <n v="0"/>
    <s v="Southampton"/>
  </r>
  <r>
    <x v="1"/>
    <n v="1"/>
    <s v="Thayer, Mr. John Borland Jr"/>
    <x v="0"/>
    <n v="17"/>
    <n v="0"/>
    <n v="2"/>
    <n v="1108833"/>
    <n v="1"/>
    <s v="Cherburg"/>
  </r>
  <r>
    <x v="0"/>
    <n v="2"/>
    <s v="Sharp, Mr. Percival James R"/>
    <x v="0"/>
    <n v="27"/>
    <n v="0"/>
    <n v="0"/>
    <n v="26"/>
    <n v="0"/>
    <s v="Southampton"/>
  </r>
  <r>
    <x v="0"/>
    <n v="3"/>
    <s v="O'Brien, Mr. Timothy"/>
    <x v="0"/>
    <m/>
    <n v="0"/>
    <n v="0"/>
    <n v="78292"/>
    <n v="0"/>
    <s v="Queenstown"/>
  </r>
  <r>
    <x v="1"/>
    <n v="3"/>
    <s v="Leeni, Mr. Fahim (&quot;Philip Zenni&quot;)"/>
    <x v="0"/>
    <n v="22"/>
    <n v="0"/>
    <n v="0"/>
    <n v="7225"/>
    <n v="0"/>
    <s v="Cherburg"/>
  </r>
  <r>
    <x v="1"/>
    <n v="3"/>
    <s v="Ohman, Miss. Velin"/>
    <x v="1"/>
    <n v="22"/>
    <n v="0"/>
    <n v="0"/>
    <n v="7775"/>
    <n v="0"/>
    <s v="Southampton"/>
  </r>
  <r>
    <x v="0"/>
    <n v="1"/>
    <s v="Wright, Mr. George"/>
    <x v="0"/>
    <n v="62"/>
    <n v="0"/>
    <n v="0"/>
    <n v="2655"/>
    <n v="0"/>
    <s v="Southampton"/>
  </r>
  <r>
    <x v="1"/>
    <n v="1"/>
    <s v="Duff Gordon, Lady. (Lucille Christiana Sutherland) (&quot;Mrs Morgan&quot;)"/>
    <x v="1"/>
    <n v="48"/>
    <n v="1"/>
    <n v="0"/>
    <n v="396"/>
    <n v="1"/>
    <s v="Cherburg"/>
  </r>
  <r>
    <x v="0"/>
    <n v="1"/>
    <s v="Robbins, Mr. Victor"/>
    <x v="0"/>
    <m/>
    <n v="0"/>
    <n v="0"/>
    <n v="227525"/>
    <n v="0"/>
    <s v="Cherburg"/>
  </r>
  <r>
    <x v="1"/>
    <n v="1"/>
    <s v="Taussig, Mrs. Emil (Tillie Mandelbaum)"/>
    <x v="1"/>
    <n v="39"/>
    <n v="1"/>
    <n v="1"/>
    <n v="7965"/>
    <n v="1"/>
    <s v="Southampton"/>
  </r>
  <r>
    <x v="1"/>
    <n v="3"/>
    <s v="de Messemaeker, Mrs. Guillaume Joseph (Emma)"/>
    <x v="1"/>
    <n v="36"/>
    <n v="1"/>
    <n v="0"/>
    <n v="174"/>
    <n v="0"/>
    <s v="Southampton"/>
  </r>
  <r>
    <x v="0"/>
    <n v="3"/>
    <s v="Morrow, Mr. Thomas Rowan"/>
    <x v="0"/>
    <m/>
    <n v="0"/>
    <n v="0"/>
    <n v="775"/>
    <n v="0"/>
    <s v="Queenstown"/>
  </r>
  <r>
    <x v="0"/>
    <n v="3"/>
    <s v="Sivic, Mr. Husein"/>
    <x v="0"/>
    <n v="40"/>
    <n v="0"/>
    <n v="0"/>
    <n v="78958"/>
    <n v="0"/>
    <s v="Southampton"/>
  </r>
  <r>
    <x v="0"/>
    <n v="2"/>
    <s v="Norman, Mr. Robert Douglas"/>
    <x v="0"/>
    <n v="28"/>
    <n v="0"/>
    <n v="0"/>
    <n v="135"/>
    <n v="0"/>
    <s v="Southampton"/>
  </r>
  <r>
    <x v="0"/>
    <n v="3"/>
    <s v="Simmons, Mr. John"/>
    <x v="0"/>
    <m/>
    <n v="0"/>
    <n v="0"/>
    <n v="805"/>
    <n v="0"/>
    <s v="Southampton"/>
  </r>
  <r>
    <x v="0"/>
    <n v="3"/>
    <s v="Meanwell, Miss. (Marion Ogden)"/>
    <x v="1"/>
    <m/>
    <n v="0"/>
    <n v="0"/>
    <n v="805"/>
    <n v="0"/>
    <s v="Southampton"/>
  </r>
  <r>
    <x v="0"/>
    <n v="3"/>
    <s v="Davies, Mr. Alfred J"/>
    <x v="0"/>
    <n v="24"/>
    <n v="2"/>
    <n v="0"/>
    <n v="2415"/>
    <n v="0"/>
    <s v="Southampton"/>
  </r>
  <r>
    <x v="0"/>
    <n v="3"/>
    <s v="Stoytcheff, Mr. Ilia"/>
    <x v="0"/>
    <n v="19"/>
    <n v="0"/>
    <n v="0"/>
    <n v="78958"/>
    <n v="0"/>
    <s v="Southampton"/>
  </r>
  <r>
    <x v="0"/>
    <n v="3"/>
    <s v="Palsson, Mrs. Nils (Alma Cornelia Berglund)"/>
    <x v="1"/>
    <n v="29"/>
    <n v="0"/>
    <n v="4"/>
    <n v="21075"/>
    <n v="0"/>
    <s v="Southampton"/>
  </r>
  <r>
    <x v="0"/>
    <n v="3"/>
    <s v="Doharr, Mr. Tannous"/>
    <x v="0"/>
    <m/>
    <n v="0"/>
    <n v="0"/>
    <n v="72292"/>
    <n v="0"/>
    <s v="Cherburg"/>
  </r>
  <r>
    <x v="1"/>
    <n v="3"/>
    <s v="Jonsson, Mr. Carl"/>
    <x v="0"/>
    <n v="32"/>
    <n v="0"/>
    <n v="0"/>
    <n v="78542"/>
    <n v="0"/>
    <s v="Southampton"/>
  </r>
  <r>
    <x v="1"/>
    <n v="2"/>
    <s v="Harris, Mr. George"/>
    <x v="0"/>
    <n v="62"/>
    <n v="0"/>
    <n v="0"/>
    <n v="105"/>
    <n v="0"/>
    <s v="Southampton"/>
  </r>
  <r>
    <x v="1"/>
    <n v="1"/>
    <s v="Appleton, Mrs. Edward Dale (Charlotte Lamson)"/>
    <x v="1"/>
    <n v="53"/>
    <n v="2"/>
    <n v="0"/>
    <n v="514792"/>
    <n v="1"/>
    <s v="Southampton"/>
  </r>
  <r>
    <x v="1"/>
    <n v="1"/>
    <s v="Flynn, Mr. John Irwin (&quot;Irving&quot;)"/>
    <x v="0"/>
    <n v="36"/>
    <n v="0"/>
    <n v="0"/>
    <n v="263875"/>
    <n v="1"/>
    <s v="Southampton"/>
  </r>
  <r>
    <x v="1"/>
    <n v="3"/>
    <s v="Kelly, Miss. Mary"/>
    <x v="1"/>
    <m/>
    <n v="0"/>
    <n v="0"/>
    <n v="775"/>
    <n v="0"/>
    <s v="Queenstown"/>
  </r>
  <r>
    <x v="0"/>
    <n v="3"/>
    <s v="Rush, Mr. Alfred George John"/>
    <x v="0"/>
    <n v="16"/>
    <n v="0"/>
    <n v="0"/>
    <n v="805"/>
    <n v="0"/>
    <s v="Southampton"/>
  </r>
  <r>
    <x v="0"/>
    <n v="3"/>
    <s v="Patchett, Mr. George"/>
    <x v="0"/>
    <n v="19"/>
    <n v="0"/>
    <n v="0"/>
    <n v="145"/>
    <n v="0"/>
    <s v="Southampton"/>
  </r>
  <r>
    <x v="1"/>
    <n v="2"/>
    <s v="Garside, Miss. Ethel"/>
    <x v="1"/>
    <n v="34"/>
    <n v="0"/>
    <n v="0"/>
    <n v="13"/>
    <n v="0"/>
    <s v="Southampton"/>
  </r>
  <r>
    <x v="1"/>
    <n v="1"/>
    <s v="Silvey, Mrs. William Baird (Alice Munger)"/>
    <x v="1"/>
    <n v="39"/>
    <n v="1"/>
    <n v="0"/>
    <n v="559"/>
    <n v="1"/>
    <s v="Southampton"/>
  </r>
  <r>
    <x v="0"/>
    <n v="3"/>
    <s v="Caram, Mrs. Joseph (Maria Elias)"/>
    <x v="1"/>
    <m/>
    <n v="1"/>
    <n v="0"/>
    <n v="144583"/>
    <n v="0"/>
    <s v="Cherburg"/>
  </r>
  <r>
    <x v="1"/>
    <n v="3"/>
    <s v="Jussila, Mr. Eiriik"/>
    <x v="0"/>
    <n v="32"/>
    <n v="0"/>
    <n v="0"/>
    <n v="7925"/>
    <n v="0"/>
    <s v="Southampton"/>
  </r>
  <r>
    <x v="1"/>
    <n v="2"/>
    <s v="Christy, Miss. Julie Rachel"/>
    <x v="1"/>
    <n v="25"/>
    <n v="1"/>
    <n v="1"/>
    <n v="30"/>
    <n v="0"/>
    <s v="Southampton"/>
  </r>
  <r>
    <x v="1"/>
    <n v="1"/>
    <s v="Thayer, Mrs. John Borland (Marian Longstreth Morris)"/>
    <x v="1"/>
    <n v="39"/>
    <n v="1"/>
    <n v="1"/>
    <n v="1108833"/>
    <n v="1"/>
    <s v="Cherburg"/>
  </r>
  <r>
    <x v="0"/>
    <n v="2"/>
    <s v="Downton, Mr. William James"/>
    <x v="0"/>
    <n v="54"/>
    <n v="0"/>
    <n v="0"/>
    <n v="26"/>
    <n v="0"/>
    <s v="Southampton"/>
  </r>
  <r>
    <x v="0"/>
    <n v="1"/>
    <s v="Ross, Mr. John Hugo"/>
    <x v="0"/>
    <n v="36"/>
    <n v="0"/>
    <n v="0"/>
    <n v="40125"/>
    <n v="1"/>
    <s v="Cherburg"/>
  </r>
  <r>
    <x v="0"/>
    <n v="3"/>
    <s v="Paulner, Mr. Uscher"/>
    <x v="0"/>
    <m/>
    <n v="0"/>
    <n v="0"/>
    <n v="87125"/>
    <n v="0"/>
    <s v="Cherburg"/>
  </r>
  <r>
    <x v="1"/>
    <n v="1"/>
    <s v="Taussig, Miss. Ruth"/>
    <x v="1"/>
    <n v="18"/>
    <n v="0"/>
    <n v="2"/>
    <n v="7965"/>
    <n v="1"/>
    <s v="Southampton"/>
  </r>
  <r>
    <x v="0"/>
    <n v="2"/>
    <s v="Jarvis, Mr. John Denzil"/>
    <x v="0"/>
    <n v="47"/>
    <n v="0"/>
    <n v="0"/>
    <n v="15"/>
    <n v="0"/>
    <s v="Southampton"/>
  </r>
  <r>
    <x v="1"/>
    <n v="1"/>
    <s v="Frolicher-Stehli, Mr. Maxmillian"/>
    <x v="0"/>
    <n v="60"/>
    <n v="1"/>
    <n v="1"/>
    <n v="792"/>
    <n v="1"/>
    <s v="Cherburg"/>
  </r>
  <r>
    <x v="0"/>
    <n v="3"/>
    <s v="Gilinski, Mr. Eliezer"/>
    <x v="0"/>
    <n v="22"/>
    <n v="0"/>
    <n v="0"/>
    <n v="805"/>
    <n v="0"/>
    <s v="Southampton"/>
  </r>
  <r>
    <x v="0"/>
    <n v="3"/>
    <s v="Murdlin, Mr. Joseph"/>
    <x v="0"/>
    <m/>
    <n v="0"/>
    <n v="0"/>
    <n v="805"/>
    <n v="0"/>
    <s v="Southampton"/>
  </r>
  <r>
    <x v="0"/>
    <n v="3"/>
    <s v="Rintamaki, Mr. Matti"/>
    <x v="0"/>
    <n v="35"/>
    <n v="0"/>
    <n v="0"/>
    <n v="7125"/>
    <n v="0"/>
    <s v="Southampton"/>
  </r>
  <r>
    <x v="1"/>
    <n v="1"/>
    <s v="Stephenson, Mrs. Walter Bertram (Martha Eustis)"/>
    <x v="1"/>
    <n v="52"/>
    <n v="1"/>
    <n v="0"/>
    <n v="782667"/>
    <n v="1"/>
    <s v="Cherburg"/>
  </r>
  <r>
    <x v="0"/>
    <n v="3"/>
    <s v="Elsbury, Mr. William James"/>
    <x v="0"/>
    <n v="47"/>
    <n v="0"/>
    <n v="0"/>
    <n v="725"/>
    <n v="0"/>
    <s v="Southampton"/>
  </r>
  <r>
    <x v="0"/>
    <n v="3"/>
    <s v="Bourke, Miss. Mary"/>
    <x v="1"/>
    <m/>
    <n v="0"/>
    <n v="2"/>
    <n v="775"/>
    <n v="0"/>
    <s v="Queenstown"/>
  </r>
  <r>
    <x v="0"/>
    <n v="2"/>
    <s v="Chapman, Mr. John Henry"/>
    <x v="0"/>
    <n v="37"/>
    <n v="1"/>
    <n v="0"/>
    <n v="26"/>
    <n v="0"/>
    <s v="Southampton"/>
  </r>
  <r>
    <x v="0"/>
    <n v="3"/>
    <s v="Van Impe, Mr. Jean Baptiste"/>
    <x v="0"/>
    <n v="36"/>
    <n v="1"/>
    <n v="1"/>
    <n v="2415"/>
    <n v="0"/>
    <s v="Southampton"/>
  </r>
  <r>
    <x v="1"/>
    <n v="2"/>
    <s v="Leitch, Miss. Jessie Wills"/>
    <x v="1"/>
    <m/>
    <n v="0"/>
    <n v="0"/>
    <n v="33"/>
    <n v="0"/>
    <s v="Southampton"/>
  </r>
  <r>
    <x v="0"/>
    <n v="3"/>
    <s v="Johnson, Mr. Alfred"/>
    <x v="0"/>
    <n v="49"/>
    <n v="0"/>
    <n v="0"/>
    <n v="0"/>
    <n v="0"/>
    <s v="Southampton"/>
  </r>
  <r>
    <x v="0"/>
    <n v="3"/>
    <s v="Boulos, Mr. Hanna"/>
    <x v="0"/>
    <m/>
    <n v="0"/>
    <n v="0"/>
    <n v="7225"/>
    <n v="0"/>
    <s v="Cherburg"/>
  </r>
  <r>
    <x v="1"/>
    <n v="1"/>
    <s v="Duff Gordon, Sir. Cosmo Edmund (&quot;Mr Morgan&quot;)"/>
    <x v="0"/>
    <n v="49"/>
    <n v="1"/>
    <n v="0"/>
    <n v="569292"/>
    <n v="1"/>
    <s v="Cherburg"/>
  </r>
  <r>
    <x v="1"/>
    <n v="2"/>
    <s v="Jacobsohn, Mrs. Sidney Samuel (Amy Frances Christy)"/>
    <x v="1"/>
    <n v="24"/>
    <n v="2"/>
    <n v="1"/>
    <n v="27"/>
    <n v="0"/>
    <s v="Southampton"/>
  </r>
  <r>
    <x v="0"/>
    <n v="3"/>
    <s v="Slabenoff, Mr. Petco"/>
    <x v="0"/>
    <m/>
    <n v="0"/>
    <n v="0"/>
    <n v="78958"/>
    <n v="0"/>
    <s v="Southampton"/>
  </r>
  <r>
    <x v="0"/>
    <n v="1"/>
    <s v="Harrington, Mr. Charles H"/>
    <x v="0"/>
    <m/>
    <n v="0"/>
    <n v="0"/>
    <n v="424"/>
    <n v="0"/>
    <s v="Southampton"/>
  </r>
  <r>
    <x v="0"/>
    <n v="3"/>
    <s v="Torber, Mr. Ernst William"/>
    <x v="0"/>
    <n v="44"/>
    <n v="0"/>
    <n v="0"/>
    <n v="805"/>
    <n v="0"/>
    <s v="Southampton"/>
  </r>
  <r>
    <x v="1"/>
    <n v="1"/>
    <s v="Homer, Mr. Harry (&quot;Mr E Haven&quot;)"/>
    <x v="0"/>
    <n v="35"/>
    <n v="0"/>
    <n v="0"/>
    <n v="2655"/>
    <n v="0"/>
    <s v="Cherburg"/>
  </r>
  <r>
    <x v="0"/>
    <n v="3"/>
    <s v="Lindell, Mr. Edvard Bengtsson"/>
    <x v="0"/>
    <n v="36"/>
    <n v="1"/>
    <n v="0"/>
    <n v="1555"/>
    <n v="0"/>
    <s v="Southampton"/>
  </r>
  <r>
    <x v="0"/>
    <n v="3"/>
    <s v="Karaic, Mr. Milan"/>
    <x v="0"/>
    <n v="30"/>
    <n v="0"/>
    <n v="0"/>
    <n v="78958"/>
    <n v="0"/>
    <s v="Southampton"/>
  </r>
  <r>
    <x v="1"/>
    <n v="1"/>
    <s v="Daniel, Mr. Robert Williams"/>
    <x v="0"/>
    <n v="27"/>
    <n v="0"/>
    <n v="0"/>
    <n v="305"/>
    <n v="0"/>
    <s v="Southampton"/>
  </r>
  <r>
    <x v="1"/>
    <n v="2"/>
    <s v="Laroche, Mrs. Joseph (Juliette Marie Louise Lafargue)"/>
    <x v="1"/>
    <n v="22"/>
    <n v="1"/>
    <n v="2"/>
    <n v="415792"/>
    <n v="0"/>
    <s v="Cherburg"/>
  </r>
  <r>
    <x v="1"/>
    <n v="1"/>
    <s v="Shutes, Miss. Elizabeth W"/>
    <x v="1"/>
    <n v="40"/>
    <n v="0"/>
    <n v="0"/>
    <n v="1534625"/>
    <n v="1"/>
    <s v="Southampton"/>
  </r>
  <r>
    <x v="0"/>
    <n v="3"/>
    <s v="Andersson, Mrs. Anders Johan (Alfrida Konstantia Brogren)"/>
    <x v="1"/>
    <n v="39"/>
    <n v="1"/>
    <n v="5"/>
    <n v="31275"/>
    <n v="0"/>
    <s v="Southampton"/>
  </r>
  <r>
    <x v="0"/>
    <n v="3"/>
    <s v="Jardin, Mr. Jose Neto"/>
    <x v="0"/>
    <m/>
    <n v="0"/>
    <n v="0"/>
    <n v="705"/>
    <n v="0"/>
    <s v="Southampton"/>
  </r>
  <r>
    <x v="1"/>
    <n v="3"/>
    <s v="Murphy, Miss. Margaret Jane"/>
    <x v="1"/>
    <m/>
    <n v="1"/>
    <n v="0"/>
    <n v="155"/>
    <n v="0"/>
    <s v="Queenstown"/>
  </r>
  <r>
    <x v="0"/>
    <n v="3"/>
    <s v="Horgan, Mr. John"/>
    <x v="0"/>
    <m/>
    <n v="0"/>
    <n v="0"/>
    <n v="775"/>
    <n v="0"/>
    <s v="Queenstown"/>
  </r>
  <r>
    <x v="0"/>
    <n v="3"/>
    <s v="Brocklebank, Mr. William Alfred"/>
    <x v="0"/>
    <n v="35"/>
    <n v="0"/>
    <n v="0"/>
    <n v="805"/>
    <n v="0"/>
    <s v="Southampton"/>
  </r>
  <r>
    <x v="1"/>
    <n v="2"/>
    <s v="Herman, Miss. Alice"/>
    <x v="1"/>
    <n v="24"/>
    <n v="1"/>
    <n v="2"/>
    <n v="65"/>
    <n v="0"/>
    <s v="Southampton"/>
  </r>
  <r>
    <x v="0"/>
    <n v="3"/>
    <s v="Danbom, Mr. Ernst Gilbert"/>
    <x v="0"/>
    <n v="34"/>
    <n v="1"/>
    <n v="1"/>
    <n v="144"/>
    <n v="0"/>
    <s v="Southampton"/>
  </r>
  <r>
    <x v="0"/>
    <n v="3"/>
    <s v="Lobb, Mrs. William Arthur (Cordelia K Stanlick)"/>
    <x v="1"/>
    <n v="26"/>
    <n v="1"/>
    <n v="0"/>
    <n v="161"/>
    <n v="0"/>
    <s v="Southampton"/>
  </r>
  <r>
    <x v="1"/>
    <n v="2"/>
    <s v="Becker, Miss. Marion Louise"/>
    <x v="1"/>
    <n v="4"/>
    <n v="2"/>
    <n v="1"/>
    <n v="39"/>
    <n v="1"/>
    <s v="Southampton"/>
  </r>
  <r>
    <x v="0"/>
    <n v="2"/>
    <s v="Gavey, Mr. Lawrence"/>
    <x v="0"/>
    <n v="26"/>
    <n v="0"/>
    <n v="0"/>
    <n v="105"/>
    <n v="0"/>
    <s v="Southampton"/>
  </r>
  <r>
    <x v="0"/>
    <n v="3"/>
    <s v="Yasbeck, Mr. Antoni"/>
    <x v="0"/>
    <n v="27"/>
    <n v="1"/>
    <n v="0"/>
    <n v="144542"/>
    <n v="0"/>
    <s v="Cherburg"/>
  </r>
  <r>
    <x v="1"/>
    <n v="1"/>
    <s v="Kimball, Mr. Edwin Nelson Jr"/>
    <x v="0"/>
    <n v="42"/>
    <n v="1"/>
    <n v="0"/>
    <n v="525542"/>
    <n v="1"/>
    <s v="Southampton"/>
  </r>
  <r>
    <x v="1"/>
    <n v="3"/>
    <s v="Nakid, Mr. Sahid"/>
    <x v="0"/>
    <n v="20"/>
    <n v="1"/>
    <n v="1"/>
    <n v="157417"/>
    <n v="0"/>
    <s v="Cherburg"/>
  </r>
  <r>
    <x v="0"/>
    <n v="3"/>
    <s v="Hansen, Mr. Henry Damsgaard"/>
    <x v="0"/>
    <n v="21"/>
    <n v="0"/>
    <n v="0"/>
    <n v="78542"/>
    <n v="0"/>
    <s v="Southampton"/>
  </r>
  <r>
    <x v="0"/>
    <n v="3"/>
    <s v="Bowen, Mr. David John &quot;Dai&quot;"/>
    <x v="0"/>
    <n v="21"/>
    <n v="0"/>
    <n v="0"/>
    <n v="161"/>
    <n v="0"/>
    <s v="Southampton"/>
  </r>
  <r>
    <x v="0"/>
    <n v="1"/>
    <s v="Sutton, Mr. Frederick"/>
    <x v="0"/>
    <n v="61"/>
    <n v="0"/>
    <n v="0"/>
    <n v="323208"/>
    <n v="1"/>
    <s v="Southampton"/>
  </r>
  <r>
    <x v="0"/>
    <n v="2"/>
    <s v="Kirkland, Rev. Charles Leonard"/>
    <x v="0"/>
    <n v="57"/>
    <n v="0"/>
    <n v="0"/>
    <n v="1235"/>
    <n v="0"/>
    <s v="Queenstown"/>
  </r>
  <r>
    <x v="1"/>
    <n v="1"/>
    <s v="Longley, Miss. Gretchen Fiske"/>
    <x v="1"/>
    <n v="21"/>
    <n v="0"/>
    <n v="0"/>
    <n v="779583"/>
    <n v="1"/>
    <s v="Southampton"/>
  </r>
  <r>
    <x v="0"/>
    <n v="3"/>
    <s v="Bostandyeff, Mr. Guentcho"/>
    <x v="0"/>
    <n v="26"/>
    <n v="0"/>
    <n v="0"/>
    <n v="78958"/>
    <n v="0"/>
    <s v="Southampton"/>
  </r>
  <r>
    <x v="0"/>
    <n v="3"/>
    <s v="O'Connell, Mr. Patrick D"/>
    <x v="0"/>
    <m/>
    <n v="0"/>
    <n v="0"/>
    <n v="77333"/>
    <n v="0"/>
    <s v="Queenstown"/>
  </r>
  <r>
    <x v="1"/>
    <n v="1"/>
    <s v="Barkworth, Mr. Algernon Henry Wilson"/>
    <x v="0"/>
    <n v="80"/>
    <n v="0"/>
    <n v="0"/>
    <n v="30"/>
    <n v="1"/>
    <s v="Southampton"/>
  </r>
  <r>
    <x v="0"/>
    <n v="3"/>
    <s v="Lundahl, Mr. Johan Svensson"/>
    <x v="0"/>
    <n v="51"/>
    <n v="0"/>
    <n v="0"/>
    <n v="70542"/>
    <n v="0"/>
    <s v="Southampton"/>
  </r>
  <r>
    <x v="1"/>
    <n v="1"/>
    <s v="Stahelin-Maeglin, Dr. Max"/>
    <x v="0"/>
    <n v="32"/>
    <n v="0"/>
    <n v="0"/>
    <n v="305"/>
    <n v="1"/>
    <s v="Cherburg"/>
  </r>
  <r>
    <x v="0"/>
    <n v="1"/>
    <s v="Parr, Mr. William Henry Marsh"/>
    <x v="0"/>
    <m/>
    <n v="0"/>
    <n v="0"/>
    <n v="0"/>
    <n v="0"/>
    <s v="Southampton"/>
  </r>
  <r>
    <x v="0"/>
    <n v="3"/>
    <s v="Skoog, Miss. Mabel"/>
    <x v="1"/>
    <n v="9"/>
    <n v="3"/>
    <n v="2"/>
    <n v="279"/>
    <n v="0"/>
    <s v="Southampton"/>
  </r>
  <r>
    <x v="1"/>
    <n v="2"/>
    <s v="Davis, Miss. Mary"/>
    <x v="1"/>
    <n v="28"/>
    <n v="0"/>
    <n v="0"/>
    <n v="13"/>
    <n v="0"/>
    <s v="Southampton"/>
  </r>
  <r>
    <x v="0"/>
    <n v="3"/>
    <s v="Leinonen, Mr. Antti Gustaf"/>
    <x v="0"/>
    <n v="32"/>
    <n v="0"/>
    <n v="0"/>
    <n v="7925"/>
    <n v="0"/>
    <s v="Southampton"/>
  </r>
  <r>
    <x v="0"/>
    <n v="2"/>
    <s v="Collyer, Mr. Harvey"/>
    <x v="0"/>
    <n v="31"/>
    <n v="1"/>
    <n v="1"/>
    <n v="2625"/>
    <n v="0"/>
    <s v="Southampton"/>
  </r>
  <r>
    <x v="0"/>
    <n v="3"/>
    <s v="Panula, Mrs. Juha (Maria Emilia Ojala)"/>
    <x v="1"/>
    <n v="41"/>
    <n v="0"/>
    <n v="5"/>
    <n v="396875"/>
    <n v="0"/>
    <s v="Southampton"/>
  </r>
  <r>
    <x v="0"/>
    <n v="3"/>
    <s v="Thorneycroft, Mr. Percival"/>
    <x v="0"/>
    <m/>
    <n v="1"/>
    <n v="0"/>
    <n v="161"/>
    <n v="0"/>
    <s v="Southampton"/>
  </r>
  <r>
    <x v="0"/>
    <n v="3"/>
    <s v="Jensen, Mr. Hans Peder"/>
    <x v="0"/>
    <n v="20"/>
    <n v="0"/>
    <n v="0"/>
    <n v="78542"/>
    <n v="0"/>
    <s v="Southampton"/>
  </r>
  <r>
    <x v="1"/>
    <n v="1"/>
    <s v="Sagesser, Mlle. Emma"/>
    <x v="1"/>
    <n v="24"/>
    <n v="0"/>
    <n v="0"/>
    <n v="693"/>
    <n v="1"/>
    <s v="Cherburg"/>
  </r>
  <r>
    <x v="0"/>
    <n v="3"/>
    <s v="Skoog, Miss. Margit Elizabeth"/>
    <x v="1"/>
    <n v="2"/>
    <n v="3"/>
    <n v="2"/>
    <n v="279"/>
    <n v="0"/>
    <s v="Southampton"/>
  </r>
  <r>
    <x v="1"/>
    <n v="3"/>
    <s v="Foo, Mr. Choong"/>
    <x v="0"/>
    <m/>
    <n v="0"/>
    <n v="0"/>
    <n v="564958"/>
    <n v="0"/>
    <s v="Southampton"/>
  </r>
  <r>
    <x v="1"/>
    <n v="3"/>
    <s v="Baclini, Miss. Eugenie"/>
    <x v="1"/>
    <n v="75"/>
    <n v="2"/>
    <n v="1"/>
    <n v="192583"/>
    <n v="0"/>
    <s v="Cherburg"/>
  </r>
  <r>
    <x v="1"/>
    <n v="1"/>
    <s v="Harper, Mr. Henry Sleeper"/>
    <x v="0"/>
    <n v="48"/>
    <n v="1"/>
    <n v="0"/>
    <n v="767292"/>
    <n v="1"/>
    <s v="Cherburg"/>
  </r>
  <r>
    <x v="0"/>
    <n v="3"/>
    <s v="Cor, Mr. Liudevit"/>
    <x v="0"/>
    <n v="19"/>
    <n v="0"/>
    <n v="0"/>
    <n v="78958"/>
    <n v="0"/>
    <s v="Southampton"/>
  </r>
  <r>
    <x v="1"/>
    <n v="1"/>
    <s v="Simonius-Blumer, Col. Oberst Alfons"/>
    <x v="0"/>
    <n v="56"/>
    <n v="0"/>
    <n v="0"/>
    <n v="355"/>
    <n v="1"/>
    <s v="Cherburg"/>
  </r>
  <r>
    <x v="0"/>
    <n v="3"/>
    <s v="Willey, Mr. Edward"/>
    <x v="0"/>
    <m/>
    <n v="0"/>
    <n v="0"/>
    <n v="755"/>
    <n v="0"/>
    <s v="Southampton"/>
  </r>
  <r>
    <x v="1"/>
    <n v="3"/>
    <s v="Stanley, Miss. Amy Zillah Elsie"/>
    <x v="1"/>
    <n v="23"/>
    <n v="0"/>
    <n v="0"/>
    <n v="755"/>
    <n v="0"/>
    <s v="Southampton"/>
  </r>
  <r>
    <x v="0"/>
    <n v="3"/>
    <s v="Mitkoff, Mr. Mito"/>
    <x v="0"/>
    <m/>
    <n v="0"/>
    <n v="0"/>
    <n v="78958"/>
    <n v="0"/>
    <s v="Southampton"/>
  </r>
  <r>
    <x v="1"/>
    <n v="2"/>
    <s v="Doling, Miss. Elsie"/>
    <x v="1"/>
    <n v="18"/>
    <n v="0"/>
    <n v="1"/>
    <n v="23"/>
    <n v="0"/>
    <s v="Southampton"/>
  </r>
  <r>
    <x v="0"/>
    <n v="3"/>
    <s v="Kalvik, Mr. Johannes Halvorsen"/>
    <x v="0"/>
    <n v="21"/>
    <n v="0"/>
    <n v="0"/>
    <n v="84333"/>
    <n v="0"/>
    <s v="Southampton"/>
  </r>
  <r>
    <x v="1"/>
    <n v="3"/>
    <s v="O'Leary, Miss. Hanora &quot;Norah&quot;"/>
    <x v="1"/>
    <m/>
    <n v="0"/>
    <n v="0"/>
    <n v="78292"/>
    <n v="0"/>
    <s v="Queenstown"/>
  </r>
  <r>
    <x v="0"/>
    <n v="3"/>
    <s v="Hegarty, Miss. Hanora &quot;Nora&quot;"/>
    <x v="1"/>
    <n v="18"/>
    <n v="0"/>
    <n v="0"/>
    <n v="675"/>
    <n v="0"/>
    <s v="Queenstown"/>
  </r>
  <r>
    <x v="0"/>
    <n v="2"/>
    <s v="Hickman, Mr. Leonard Mark"/>
    <x v="0"/>
    <n v="24"/>
    <n v="2"/>
    <n v="0"/>
    <n v="735"/>
    <n v="0"/>
    <s v="Southampton"/>
  </r>
  <r>
    <x v="0"/>
    <n v="3"/>
    <s v="Radeff, Mr. Alexander"/>
    <x v="0"/>
    <m/>
    <n v="0"/>
    <n v="0"/>
    <n v="78958"/>
    <n v="0"/>
    <s v="Southampton"/>
  </r>
  <r>
    <x v="0"/>
    <n v="3"/>
    <s v="Bourke, Mrs. John (Catherine)"/>
    <x v="1"/>
    <n v="32"/>
    <n v="1"/>
    <n v="1"/>
    <n v="155"/>
    <n v="0"/>
    <s v="Queenstown"/>
  </r>
  <r>
    <x v="0"/>
    <n v="2"/>
    <s v="Eitemiller, Mr. George Floyd"/>
    <x v="0"/>
    <n v="23"/>
    <n v="0"/>
    <n v="0"/>
    <n v="13"/>
    <n v="0"/>
    <s v="Southampton"/>
  </r>
  <r>
    <x v="0"/>
    <n v="1"/>
    <s v="Newell, Mr. Arthur Webster"/>
    <x v="0"/>
    <n v="58"/>
    <n v="0"/>
    <n v="2"/>
    <n v="113275"/>
    <n v="1"/>
    <s v="Cherburg"/>
  </r>
  <r>
    <x v="1"/>
    <n v="1"/>
    <s v="Frauenthal, Dr. Henry William"/>
    <x v="0"/>
    <n v="50"/>
    <n v="2"/>
    <n v="0"/>
    <n v="13365"/>
    <n v="0"/>
    <s v="Southampton"/>
  </r>
  <r>
    <x v="0"/>
    <n v="3"/>
    <s v="Badt, Mr. Mohamed"/>
    <x v="0"/>
    <n v="40"/>
    <n v="0"/>
    <n v="0"/>
    <n v="7225"/>
    <n v="0"/>
    <s v="Cherburg"/>
  </r>
  <r>
    <x v="0"/>
    <n v="1"/>
    <s v="Colley, Mr. Edward Pomeroy"/>
    <x v="0"/>
    <n v="47"/>
    <n v="0"/>
    <n v="0"/>
    <n v="255875"/>
    <n v="1"/>
    <s v="Southampton"/>
  </r>
  <r>
    <x v="0"/>
    <n v="3"/>
    <s v="Coleff, Mr. Peju"/>
    <x v="0"/>
    <n v="36"/>
    <n v="0"/>
    <n v="0"/>
    <n v="74958"/>
    <n v="0"/>
    <s v="Southampton"/>
  </r>
  <r>
    <x v="1"/>
    <n v="3"/>
    <s v="Lindqvist, Mr. Eino William"/>
    <x v="0"/>
    <n v="20"/>
    <n v="1"/>
    <n v="0"/>
    <n v="7925"/>
    <n v="0"/>
    <s v="Southampton"/>
  </r>
  <r>
    <x v="0"/>
    <n v="2"/>
    <s v="Hickman, Mr. Lewis"/>
    <x v="0"/>
    <n v="32"/>
    <n v="2"/>
    <n v="0"/>
    <n v="735"/>
    <n v="0"/>
    <s v="Southampton"/>
  </r>
  <r>
    <x v="0"/>
    <n v="2"/>
    <s v="Butler, Mr. Reginald Fenton"/>
    <x v="0"/>
    <n v="25"/>
    <n v="0"/>
    <n v="0"/>
    <n v="13"/>
    <n v="0"/>
    <s v="Southampton"/>
  </r>
  <r>
    <x v="0"/>
    <n v="3"/>
    <s v="Rommetvedt, Mr. Knud Paust"/>
    <x v="0"/>
    <m/>
    <n v="0"/>
    <n v="0"/>
    <n v="7775"/>
    <n v="0"/>
    <s v="Southampton"/>
  </r>
  <r>
    <x v="0"/>
    <n v="3"/>
    <s v="Cook, Mr. Jacob"/>
    <x v="0"/>
    <n v="43"/>
    <n v="0"/>
    <n v="0"/>
    <n v="805"/>
    <n v="0"/>
    <s v="Southampton"/>
  </r>
  <r>
    <x v="1"/>
    <n v="1"/>
    <s v="Taylor, Mrs. Elmer Zebley (Juliet Cummins Wright)"/>
    <x v="1"/>
    <m/>
    <n v="1"/>
    <n v="0"/>
    <n v="52"/>
    <n v="1"/>
    <s v="Southampton"/>
  </r>
  <r>
    <x v="1"/>
    <n v="2"/>
    <s v="Brown, Mrs. Thomas William Solomon (Elizabeth Catherine Ford)"/>
    <x v="1"/>
    <n v="40"/>
    <n v="1"/>
    <n v="1"/>
    <n v="39"/>
    <n v="0"/>
    <s v="Southampton"/>
  </r>
  <r>
    <x v="0"/>
    <n v="1"/>
    <s v="Davidson, Mr. Thornton"/>
    <x v="0"/>
    <n v="31"/>
    <n v="1"/>
    <n v="0"/>
    <n v="52"/>
    <n v="1"/>
    <s v="Southampton"/>
  </r>
  <r>
    <x v="0"/>
    <n v="2"/>
    <s v="Mitchell, Mr. Henry Michael"/>
    <x v="0"/>
    <n v="70"/>
    <n v="0"/>
    <n v="0"/>
    <n v="105"/>
    <n v="0"/>
    <s v="Southampton"/>
  </r>
  <r>
    <x v="1"/>
    <n v="2"/>
    <s v="Wilhelms, Mr. Charles"/>
    <x v="0"/>
    <n v="31"/>
    <n v="0"/>
    <n v="0"/>
    <n v="13"/>
    <n v="0"/>
    <s v="Southampton"/>
  </r>
  <r>
    <x v="0"/>
    <n v="2"/>
    <s v="Watson, Mr. Ennis Hastings"/>
    <x v="0"/>
    <m/>
    <n v="0"/>
    <n v="0"/>
    <n v="0"/>
    <n v="0"/>
    <s v="Southampton"/>
  </r>
  <r>
    <x v="0"/>
    <n v="3"/>
    <s v="Edvardsson, Mr. Gustaf Hjalmar"/>
    <x v="0"/>
    <n v="18"/>
    <n v="0"/>
    <n v="0"/>
    <n v="7775"/>
    <n v="0"/>
    <s v="Southampton"/>
  </r>
  <r>
    <x v="0"/>
    <n v="3"/>
    <s v="Sawyer, Mr. Frederick Charles"/>
    <x v="0"/>
    <n v="245"/>
    <n v="0"/>
    <n v="0"/>
    <n v="805"/>
    <n v="0"/>
    <s v="Southampton"/>
  </r>
  <r>
    <x v="1"/>
    <n v="3"/>
    <s v="Turja, Miss. Anna Sofia"/>
    <x v="1"/>
    <n v="18"/>
    <n v="0"/>
    <n v="0"/>
    <n v="98417"/>
    <n v="0"/>
    <s v="Southampton"/>
  </r>
  <r>
    <x v="0"/>
    <n v="3"/>
    <s v="Goodwin, Mrs. Frederick (Augusta Tyler)"/>
    <x v="1"/>
    <n v="43"/>
    <n v="1"/>
    <n v="6"/>
    <n v="469"/>
    <n v="0"/>
    <s v="Southampton"/>
  </r>
  <r>
    <x v="1"/>
    <n v="1"/>
    <s v="Cardeza, Mr. Thomas Drake Martinez"/>
    <x v="0"/>
    <n v="36"/>
    <n v="0"/>
    <n v="1"/>
    <n v="5123292"/>
    <n v="1"/>
    <s v="Cherburg"/>
  </r>
  <r>
    <x v="0"/>
    <n v="3"/>
    <s v="Peters, Miss. Katie"/>
    <x v="1"/>
    <m/>
    <n v="0"/>
    <n v="0"/>
    <n v="81375"/>
    <n v="0"/>
    <s v="Queenstown"/>
  </r>
  <r>
    <x v="1"/>
    <n v="1"/>
    <s v="Hassab, Mr. Hammad"/>
    <x v="0"/>
    <n v="27"/>
    <n v="0"/>
    <n v="0"/>
    <n v="767292"/>
    <n v="1"/>
    <s v="Cherburg"/>
  </r>
  <r>
    <x v="0"/>
    <n v="3"/>
    <s v="Olsvigen, Mr. Thor Anderson"/>
    <x v="0"/>
    <n v="20"/>
    <n v="0"/>
    <n v="0"/>
    <n v="9225"/>
    <n v="0"/>
    <s v="Southampton"/>
  </r>
  <r>
    <x v="0"/>
    <n v="3"/>
    <s v="Goodwin, Mr. Charles Edward"/>
    <x v="0"/>
    <n v="14"/>
    <n v="5"/>
    <n v="2"/>
    <n v="469"/>
    <n v="0"/>
    <s v="Southampton"/>
  </r>
  <r>
    <x v="0"/>
    <n v="2"/>
    <s v="Brown, Mr. Thomas William Solomon"/>
    <x v="0"/>
    <n v="60"/>
    <n v="1"/>
    <n v="1"/>
    <n v="39"/>
    <n v="0"/>
    <s v="Southampton"/>
  </r>
  <r>
    <x v="0"/>
    <n v="2"/>
    <s v="Laroche, Mr. Joseph Philippe Lemercier"/>
    <x v="0"/>
    <n v="25"/>
    <n v="1"/>
    <n v="2"/>
    <n v="415792"/>
    <n v="0"/>
    <s v="Cherburg"/>
  </r>
  <r>
    <x v="0"/>
    <n v="3"/>
    <s v="Panula, Mr. Jaako Arnold"/>
    <x v="0"/>
    <n v="14"/>
    <n v="4"/>
    <n v="1"/>
    <n v="396875"/>
    <n v="0"/>
    <s v="Southampton"/>
  </r>
  <r>
    <x v="0"/>
    <n v="3"/>
    <s v="Dakic, Mr. Branko"/>
    <x v="0"/>
    <n v="19"/>
    <n v="0"/>
    <n v="0"/>
    <n v="101708"/>
    <n v="0"/>
    <s v="Southampton"/>
  </r>
  <r>
    <x v="0"/>
    <n v="3"/>
    <s v="Fischer, Mr. Eberhard Thelander"/>
    <x v="0"/>
    <n v="18"/>
    <n v="0"/>
    <n v="0"/>
    <n v="77958"/>
    <n v="0"/>
    <s v="Southampton"/>
  </r>
  <r>
    <x v="1"/>
    <n v="1"/>
    <s v="Madill, Miss. Georgette Alexandra"/>
    <x v="1"/>
    <n v="15"/>
    <n v="0"/>
    <n v="1"/>
    <n v="2113375"/>
    <n v="1"/>
    <s v="Southampton"/>
  </r>
  <r>
    <x v="1"/>
    <n v="1"/>
    <s v="Dick, Mr. Albert Adrian"/>
    <x v="0"/>
    <n v="31"/>
    <n v="1"/>
    <n v="0"/>
    <n v="57"/>
    <n v="1"/>
    <s v="Southampton"/>
  </r>
  <r>
    <x v="1"/>
    <n v="3"/>
    <s v="Karun, Miss. Manca"/>
    <x v="1"/>
    <n v="4"/>
    <n v="0"/>
    <n v="1"/>
    <n v="134167"/>
    <n v="0"/>
    <s v="Cherburg"/>
  </r>
  <r>
    <x v="1"/>
    <n v="3"/>
    <s v="Lam, Mr. Ali"/>
    <x v="0"/>
    <m/>
    <n v="0"/>
    <n v="0"/>
    <n v="564958"/>
    <n v="0"/>
    <s v="Southampton"/>
  </r>
  <r>
    <x v="0"/>
    <n v="3"/>
    <s v="Saad, Mr. Khalil"/>
    <x v="0"/>
    <n v="25"/>
    <n v="0"/>
    <n v="0"/>
    <n v="7225"/>
    <n v="0"/>
    <s v="Cherburg"/>
  </r>
  <r>
    <x v="0"/>
    <n v="1"/>
    <s v="Weir, Col. John"/>
    <x v="0"/>
    <n v="60"/>
    <n v="0"/>
    <n v="0"/>
    <n v="2655"/>
    <n v="0"/>
    <s v="Southampton"/>
  </r>
  <r>
    <x v="0"/>
    <n v="2"/>
    <s v="Chapman, Mr. Charles Henry"/>
    <x v="0"/>
    <n v="52"/>
    <n v="0"/>
    <n v="0"/>
    <n v="135"/>
    <n v="0"/>
    <s v="Southampton"/>
  </r>
  <r>
    <x v="0"/>
    <n v="3"/>
    <s v="Kelly, Mr. James"/>
    <x v="0"/>
    <n v="44"/>
    <n v="0"/>
    <n v="0"/>
    <n v="805"/>
    <n v="0"/>
    <s v="Southampton"/>
  </r>
  <r>
    <x v="1"/>
    <n v="3"/>
    <s v="Mullens, Miss. Katherine &quot;Katie&quot;"/>
    <x v="1"/>
    <m/>
    <n v="0"/>
    <n v="0"/>
    <n v="77333"/>
    <n v="0"/>
    <s v="Queenstown"/>
  </r>
  <r>
    <x v="0"/>
    <n v="1"/>
    <s v="Thayer, Mr. John Borland"/>
    <x v="0"/>
    <n v="49"/>
    <n v="1"/>
    <n v="1"/>
    <n v="1108833"/>
    <n v="1"/>
    <s v="Cherburg"/>
  </r>
  <r>
    <x v="0"/>
    <n v="3"/>
    <s v="Humblen, Mr. Adolf Mathias Nicolai Olsen"/>
    <x v="0"/>
    <n v="42"/>
    <n v="0"/>
    <n v="0"/>
    <n v="765"/>
    <n v="1"/>
    <s v="Southampton"/>
  </r>
  <r>
    <x v="1"/>
    <n v="1"/>
    <s v="Astor, Mrs. John Jacob (Madeleine Talmadge Force)"/>
    <x v="1"/>
    <n v="18"/>
    <n v="1"/>
    <n v="0"/>
    <n v="227525"/>
    <n v="1"/>
    <s v="Cherburg"/>
  </r>
  <r>
    <x v="1"/>
    <n v="1"/>
    <s v="Silverthorne, Mr. Spencer Victor"/>
    <x v="0"/>
    <n v="35"/>
    <n v="0"/>
    <n v="0"/>
    <n v="262875"/>
    <n v="1"/>
    <s v="Southampton"/>
  </r>
  <r>
    <x v="0"/>
    <n v="3"/>
    <s v="Barbara, Miss. Saiide"/>
    <x v="1"/>
    <n v="18"/>
    <n v="0"/>
    <n v="1"/>
    <n v="144542"/>
    <n v="0"/>
    <s v="Cherburg"/>
  </r>
  <r>
    <x v="0"/>
    <n v="3"/>
    <s v="Gallagher, Mr. Martin"/>
    <x v="0"/>
    <n v="25"/>
    <n v="0"/>
    <n v="0"/>
    <n v="77417"/>
    <n v="0"/>
    <s v="Queenstown"/>
  </r>
  <r>
    <x v="0"/>
    <n v="3"/>
    <s v="Hansen, Mr. Henrik Juul"/>
    <x v="0"/>
    <n v="26"/>
    <n v="1"/>
    <n v="0"/>
    <n v="78542"/>
    <n v="0"/>
    <s v="Southampton"/>
  </r>
  <r>
    <x v="0"/>
    <n v="2"/>
    <s v="Morley, Mr. Henry Samuel (&quot;Mr Henry Marshall&quot;)"/>
    <x v="0"/>
    <n v="39"/>
    <n v="0"/>
    <n v="0"/>
    <n v="26"/>
    <n v="0"/>
    <s v="Southampton"/>
  </r>
  <r>
    <x v="1"/>
    <n v="2"/>
    <s v="Kelly, Mrs. Florence &quot;Fannie&quot;"/>
    <x v="1"/>
    <n v="45"/>
    <n v="0"/>
    <n v="0"/>
    <n v="135"/>
    <n v="0"/>
    <s v="Southampton"/>
  </r>
  <r>
    <x v="1"/>
    <n v="1"/>
    <s v="Calderhead, Mr. Edward Pennington"/>
    <x v="0"/>
    <n v="42"/>
    <n v="0"/>
    <n v="0"/>
    <n v="262875"/>
    <n v="1"/>
    <s v="Southampton"/>
  </r>
  <r>
    <x v="1"/>
    <n v="1"/>
    <s v="Cleaver, Miss. Alice"/>
    <x v="1"/>
    <n v="22"/>
    <n v="0"/>
    <n v="0"/>
    <n v="15155"/>
    <n v="0"/>
    <s v="Southampton"/>
  </r>
  <r>
    <x v="1"/>
    <n v="3"/>
    <s v="Moubarek, Master. Halim Gonios (&quot;William George&quot;)"/>
    <x v="0"/>
    <m/>
    <n v="1"/>
    <n v="1"/>
    <n v="152458"/>
    <n v="0"/>
    <s v="Cherburg"/>
  </r>
  <r>
    <x v="1"/>
    <n v="1"/>
    <s v="Mayne, Mlle. Berthe Antonine (&quot;Mrs de Villiers&quot;)"/>
    <x v="1"/>
    <n v="24"/>
    <n v="0"/>
    <n v="0"/>
    <n v="495042"/>
    <n v="1"/>
    <s v="Cherburg"/>
  </r>
  <r>
    <x v="0"/>
    <n v="1"/>
    <s v="Klaber, Mr. Herman"/>
    <x v="0"/>
    <m/>
    <n v="0"/>
    <n v="0"/>
    <n v="2655"/>
    <n v="1"/>
    <s v="Southampton"/>
  </r>
  <r>
    <x v="1"/>
    <n v="1"/>
    <s v="Taylor, Mr. Elmer Zebley"/>
    <x v="0"/>
    <n v="48"/>
    <n v="1"/>
    <n v="0"/>
    <n v="52"/>
    <n v="1"/>
    <s v="Southampton"/>
  </r>
  <r>
    <x v="0"/>
    <n v="3"/>
    <s v="Larsson, Mr. August Viktor"/>
    <x v="0"/>
    <n v="29"/>
    <n v="0"/>
    <n v="0"/>
    <n v="94833"/>
    <n v="0"/>
    <s v="Southampton"/>
  </r>
  <r>
    <x v="0"/>
    <n v="2"/>
    <s v="Greenberg, Mr. Samuel"/>
    <x v="0"/>
    <n v="52"/>
    <n v="0"/>
    <n v="0"/>
    <n v="13"/>
    <n v="0"/>
    <s v="Southampton"/>
  </r>
  <r>
    <x v="0"/>
    <n v="3"/>
    <s v="Soholt, Mr. Peter Andreas Lauritz Andersen"/>
    <x v="0"/>
    <n v="19"/>
    <n v="0"/>
    <n v="0"/>
    <n v="765"/>
    <n v="1"/>
    <s v="Southampton"/>
  </r>
  <r>
    <x v="1"/>
    <n v="1"/>
    <s v="Endres, Miss. Caroline Louise"/>
    <x v="1"/>
    <n v="38"/>
    <n v="0"/>
    <n v="0"/>
    <n v="227525"/>
    <n v="1"/>
    <s v="Cherburg"/>
  </r>
  <r>
    <x v="1"/>
    <n v="2"/>
    <s v="Troutt, Miss. Edwina Celia &quot;Winnie&quot;"/>
    <x v="1"/>
    <n v="27"/>
    <n v="0"/>
    <n v="0"/>
    <n v="105"/>
    <n v="1"/>
    <s v="Southampton"/>
  </r>
  <r>
    <x v="0"/>
    <n v="3"/>
    <s v="McEvoy, Mr. Michael"/>
    <x v="0"/>
    <m/>
    <n v="0"/>
    <n v="0"/>
    <n v="155"/>
    <n v="0"/>
    <s v="Queenstown"/>
  </r>
  <r>
    <x v="0"/>
    <n v="3"/>
    <s v="Johnson, Mr. Malkolm Joackim"/>
    <x v="0"/>
    <n v="33"/>
    <n v="0"/>
    <n v="0"/>
    <n v="7775"/>
    <n v="0"/>
    <s v="Southampton"/>
  </r>
  <r>
    <x v="1"/>
    <n v="2"/>
    <s v="Harper, Miss. Annie Jessie &quot;Nina&quot;"/>
    <x v="1"/>
    <n v="6"/>
    <n v="0"/>
    <n v="1"/>
    <n v="33"/>
    <n v="0"/>
    <s v="Southampton"/>
  </r>
  <r>
    <x v="0"/>
    <n v="3"/>
    <s v="Jensen, Mr. Svend Lauritz"/>
    <x v="0"/>
    <n v="17"/>
    <n v="1"/>
    <n v="0"/>
    <n v="70542"/>
    <n v="0"/>
    <s v="Southampton"/>
  </r>
  <r>
    <x v="0"/>
    <n v="2"/>
    <s v="Gillespie, Mr. William Henry"/>
    <x v="0"/>
    <n v="34"/>
    <n v="0"/>
    <n v="0"/>
    <n v="13"/>
    <n v="0"/>
    <s v="Southampton"/>
  </r>
  <r>
    <x v="0"/>
    <n v="2"/>
    <s v="Hodges, Mr. Henry Price"/>
    <x v="0"/>
    <n v="50"/>
    <n v="0"/>
    <n v="0"/>
    <n v="13"/>
    <n v="0"/>
    <s v="Southampton"/>
  </r>
  <r>
    <x v="1"/>
    <n v="1"/>
    <s v="Chambers, Mr. Norman Campbell"/>
    <x v="0"/>
    <n v="27"/>
    <n v="1"/>
    <n v="0"/>
    <n v="531"/>
    <n v="1"/>
    <s v="Southampton"/>
  </r>
  <r>
    <x v="0"/>
    <n v="3"/>
    <s v="Oreskovic, Mr. Luka"/>
    <x v="0"/>
    <n v="20"/>
    <n v="0"/>
    <n v="0"/>
    <n v="86625"/>
    <n v="0"/>
    <s v="Southampton"/>
  </r>
  <r>
    <x v="1"/>
    <n v="2"/>
    <s v="Renouf, Mrs. Peter Henry (Lillian Jefferys)"/>
    <x v="1"/>
    <n v="30"/>
    <n v="3"/>
    <n v="0"/>
    <n v="21"/>
    <n v="0"/>
    <s v="Southampton"/>
  </r>
  <r>
    <x v="1"/>
    <n v="3"/>
    <s v="Mannion, Miss. Margareth"/>
    <x v="1"/>
    <m/>
    <n v="0"/>
    <n v="0"/>
    <n v="77375"/>
    <n v="0"/>
    <s v="Queenstown"/>
  </r>
  <r>
    <x v="0"/>
    <n v="2"/>
    <s v="Bryhl, Mr. Kurt Arnold Gottfrid"/>
    <x v="0"/>
    <n v="25"/>
    <n v="1"/>
    <n v="0"/>
    <n v="26"/>
    <n v="0"/>
    <s v="Southampton"/>
  </r>
  <r>
    <x v="0"/>
    <n v="3"/>
    <s v="Ilmakangas, Miss. Pieta Sofia"/>
    <x v="1"/>
    <n v="25"/>
    <n v="1"/>
    <n v="0"/>
    <n v="7925"/>
    <n v="0"/>
    <s v="Southampton"/>
  </r>
  <r>
    <x v="1"/>
    <n v="1"/>
    <s v="Allen, Miss. Elisabeth Walton"/>
    <x v="1"/>
    <n v="29"/>
    <n v="0"/>
    <n v="0"/>
    <n v="2113375"/>
    <n v="1"/>
    <s v="Southampton"/>
  </r>
  <r>
    <x v="0"/>
    <n v="3"/>
    <s v="Hassan, Mr. Houssein G N"/>
    <x v="0"/>
    <n v="11"/>
    <n v="0"/>
    <n v="0"/>
    <n v="187875"/>
    <n v="0"/>
    <s v="Cherburg"/>
  </r>
  <r>
    <x v="0"/>
    <n v="2"/>
    <s v="Knight, Mr. Robert J"/>
    <x v="0"/>
    <m/>
    <n v="0"/>
    <n v="0"/>
    <n v="0"/>
    <n v="0"/>
    <s v="Southampton"/>
  </r>
  <r>
    <x v="0"/>
    <n v="2"/>
    <s v="Berriman, Mr. William John"/>
    <x v="0"/>
    <n v="23"/>
    <n v="0"/>
    <n v="0"/>
    <n v="13"/>
    <n v="0"/>
    <s v="Southampton"/>
  </r>
  <r>
    <x v="0"/>
    <n v="2"/>
    <s v="Troupiansky, Mr. Moses Aaron"/>
    <x v="0"/>
    <n v="23"/>
    <n v="0"/>
    <n v="0"/>
    <n v="13"/>
    <n v="0"/>
    <s v="Southampton"/>
  </r>
  <r>
    <x v="0"/>
    <n v="3"/>
    <s v="Williams, Mr. Leslie"/>
    <x v="0"/>
    <n v="285"/>
    <n v="0"/>
    <n v="0"/>
    <n v="161"/>
    <n v="0"/>
    <s v="Southampton"/>
  </r>
  <r>
    <x v="0"/>
    <n v="3"/>
    <s v="Ford, Mrs. Edward (Margaret Ann Watson)"/>
    <x v="1"/>
    <n v="48"/>
    <n v="1"/>
    <n v="3"/>
    <n v="34375"/>
    <n v="0"/>
    <s v="Southampton"/>
  </r>
  <r>
    <x v="1"/>
    <n v="1"/>
    <s v="Lesurer, Mr. Gustave J"/>
    <x v="0"/>
    <n v="35"/>
    <n v="0"/>
    <n v="0"/>
    <n v="5123292"/>
    <n v="1"/>
    <s v="Cherburg"/>
  </r>
  <r>
    <x v="0"/>
    <n v="3"/>
    <s v="Ivanoff, Mr. Kanio"/>
    <x v="0"/>
    <m/>
    <n v="0"/>
    <n v="0"/>
    <n v="78958"/>
    <n v="0"/>
    <s v="Southampton"/>
  </r>
  <r>
    <x v="0"/>
    <n v="3"/>
    <s v="Nankoff, Mr. Minko"/>
    <x v="0"/>
    <m/>
    <n v="0"/>
    <n v="0"/>
    <n v="78958"/>
    <n v="0"/>
    <s v="Southampton"/>
  </r>
  <r>
    <x v="1"/>
    <n v="1"/>
    <s v="Hawksford, Mr. Walter James"/>
    <x v="0"/>
    <m/>
    <n v="0"/>
    <n v="0"/>
    <n v="30"/>
    <n v="1"/>
    <s v="Southampton"/>
  </r>
  <r>
    <x v="0"/>
    <n v="1"/>
    <s v="Cavendish, Mr. Tyrell William"/>
    <x v="0"/>
    <n v="36"/>
    <n v="1"/>
    <n v="0"/>
    <n v="7885"/>
    <n v="1"/>
    <s v="Southampton"/>
  </r>
  <r>
    <x v="1"/>
    <n v="1"/>
    <s v="Ryerson, Miss. Susan Parker &quot;Suzette&quot;"/>
    <x v="1"/>
    <n v="21"/>
    <n v="2"/>
    <n v="2"/>
    <n v="262375"/>
    <n v="1"/>
    <s v="Cherburg"/>
  </r>
  <r>
    <x v="0"/>
    <n v="3"/>
    <s v="McNamee, Mr. Neal"/>
    <x v="0"/>
    <n v="24"/>
    <n v="1"/>
    <n v="0"/>
    <n v="161"/>
    <n v="0"/>
    <s v="Southampton"/>
  </r>
  <r>
    <x v="1"/>
    <n v="3"/>
    <s v="Stranden, Mr. Juho"/>
    <x v="0"/>
    <n v="31"/>
    <n v="0"/>
    <n v="0"/>
    <n v="7925"/>
    <n v="0"/>
    <s v="Southampton"/>
  </r>
  <r>
    <x v="0"/>
    <n v="1"/>
    <s v="Crosby, Capt. Edward Gifford"/>
    <x v="0"/>
    <n v="70"/>
    <n v="1"/>
    <n v="1"/>
    <n v="71"/>
    <n v="1"/>
    <s v="Southampton"/>
  </r>
  <r>
    <x v="0"/>
    <n v="3"/>
    <s v="Abbott, Mr. Rossmore Edward"/>
    <x v="0"/>
    <n v="16"/>
    <n v="1"/>
    <n v="1"/>
    <n v="2025"/>
    <n v="0"/>
    <s v="Southampton"/>
  </r>
  <r>
    <x v="1"/>
    <n v="2"/>
    <s v="Sinkkonen, Miss. Anna"/>
    <x v="1"/>
    <n v="30"/>
    <n v="0"/>
    <n v="0"/>
    <n v="13"/>
    <n v="0"/>
    <s v="Southampton"/>
  </r>
  <r>
    <x v="0"/>
    <n v="1"/>
    <s v="Marvin, Mr. Daniel Warner"/>
    <x v="0"/>
    <n v="19"/>
    <n v="1"/>
    <n v="0"/>
    <n v="531"/>
    <n v="1"/>
    <s v="Southampton"/>
  </r>
  <r>
    <x v="0"/>
    <n v="3"/>
    <s v="Connaghton, Mr. Michael"/>
    <x v="0"/>
    <n v="31"/>
    <n v="0"/>
    <n v="0"/>
    <n v="775"/>
    <n v="0"/>
    <s v="Queenstown"/>
  </r>
  <r>
    <x v="1"/>
    <n v="2"/>
    <s v="Wells, Miss. Joan"/>
    <x v="1"/>
    <n v="4"/>
    <n v="1"/>
    <n v="1"/>
    <n v="23"/>
    <n v="0"/>
    <s v="Southampton"/>
  </r>
  <r>
    <x v="1"/>
    <n v="3"/>
    <s v="Moor, Master. Meier"/>
    <x v="0"/>
    <n v="6"/>
    <n v="0"/>
    <n v="1"/>
    <n v="12475"/>
    <n v="1"/>
    <s v="Southampton"/>
  </r>
  <r>
    <x v="0"/>
    <n v="3"/>
    <s v="Vande Velde, Mr. Johannes Joseph"/>
    <x v="0"/>
    <n v="33"/>
    <n v="0"/>
    <n v="0"/>
    <n v="95"/>
    <n v="0"/>
    <s v="Southampton"/>
  </r>
  <r>
    <x v="0"/>
    <n v="3"/>
    <s v="Jonkoff, Mr. Lalio"/>
    <x v="0"/>
    <n v="23"/>
    <n v="0"/>
    <n v="0"/>
    <n v="78958"/>
    <n v="0"/>
    <s v="Southampton"/>
  </r>
  <r>
    <x v="1"/>
    <n v="2"/>
    <s v="Herman, Mrs. Samuel (Jane Laver)"/>
    <x v="1"/>
    <n v="48"/>
    <n v="1"/>
    <n v="2"/>
    <n v="65"/>
    <n v="0"/>
    <s v="Southampton"/>
  </r>
  <r>
    <x v="1"/>
    <n v="2"/>
    <s v="Hamalainen, Master. Viljo"/>
    <x v="0"/>
    <n v="67"/>
    <n v="1"/>
    <n v="1"/>
    <n v="145"/>
    <n v="0"/>
    <s v="Southampton"/>
  </r>
  <r>
    <x v="0"/>
    <n v="3"/>
    <s v="Carlsson, Mr. August Sigfrid"/>
    <x v="0"/>
    <n v="28"/>
    <n v="0"/>
    <n v="0"/>
    <n v="77958"/>
    <n v="0"/>
    <s v="Southampton"/>
  </r>
  <r>
    <x v="0"/>
    <n v="2"/>
    <s v="Bailey, Mr. Percy Andrew"/>
    <x v="0"/>
    <n v="18"/>
    <n v="0"/>
    <n v="0"/>
    <n v="115"/>
    <n v="0"/>
    <s v="Southampton"/>
  </r>
  <r>
    <x v="0"/>
    <n v="3"/>
    <s v="Theobald, Mr. Thomas Leonard"/>
    <x v="0"/>
    <n v="34"/>
    <n v="0"/>
    <n v="0"/>
    <n v="805"/>
    <n v="0"/>
    <s v="Southampton"/>
  </r>
  <r>
    <x v="1"/>
    <n v="1"/>
    <s v="Rothes, the Countess. of (Lucy Noel Martha Dyer-Edwards)"/>
    <x v="1"/>
    <n v="33"/>
    <n v="0"/>
    <n v="0"/>
    <n v="865"/>
    <n v="1"/>
    <s v="Southampton"/>
  </r>
  <r>
    <x v="0"/>
    <n v="3"/>
    <s v="Garfirth, Mr. John"/>
    <x v="0"/>
    <m/>
    <n v="0"/>
    <n v="0"/>
    <n v="145"/>
    <n v="0"/>
    <s v="Southampton"/>
  </r>
  <r>
    <x v="0"/>
    <n v="3"/>
    <s v="Nirva, Mr. Iisakki Antino Aijo"/>
    <x v="0"/>
    <n v="41"/>
    <n v="0"/>
    <n v="0"/>
    <n v="7125"/>
    <n v="0"/>
    <s v="Southampton"/>
  </r>
  <r>
    <x v="1"/>
    <n v="3"/>
    <s v="Barah, Mr. Hanna Assi"/>
    <x v="0"/>
    <n v="20"/>
    <n v="0"/>
    <n v="0"/>
    <n v="72292"/>
    <n v="0"/>
    <s v="Cherburg"/>
  </r>
  <r>
    <x v="1"/>
    <n v="1"/>
    <s v="Carter, Mrs. William Ernest (Lucile Polk)"/>
    <x v="1"/>
    <n v="36"/>
    <n v="1"/>
    <n v="2"/>
    <n v="120"/>
    <n v="1"/>
    <s v="Southampton"/>
  </r>
  <r>
    <x v="0"/>
    <n v="3"/>
    <s v="Eklund, Mr. Hans Linus"/>
    <x v="0"/>
    <n v="16"/>
    <n v="0"/>
    <n v="0"/>
    <n v="7775"/>
    <n v="0"/>
    <s v="Southampton"/>
  </r>
  <r>
    <x v="1"/>
    <n v="1"/>
    <s v="Hogeboom, Mrs. John C (Anna Andrews)"/>
    <x v="1"/>
    <n v="51"/>
    <n v="1"/>
    <n v="0"/>
    <n v="779583"/>
    <n v="1"/>
    <s v="Southampton"/>
  </r>
  <r>
    <x v="0"/>
    <n v="1"/>
    <s v="Brewe, Dr. Arthur Jackson"/>
    <x v="0"/>
    <m/>
    <n v="0"/>
    <n v="0"/>
    <n v="396"/>
    <n v="0"/>
    <s v="Cherburg"/>
  </r>
  <r>
    <x v="0"/>
    <n v="3"/>
    <s v="Mangan, Miss. Mary"/>
    <x v="1"/>
    <n v="305"/>
    <n v="0"/>
    <n v="0"/>
    <n v="775"/>
    <n v="0"/>
    <s v="Queenstown"/>
  </r>
  <r>
    <x v="0"/>
    <n v="3"/>
    <s v="Moran, Mr. Daniel J"/>
    <x v="0"/>
    <m/>
    <n v="1"/>
    <n v="0"/>
    <n v="2415"/>
    <n v="0"/>
    <s v="Queenstown"/>
  </r>
  <r>
    <x v="0"/>
    <n v="3"/>
    <s v="Gronnestad, Mr. Daniel Danielsen"/>
    <x v="0"/>
    <n v="32"/>
    <n v="0"/>
    <n v="0"/>
    <n v="83625"/>
    <n v="0"/>
    <s v="Southampton"/>
  </r>
  <r>
    <x v="0"/>
    <n v="3"/>
    <s v="Lievens, Mr. Rene Aime"/>
    <x v="0"/>
    <n v="24"/>
    <n v="0"/>
    <n v="0"/>
    <n v="95"/>
    <n v="0"/>
    <s v="Southampton"/>
  </r>
  <r>
    <x v="0"/>
    <n v="3"/>
    <s v="Jensen, Mr. Niels Peder"/>
    <x v="0"/>
    <n v="48"/>
    <n v="0"/>
    <n v="0"/>
    <n v="78542"/>
    <n v="0"/>
    <s v="Southampton"/>
  </r>
  <r>
    <x v="0"/>
    <n v="2"/>
    <s v="Mack, Mrs. (Mary)"/>
    <x v="1"/>
    <n v="57"/>
    <n v="0"/>
    <n v="0"/>
    <n v="105"/>
    <n v="1"/>
    <s v="Southampton"/>
  </r>
  <r>
    <x v="0"/>
    <n v="3"/>
    <s v="Elias, Mr. Dibo"/>
    <x v="0"/>
    <m/>
    <n v="0"/>
    <n v="0"/>
    <n v="7225"/>
    <n v="0"/>
    <s v="Cherburg"/>
  </r>
  <r>
    <x v="1"/>
    <n v="2"/>
    <s v="Hocking, Mrs. Elizabeth (Eliza Needs)"/>
    <x v="1"/>
    <n v="54"/>
    <n v="1"/>
    <n v="3"/>
    <n v="23"/>
    <n v="0"/>
    <s v="Southampton"/>
  </r>
  <r>
    <x v="0"/>
    <n v="3"/>
    <s v="Myhrman, Mr. Pehr Fabian Oliver Malkolm"/>
    <x v="0"/>
    <n v="18"/>
    <n v="0"/>
    <n v="0"/>
    <n v="775"/>
    <n v="0"/>
    <s v="Southampton"/>
  </r>
  <r>
    <x v="0"/>
    <n v="3"/>
    <s v="Tobin, Mr. Roger"/>
    <x v="0"/>
    <m/>
    <n v="0"/>
    <n v="0"/>
    <n v="775"/>
    <n v="1"/>
    <s v="Queenstown"/>
  </r>
  <r>
    <x v="1"/>
    <n v="3"/>
    <s v="Emanuel, Miss. Virginia Ethel"/>
    <x v="1"/>
    <n v="5"/>
    <n v="0"/>
    <n v="0"/>
    <n v="12475"/>
    <n v="0"/>
    <s v="Southampton"/>
  </r>
  <r>
    <x v="0"/>
    <n v="3"/>
    <s v="Kilgannon, Mr. Thomas J"/>
    <x v="0"/>
    <m/>
    <n v="0"/>
    <n v="0"/>
    <n v="77375"/>
    <n v="0"/>
    <s v="Queenstown"/>
  </r>
  <r>
    <x v="1"/>
    <n v="1"/>
    <s v="Robert, Mrs. Edward Scott (Elisabeth Walton McMillan)"/>
    <x v="1"/>
    <n v="43"/>
    <n v="0"/>
    <n v="1"/>
    <n v="2113375"/>
    <n v="1"/>
    <s v="Southampton"/>
  </r>
  <r>
    <x v="1"/>
    <n v="3"/>
    <s v="Ayoub, Miss. Banoura"/>
    <x v="1"/>
    <n v="13"/>
    <n v="0"/>
    <n v="0"/>
    <n v="72292"/>
    <n v="0"/>
    <s v="Cherburg"/>
  </r>
  <r>
    <x v="1"/>
    <n v="1"/>
    <s v="Dick, Mrs. Albert Adrian (Vera Gillespie)"/>
    <x v="1"/>
    <n v="17"/>
    <n v="1"/>
    <n v="0"/>
    <n v="57"/>
    <n v="1"/>
    <s v="Southampton"/>
  </r>
  <r>
    <x v="0"/>
    <n v="1"/>
    <s v="Long, Mr. Milton Clyde"/>
    <x v="0"/>
    <n v="29"/>
    <n v="0"/>
    <n v="0"/>
    <n v="30"/>
    <n v="1"/>
    <s v="Southampton"/>
  </r>
  <r>
    <x v="0"/>
    <n v="3"/>
    <s v="Johnston, Mr. Andrew G"/>
    <x v="0"/>
    <m/>
    <n v="1"/>
    <n v="2"/>
    <n v="2345"/>
    <n v="0"/>
    <s v="Southampton"/>
  </r>
  <r>
    <x v="0"/>
    <n v="3"/>
    <s v="Ali, Mr. William"/>
    <x v="0"/>
    <n v="25"/>
    <n v="0"/>
    <n v="0"/>
    <n v="705"/>
    <n v="0"/>
    <s v="Southampton"/>
  </r>
  <r>
    <x v="0"/>
    <n v="3"/>
    <s v="Harmer, Mr. Abraham (David Lishin)"/>
    <x v="0"/>
    <n v="25"/>
    <n v="0"/>
    <n v="0"/>
    <n v="725"/>
    <n v="0"/>
    <s v="Southampton"/>
  </r>
  <r>
    <x v="1"/>
    <n v="3"/>
    <s v="Sjoblom, Miss. Anna Sofia"/>
    <x v="1"/>
    <n v="18"/>
    <n v="0"/>
    <n v="0"/>
    <n v="74958"/>
    <n v="0"/>
    <s v="Southampton"/>
  </r>
  <r>
    <x v="0"/>
    <n v="3"/>
    <s v="Rice, Master. George Hugh"/>
    <x v="0"/>
    <n v="8"/>
    <n v="4"/>
    <n v="1"/>
    <n v="29125"/>
    <n v="0"/>
    <s v="Queenstown"/>
  </r>
  <r>
    <x v="1"/>
    <n v="3"/>
    <s v="Dean, Master. Bertram Vere"/>
    <x v="0"/>
    <n v="1"/>
    <n v="1"/>
    <n v="2"/>
    <n v="20575"/>
    <n v="0"/>
    <s v="Southampton"/>
  </r>
  <r>
    <x v="0"/>
    <n v="1"/>
    <s v="Guggenheim, Mr. Benjamin"/>
    <x v="0"/>
    <n v="46"/>
    <n v="0"/>
    <n v="0"/>
    <n v="792"/>
    <n v="1"/>
    <s v="Cherburg"/>
  </r>
  <r>
    <x v="0"/>
    <n v="3"/>
    <s v="Keane, Mr. Andrew &quot;Andy&quot;"/>
    <x v="0"/>
    <m/>
    <n v="0"/>
    <n v="0"/>
    <n v="775"/>
    <n v="0"/>
    <s v="Queenstown"/>
  </r>
  <r>
    <x v="0"/>
    <n v="2"/>
    <s v="Gaskell, Mr. Alfred"/>
    <x v="0"/>
    <n v="16"/>
    <n v="0"/>
    <n v="0"/>
    <n v="26"/>
    <n v="0"/>
    <s v="Southampton"/>
  </r>
  <r>
    <x v="0"/>
    <n v="3"/>
    <s v="Sage, Miss. Stella Anna"/>
    <x v="1"/>
    <m/>
    <n v="8"/>
    <n v="2"/>
    <n v="6955"/>
    <n v="0"/>
    <s v="Southampton"/>
  </r>
  <r>
    <x v="0"/>
    <n v="1"/>
    <s v="Hoyt, Mr. William Fisher"/>
    <x v="0"/>
    <m/>
    <n v="0"/>
    <n v="0"/>
    <n v="306958"/>
    <n v="0"/>
    <s v="Cherburg"/>
  </r>
  <r>
    <x v="0"/>
    <n v="3"/>
    <s v="Dantcheff, Mr. Ristiu"/>
    <x v="0"/>
    <n v="25"/>
    <n v="0"/>
    <n v="0"/>
    <n v="78958"/>
    <n v="0"/>
    <s v="Southampton"/>
  </r>
  <r>
    <x v="0"/>
    <n v="2"/>
    <s v="Otter, Mr. Richard"/>
    <x v="0"/>
    <n v="39"/>
    <n v="0"/>
    <n v="0"/>
    <n v="13"/>
    <n v="0"/>
    <s v="Southampton"/>
  </r>
  <r>
    <x v="1"/>
    <n v="1"/>
    <s v="Leader, Dr. Alice (Farnham)"/>
    <x v="1"/>
    <n v="49"/>
    <n v="0"/>
    <n v="0"/>
    <n v="259292"/>
    <n v="1"/>
    <s v="Southampton"/>
  </r>
  <r>
    <x v="1"/>
    <n v="3"/>
    <s v="Osman, Mrs. Mara"/>
    <x v="1"/>
    <n v="31"/>
    <n v="0"/>
    <n v="0"/>
    <n v="86833"/>
    <n v="0"/>
    <s v="Southampton"/>
  </r>
  <r>
    <x v="0"/>
    <n v="3"/>
    <s v="Ibrahim Shawah, Mr. Yousseff"/>
    <x v="0"/>
    <n v="30"/>
    <n v="0"/>
    <n v="0"/>
    <n v="72292"/>
    <n v="0"/>
    <s v="Cherburg"/>
  </r>
  <r>
    <x v="0"/>
    <n v="3"/>
    <s v="Van Impe, Mrs. Jean Baptiste (Rosalie Paula Govaert)"/>
    <x v="1"/>
    <n v="30"/>
    <n v="1"/>
    <n v="1"/>
    <n v="2415"/>
    <n v="0"/>
    <s v="Southampton"/>
  </r>
  <r>
    <x v="0"/>
    <n v="2"/>
    <s v="Ponesell, Mr. Martin"/>
    <x v="0"/>
    <n v="34"/>
    <n v="0"/>
    <n v="0"/>
    <n v="13"/>
    <n v="0"/>
    <s v="Southampton"/>
  </r>
  <r>
    <x v="1"/>
    <n v="2"/>
    <s v="Collyer, Mrs. Harvey (Charlotte Annie Tate)"/>
    <x v="1"/>
    <n v="31"/>
    <n v="1"/>
    <n v="1"/>
    <n v="2625"/>
    <n v="0"/>
    <s v="Southampton"/>
  </r>
  <r>
    <x v="1"/>
    <n v="1"/>
    <s v="Carter, Master. William Thornton II"/>
    <x v="0"/>
    <n v="11"/>
    <n v="1"/>
    <n v="2"/>
    <n v="120"/>
    <n v="1"/>
    <s v="Southampton"/>
  </r>
  <r>
    <x v="1"/>
    <n v="3"/>
    <s v="Thomas, Master. Assad Alexander"/>
    <x v="0"/>
    <n v="42"/>
    <n v="0"/>
    <n v="1"/>
    <n v="85167"/>
    <n v="0"/>
    <s v="Cherburg"/>
  </r>
  <r>
    <x v="1"/>
    <n v="3"/>
    <s v="Hedman, Mr. Oskar Arvid"/>
    <x v="0"/>
    <n v="27"/>
    <n v="0"/>
    <n v="0"/>
    <n v="6975"/>
    <n v="0"/>
    <s v="Southampton"/>
  </r>
  <r>
    <x v="0"/>
    <n v="3"/>
    <s v="Johansson, Mr. Karl Johan"/>
    <x v="0"/>
    <n v="31"/>
    <n v="0"/>
    <n v="0"/>
    <n v="7775"/>
    <n v="0"/>
    <s v="Southampton"/>
  </r>
  <r>
    <x v="0"/>
    <n v="1"/>
    <s v="Andrews, Mr. Thomas Jr"/>
    <x v="0"/>
    <n v="39"/>
    <n v="0"/>
    <n v="0"/>
    <n v="0"/>
    <n v="1"/>
    <s v="Southampton"/>
  </r>
  <r>
    <x v="0"/>
    <n v="3"/>
    <s v="Pettersson, Miss. Ellen Natalia"/>
    <x v="1"/>
    <n v="18"/>
    <n v="0"/>
    <n v="0"/>
    <n v="7775"/>
    <n v="0"/>
    <s v="Southampton"/>
  </r>
  <r>
    <x v="0"/>
    <n v="2"/>
    <s v="Meyer, Mr. August"/>
    <x v="0"/>
    <n v="39"/>
    <n v="0"/>
    <n v="0"/>
    <n v="13"/>
    <n v="0"/>
    <s v="Southampton"/>
  </r>
  <r>
    <x v="1"/>
    <n v="1"/>
    <s v="Chambers, Mrs. Norman Campbell (Bertha Griggs)"/>
    <x v="1"/>
    <n v="33"/>
    <n v="1"/>
    <n v="0"/>
    <n v="531"/>
    <n v="1"/>
    <s v="Southampton"/>
  </r>
  <r>
    <x v="0"/>
    <n v="3"/>
    <s v="Alexander, Mr. William"/>
    <x v="0"/>
    <n v="26"/>
    <n v="0"/>
    <n v="0"/>
    <n v="78875"/>
    <n v="0"/>
    <s v="Southampton"/>
  </r>
  <r>
    <x v="0"/>
    <n v="3"/>
    <s v="Lester, Mr. James"/>
    <x v="0"/>
    <n v="39"/>
    <n v="0"/>
    <n v="0"/>
    <n v="2415"/>
    <n v="0"/>
    <s v="Southampton"/>
  </r>
  <r>
    <x v="0"/>
    <n v="2"/>
    <s v="Slemen, Mr. Richard James"/>
    <x v="0"/>
    <n v="35"/>
    <n v="0"/>
    <n v="0"/>
    <n v="105"/>
    <n v="0"/>
    <s v="Southampton"/>
  </r>
  <r>
    <x v="0"/>
    <n v="3"/>
    <s v="Andersson, Miss. Ebba Iris Alfrida"/>
    <x v="1"/>
    <n v="6"/>
    <n v="4"/>
    <n v="2"/>
    <n v="31275"/>
    <n v="0"/>
    <s v="Southampton"/>
  </r>
  <r>
    <x v="0"/>
    <n v="3"/>
    <s v="Tomlin, Mr. Ernest Portage"/>
    <x v="0"/>
    <n v="305"/>
    <n v="0"/>
    <n v="0"/>
    <n v="805"/>
    <n v="0"/>
    <s v="Southampton"/>
  </r>
  <r>
    <x v="0"/>
    <n v="1"/>
    <s v="Fry, Mr. Richard"/>
    <x v="0"/>
    <m/>
    <n v="0"/>
    <n v="0"/>
    <n v="0"/>
    <n v="1"/>
    <s v="Southampton"/>
  </r>
  <r>
    <x v="0"/>
    <n v="3"/>
    <s v="Heininen, Miss. Wendla Maria"/>
    <x v="1"/>
    <n v="23"/>
    <n v="0"/>
    <n v="0"/>
    <n v="7925"/>
    <n v="0"/>
    <s v="Southampton"/>
  </r>
  <r>
    <x v="0"/>
    <n v="2"/>
    <s v="Mallet, Mr. Albert"/>
    <x v="0"/>
    <n v="31"/>
    <n v="1"/>
    <n v="1"/>
    <n v="370042"/>
    <n v="0"/>
    <s v="Cherburg"/>
  </r>
  <r>
    <x v="0"/>
    <n v="3"/>
    <s v="Holm, Mr. John Fredrik Alexander"/>
    <x v="0"/>
    <n v="43"/>
    <n v="0"/>
    <n v="0"/>
    <n v="645"/>
    <n v="0"/>
    <s v="Southampton"/>
  </r>
  <r>
    <x v="0"/>
    <n v="3"/>
    <s v="Skoog, Master. Karl Thorsten"/>
    <x v="0"/>
    <n v="10"/>
    <n v="3"/>
    <n v="2"/>
    <n v="279"/>
    <n v="0"/>
    <s v="Southampton"/>
  </r>
  <r>
    <x v="1"/>
    <n v="1"/>
    <s v="Hays, Mrs. Charles Melville (Clara Jennings Gregg)"/>
    <x v="1"/>
    <n v="52"/>
    <n v="1"/>
    <n v="1"/>
    <n v="935"/>
    <n v="1"/>
    <s v="Southampton"/>
  </r>
  <r>
    <x v="1"/>
    <n v="3"/>
    <s v="Lulic, Mr. Nikola"/>
    <x v="0"/>
    <n v="27"/>
    <n v="0"/>
    <n v="0"/>
    <n v="86625"/>
    <n v="0"/>
    <s v="Southampton"/>
  </r>
  <r>
    <x v="0"/>
    <n v="1"/>
    <s v="Reuchlin, Jonkheer. John George"/>
    <x v="0"/>
    <n v="38"/>
    <n v="0"/>
    <n v="0"/>
    <n v="0"/>
    <n v="0"/>
    <s v="Southampton"/>
  </r>
  <r>
    <x v="1"/>
    <n v="3"/>
    <s v="Moor, Mrs. (Beila)"/>
    <x v="1"/>
    <n v="27"/>
    <n v="0"/>
    <n v="1"/>
    <n v="12475"/>
    <n v="1"/>
    <s v="Southampton"/>
  </r>
  <r>
    <x v="0"/>
    <n v="3"/>
    <s v="Panula, Master. Urho Abraham"/>
    <x v="0"/>
    <n v="2"/>
    <n v="4"/>
    <n v="1"/>
    <n v="396875"/>
    <n v="0"/>
    <s v="Southampton"/>
  </r>
  <r>
    <x v="0"/>
    <n v="3"/>
    <s v="Flynn, Mr. John"/>
    <x v="0"/>
    <m/>
    <n v="0"/>
    <n v="0"/>
    <n v="695"/>
    <n v="0"/>
    <s v="Queenstown"/>
  </r>
  <r>
    <x v="0"/>
    <n v="3"/>
    <s v="Lam, Mr. Len"/>
    <x v="0"/>
    <m/>
    <n v="0"/>
    <n v="0"/>
    <n v="564958"/>
    <n v="0"/>
    <s v="Southampton"/>
  </r>
  <r>
    <x v="1"/>
    <n v="2"/>
    <s v="Mallet, Master. Andre"/>
    <x v="0"/>
    <n v="1"/>
    <n v="0"/>
    <n v="2"/>
    <n v="370042"/>
    <n v="0"/>
    <s v="Cherburg"/>
  </r>
  <r>
    <x v="1"/>
    <n v="3"/>
    <s v="McCormack, Mr. Thomas Joseph"/>
    <x v="0"/>
    <m/>
    <n v="0"/>
    <n v="0"/>
    <n v="775"/>
    <n v="0"/>
    <s v="Queenstown"/>
  </r>
  <r>
    <x v="1"/>
    <n v="1"/>
    <s v="Stone, Mrs. George Nelson (Martha Evelyn)"/>
    <x v="1"/>
    <n v="62"/>
    <n v="0"/>
    <n v="0"/>
    <n v="80"/>
    <n v="1"/>
    <m/>
  </r>
  <r>
    <x v="1"/>
    <n v="3"/>
    <s v="Yasbeck, Mrs. Antoni (Selini Alexander)"/>
    <x v="1"/>
    <n v="15"/>
    <n v="1"/>
    <n v="0"/>
    <n v="144542"/>
    <n v="0"/>
    <s v="Cherburg"/>
  </r>
  <r>
    <x v="1"/>
    <n v="2"/>
    <s v="Richards, Master. George Sibley"/>
    <x v="0"/>
    <n v="83"/>
    <n v="1"/>
    <n v="1"/>
    <n v="1875"/>
    <n v="0"/>
    <s v="Southampton"/>
  </r>
  <r>
    <x v="0"/>
    <n v="3"/>
    <s v="Saad, Mr. Amin"/>
    <x v="0"/>
    <m/>
    <n v="0"/>
    <n v="0"/>
    <n v="72292"/>
    <n v="0"/>
    <s v="Cherburg"/>
  </r>
  <r>
    <x v="0"/>
    <n v="3"/>
    <s v="Augustsson, Mr. Albert"/>
    <x v="0"/>
    <n v="23"/>
    <n v="0"/>
    <n v="0"/>
    <n v="78542"/>
    <n v="0"/>
    <s v="Southampton"/>
  </r>
  <r>
    <x v="0"/>
    <n v="3"/>
    <s v="Allum, Mr. Owen George"/>
    <x v="0"/>
    <n v="18"/>
    <n v="0"/>
    <n v="0"/>
    <n v="83"/>
    <n v="0"/>
    <s v="Southampton"/>
  </r>
  <r>
    <x v="1"/>
    <n v="1"/>
    <s v="Compton, Miss. Sara Rebecca"/>
    <x v="1"/>
    <n v="39"/>
    <n v="1"/>
    <n v="1"/>
    <n v="831583"/>
    <n v="1"/>
    <s v="Cherburg"/>
  </r>
  <r>
    <x v="0"/>
    <n v="3"/>
    <s v="Pasic, Mr. Jakob"/>
    <x v="0"/>
    <n v="21"/>
    <n v="0"/>
    <n v="0"/>
    <n v="86625"/>
    <n v="0"/>
    <s v="Southampton"/>
  </r>
  <r>
    <x v="0"/>
    <n v="3"/>
    <s v="Sirota, Mr. Maurice"/>
    <x v="0"/>
    <m/>
    <n v="0"/>
    <n v="0"/>
    <n v="805"/>
    <n v="0"/>
    <s v="Southampton"/>
  </r>
  <r>
    <x v="1"/>
    <n v="3"/>
    <s v="Chip, Mr. Chang"/>
    <x v="0"/>
    <n v="32"/>
    <n v="0"/>
    <n v="0"/>
    <n v="564958"/>
    <n v="0"/>
    <s v="Southampton"/>
  </r>
  <r>
    <x v="1"/>
    <n v="1"/>
    <s v="Marechal, Mr. Pierre"/>
    <x v="0"/>
    <m/>
    <n v="0"/>
    <n v="0"/>
    <n v="297"/>
    <n v="1"/>
    <s v="Cherburg"/>
  </r>
  <r>
    <x v="0"/>
    <n v="3"/>
    <s v="Alhomaki, Mr. Ilmari Rudolf"/>
    <x v="0"/>
    <n v="20"/>
    <n v="0"/>
    <n v="0"/>
    <n v="7925"/>
    <n v="0"/>
    <s v="Southampton"/>
  </r>
  <r>
    <x v="0"/>
    <n v="2"/>
    <s v="Mudd, Mr. Thomas Charles"/>
    <x v="0"/>
    <n v="16"/>
    <n v="0"/>
    <n v="0"/>
    <n v="105"/>
    <n v="0"/>
    <s v="Southampton"/>
  </r>
  <r>
    <x v="1"/>
    <n v="1"/>
    <s v="Serepeca, Miss. Augusta"/>
    <x v="1"/>
    <n v="30"/>
    <n v="0"/>
    <n v="0"/>
    <n v="31"/>
    <n v="0"/>
    <s v="Cherburg"/>
  </r>
  <r>
    <x v="0"/>
    <n v="3"/>
    <s v="Lemberopolous, Mr. Peter L"/>
    <x v="0"/>
    <n v="345"/>
    <n v="0"/>
    <n v="0"/>
    <n v="64375"/>
    <n v="0"/>
    <s v="Cherburg"/>
  </r>
  <r>
    <x v="0"/>
    <n v="3"/>
    <s v="Culumovic, Mr. Jeso"/>
    <x v="0"/>
    <n v="17"/>
    <n v="0"/>
    <n v="0"/>
    <n v="86625"/>
    <n v="0"/>
    <s v="Southampton"/>
  </r>
  <r>
    <x v="0"/>
    <n v="3"/>
    <s v="Abbing, Mr. Anthony"/>
    <x v="0"/>
    <n v="42"/>
    <n v="0"/>
    <n v="0"/>
    <n v="755"/>
    <n v="0"/>
    <s v="Southampton"/>
  </r>
  <r>
    <x v="0"/>
    <n v="3"/>
    <s v="Sage, Mr. Douglas Bullen"/>
    <x v="0"/>
    <m/>
    <n v="8"/>
    <n v="2"/>
    <n v="6955"/>
    <n v="0"/>
    <s v="Southampton"/>
  </r>
  <r>
    <x v="0"/>
    <n v="3"/>
    <s v="Markoff, Mr. Marin"/>
    <x v="0"/>
    <n v="35"/>
    <n v="0"/>
    <n v="0"/>
    <n v="78958"/>
    <n v="0"/>
    <s v="Cherburg"/>
  </r>
  <r>
    <x v="0"/>
    <n v="2"/>
    <s v="Harper, Rev. John"/>
    <x v="0"/>
    <n v="28"/>
    <n v="0"/>
    <n v="1"/>
    <n v="33"/>
    <n v="0"/>
    <s v="Southampton"/>
  </r>
  <r>
    <x v="1"/>
    <n v="1"/>
    <s v="Goldenberg, Mrs. Samuel L (Edwiga Grabowska)"/>
    <x v="1"/>
    <m/>
    <n v="1"/>
    <n v="0"/>
    <n v="891042"/>
    <n v="1"/>
    <s v="Cherburg"/>
  </r>
  <r>
    <x v="0"/>
    <n v="3"/>
    <s v="Andersson, Master. Sigvard Harald Elias"/>
    <x v="0"/>
    <n v="4"/>
    <n v="4"/>
    <n v="2"/>
    <n v="31275"/>
    <n v="0"/>
    <s v="Southampton"/>
  </r>
  <r>
    <x v="0"/>
    <n v="3"/>
    <s v="Svensson, Mr. Johan"/>
    <x v="0"/>
    <n v="74"/>
    <n v="0"/>
    <n v="0"/>
    <n v="7775"/>
    <n v="0"/>
    <s v="Southampton"/>
  </r>
  <r>
    <x v="0"/>
    <n v="3"/>
    <s v="Boulos, Miss. Nourelain"/>
    <x v="1"/>
    <n v="9"/>
    <n v="1"/>
    <n v="1"/>
    <n v="152458"/>
    <n v="0"/>
    <s v="Cherburg"/>
  </r>
  <r>
    <x v="1"/>
    <n v="1"/>
    <s v="Lines, Miss. Mary Conover"/>
    <x v="1"/>
    <n v="16"/>
    <n v="0"/>
    <n v="1"/>
    <n v="394"/>
    <n v="1"/>
    <s v="Southampton"/>
  </r>
  <r>
    <x v="0"/>
    <n v="2"/>
    <s v="Carter, Mrs. Ernest Courtenay (Lilian Hughes)"/>
    <x v="1"/>
    <n v="44"/>
    <n v="1"/>
    <n v="0"/>
    <n v="26"/>
    <n v="0"/>
    <s v="Southampton"/>
  </r>
  <r>
    <x v="1"/>
    <n v="3"/>
    <s v="Aks, Mrs. Sam (Leah Rosen)"/>
    <x v="1"/>
    <n v="18"/>
    <n v="0"/>
    <n v="1"/>
    <n v="935"/>
    <n v="0"/>
    <s v="Southampton"/>
  </r>
  <r>
    <x v="1"/>
    <n v="1"/>
    <s v="Wick, Mrs. George Dennick (Mary Hitchcock)"/>
    <x v="1"/>
    <n v="45"/>
    <n v="1"/>
    <n v="1"/>
    <n v="1648667"/>
    <n v="0"/>
    <s v="Southampton"/>
  </r>
  <r>
    <x v="1"/>
    <n v="1"/>
    <s v="Daly, Mr. Peter Denis "/>
    <x v="0"/>
    <n v="51"/>
    <n v="0"/>
    <n v="0"/>
    <n v="2655"/>
    <n v="1"/>
    <s v="Southampton"/>
  </r>
  <r>
    <x v="1"/>
    <n v="3"/>
    <s v="Baclini, Mrs. Solomon (Latifa Qurban)"/>
    <x v="1"/>
    <n v="24"/>
    <n v="0"/>
    <n v="3"/>
    <n v="192583"/>
    <n v="0"/>
    <s v="Cherburg"/>
  </r>
  <r>
    <x v="0"/>
    <n v="3"/>
    <s v="Razi, Mr. Raihed"/>
    <x v="0"/>
    <m/>
    <n v="0"/>
    <n v="0"/>
    <n v="72292"/>
    <n v="0"/>
    <s v="Cherburg"/>
  </r>
  <r>
    <x v="0"/>
    <n v="3"/>
    <s v="Hansen, Mr. Claus Peter"/>
    <x v="0"/>
    <n v="41"/>
    <n v="2"/>
    <n v="0"/>
    <n v="141083"/>
    <n v="0"/>
    <s v="Southampton"/>
  </r>
  <r>
    <x v="0"/>
    <n v="2"/>
    <s v="Giles, Mr. Frederick Edward"/>
    <x v="0"/>
    <n v="21"/>
    <n v="1"/>
    <n v="0"/>
    <n v="115"/>
    <n v="0"/>
    <s v="Southampton"/>
  </r>
  <r>
    <x v="1"/>
    <n v="1"/>
    <s v="Swift, Mrs. Frederick Joel (Margaret Welles Barron)"/>
    <x v="1"/>
    <n v="48"/>
    <n v="0"/>
    <n v="0"/>
    <n v="259292"/>
    <n v="1"/>
    <s v="Southampton"/>
  </r>
  <r>
    <x v="0"/>
    <n v="3"/>
    <s v="Sage, Miss. Dorothy Edith &quot;Dolly&quot;"/>
    <x v="1"/>
    <m/>
    <n v="8"/>
    <n v="2"/>
    <n v="6955"/>
    <n v="0"/>
    <s v="Southampton"/>
  </r>
  <r>
    <x v="0"/>
    <n v="2"/>
    <s v="Gill, Mr. John William"/>
    <x v="0"/>
    <n v="24"/>
    <n v="0"/>
    <n v="0"/>
    <n v="13"/>
    <n v="0"/>
    <s v="Southampton"/>
  </r>
  <r>
    <x v="1"/>
    <n v="2"/>
    <s v="Bystrom, Mrs. (Karolina)"/>
    <x v="1"/>
    <n v="42"/>
    <n v="0"/>
    <n v="0"/>
    <n v="13"/>
    <n v="0"/>
    <s v="Southampton"/>
  </r>
  <r>
    <x v="1"/>
    <n v="2"/>
    <s v="Duran y More, Miss. Asuncion"/>
    <x v="1"/>
    <n v="27"/>
    <n v="1"/>
    <n v="0"/>
    <n v="138583"/>
    <n v="0"/>
    <s v="Cherburg"/>
  </r>
  <r>
    <x v="0"/>
    <n v="1"/>
    <s v="Roebling, Mr. Washington Augustus II"/>
    <x v="0"/>
    <n v="31"/>
    <n v="0"/>
    <n v="0"/>
    <n v="504958"/>
    <n v="1"/>
    <s v="Southampton"/>
  </r>
  <r>
    <x v="0"/>
    <n v="3"/>
    <s v="van Melkebeke, Mr. Philemon"/>
    <x v="0"/>
    <m/>
    <n v="0"/>
    <n v="0"/>
    <n v="95"/>
    <n v="0"/>
    <s v="Southampton"/>
  </r>
  <r>
    <x v="1"/>
    <n v="3"/>
    <s v="Johnson, Master. Harold Theodor"/>
    <x v="0"/>
    <n v="4"/>
    <n v="1"/>
    <n v="1"/>
    <n v="111333"/>
    <n v="0"/>
    <s v="Southampton"/>
  </r>
  <r>
    <x v="0"/>
    <n v="3"/>
    <s v="Balkic, Mr. Cerin"/>
    <x v="0"/>
    <n v="26"/>
    <n v="0"/>
    <n v="0"/>
    <n v="78958"/>
    <n v="0"/>
    <s v="Southampton"/>
  </r>
  <r>
    <x v="1"/>
    <n v="1"/>
    <s v="Beckwith, Mrs. Richard Leonard (Sallie Monypeny)"/>
    <x v="1"/>
    <n v="47"/>
    <n v="1"/>
    <n v="1"/>
    <n v="525542"/>
    <n v="1"/>
    <s v="Southampton"/>
  </r>
  <r>
    <x v="0"/>
    <n v="1"/>
    <s v="Carlsson, Mr. Frans Olof"/>
    <x v="0"/>
    <n v="33"/>
    <n v="0"/>
    <n v="0"/>
    <n v="5"/>
    <n v="1"/>
    <s v="Southampton"/>
  </r>
  <r>
    <x v="0"/>
    <n v="3"/>
    <s v="Vander Cruyssen, Mr. Victor"/>
    <x v="0"/>
    <n v="47"/>
    <n v="0"/>
    <n v="0"/>
    <n v="9"/>
    <n v="0"/>
    <s v="Southampton"/>
  </r>
  <r>
    <x v="1"/>
    <n v="2"/>
    <s v="Abelson, Mrs. Samuel (Hannah Wizosky)"/>
    <x v="1"/>
    <n v="28"/>
    <n v="1"/>
    <n v="0"/>
    <n v="24"/>
    <n v="0"/>
    <s v="Cherburg"/>
  </r>
  <r>
    <x v="1"/>
    <n v="3"/>
    <s v="Najib, Miss. Adele Kiamie &quot;Jane&quot;"/>
    <x v="1"/>
    <n v="15"/>
    <n v="0"/>
    <n v="0"/>
    <n v="7225"/>
    <n v="0"/>
    <s v="Cherburg"/>
  </r>
  <r>
    <x v="0"/>
    <n v="3"/>
    <s v="Gustafsson, Mr. Alfred Ossian"/>
    <x v="0"/>
    <n v="20"/>
    <n v="0"/>
    <n v="0"/>
    <n v="98458"/>
    <n v="0"/>
    <s v="Southampton"/>
  </r>
  <r>
    <x v="0"/>
    <n v="3"/>
    <s v="Petroff, Mr. Nedelio"/>
    <x v="0"/>
    <n v="19"/>
    <n v="0"/>
    <n v="0"/>
    <n v="78958"/>
    <n v="0"/>
    <s v="Southampton"/>
  </r>
  <r>
    <x v="0"/>
    <n v="3"/>
    <s v="Laleff, Mr. Kristo"/>
    <x v="0"/>
    <m/>
    <n v="0"/>
    <n v="0"/>
    <n v="78958"/>
    <n v="0"/>
    <s v="Southampton"/>
  </r>
  <r>
    <x v="1"/>
    <n v="1"/>
    <s v="Potter, Mrs. Thomas Jr (Lily Alexenia Wilson)"/>
    <x v="1"/>
    <n v="56"/>
    <n v="0"/>
    <n v="1"/>
    <n v="831583"/>
    <n v="1"/>
    <s v="Cherburg"/>
  </r>
  <r>
    <x v="1"/>
    <n v="2"/>
    <s v="Shelley, Mrs. William (Imanita Parrish Hall)"/>
    <x v="1"/>
    <n v="25"/>
    <n v="0"/>
    <n v="1"/>
    <n v="26"/>
    <n v="0"/>
    <s v="Southampton"/>
  </r>
  <r>
    <x v="0"/>
    <n v="3"/>
    <s v="Markun, Mr. Johann"/>
    <x v="0"/>
    <n v="33"/>
    <n v="0"/>
    <n v="0"/>
    <n v="78958"/>
    <n v="0"/>
    <s v="Southampton"/>
  </r>
  <r>
    <x v="0"/>
    <n v="3"/>
    <s v="Dahlberg, Miss. Gerda Ulrika"/>
    <x v="1"/>
    <n v="22"/>
    <n v="0"/>
    <n v="0"/>
    <n v="105167"/>
    <n v="0"/>
    <s v="Southampton"/>
  </r>
  <r>
    <x v="0"/>
    <n v="2"/>
    <s v="Banfield, Mr. Frederick James"/>
    <x v="0"/>
    <n v="28"/>
    <n v="0"/>
    <n v="0"/>
    <n v="105"/>
    <n v="0"/>
    <s v="Southampton"/>
  </r>
  <r>
    <x v="0"/>
    <n v="3"/>
    <s v="Sutehall, Mr. Henry Jr"/>
    <x v="0"/>
    <n v="25"/>
    <n v="0"/>
    <n v="0"/>
    <n v="705"/>
    <n v="0"/>
    <s v="Southampton"/>
  </r>
  <r>
    <x v="0"/>
    <n v="3"/>
    <s v="Rice, Mrs. William (Margaret Norton)"/>
    <x v="1"/>
    <n v="39"/>
    <n v="0"/>
    <n v="5"/>
    <n v="29125"/>
    <n v="0"/>
    <s v="Queenstown"/>
  </r>
  <r>
    <x v="0"/>
    <n v="2"/>
    <s v="Montvila, Rev. Juozas"/>
    <x v="0"/>
    <n v="27"/>
    <n v="0"/>
    <n v="0"/>
    <n v="13"/>
    <n v="0"/>
    <s v="Southampton"/>
  </r>
  <r>
    <x v="1"/>
    <n v="1"/>
    <s v="Graham, Miss. Margaret Edith"/>
    <x v="1"/>
    <n v="19"/>
    <n v="0"/>
    <n v="0"/>
    <n v="30"/>
    <n v="1"/>
    <s v="Southampton"/>
  </r>
  <r>
    <x v="0"/>
    <n v="3"/>
    <s v="Johnston, Miss. Catherine Helen &quot;Carrie&quot;"/>
    <x v="1"/>
    <m/>
    <n v="1"/>
    <n v="2"/>
    <n v="2345"/>
    <n v="0"/>
    <s v="Southampton"/>
  </r>
  <r>
    <x v="1"/>
    <n v="1"/>
    <s v="Behr, Mr. Karl Howell"/>
    <x v="0"/>
    <n v="26"/>
    <n v="0"/>
    <n v="0"/>
    <n v="30"/>
    <n v="1"/>
    <s v="Cherburg"/>
  </r>
  <r>
    <x v="0"/>
    <n v="3"/>
    <s v="Dooley, Mr. Patrick"/>
    <x v="0"/>
    <n v="32"/>
    <n v="0"/>
    <n v="0"/>
    <n v="775"/>
    <n v="0"/>
    <s v="Queenst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B517A-E505-C941-B367-DDFC35537289}" name="TablaDiná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1:J2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Valo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F5175-3D16-3E40-B186-23654FC72102}" name="TablaDinámica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4:J19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romedio de Valor" fld="2" subtotal="average" baseField="0" baseItem="0" numFmtId="2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2C9EB-7E97-CB47-91F6-5256000FB8EA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:J12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Valo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2B527-E204-D946-BA85-703AB93C4A99}" name="TablaDinámica8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9:R13" firstHeaderRow="1" firstDataRow="2" firstDataCol="1"/>
  <pivotFields count="10"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Sobreviv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AAC40-386F-1346-8349-731CB33F6004}" name="Titanic" displayName="Titanic" ref="D8:M899" totalsRowShown="0" headerRowDxfId="11" dataDxfId="0">
  <autoFilter ref="D8:M899" xr:uid="{274AAC40-386F-1346-8349-731CB33F6004}"/>
  <tableColumns count="10">
    <tableColumn id="1" xr3:uid="{9D29326C-4DD2-7043-96A4-7EBD14928F04}" name="Sobrevive" dataDxfId="10"/>
    <tableColumn id="2" xr3:uid="{E1A803A4-B742-144E-9DFF-DD72DC63B276}" name="Clase" dataDxfId="9"/>
    <tableColumn id="3" xr3:uid="{CA497A4E-7468-6D49-A5D8-BFDA4C1349AF}" name="Nombre" dataDxfId="8"/>
    <tableColumn id="4" xr3:uid="{4A05CB80-4937-1E46-AE4A-6991D1F24E6B}" name="Sexo" dataDxfId="7"/>
    <tableColumn id="5" xr3:uid="{BA006DCD-FB85-A644-AFCE-F0F4B5D22A36}" name="Edad" dataDxfId="6"/>
    <tableColumn id="6" xr3:uid="{82DB4155-7B2C-0740-B778-F8DD83B8E156}" name="Familia Horizontal" dataDxfId="5"/>
    <tableColumn id="7" xr3:uid="{0A4743D7-B93F-7B43-A2DC-712BF5420825}" name="Familia Vertical" dataDxfId="4"/>
    <tableColumn id="8" xr3:uid="{359BFE47-163A-4B49-BE27-B2AF4BC15C22}" name="Pagado" dataDxfId="3"/>
    <tableColumn id="9" xr3:uid="{4B624508-61E8-1D42-AA88-9624E34B7023}" name="Cabina" dataDxfId="2"/>
    <tableColumn id="10" xr3:uid="{CBFD4291-7A99-1E45-B8A0-7FFEB7C53F54}" name="Puer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1B56-A49A-134C-AB10-851C5DD478D1}">
  <dimension ref="B4:S51"/>
  <sheetViews>
    <sheetView zoomScale="120" zoomScaleNormal="120" workbookViewId="0">
      <selection activeCell="K9" sqref="K9"/>
    </sheetView>
  </sheetViews>
  <sheetFormatPr baseColWidth="10" defaultRowHeight="16" x14ac:dyDescent="0.2"/>
  <cols>
    <col min="13" max="13" width="19.33203125" bestFit="1" customWidth="1"/>
    <col min="14" max="14" width="11.5" bestFit="1" customWidth="1"/>
  </cols>
  <sheetData>
    <row r="4" spans="2:18" x14ac:dyDescent="0.2">
      <c r="M4" s="5" t="s">
        <v>32</v>
      </c>
      <c r="N4" s="5" t="s">
        <v>32</v>
      </c>
      <c r="O4" s="5" t="s">
        <v>34</v>
      </c>
      <c r="P4" s="5" t="s">
        <v>34</v>
      </c>
      <c r="Q4" s="5" t="s">
        <v>33</v>
      </c>
      <c r="R4" s="5" t="s">
        <v>33</v>
      </c>
    </row>
    <row r="5" spans="2:18" x14ac:dyDescent="0.2">
      <c r="M5" s="7" t="s">
        <v>35</v>
      </c>
      <c r="N5" s="7" t="s">
        <v>36</v>
      </c>
      <c r="O5" s="7" t="s">
        <v>35</v>
      </c>
      <c r="P5" s="7" t="s">
        <v>36</v>
      </c>
      <c r="Q5" s="7" t="s">
        <v>35</v>
      </c>
      <c r="R5" s="7" t="s">
        <v>36</v>
      </c>
    </row>
    <row r="6" spans="2:18" x14ac:dyDescent="0.2">
      <c r="M6" s="1"/>
      <c r="N6" s="1"/>
      <c r="O6" s="1"/>
      <c r="P6" s="1"/>
      <c r="Q6" s="1"/>
      <c r="R6" s="1"/>
    </row>
    <row r="7" spans="2:18" x14ac:dyDescent="0.2">
      <c r="C7" s="4" t="s">
        <v>30</v>
      </c>
      <c r="D7" s="6" t="s">
        <v>31</v>
      </c>
      <c r="E7" s="9" t="s">
        <v>37</v>
      </c>
      <c r="G7" s="21" t="s">
        <v>45</v>
      </c>
      <c r="M7" s="11" t="s">
        <v>39</v>
      </c>
      <c r="N7" s="11" t="s">
        <v>40</v>
      </c>
      <c r="O7" s="11" t="s">
        <v>41</v>
      </c>
      <c r="P7" s="11" t="s">
        <v>42</v>
      </c>
      <c r="Q7" s="11" t="s">
        <v>43</v>
      </c>
      <c r="R7" s="11" t="s">
        <v>44</v>
      </c>
    </row>
    <row r="8" spans="2:18" x14ac:dyDescent="0.2">
      <c r="B8" s="2" t="s">
        <v>38</v>
      </c>
      <c r="C8" s="5" t="s">
        <v>32</v>
      </c>
      <c r="D8" s="7" t="s">
        <v>35</v>
      </c>
      <c r="E8" s="10">
        <v>13</v>
      </c>
      <c r="G8" s="1"/>
      <c r="H8" s="7" t="s">
        <v>35</v>
      </c>
      <c r="I8" s="7" t="s">
        <v>36</v>
      </c>
      <c r="M8" s="1" cm="1">
        <f t="array" ref="M8:M30">IF(($C$8:$C$30=M4)*($D$8:$D$30=M5), $E$8:$E$30, "")</f>
        <v>13</v>
      </c>
      <c r="N8" s="1" t="str" cm="1">
        <f t="array" ref="N8:N30">IF(($C$8:$C$30=N4)*($D$8:$D$30=N5), $E$8:$E$30, "")</f>
        <v/>
      </c>
      <c r="O8" s="1" t="str" cm="1">
        <f t="array" ref="O8:O30">IF(($C$8:$C$30=O4)*($D$8:$D$30=O5), $E$8:$E$30, "")</f>
        <v/>
      </c>
      <c r="P8" s="1" t="str" cm="1">
        <f t="array" ref="P8:P30">IF(($C$8:$C$30=P4)*($D$8:$D$30=P5), $E$8:$E$30, "")</f>
        <v/>
      </c>
      <c r="Q8" s="1" t="str" cm="1">
        <f t="array" ref="Q8:Q30">IF(($C$8:$C$30=Q4)*($D$8:$D$30=Q5), $E$8:$E$30, "")</f>
        <v/>
      </c>
      <c r="R8" s="1" t="str" cm="1">
        <f t="array" ref="R8:R30">IF(($C$8:$C$30=R4)*($D$8:$D$30=R5), $E$8:$E$30, "")</f>
        <v/>
      </c>
    </row>
    <row r="9" spans="2:18" x14ac:dyDescent="0.2">
      <c r="B9" s="2"/>
      <c r="C9" s="5" t="s">
        <v>34</v>
      </c>
      <c r="D9" s="7" t="s">
        <v>36</v>
      </c>
      <c r="E9" s="10">
        <v>27</v>
      </c>
      <c r="G9" s="5" t="s">
        <v>32</v>
      </c>
      <c r="H9" s="18">
        <f>M32</f>
        <v>163</v>
      </c>
      <c r="I9" s="23">
        <f>N32</f>
        <v>166</v>
      </c>
      <c r="M9" s="1" t="str">
        <v/>
      </c>
      <c r="N9" s="1" t="str">
        <v/>
      </c>
      <c r="O9" s="1" t="str">
        <v/>
      </c>
      <c r="P9" s="1">
        <v>27</v>
      </c>
      <c r="Q9" s="1" t="str">
        <v/>
      </c>
      <c r="R9" s="1" t="str">
        <v/>
      </c>
    </row>
    <row r="10" spans="2:18" x14ac:dyDescent="0.2">
      <c r="B10" s="2"/>
      <c r="C10" s="5" t="s">
        <v>33</v>
      </c>
      <c r="D10" s="7" t="s">
        <v>36</v>
      </c>
      <c r="E10" s="10">
        <v>28</v>
      </c>
      <c r="G10" s="5" t="s">
        <v>34</v>
      </c>
      <c r="H10" s="23">
        <f>O32</f>
        <v>146</v>
      </c>
      <c r="I10" s="23">
        <f>P32</f>
        <v>232</v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>
        <v>28</v>
      </c>
    </row>
    <row r="11" spans="2:18" x14ac:dyDescent="0.2">
      <c r="B11" s="2"/>
      <c r="C11" s="5" t="s">
        <v>32</v>
      </c>
      <c r="D11" s="7" t="s">
        <v>36</v>
      </c>
      <c r="E11" s="10">
        <v>81</v>
      </c>
      <c r="G11" s="5" t="s">
        <v>33</v>
      </c>
      <c r="H11" s="23">
        <f>Q32</f>
        <v>124</v>
      </c>
      <c r="I11" s="23">
        <f>R32</f>
        <v>51</v>
      </c>
      <c r="M11" s="1" t="str">
        <v/>
      </c>
      <c r="N11" s="1">
        <v>81</v>
      </c>
      <c r="O11" s="1" t="str">
        <v/>
      </c>
      <c r="P11" s="1" t="str">
        <v/>
      </c>
      <c r="Q11" s="1" t="str">
        <v/>
      </c>
      <c r="R11" s="1" t="str">
        <v/>
      </c>
    </row>
    <row r="12" spans="2:18" x14ac:dyDescent="0.2">
      <c r="B12" s="2"/>
      <c r="C12" s="5" t="s">
        <v>34</v>
      </c>
      <c r="D12" s="7" t="s">
        <v>36</v>
      </c>
      <c r="E12" s="10">
        <v>72</v>
      </c>
      <c r="M12" s="1" t="str">
        <v/>
      </c>
      <c r="N12" s="1" t="str">
        <v/>
      </c>
      <c r="O12" s="1" t="str">
        <v/>
      </c>
      <c r="P12" s="1">
        <v>72</v>
      </c>
      <c r="Q12" s="1" t="str">
        <v/>
      </c>
      <c r="R12" s="1" t="str">
        <v/>
      </c>
    </row>
    <row r="13" spans="2:18" x14ac:dyDescent="0.2">
      <c r="B13" s="2"/>
      <c r="C13" s="5" t="s">
        <v>34</v>
      </c>
      <c r="D13" s="7" t="s">
        <v>35</v>
      </c>
      <c r="E13" s="10">
        <v>82</v>
      </c>
      <c r="G13" s="17" t="s">
        <v>47</v>
      </c>
      <c r="M13" s="1" t="str">
        <v/>
      </c>
      <c r="N13" s="1" t="str">
        <v/>
      </c>
      <c r="O13" s="1">
        <v>82</v>
      </c>
      <c r="P13" s="1" t="str">
        <v/>
      </c>
      <c r="Q13" s="1" t="str">
        <v/>
      </c>
      <c r="R13" s="1" t="str">
        <v/>
      </c>
    </row>
    <row r="14" spans="2:18" x14ac:dyDescent="0.2">
      <c r="B14" s="2"/>
      <c r="C14" s="5" t="s">
        <v>32</v>
      </c>
      <c r="D14" s="7" t="s">
        <v>36</v>
      </c>
      <c r="E14" s="10">
        <v>63</v>
      </c>
      <c r="G14" s="1"/>
      <c r="H14" s="7" t="s">
        <v>35</v>
      </c>
      <c r="I14" s="7" t="s">
        <v>36</v>
      </c>
      <c r="M14" s="1" t="str">
        <v/>
      </c>
      <c r="N14" s="1">
        <v>63</v>
      </c>
      <c r="O14" s="1" t="str">
        <v/>
      </c>
      <c r="P14" s="1" t="str">
        <v/>
      </c>
      <c r="Q14" s="1" t="str">
        <v/>
      </c>
      <c r="R14" s="1" t="str">
        <v/>
      </c>
    </row>
    <row r="15" spans="2:18" x14ac:dyDescent="0.2">
      <c r="B15" s="2"/>
      <c r="C15" s="5" t="s">
        <v>34</v>
      </c>
      <c r="D15" s="7" t="s">
        <v>36</v>
      </c>
      <c r="E15" s="10">
        <v>15</v>
      </c>
      <c r="G15" s="5" t="s">
        <v>32</v>
      </c>
      <c r="H15" s="24">
        <f>M33</f>
        <v>27.166666666666668</v>
      </c>
      <c r="I15" s="24">
        <f>N33</f>
        <v>55.333333333333336</v>
      </c>
      <c r="M15" s="1" t="str">
        <v/>
      </c>
      <c r="N15" s="1" t="str">
        <v/>
      </c>
      <c r="O15" s="1" t="str">
        <v/>
      </c>
      <c r="P15" s="1">
        <v>15</v>
      </c>
      <c r="Q15" s="1" t="str">
        <v/>
      </c>
      <c r="R15" s="1" t="str">
        <v/>
      </c>
    </row>
    <row r="16" spans="2:18" x14ac:dyDescent="0.2">
      <c r="B16" s="2"/>
      <c r="C16" s="5" t="s">
        <v>33</v>
      </c>
      <c r="D16" s="7" t="s">
        <v>35</v>
      </c>
      <c r="E16" s="10">
        <v>28</v>
      </c>
      <c r="G16" s="5" t="s">
        <v>34</v>
      </c>
      <c r="H16" s="24">
        <f>O33</f>
        <v>48.666666666666664</v>
      </c>
      <c r="I16" s="24">
        <f>P33</f>
        <v>46.4</v>
      </c>
      <c r="M16" s="1" t="str">
        <v/>
      </c>
      <c r="N16" s="1" t="str">
        <v/>
      </c>
      <c r="O16" s="1" t="str">
        <v/>
      </c>
      <c r="P16" s="1" t="str">
        <v/>
      </c>
      <c r="Q16" s="1">
        <v>28</v>
      </c>
      <c r="R16" s="1" t="str">
        <v/>
      </c>
    </row>
    <row r="17" spans="2:18" x14ac:dyDescent="0.2">
      <c r="B17" s="2"/>
      <c r="C17" s="5" t="s">
        <v>34</v>
      </c>
      <c r="D17" s="7" t="s">
        <v>36</v>
      </c>
      <c r="E17" s="10">
        <v>60</v>
      </c>
      <c r="G17" s="5" t="s">
        <v>33</v>
      </c>
      <c r="H17" s="24">
        <f>Q33</f>
        <v>31</v>
      </c>
      <c r="I17" s="24">
        <f>R33</f>
        <v>25.5</v>
      </c>
      <c r="M17" s="1" t="str">
        <v/>
      </c>
      <c r="N17" s="1" t="str">
        <v/>
      </c>
      <c r="O17" s="1" t="str">
        <v/>
      </c>
      <c r="P17" s="1">
        <v>60</v>
      </c>
      <c r="Q17" s="1" t="str">
        <v/>
      </c>
      <c r="R17" s="1" t="str">
        <v/>
      </c>
    </row>
    <row r="18" spans="2:18" x14ac:dyDescent="0.2">
      <c r="B18" s="2"/>
      <c r="C18" s="5" t="s">
        <v>32</v>
      </c>
      <c r="D18" s="7" t="s">
        <v>35</v>
      </c>
      <c r="E18" s="10">
        <v>31</v>
      </c>
      <c r="M18" s="1">
        <v>31</v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</row>
    <row r="19" spans="2:18" x14ac:dyDescent="0.2">
      <c r="B19" s="2"/>
      <c r="C19" s="5" t="s">
        <v>33</v>
      </c>
      <c r="D19" s="7" t="s">
        <v>35</v>
      </c>
      <c r="E19" s="10">
        <v>30</v>
      </c>
      <c r="G19" s="13" t="s">
        <v>48</v>
      </c>
      <c r="M19" s="1" t="str">
        <v/>
      </c>
      <c r="N19" s="1" t="str">
        <v/>
      </c>
      <c r="O19" s="1" t="str">
        <v/>
      </c>
      <c r="P19" s="1" t="str">
        <v/>
      </c>
      <c r="Q19" s="1">
        <v>30</v>
      </c>
      <c r="R19" s="1" t="str">
        <v/>
      </c>
    </row>
    <row r="20" spans="2:18" x14ac:dyDescent="0.2">
      <c r="B20" s="2"/>
      <c r="C20" s="5" t="s">
        <v>32</v>
      </c>
      <c r="D20" s="7" t="s">
        <v>35</v>
      </c>
      <c r="E20" s="10">
        <v>16</v>
      </c>
      <c r="G20" s="1"/>
      <c r="H20" s="7" t="s">
        <v>35</v>
      </c>
      <c r="I20" s="7" t="s">
        <v>36</v>
      </c>
      <c r="M20" s="1">
        <v>16</v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</row>
    <row r="21" spans="2:18" x14ac:dyDescent="0.2">
      <c r="B21" s="2"/>
      <c r="C21" s="5" t="s">
        <v>34</v>
      </c>
      <c r="D21" s="7" t="s">
        <v>36</v>
      </c>
      <c r="E21" s="10">
        <v>58</v>
      </c>
      <c r="G21" s="5" t="s">
        <v>32</v>
      </c>
      <c r="H21" s="1">
        <f>M34</f>
        <v>6</v>
      </c>
      <c r="I21" s="24">
        <f>N34</f>
        <v>3</v>
      </c>
      <c r="M21" s="1" t="str">
        <v/>
      </c>
      <c r="N21" s="1" t="str">
        <v/>
      </c>
      <c r="O21" s="1" t="str">
        <v/>
      </c>
      <c r="P21" s="1">
        <v>58</v>
      </c>
      <c r="Q21" s="1" t="str">
        <v/>
      </c>
      <c r="R21" s="1" t="str">
        <v/>
      </c>
    </row>
    <row r="22" spans="2:18" x14ac:dyDescent="0.2">
      <c r="B22" s="2"/>
      <c r="C22" s="5" t="s">
        <v>32</v>
      </c>
      <c r="D22" s="7" t="s">
        <v>35</v>
      </c>
      <c r="E22" s="10">
        <v>54</v>
      </c>
      <c r="G22" s="5" t="s">
        <v>34</v>
      </c>
      <c r="H22" s="24">
        <f>O34</f>
        <v>3</v>
      </c>
      <c r="I22" s="24">
        <f>P34</f>
        <v>5</v>
      </c>
      <c r="M22" s="1">
        <v>54</v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</row>
    <row r="23" spans="2:18" x14ac:dyDescent="0.2">
      <c r="B23" s="2"/>
      <c r="C23" s="5" t="s">
        <v>33</v>
      </c>
      <c r="D23" s="7" t="s">
        <v>36</v>
      </c>
      <c r="E23" s="10">
        <v>23</v>
      </c>
      <c r="G23" s="5" t="s">
        <v>33</v>
      </c>
      <c r="H23" s="24">
        <f>Q34</f>
        <v>4</v>
      </c>
      <c r="I23" s="24">
        <f>R34</f>
        <v>2</v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>
        <v>23</v>
      </c>
    </row>
    <row r="24" spans="2:18" x14ac:dyDescent="0.2">
      <c r="B24" s="2"/>
      <c r="C24" s="5" t="s">
        <v>32</v>
      </c>
      <c r="D24" s="7" t="s">
        <v>35</v>
      </c>
      <c r="E24" s="10">
        <v>32</v>
      </c>
      <c r="M24" s="1">
        <v>32</v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</row>
    <row r="25" spans="2:18" x14ac:dyDescent="0.2">
      <c r="B25" s="2"/>
      <c r="C25" s="5" t="s">
        <v>34</v>
      </c>
      <c r="D25" s="7" t="s">
        <v>35</v>
      </c>
      <c r="E25" s="10">
        <v>30</v>
      </c>
      <c r="M25" s="1" t="str">
        <v/>
      </c>
      <c r="N25" s="1" t="str">
        <v/>
      </c>
      <c r="O25" s="1">
        <v>30</v>
      </c>
      <c r="P25" s="1" t="str">
        <v/>
      </c>
      <c r="Q25" s="1" t="str">
        <v/>
      </c>
      <c r="R25" s="1" t="str">
        <v/>
      </c>
    </row>
    <row r="26" spans="2:18" x14ac:dyDescent="0.2">
      <c r="B26" s="2"/>
      <c r="C26" s="5" t="s">
        <v>32</v>
      </c>
      <c r="D26" s="7" t="s">
        <v>35</v>
      </c>
      <c r="E26" s="10">
        <v>17</v>
      </c>
      <c r="M26" s="1">
        <v>17</v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</row>
    <row r="27" spans="2:18" x14ac:dyDescent="0.2">
      <c r="B27" s="2"/>
      <c r="C27" s="5" t="s">
        <v>32</v>
      </c>
      <c r="D27" s="7" t="s">
        <v>36</v>
      </c>
      <c r="E27" s="10">
        <v>22</v>
      </c>
      <c r="M27" s="1" t="str">
        <v/>
      </c>
      <c r="N27" s="1">
        <v>22</v>
      </c>
      <c r="O27" s="1" t="str">
        <v/>
      </c>
      <c r="P27" s="1" t="str">
        <v/>
      </c>
      <c r="Q27" s="1" t="str">
        <v/>
      </c>
      <c r="R27" s="1" t="str">
        <v/>
      </c>
    </row>
    <row r="28" spans="2:18" x14ac:dyDescent="0.2">
      <c r="B28" s="2"/>
      <c r="C28" s="5" t="s">
        <v>34</v>
      </c>
      <c r="D28" s="8" t="s">
        <v>35</v>
      </c>
      <c r="E28" s="10">
        <v>34</v>
      </c>
      <c r="M28" s="1" t="str">
        <v/>
      </c>
      <c r="N28" s="1" t="str">
        <v/>
      </c>
      <c r="O28" s="1">
        <v>34</v>
      </c>
      <c r="P28" s="1" t="str">
        <v/>
      </c>
      <c r="Q28" s="1" t="str">
        <v/>
      </c>
      <c r="R28" s="1" t="str">
        <v/>
      </c>
    </row>
    <row r="29" spans="2:18" x14ac:dyDescent="0.2">
      <c r="B29" s="2"/>
      <c r="C29" s="5" t="s">
        <v>33</v>
      </c>
      <c r="D29" s="8" t="s">
        <v>35</v>
      </c>
      <c r="E29" s="10">
        <v>45</v>
      </c>
      <c r="M29" s="1" t="str">
        <v/>
      </c>
      <c r="N29" s="1" t="str">
        <v/>
      </c>
      <c r="O29" s="1" t="str">
        <v/>
      </c>
      <c r="P29" s="1" t="str">
        <v/>
      </c>
      <c r="Q29" s="1">
        <v>45</v>
      </c>
      <c r="R29" s="1" t="str">
        <v/>
      </c>
    </row>
    <row r="30" spans="2:18" x14ac:dyDescent="0.2">
      <c r="B30" s="2"/>
      <c r="C30" s="5" t="s">
        <v>33</v>
      </c>
      <c r="D30" s="8" t="s">
        <v>35</v>
      </c>
      <c r="E30" s="10">
        <v>21</v>
      </c>
      <c r="M30" s="1" t="str">
        <v/>
      </c>
      <c r="N30" s="1" t="str">
        <v/>
      </c>
      <c r="O30" s="1" t="str">
        <v/>
      </c>
      <c r="P30" s="1" t="str">
        <v/>
      </c>
      <c r="Q30" s="1">
        <v>21</v>
      </c>
      <c r="R30" s="1" t="str">
        <v/>
      </c>
    </row>
    <row r="31" spans="2:18" x14ac:dyDescent="0.2">
      <c r="K31" t="s">
        <v>46</v>
      </c>
    </row>
    <row r="32" spans="2:18" x14ac:dyDescent="0.2">
      <c r="B32" t="s">
        <v>30</v>
      </c>
      <c r="C32" s="18" t="s">
        <v>49</v>
      </c>
      <c r="E32" t="s">
        <v>45</v>
      </c>
      <c r="F32" t="s">
        <v>52</v>
      </c>
      <c r="L32" s="21" t="s">
        <v>45</v>
      </c>
      <c r="M32">
        <f>SUM(M8:M30)</f>
        <v>163</v>
      </c>
      <c r="N32" s="19">
        <f>SUM(N8:N30)</f>
        <v>166</v>
      </c>
      <c r="O32" s="19">
        <f t="shared" ref="O32:R32" si="0">SUM(O8:O30)</f>
        <v>146</v>
      </c>
      <c r="P32" s="19">
        <f t="shared" si="0"/>
        <v>232</v>
      </c>
      <c r="Q32" s="19">
        <f t="shared" si="0"/>
        <v>124</v>
      </c>
      <c r="R32" s="19">
        <f t="shared" si="0"/>
        <v>51</v>
      </c>
    </row>
    <row r="33" spans="2:19" x14ac:dyDescent="0.2">
      <c r="B33" t="s">
        <v>31</v>
      </c>
      <c r="C33" s="18" t="s">
        <v>50</v>
      </c>
      <c r="E33" t="s">
        <v>47</v>
      </c>
      <c r="F33" t="s">
        <v>53</v>
      </c>
      <c r="L33" s="17" t="s">
        <v>47</v>
      </c>
      <c r="M33" s="19">
        <f>AVERAGE(M8:M30)</f>
        <v>27.166666666666668</v>
      </c>
      <c r="N33" s="19">
        <f>AVERAGE(N8:N30)</f>
        <v>55.333333333333336</v>
      </c>
      <c r="O33" s="19">
        <f t="shared" ref="O33:R33" si="1">AVERAGE(O8:O30)</f>
        <v>48.666666666666664</v>
      </c>
      <c r="P33" s="19">
        <f t="shared" si="1"/>
        <v>46.4</v>
      </c>
      <c r="Q33" s="19">
        <f t="shared" si="1"/>
        <v>31</v>
      </c>
      <c r="R33" s="19">
        <f t="shared" si="1"/>
        <v>25.5</v>
      </c>
    </row>
    <row r="34" spans="2:19" x14ac:dyDescent="0.2">
      <c r="B34" t="s">
        <v>37</v>
      </c>
      <c r="C34" s="1" t="s">
        <v>51</v>
      </c>
      <c r="E34" t="s">
        <v>48</v>
      </c>
      <c r="F34" t="s">
        <v>54</v>
      </c>
      <c r="L34" s="13" t="s">
        <v>48</v>
      </c>
      <c r="M34">
        <f>COUNT(M8:M30)</f>
        <v>6</v>
      </c>
      <c r="N34" s="19">
        <f>COUNT(N8:N30)</f>
        <v>3</v>
      </c>
      <c r="O34" s="19">
        <f t="shared" ref="O34:R34" si="2">COUNT(O8:O30)</f>
        <v>3</v>
      </c>
      <c r="P34" s="19">
        <f t="shared" si="2"/>
        <v>5</v>
      </c>
      <c r="Q34" s="19">
        <f t="shared" si="2"/>
        <v>4</v>
      </c>
      <c r="R34" s="19">
        <f t="shared" si="2"/>
        <v>2</v>
      </c>
    </row>
    <row r="36" spans="2:19" x14ac:dyDescent="0.2">
      <c r="N36" t="s">
        <v>55</v>
      </c>
    </row>
    <row r="39" spans="2:19" x14ac:dyDescent="0.2">
      <c r="B39" s="12" t="s">
        <v>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1" spans="2:19" x14ac:dyDescent="0.2">
      <c r="C41" s="13" t="s">
        <v>0</v>
      </c>
      <c r="D41" s="13"/>
      <c r="E41" s="13"/>
      <c r="F41" s="13"/>
    </row>
    <row r="43" spans="2:19" x14ac:dyDescent="0.2">
      <c r="C43" s="14" t="s">
        <v>2</v>
      </c>
      <c r="E43" s="16" t="s">
        <v>4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15</v>
      </c>
      <c r="O43" t="s">
        <v>16</v>
      </c>
      <c r="Q43" t="s">
        <v>17</v>
      </c>
      <c r="R43" t="s">
        <v>18</v>
      </c>
      <c r="S43" t="s">
        <v>19</v>
      </c>
    </row>
    <row r="44" spans="2:19" x14ac:dyDescent="0.2">
      <c r="M44" t="s">
        <v>14</v>
      </c>
      <c r="S44" t="s">
        <v>20</v>
      </c>
    </row>
    <row r="45" spans="2:19" x14ac:dyDescent="0.2">
      <c r="S45" t="s">
        <v>21</v>
      </c>
    </row>
    <row r="46" spans="2:19" x14ac:dyDescent="0.2">
      <c r="S46" t="s">
        <v>22</v>
      </c>
    </row>
    <row r="47" spans="2:19" x14ac:dyDescent="0.2">
      <c r="S47" t="s">
        <v>23</v>
      </c>
    </row>
    <row r="49" spans="3:15" x14ac:dyDescent="0.2">
      <c r="C49" s="15" t="s">
        <v>3</v>
      </c>
      <c r="E49" s="17" t="s">
        <v>5</v>
      </c>
      <c r="H49" t="s">
        <v>24</v>
      </c>
      <c r="I49" t="s">
        <v>25</v>
      </c>
      <c r="J49" t="s">
        <v>26</v>
      </c>
      <c r="K49" t="s">
        <v>3</v>
      </c>
      <c r="L49" t="s">
        <v>27</v>
      </c>
      <c r="M49" t="s">
        <v>28</v>
      </c>
      <c r="O49" t="s">
        <v>29</v>
      </c>
    </row>
    <row r="50" spans="3:15" x14ac:dyDescent="0.2">
      <c r="F50" t="s">
        <v>6</v>
      </c>
    </row>
    <row r="51" spans="3:15" x14ac:dyDescent="0.2">
      <c r="F51" t="s">
        <v>7</v>
      </c>
    </row>
  </sheetData>
  <mergeCells count="2">
    <mergeCell ref="B8:B30"/>
    <mergeCell ref="B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669F-5E91-0A4C-81E7-935886A307E0}">
  <dimension ref="C3:AC30"/>
  <sheetViews>
    <sheetView topLeftCell="D1" zoomScale="150" zoomScaleNormal="150" workbookViewId="0">
      <selection activeCell="M19" sqref="M19:O19"/>
    </sheetView>
  </sheetViews>
  <sheetFormatPr baseColWidth="10" defaultRowHeight="16" x14ac:dyDescent="0.2"/>
  <cols>
    <col min="17" max="18" width="11.5" bestFit="1" customWidth="1"/>
    <col min="19" max="19" width="25.33203125" customWidth="1"/>
    <col min="20" max="20" width="26.6640625" customWidth="1"/>
  </cols>
  <sheetData>
    <row r="3" spans="3:29" x14ac:dyDescent="0.2">
      <c r="M3" s="25" t="s">
        <v>56</v>
      </c>
      <c r="N3" s="25"/>
      <c r="O3" s="25"/>
      <c r="P3" s="25"/>
      <c r="Q3" s="25"/>
      <c r="R3" s="25"/>
    </row>
    <row r="5" spans="3:29" x14ac:dyDescent="0.2">
      <c r="M5">
        <v>1</v>
      </c>
      <c r="N5" t="s">
        <v>57</v>
      </c>
      <c r="P5" t="s">
        <v>58</v>
      </c>
      <c r="Q5" s="15" t="s">
        <v>59</v>
      </c>
      <c r="R5" s="22" t="s">
        <v>60</v>
      </c>
      <c r="S5" s="17" t="s">
        <v>61</v>
      </c>
      <c r="V5" s="1" cm="1">
        <f t="array" ref="V5:V27">(D8:D30="A")*1</f>
        <v>1</v>
      </c>
      <c r="W5" s="1" cm="1">
        <f t="array" ref="W5:W27">(E8:E30="X") * 1</f>
        <v>1</v>
      </c>
      <c r="Y5" s="1" cm="1">
        <f t="array" ref="Y5:Y27">(D8:D30="A")*(E8:E30="X")</f>
        <v>1</v>
      </c>
      <c r="AA5" cm="1">
        <f t="array" ref="AA5:AA10">_xlfn._xlws.FILTER(F8:F30,(D8:D30="A")*(E8:E30="X"))</f>
        <v>13</v>
      </c>
      <c r="AC5" cm="1">
        <f t="array" ref="AC5">SUM(_xlfn._xlws.FILTER(F8:F30,(D8:D30="A")*(E8:E30="X")))</f>
        <v>163</v>
      </c>
    </row>
    <row r="6" spans="3:29" x14ac:dyDescent="0.2">
      <c r="V6" s="1">
        <v>0</v>
      </c>
      <c r="W6" s="1">
        <v>0</v>
      </c>
      <c r="Y6" s="1">
        <v>0</v>
      </c>
      <c r="AA6">
        <v>31</v>
      </c>
    </row>
    <row r="7" spans="3:29" x14ac:dyDescent="0.2">
      <c r="D7" s="4" t="s">
        <v>30</v>
      </c>
      <c r="E7" s="6" t="s">
        <v>31</v>
      </c>
      <c r="F7" s="9" t="s">
        <v>37</v>
      </c>
      <c r="H7" s="21" t="s">
        <v>45</v>
      </c>
      <c r="Q7" t="s">
        <v>64</v>
      </c>
      <c r="R7" t="s">
        <v>63</v>
      </c>
      <c r="S7" t="s">
        <v>57</v>
      </c>
      <c r="V7" s="1">
        <v>0</v>
      </c>
      <c r="W7" s="1">
        <v>0</v>
      </c>
      <c r="Y7" s="1">
        <v>0</v>
      </c>
      <c r="AA7">
        <v>16</v>
      </c>
    </row>
    <row r="8" spans="3:29" x14ac:dyDescent="0.2">
      <c r="C8" s="2" t="s">
        <v>38</v>
      </c>
      <c r="D8" s="5" t="s">
        <v>32</v>
      </c>
      <c r="E8" s="7" t="s">
        <v>35</v>
      </c>
      <c r="F8" s="10">
        <v>13</v>
      </c>
      <c r="H8" s="1"/>
      <c r="I8" s="7" t="s">
        <v>35</v>
      </c>
      <c r="J8" s="7" t="s">
        <v>36</v>
      </c>
      <c r="M8">
        <v>2</v>
      </c>
      <c r="N8" t="s">
        <v>62</v>
      </c>
      <c r="P8" t="s">
        <v>58</v>
      </c>
      <c r="Q8" t="s">
        <v>64</v>
      </c>
      <c r="R8" s="14" t="s">
        <v>65</v>
      </c>
      <c r="S8" s="17" t="s">
        <v>61</v>
      </c>
      <c r="V8" s="1">
        <v>1</v>
      </c>
      <c r="W8" s="1">
        <v>0</v>
      </c>
      <c r="Y8" s="1">
        <v>0</v>
      </c>
      <c r="AA8">
        <v>54</v>
      </c>
    </row>
    <row r="9" spans="3:29" x14ac:dyDescent="0.2">
      <c r="C9" s="2"/>
      <c r="D9" s="5" t="s">
        <v>34</v>
      </c>
      <c r="E9" s="7" t="s">
        <v>36</v>
      </c>
      <c r="F9" s="10">
        <v>27</v>
      </c>
      <c r="H9" s="5" t="s">
        <v>32</v>
      </c>
      <c r="I9" s="29" cm="1">
        <f t="array" ref="I9">SUM(_xlfn._xlws.FILTER($F$8:$F$30,($D$8:$D$30=$H9)*($E$8:$E$30=I$8)))</f>
        <v>163</v>
      </c>
      <c r="J9" s="29" cm="1">
        <f t="array" ref="J9">SUM(_xlfn._xlws.FILTER($F$8:$F$30,($D$8:$D$30=$H9)*($E$8:$E$30=J$8)))</f>
        <v>166</v>
      </c>
      <c r="V9" s="1">
        <v>0</v>
      </c>
      <c r="W9" s="1">
        <v>0</v>
      </c>
      <c r="Y9" s="1">
        <v>0</v>
      </c>
      <c r="AA9">
        <v>32</v>
      </c>
    </row>
    <row r="10" spans="3:29" x14ac:dyDescent="0.2">
      <c r="C10" s="2"/>
      <c r="D10" s="5" t="s">
        <v>33</v>
      </c>
      <c r="E10" s="7" t="s">
        <v>36</v>
      </c>
      <c r="F10" s="10">
        <v>28</v>
      </c>
      <c r="H10" s="5" t="s">
        <v>34</v>
      </c>
      <c r="I10" s="29" cm="1">
        <f t="array" ref="I10">SUM(_xlfn._xlws.FILTER($F$8:$F$30,($D$8:$D$30=$H10)*($E$8:$E$30=I$8)))</f>
        <v>146</v>
      </c>
      <c r="J10" s="29" cm="1">
        <f t="array" ref="J10">SUM(_xlfn._xlws.FILTER($F$8:$F$30,($D$8:$D$30=$H10)*($E$8:$E$30=J$8)))</f>
        <v>232</v>
      </c>
      <c r="Q10" t="s">
        <v>45</v>
      </c>
      <c r="R10" t="s">
        <v>47</v>
      </c>
      <c r="S10" t="s">
        <v>67</v>
      </c>
      <c r="T10" t="s">
        <v>68</v>
      </c>
      <c r="V10" s="1">
        <v>0</v>
      </c>
      <c r="W10" s="1">
        <v>1</v>
      </c>
      <c r="Y10" s="1">
        <v>0</v>
      </c>
      <c r="AA10">
        <v>17</v>
      </c>
    </row>
    <row r="11" spans="3:29" x14ac:dyDescent="0.2">
      <c r="C11" s="2"/>
      <c r="D11" s="5" t="s">
        <v>32</v>
      </c>
      <c r="E11" s="7" t="s">
        <v>36</v>
      </c>
      <c r="F11" s="10">
        <v>81</v>
      </c>
      <c r="H11" s="5" t="s">
        <v>33</v>
      </c>
      <c r="I11" s="29" cm="1">
        <f t="array" ref="I11">SUM(_xlfn._xlws.FILTER($F$8:$F$30,($D$8:$D$30=$H11)*($E$8:$E$30=I$8)))</f>
        <v>124</v>
      </c>
      <c r="J11" s="29" cm="1">
        <f t="array" ref="J11">SUM(_xlfn._xlws.FILTER($F$8:$F$30,($D$8:$D$30=$H11)*($E$8:$E$30=J$8)))</f>
        <v>51</v>
      </c>
      <c r="M11">
        <v>3</v>
      </c>
      <c r="N11" t="s">
        <v>66</v>
      </c>
      <c r="P11" t="s">
        <v>58</v>
      </c>
      <c r="Q11" t="s">
        <v>69</v>
      </c>
      <c r="R11" t="s">
        <v>70</v>
      </c>
      <c r="V11" s="1">
        <v>1</v>
      </c>
      <c r="W11" s="1">
        <v>0</v>
      </c>
      <c r="Y11" s="1">
        <v>0</v>
      </c>
    </row>
    <row r="12" spans="3:29" x14ac:dyDescent="0.2">
      <c r="C12" s="2"/>
      <c r="D12" s="5" t="s">
        <v>34</v>
      </c>
      <c r="E12" s="7" t="s">
        <v>36</v>
      </c>
      <c r="F12" s="10">
        <v>72</v>
      </c>
      <c r="V12" s="1">
        <v>0</v>
      </c>
      <c r="W12" s="1">
        <v>0</v>
      </c>
      <c r="Y12" s="1">
        <v>0</v>
      </c>
    </row>
    <row r="13" spans="3:29" x14ac:dyDescent="0.2">
      <c r="C13" s="2"/>
      <c r="D13" s="5" t="s">
        <v>34</v>
      </c>
      <c r="E13" s="7" t="s">
        <v>35</v>
      </c>
      <c r="F13" s="10">
        <v>82</v>
      </c>
      <c r="H13" s="17" t="s">
        <v>47</v>
      </c>
      <c r="V13" s="1">
        <v>0</v>
      </c>
      <c r="W13" s="1">
        <v>1</v>
      </c>
      <c r="Y13" s="1">
        <v>0</v>
      </c>
    </row>
    <row r="14" spans="3:29" x14ac:dyDescent="0.2">
      <c r="C14" s="2"/>
      <c r="D14" s="5" t="s">
        <v>32</v>
      </c>
      <c r="E14" s="7" t="s">
        <v>36</v>
      </c>
      <c r="F14" s="10">
        <v>63</v>
      </c>
      <c r="H14" s="1"/>
      <c r="I14" s="7" t="s">
        <v>35</v>
      </c>
      <c r="J14" s="7" t="s">
        <v>36</v>
      </c>
      <c r="V14" s="1">
        <v>0</v>
      </c>
      <c r="W14" s="1">
        <v>0</v>
      </c>
      <c r="Y14" s="1">
        <v>0</v>
      </c>
    </row>
    <row r="15" spans="3:29" x14ac:dyDescent="0.2">
      <c r="C15" s="2"/>
      <c r="D15" s="5" t="s">
        <v>34</v>
      </c>
      <c r="E15" s="7" t="s">
        <v>36</v>
      </c>
      <c r="F15" s="10">
        <v>15</v>
      </c>
      <c r="H15" s="5" t="s">
        <v>32</v>
      </c>
      <c r="I15" s="27" cm="1">
        <f t="array" ref="I15">AVERAGE(_xlfn._xlws.FILTER($F$8:$F$30,($D$8:$D$30=$H15)*($E$8:$E$30=I$14)))</f>
        <v>27.166666666666668</v>
      </c>
      <c r="J15" s="27" cm="1">
        <f t="array" ref="J15">AVERAGE(_xlfn._xlws.FILTER($F$8:$F$30,($D$8:$D$30=$H15)*($E$8:$E$30=J$14)))</f>
        <v>55.333333333333336</v>
      </c>
      <c r="V15" s="1">
        <v>1</v>
      </c>
      <c r="W15" s="1">
        <v>1</v>
      </c>
      <c r="Y15" s="1">
        <v>1</v>
      </c>
    </row>
    <row r="16" spans="3:29" x14ac:dyDescent="0.2">
      <c r="C16" s="2"/>
      <c r="D16" s="5" t="s">
        <v>33</v>
      </c>
      <c r="E16" s="7" t="s">
        <v>35</v>
      </c>
      <c r="F16" s="10">
        <v>28</v>
      </c>
      <c r="H16" s="5" t="s">
        <v>34</v>
      </c>
      <c r="I16" s="27" cm="1">
        <f t="array" ref="I16">AVERAGE(_xlfn._xlws.FILTER($F$8:$F$30,($D$8:$D$30=$H16)*($E$8:$E$30=I$14)))</f>
        <v>48.666666666666664</v>
      </c>
      <c r="J16" s="27" cm="1">
        <f t="array" ref="J16">AVERAGE(_xlfn._xlws.FILTER($F$8:$F$30,($D$8:$D$30=$H16)*($E$8:$E$30=J$14)))</f>
        <v>46.4</v>
      </c>
      <c r="V16" s="1">
        <v>0</v>
      </c>
      <c r="W16" s="1">
        <v>1</v>
      </c>
      <c r="Y16" s="1">
        <v>0</v>
      </c>
    </row>
    <row r="17" spans="3:25" x14ac:dyDescent="0.2">
      <c r="C17" s="2"/>
      <c r="D17" s="5" t="s">
        <v>34</v>
      </c>
      <c r="E17" s="7" t="s">
        <v>36</v>
      </c>
      <c r="F17" s="10">
        <v>60</v>
      </c>
      <c r="H17" s="5" t="s">
        <v>33</v>
      </c>
      <c r="I17" s="27" cm="1">
        <f t="array" ref="I17">AVERAGE(_xlfn._xlws.FILTER($F$8:$F$30,($D$8:$D$30=$H17)*($E$8:$E$30=I$14)))</f>
        <v>31</v>
      </c>
      <c r="J17" s="27" cm="1">
        <f t="array" ref="J17">AVERAGE(_xlfn._xlws.FILTER($F$8:$F$30,($D$8:$D$30=$H17)*($E$8:$E$30=J$14)))</f>
        <v>25.5</v>
      </c>
      <c r="M17" t="s">
        <v>71</v>
      </c>
      <c r="V17" s="1">
        <v>1</v>
      </c>
      <c r="W17" s="1">
        <v>1</v>
      </c>
      <c r="Y17" s="1">
        <v>1</v>
      </c>
    </row>
    <row r="18" spans="3:25" x14ac:dyDescent="0.2">
      <c r="C18" s="2"/>
      <c r="D18" s="5" t="s">
        <v>32</v>
      </c>
      <c r="E18" s="7" t="s">
        <v>35</v>
      </c>
      <c r="F18" s="10">
        <v>31</v>
      </c>
      <c r="V18" s="1">
        <v>0</v>
      </c>
      <c r="W18" s="1">
        <v>0</v>
      </c>
      <c r="Y18" s="1">
        <v>0</v>
      </c>
    </row>
    <row r="19" spans="3:25" x14ac:dyDescent="0.2">
      <c r="C19" s="2"/>
      <c r="D19" s="5" t="s">
        <v>33</v>
      </c>
      <c r="E19" s="7" t="s">
        <v>35</v>
      </c>
      <c r="F19" s="10">
        <v>30</v>
      </c>
      <c r="H19" s="13" t="s">
        <v>48</v>
      </c>
      <c r="M19" s="26" t="s">
        <v>58</v>
      </c>
      <c r="N19" s="26" t="s">
        <v>72</v>
      </c>
      <c r="V19" s="1">
        <v>1</v>
      </c>
      <c r="W19" s="1">
        <v>1</v>
      </c>
      <c r="Y19" s="1">
        <v>1</v>
      </c>
    </row>
    <row r="20" spans="3:25" x14ac:dyDescent="0.2">
      <c r="C20" s="2"/>
      <c r="D20" s="5" t="s">
        <v>32</v>
      </c>
      <c r="E20" s="7" t="s">
        <v>35</v>
      </c>
      <c r="F20" s="10">
        <v>16</v>
      </c>
      <c r="H20" s="1"/>
      <c r="I20" s="7" t="s">
        <v>35</v>
      </c>
      <c r="J20" s="7" t="s">
        <v>36</v>
      </c>
      <c r="V20" s="1">
        <v>0</v>
      </c>
      <c r="W20" s="1">
        <v>0</v>
      </c>
      <c r="Y20" s="1">
        <v>0</v>
      </c>
    </row>
    <row r="21" spans="3:25" x14ac:dyDescent="0.2">
      <c r="C21" s="2"/>
      <c r="D21" s="5" t="s">
        <v>34</v>
      </c>
      <c r="E21" s="7" t="s">
        <v>36</v>
      </c>
      <c r="F21" s="10">
        <v>58</v>
      </c>
      <c r="H21" s="5" t="s">
        <v>32</v>
      </c>
      <c r="I21" s="28" cm="1">
        <f t="array" ref="I21">COUNT(_xlfn._xlws.FILTER($F$8:$F$30,($D$8:$D$30=$H21)*($E$8:$E$30=I$20)))</f>
        <v>6</v>
      </c>
      <c r="J21" s="28" cm="1">
        <f t="array" ref="J21">COUNT(_xlfn._xlws.FILTER($F$8:$F$30,($D$8:$D$30=$H21)*($E$8:$E$30=J$20)))</f>
        <v>3</v>
      </c>
      <c r="V21" s="1">
        <v>1</v>
      </c>
      <c r="W21" s="1">
        <v>1</v>
      </c>
      <c r="Y21" s="1">
        <v>1</v>
      </c>
    </row>
    <row r="22" spans="3:25" x14ac:dyDescent="0.2">
      <c r="C22" s="2"/>
      <c r="D22" s="5" t="s">
        <v>32</v>
      </c>
      <c r="E22" s="7" t="s">
        <v>35</v>
      </c>
      <c r="F22" s="10">
        <v>54</v>
      </c>
      <c r="H22" s="5" t="s">
        <v>34</v>
      </c>
      <c r="I22" s="28" cm="1">
        <f t="array" ref="I22">COUNT(_xlfn._xlws.FILTER($F$8:$F$30,($D$8:$D$30=$H22)*($E$8:$E$30=I$20)))</f>
        <v>3</v>
      </c>
      <c r="J22" s="28" cm="1">
        <f t="array" ref="J22">COUNT(_xlfn._xlws.FILTER($F$8:$F$30,($D$8:$D$30=$H22)*($E$8:$E$30=J$20)))</f>
        <v>5</v>
      </c>
      <c r="V22" s="1">
        <v>0</v>
      </c>
      <c r="W22" s="1">
        <v>1</v>
      </c>
      <c r="Y22" s="1">
        <v>0</v>
      </c>
    </row>
    <row r="23" spans="3:25" x14ac:dyDescent="0.2">
      <c r="C23" s="2"/>
      <c r="D23" s="5" t="s">
        <v>33</v>
      </c>
      <c r="E23" s="7" t="s">
        <v>36</v>
      </c>
      <c r="F23" s="10">
        <v>23</v>
      </c>
      <c r="H23" s="5" t="s">
        <v>33</v>
      </c>
      <c r="I23" s="28" cm="1">
        <f t="array" ref="I23">COUNT(_xlfn._xlws.FILTER($F$8:$F$30,($D$8:$D$30=$H23)*($E$8:$E$30=I$20)))</f>
        <v>4</v>
      </c>
      <c r="J23" s="28" cm="1">
        <f t="array" ref="J23">COUNT(_xlfn._xlws.FILTER($F$8:$F$30,($D$8:$D$30=$H23)*($E$8:$E$30=J$20)))</f>
        <v>2</v>
      </c>
      <c r="V23" s="1">
        <v>1</v>
      </c>
      <c r="W23" s="1">
        <v>1</v>
      </c>
      <c r="Y23" s="1">
        <v>1</v>
      </c>
    </row>
    <row r="24" spans="3:25" x14ac:dyDescent="0.2">
      <c r="C24" s="2"/>
      <c r="D24" s="5" t="s">
        <v>32</v>
      </c>
      <c r="E24" s="7" t="s">
        <v>35</v>
      </c>
      <c r="F24" s="10">
        <v>32</v>
      </c>
      <c r="V24" s="1">
        <v>1</v>
      </c>
      <c r="W24" s="1">
        <v>0</v>
      </c>
      <c r="Y24" s="1">
        <v>0</v>
      </c>
    </row>
    <row r="25" spans="3:25" x14ac:dyDescent="0.2">
      <c r="C25" s="2"/>
      <c r="D25" s="5" t="s">
        <v>34</v>
      </c>
      <c r="E25" s="7" t="s">
        <v>35</v>
      </c>
      <c r="F25" s="10">
        <v>30</v>
      </c>
      <c r="V25" s="1">
        <v>0</v>
      </c>
      <c r="W25" s="1">
        <v>1</v>
      </c>
      <c r="Y25" s="1">
        <v>0</v>
      </c>
    </row>
    <row r="26" spans="3:25" x14ac:dyDescent="0.2">
      <c r="C26" s="2"/>
      <c r="D26" s="5" t="s">
        <v>32</v>
      </c>
      <c r="E26" s="7" t="s">
        <v>35</v>
      </c>
      <c r="F26" s="10">
        <v>17</v>
      </c>
      <c r="V26" s="1">
        <v>0</v>
      </c>
      <c r="W26" s="1">
        <v>1</v>
      </c>
      <c r="Y26" s="1">
        <v>0</v>
      </c>
    </row>
    <row r="27" spans="3:25" x14ac:dyDescent="0.2">
      <c r="C27" s="2"/>
      <c r="D27" s="5" t="s">
        <v>32</v>
      </c>
      <c r="E27" s="7" t="s">
        <v>36</v>
      </c>
      <c r="F27" s="10">
        <v>22</v>
      </c>
      <c r="V27" s="1">
        <v>0</v>
      </c>
      <c r="W27" s="1">
        <v>1</v>
      </c>
      <c r="Y27" s="1">
        <v>0</v>
      </c>
    </row>
    <row r="28" spans="3:25" x14ac:dyDescent="0.2">
      <c r="C28" s="2"/>
      <c r="D28" s="5" t="s">
        <v>34</v>
      </c>
      <c r="E28" s="8" t="s">
        <v>35</v>
      </c>
      <c r="F28" s="10">
        <v>34</v>
      </c>
    </row>
    <row r="29" spans="3:25" x14ac:dyDescent="0.2">
      <c r="C29" s="2"/>
      <c r="D29" s="5" t="s">
        <v>33</v>
      </c>
      <c r="E29" s="8" t="s">
        <v>35</v>
      </c>
      <c r="F29" s="10">
        <v>45</v>
      </c>
    </row>
    <row r="30" spans="3:25" x14ac:dyDescent="0.2">
      <c r="C30" s="2"/>
      <c r="D30" s="5" t="s">
        <v>33</v>
      </c>
      <c r="E30" s="8" t="s">
        <v>35</v>
      </c>
      <c r="F30" s="10">
        <v>21</v>
      </c>
    </row>
  </sheetData>
  <mergeCells count="2">
    <mergeCell ref="C8:C30"/>
    <mergeCell ref="M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3003-6122-B24A-8D52-FF94D57E0718}">
  <dimension ref="C7:N30"/>
  <sheetViews>
    <sheetView topLeftCell="B3" zoomScale="150" zoomScaleNormal="150" workbookViewId="0">
      <selection activeCell="H31" sqref="H31"/>
    </sheetView>
  </sheetViews>
  <sheetFormatPr baseColWidth="10" defaultRowHeight="16" x14ac:dyDescent="0.2"/>
  <cols>
    <col min="7" max="7" width="16.83203125" bestFit="1" customWidth="1"/>
    <col min="8" max="8" width="21.5" bestFit="1" customWidth="1"/>
    <col min="9" max="9" width="11.83203125" customWidth="1"/>
    <col min="10" max="10" width="11.6640625" bestFit="1" customWidth="1"/>
  </cols>
  <sheetData>
    <row r="7" spans="3:14" x14ac:dyDescent="0.2">
      <c r="C7" s="4" t="s">
        <v>30</v>
      </c>
      <c r="D7" s="6" t="s">
        <v>31</v>
      </c>
      <c r="E7" s="9" t="s">
        <v>37</v>
      </c>
      <c r="G7" s="30" t="s">
        <v>76</v>
      </c>
      <c r="H7" s="30" t="s">
        <v>75</v>
      </c>
    </row>
    <row r="8" spans="3:14" x14ac:dyDescent="0.2">
      <c r="C8" s="5" t="s">
        <v>32</v>
      </c>
      <c r="D8" s="7" t="s">
        <v>35</v>
      </c>
      <c r="E8" s="10">
        <v>13</v>
      </c>
      <c r="G8" s="30" t="s">
        <v>73</v>
      </c>
      <c r="H8" t="s">
        <v>35</v>
      </c>
      <c r="I8" t="s">
        <v>36</v>
      </c>
      <c r="J8" t="s">
        <v>74</v>
      </c>
      <c r="L8" s="1"/>
      <c r="M8" s="7" t="s">
        <v>35</v>
      </c>
      <c r="N8" s="7" t="s">
        <v>36</v>
      </c>
    </row>
    <row r="9" spans="3:14" x14ac:dyDescent="0.2">
      <c r="C9" s="5" t="s">
        <v>34</v>
      </c>
      <c r="D9" s="7" t="s">
        <v>36</v>
      </c>
      <c r="E9" s="10">
        <v>27</v>
      </c>
      <c r="G9" s="3" t="s">
        <v>32</v>
      </c>
      <c r="H9" s="31">
        <v>163</v>
      </c>
      <c r="I9" s="31">
        <v>166</v>
      </c>
      <c r="J9" s="31">
        <v>329</v>
      </c>
      <c r="L9" s="5" t="s">
        <v>32</v>
      </c>
      <c r="M9" s="32">
        <v>163</v>
      </c>
      <c r="N9" s="32">
        <v>166</v>
      </c>
    </row>
    <row r="10" spans="3:14" x14ac:dyDescent="0.2">
      <c r="C10" s="5" t="s">
        <v>33</v>
      </c>
      <c r="D10" s="7" t="s">
        <v>36</v>
      </c>
      <c r="E10" s="10">
        <v>28</v>
      </c>
      <c r="G10" s="3" t="s">
        <v>34</v>
      </c>
      <c r="H10" s="31">
        <v>146</v>
      </c>
      <c r="I10" s="31">
        <v>232</v>
      </c>
      <c r="J10" s="31">
        <v>378</v>
      </c>
      <c r="L10" s="5" t="s">
        <v>34</v>
      </c>
      <c r="M10" s="32">
        <v>146</v>
      </c>
      <c r="N10" s="32">
        <v>232</v>
      </c>
    </row>
    <row r="11" spans="3:14" x14ac:dyDescent="0.2">
      <c r="C11" s="5" t="s">
        <v>32</v>
      </c>
      <c r="D11" s="7" t="s">
        <v>36</v>
      </c>
      <c r="E11" s="10">
        <v>81</v>
      </c>
      <c r="G11" s="3" t="s">
        <v>33</v>
      </c>
      <c r="H11" s="31">
        <v>124</v>
      </c>
      <c r="I11" s="31">
        <v>51</v>
      </c>
      <c r="J11" s="31">
        <v>175</v>
      </c>
      <c r="L11" s="5" t="s">
        <v>33</v>
      </c>
      <c r="M11" s="32">
        <v>124</v>
      </c>
      <c r="N11" s="32">
        <v>51</v>
      </c>
    </row>
    <row r="12" spans="3:14" x14ac:dyDescent="0.2">
      <c r="C12" s="5" t="s">
        <v>34</v>
      </c>
      <c r="D12" s="7" t="s">
        <v>36</v>
      </c>
      <c r="E12" s="10">
        <v>72</v>
      </c>
      <c r="G12" s="3" t="s">
        <v>74</v>
      </c>
      <c r="H12" s="31">
        <v>433</v>
      </c>
      <c r="I12" s="31">
        <v>449</v>
      </c>
      <c r="J12" s="31">
        <v>882</v>
      </c>
    </row>
    <row r="13" spans="3:14" x14ac:dyDescent="0.2">
      <c r="C13" s="5" t="s">
        <v>34</v>
      </c>
      <c r="D13" s="7" t="s">
        <v>35</v>
      </c>
      <c r="E13" s="10">
        <v>82</v>
      </c>
    </row>
    <row r="14" spans="3:14" x14ac:dyDescent="0.2">
      <c r="C14" s="5" t="s">
        <v>32</v>
      </c>
      <c r="D14" s="7" t="s">
        <v>36</v>
      </c>
      <c r="E14" s="10">
        <v>63</v>
      </c>
      <c r="G14" s="30" t="s">
        <v>77</v>
      </c>
      <c r="H14" s="30" t="s">
        <v>75</v>
      </c>
    </row>
    <row r="15" spans="3:14" x14ac:dyDescent="0.2">
      <c r="C15" s="5" t="s">
        <v>34</v>
      </c>
      <c r="D15" s="7" t="s">
        <v>36</v>
      </c>
      <c r="E15" s="10">
        <v>15</v>
      </c>
      <c r="G15" s="30" t="s">
        <v>73</v>
      </c>
      <c r="H15" t="s">
        <v>35</v>
      </c>
      <c r="I15" t="s">
        <v>36</v>
      </c>
      <c r="J15" t="s">
        <v>74</v>
      </c>
    </row>
    <row r="16" spans="3:14" x14ac:dyDescent="0.2">
      <c r="C16" s="5" t="s">
        <v>33</v>
      </c>
      <c r="D16" s="7" t="s">
        <v>35</v>
      </c>
      <c r="E16" s="10">
        <v>28</v>
      </c>
      <c r="G16" s="3" t="s">
        <v>32</v>
      </c>
      <c r="H16" s="19">
        <v>27.166666666666668</v>
      </c>
      <c r="I16" s="19">
        <v>55.333333333333336</v>
      </c>
      <c r="J16" s="19">
        <v>36.555555555555557</v>
      </c>
    </row>
    <row r="17" spans="3:10" x14ac:dyDescent="0.2">
      <c r="C17" s="5" t="s">
        <v>34</v>
      </c>
      <c r="D17" s="7" t="s">
        <v>36</v>
      </c>
      <c r="E17" s="10">
        <v>60</v>
      </c>
      <c r="G17" s="3" t="s">
        <v>34</v>
      </c>
      <c r="H17" s="19">
        <v>48.666666666666664</v>
      </c>
      <c r="I17" s="19">
        <v>46.4</v>
      </c>
      <c r="J17" s="19">
        <v>47.25</v>
      </c>
    </row>
    <row r="18" spans="3:10" x14ac:dyDescent="0.2">
      <c r="C18" s="5" t="s">
        <v>32</v>
      </c>
      <c r="D18" s="7" t="s">
        <v>35</v>
      </c>
      <c r="E18" s="10">
        <v>31</v>
      </c>
      <c r="G18" s="3" t="s">
        <v>33</v>
      </c>
      <c r="H18" s="19">
        <v>31</v>
      </c>
      <c r="I18" s="19">
        <v>25.5</v>
      </c>
      <c r="J18" s="19">
        <v>29.166666666666668</v>
      </c>
    </row>
    <row r="19" spans="3:10" x14ac:dyDescent="0.2">
      <c r="C19" s="5" t="s">
        <v>33</v>
      </c>
      <c r="D19" s="7" t="s">
        <v>35</v>
      </c>
      <c r="E19" s="10">
        <v>30</v>
      </c>
      <c r="G19" s="3" t="s">
        <v>74</v>
      </c>
      <c r="H19" s="19">
        <v>33.307692307692307</v>
      </c>
      <c r="I19" s="19">
        <v>44.9</v>
      </c>
      <c r="J19" s="19">
        <v>38.347826086956523</v>
      </c>
    </row>
    <row r="20" spans="3:10" x14ac:dyDescent="0.2">
      <c r="C20" s="5" t="s">
        <v>32</v>
      </c>
      <c r="D20" s="7" t="s">
        <v>35</v>
      </c>
      <c r="E20" s="10">
        <v>16</v>
      </c>
    </row>
    <row r="21" spans="3:10" x14ac:dyDescent="0.2">
      <c r="C21" s="5" t="s">
        <v>34</v>
      </c>
      <c r="D21" s="7" t="s">
        <v>36</v>
      </c>
      <c r="E21" s="10">
        <v>58</v>
      </c>
      <c r="G21" s="30" t="s">
        <v>78</v>
      </c>
      <c r="H21" s="30" t="s">
        <v>75</v>
      </c>
    </row>
    <row r="22" spans="3:10" x14ac:dyDescent="0.2">
      <c r="C22" s="5" t="s">
        <v>32</v>
      </c>
      <c r="D22" s="7" t="s">
        <v>35</v>
      </c>
      <c r="E22" s="10">
        <v>54</v>
      </c>
      <c r="G22" s="30" t="s">
        <v>73</v>
      </c>
      <c r="H22" t="s">
        <v>35</v>
      </c>
      <c r="I22" t="s">
        <v>36</v>
      </c>
      <c r="J22" t="s">
        <v>74</v>
      </c>
    </row>
    <row r="23" spans="3:10" x14ac:dyDescent="0.2">
      <c r="C23" s="5" t="s">
        <v>33</v>
      </c>
      <c r="D23" s="7" t="s">
        <v>36</v>
      </c>
      <c r="E23" s="10">
        <v>23</v>
      </c>
      <c r="G23" s="3" t="s">
        <v>32</v>
      </c>
      <c r="H23" s="31">
        <v>6</v>
      </c>
      <c r="I23" s="31">
        <v>3</v>
      </c>
      <c r="J23" s="31">
        <v>9</v>
      </c>
    </row>
    <row r="24" spans="3:10" x14ac:dyDescent="0.2">
      <c r="C24" s="5" t="s">
        <v>32</v>
      </c>
      <c r="D24" s="7" t="s">
        <v>35</v>
      </c>
      <c r="E24" s="10">
        <v>32</v>
      </c>
      <c r="G24" s="3" t="s">
        <v>34</v>
      </c>
      <c r="H24" s="31">
        <v>3</v>
      </c>
      <c r="I24" s="31">
        <v>5</v>
      </c>
      <c r="J24" s="31">
        <v>8</v>
      </c>
    </row>
    <row r="25" spans="3:10" x14ac:dyDescent="0.2">
      <c r="C25" s="5" t="s">
        <v>34</v>
      </c>
      <c r="D25" s="7" t="s">
        <v>35</v>
      </c>
      <c r="E25" s="10">
        <v>30</v>
      </c>
      <c r="G25" s="3" t="s">
        <v>33</v>
      </c>
      <c r="H25" s="31">
        <v>4</v>
      </c>
      <c r="I25" s="31">
        <v>2</v>
      </c>
      <c r="J25" s="31">
        <v>6</v>
      </c>
    </row>
    <row r="26" spans="3:10" x14ac:dyDescent="0.2">
      <c r="C26" s="5" t="s">
        <v>32</v>
      </c>
      <c r="D26" s="7" t="s">
        <v>35</v>
      </c>
      <c r="E26" s="10">
        <v>17</v>
      </c>
      <c r="G26" s="3" t="s">
        <v>74</v>
      </c>
      <c r="H26" s="31">
        <v>13</v>
      </c>
      <c r="I26" s="31">
        <v>10</v>
      </c>
      <c r="J26" s="31">
        <v>23</v>
      </c>
    </row>
    <row r="27" spans="3:10" x14ac:dyDescent="0.2">
      <c r="C27" s="5" t="s">
        <v>32</v>
      </c>
      <c r="D27" s="7" t="s">
        <v>36</v>
      </c>
      <c r="E27" s="10">
        <v>22</v>
      </c>
    </row>
    <row r="28" spans="3:10" x14ac:dyDescent="0.2">
      <c r="C28" s="5" t="s">
        <v>34</v>
      </c>
      <c r="D28" s="8" t="s">
        <v>35</v>
      </c>
      <c r="E28" s="10">
        <v>34</v>
      </c>
    </row>
    <row r="29" spans="3:10" x14ac:dyDescent="0.2">
      <c r="C29" s="5" t="s">
        <v>33</v>
      </c>
      <c r="D29" s="8" t="s">
        <v>35</v>
      </c>
      <c r="E29" s="10">
        <v>45</v>
      </c>
    </row>
    <row r="30" spans="3:10" x14ac:dyDescent="0.2">
      <c r="C30" s="5" t="s">
        <v>33</v>
      </c>
      <c r="D30" s="8" t="s">
        <v>35</v>
      </c>
      <c r="E30" s="10">
        <v>21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002F-61C9-4F45-A600-DF413859B49A}">
  <dimension ref="D7:X899"/>
  <sheetViews>
    <sheetView tabSelected="1" topLeftCell="H7" zoomScale="120" zoomScaleNormal="120" workbookViewId="0">
      <selection activeCell="Z32" sqref="Z32"/>
    </sheetView>
  </sheetViews>
  <sheetFormatPr baseColWidth="10" defaultRowHeight="16" x14ac:dyDescent="0.2"/>
  <cols>
    <col min="4" max="4" width="11.33203125" customWidth="1"/>
    <col min="9" max="9" width="18.33203125" customWidth="1"/>
    <col min="10" max="10" width="16.33203125" customWidth="1"/>
    <col min="13" max="13" width="16.1640625" customWidth="1"/>
    <col min="15" max="15" width="18.1640625" bestFit="1" customWidth="1"/>
    <col min="16" max="16" width="21.5" bestFit="1" customWidth="1"/>
    <col min="17" max="17" width="8.6640625" customWidth="1"/>
    <col min="18" max="18" width="20.5" bestFit="1" customWidth="1"/>
  </cols>
  <sheetData>
    <row r="7" spans="4:24" x14ac:dyDescent="0.2">
      <c r="O7" t="s">
        <v>986</v>
      </c>
    </row>
    <row r="8" spans="4:24" x14ac:dyDescent="0.2">
      <c r="D8" s="33" t="s">
        <v>79</v>
      </c>
      <c r="E8" s="33" t="s">
        <v>80</v>
      </c>
      <c r="F8" s="33" t="s">
        <v>81</v>
      </c>
      <c r="G8" s="33" t="s">
        <v>82</v>
      </c>
      <c r="H8" s="33" t="s">
        <v>83</v>
      </c>
      <c r="I8" s="33" t="s">
        <v>84</v>
      </c>
      <c r="J8" s="33" t="s">
        <v>85</v>
      </c>
      <c r="K8" s="33" t="s">
        <v>86</v>
      </c>
      <c r="L8" s="33" t="s">
        <v>87</v>
      </c>
      <c r="M8" s="33" t="s">
        <v>88</v>
      </c>
    </row>
    <row r="9" spans="4:24" x14ac:dyDescent="0.2">
      <c r="D9" s="34">
        <v>0</v>
      </c>
      <c r="E9" s="35">
        <v>3</v>
      </c>
      <c r="F9" s="35" t="s">
        <v>89</v>
      </c>
      <c r="G9" s="35" t="s">
        <v>90</v>
      </c>
      <c r="H9" s="35">
        <v>22</v>
      </c>
      <c r="I9" s="35">
        <v>1</v>
      </c>
      <c r="J9" s="35">
        <v>0</v>
      </c>
      <c r="K9" s="35">
        <v>725</v>
      </c>
      <c r="L9" s="35">
        <v>0</v>
      </c>
      <c r="M9" s="35" t="s">
        <v>91</v>
      </c>
      <c r="O9" s="30" t="s">
        <v>985</v>
      </c>
      <c r="P9" s="30" t="s">
        <v>75</v>
      </c>
      <c r="T9" s="40" t="s">
        <v>1007</v>
      </c>
      <c r="U9" s="40"/>
      <c r="V9" s="40"/>
      <c r="W9" s="40"/>
      <c r="X9" s="40"/>
    </row>
    <row r="10" spans="4:24" x14ac:dyDescent="0.2">
      <c r="D10" s="34">
        <v>1</v>
      </c>
      <c r="E10" s="35">
        <v>1</v>
      </c>
      <c r="F10" s="35" t="s">
        <v>92</v>
      </c>
      <c r="G10" s="35" t="s">
        <v>93</v>
      </c>
      <c r="H10" s="35">
        <v>38</v>
      </c>
      <c r="I10" s="35">
        <v>1</v>
      </c>
      <c r="J10" s="35">
        <v>0</v>
      </c>
      <c r="K10" s="35">
        <v>712833</v>
      </c>
      <c r="L10" s="35">
        <v>1</v>
      </c>
      <c r="M10" s="35" t="s">
        <v>94</v>
      </c>
      <c r="O10" s="30" t="s">
        <v>73</v>
      </c>
      <c r="P10">
        <v>0</v>
      </c>
      <c r="Q10">
        <v>1</v>
      </c>
      <c r="R10" t="s">
        <v>74</v>
      </c>
      <c r="T10" s="13"/>
      <c r="U10" s="13"/>
      <c r="V10" s="13"/>
      <c r="W10" s="13"/>
      <c r="X10" s="13"/>
    </row>
    <row r="11" spans="4:24" x14ac:dyDescent="0.2">
      <c r="D11" s="34">
        <v>1</v>
      </c>
      <c r="E11" s="35">
        <v>3</v>
      </c>
      <c r="F11" s="35" t="s">
        <v>95</v>
      </c>
      <c r="G11" s="35" t="s">
        <v>93</v>
      </c>
      <c r="H11" s="35">
        <v>26</v>
      </c>
      <c r="I11" s="35">
        <v>0</v>
      </c>
      <c r="J11" s="35">
        <v>0</v>
      </c>
      <c r="K11" s="35">
        <v>7925</v>
      </c>
      <c r="L11" s="35">
        <v>0</v>
      </c>
      <c r="M11" s="35" t="s">
        <v>91</v>
      </c>
      <c r="O11" s="3" t="s">
        <v>90</v>
      </c>
      <c r="P11" s="31">
        <v>468</v>
      </c>
      <c r="Q11" s="31">
        <v>109</v>
      </c>
      <c r="R11" s="31">
        <v>577</v>
      </c>
      <c r="T11" s="13" t="s">
        <v>1008</v>
      </c>
      <c r="U11" s="13"/>
      <c r="V11" s="13"/>
      <c r="W11" s="13"/>
      <c r="X11" s="13"/>
    </row>
    <row r="12" spans="4:24" x14ac:dyDescent="0.2">
      <c r="D12" s="34">
        <v>1</v>
      </c>
      <c r="E12" s="35">
        <v>1</v>
      </c>
      <c r="F12" s="35" t="s">
        <v>96</v>
      </c>
      <c r="G12" s="35" t="s">
        <v>93</v>
      </c>
      <c r="H12" s="35">
        <v>35</v>
      </c>
      <c r="I12" s="35">
        <v>1</v>
      </c>
      <c r="J12" s="35">
        <v>0</v>
      </c>
      <c r="K12" s="35">
        <v>531</v>
      </c>
      <c r="L12" s="35">
        <v>1</v>
      </c>
      <c r="M12" s="35" t="s">
        <v>91</v>
      </c>
      <c r="O12" s="3" t="s">
        <v>93</v>
      </c>
      <c r="P12" s="31">
        <v>81</v>
      </c>
      <c r="Q12" s="31">
        <v>233</v>
      </c>
      <c r="R12" s="31">
        <v>314</v>
      </c>
      <c r="T12" s="13"/>
      <c r="U12" s="13" t="s">
        <v>1009</v>
      </c>
      <c r="V12" s="13"/>
      <c r="W12" s="13"/>
      <c r="X12" s="13"/>
    </row>
    <row r="13" spans="4:24" x14ac:dyDescent="0.2">
      <c r="D13" s="34">
        <v>0</v>
      </c>
      <c r="E13" s="35">
        <v>3</v>
      </c>
      <c r="F13" s="35" t="s">
        <v>97</v>
      </c>
      <c r="G13" s="35" t="s">
        <v>90</v>
      </c>
      <c r="H13" s="35">
        <v>35</v>
      </c>
      <c r="I13" s="35">
        <v>0</v>
      </c>
      <c r="J13" s="35">
        <v>0</v>
      </c>
      <c r="K13" s="35">
        <v>805</v>
      </c>
      <c r="L13" s="35">
        <v>0</v>
      </c>
      <c r="M13" s="35" t="s">
        <v>91</v>
      </c>
      <c r="O13" s="3" t="s">
        <v>74</v>
      </c>
      <c r="P13" s="31">
        <v>549</v>
      </c>
      <c r="Q13" s="31">
        <v>342</v>
      </c>
      <c r="R13" s="31">
        <v>891</v>
      </c>
      <c r="T13" s="13"/>
      <c r="U13" s="13" t="s">
        <v>1010</v>
      </c>
      <c r="V13" s="13"/>
      <c r="W13" s="13"/>
      <c r="X13" s="13"/>
    </row>
    <row r="14" spans="4:24" x14ac:dyDescent="0.2">
      <c r="D14" s="34">
        <v>0</v>
      </c>
      <c r="E14" s="35">
        <v>3</v>
      </c>
      <c r="F14" s="35" t="s">
        <v>98</v>
      </c>
      <c r="G14" s="35" t="s">
        <v>90</v>
      </c>
      <c r="H14" s="36"/>
      <c r="I14" s="35">
        <v>0</v>
      </c>
      <c r="J14" s="35">
        <v>0</v>
      </c>
      <c r="K14" s="35">
        <v>84583</v>
      </c>
      <c r="L14" s="35">
        <v>0</v>
      </c>
      <c r="M14" s="35" t="s">
        <v>99</v>
      </c>
      <c r="T14" s="13"/>
      <c r="U14" s="13"/>
      <c r="V14" s="13"/>
      <c r="W14" s="13"/>
      <c r="X14" s="13"/>
    </row>
    <row r="15" spans="4:24" x14ac:dyDescent="0.2">
      <c r="D15" s="34">
        <v>0</v>
      </c>
      <c r="E15" s="35">
        <v>1</v>
      </c>
      <c r="F15" s="35" t="s">
        <v>100</v>
      </c>
      <c r="G15" s="35" t="s">
        <v>90</v>
      </c>
      <c r="H15" s="35">
        <v>54</v>
      </c>
      <c r="I15" s="35">
        <v>0</v>
      </c>
      <c r="J15" s="35">
        <v>0</v>
      </c>
      <c r="K15" s="35">
        <v>518625</v>
      </c>
      <c r="L15" s="35">
        <v>1</v>
      </c>
      <c r="M15" s="35" t="s">
        <v>91</v>
      </c>
      <c r="O15" s="39" t="s">
        <v>987</v>
      </c>
      <c r="P15" s="39"/>
      <c r="Q15" s="39"/>
      <c r="R15" s="39"/>
      <c r="T15" s="13"/>
      <c r="U15" s="13" t="s">
        <v>1011</v>
      </c>
      <c r="V15" s="13"/>
      <c r="W15" s="13"/>
      <c r="X15" s="13"/>
    </row>
    <row r="16" spans="4:24" x14ac:dyDescent="0.2">
      <c r="D16" s="34">
        <v>0</v>
      </c>
      <c r="E16" s="35">
        <v>3</v>
      </c>
      <c r="F16" s="35" t="s">
        <v>101</v>
      </c>
      <c r="G16" s="35" t="s">
        <v>90</v>
      </c>
      <c r="H16" s="35">
        <v>2</v>
      </c>
      <c r="I16" s="35">
        <v>3</v>
      </c>
      <c r="J16" s="35">
        <v>1</v>
      </c>
      <c r="K16" s="35">
        <v>21075</v>
      </c>
      <c r="L16" s="35">
        <v>0</v>
      </c>
      <c r="M16" s="35" t="s">
        <v>91</v>
      </c>
      <c r="T16" s="13"/>
      <c r="U16" s="13" t="s">
        <v>1012</v>
      </c>
      <c r="V16" s="13"/>
      <c r="W16" s="13"/>
      <c r="X16" s="13"/>
    </row>
    <row r="17" spans="4:24" x14ac:dyDescent="0.2">
      <c r="D17" s="34">
        <v>1</v>
      </c>
      <c r="E17" s="35">
        <v>3</v>
      </c>
      <c r="F17" s="35" t="s">
        <v>102</v>
      </c>
      <c r="G17" s="35" t="s">
        <v>93</v>
      </c>
      <c r="H17" s="35">
        <v>27</v>
      </c>
      <c r="I17" s="35">
        <v>0</v>
      </c>
      <c r="J17" s="35">
        <v>2</v>
      </c>
      <c r="K17" s="35">
        <v>111333</v>
      </c>
      <c r="L17" s="35">
        <v>0</v>
      </c>
      <c r="M17" s="35" t="s">
        <v>91</v>
      </c>
      <c r="O17" s="3" t="s">
        <v>988</v>
      </c>
      <c r="R17" s="37">
        <f>GETPIVOTDATA("Sobrevive",$O$9,"Sexo","Hombre")/GETPIVOTDATA("Sobrevive",$O$9)</f>
        <v>0.6475869809203143</v>
      </c>
      <c r="T17" s="13"/>
      <c r="U17" s="13"/>
      <c r="V17" s="13"/>
      <c r="W17" s="13"/>
      <c r="X17" s="13"/>
    </row>
    <row r="18" spans="4:24" x14ac:dyDescent="0.2">
      <c r="D18" s="34">
        <v>1</v>
      </c>
      <c r="E18" s="35">
        <v>2</v>
      </c>
      <c r="F18" s="35" t="s">
        <v>103</v>
      </c>
      <c r="G18" s="35" t="s">
        <v>93</v>
      </c>
      <c r="H18" s="35">
        <v>14</v>
      </c>
      <c r="I18" s="35">
        <v>1</v>
      </c>
      <c r="J18" s="35">
        <v>0</v>
      </c>
      <c r="K18" s="35">
        <v>300708</v>
      </c>
      <c r="L18" s="35">
        <v>0</v>
      </c>
      <c r="M18" s="35" t="s">
        <v>94</v>
      </c>
      <c r="O18" t="s">
        <v>989</v>
      </c>
      <c r="R18" s="37">
        <f>GETPIVOTDATA("Sobrevive",$O$9,"Sexo","Mujer")/GETPIVOTDATA("Sobrevive",$O$9)</f>
        <v>0.35241301907968575</v>
      </c>
      <c r="T18" s="13" t="s">
        <v>1013</v>
      </c>
      <c r="U18" s="13"/>
      <c r="V18" s="13"/>
      <c r="W18" s="13"/>
      <c r="X18" s="13"/>
    </row>
    <row r="19" spans="4:24" x14ac:dyDescent="0.2">
      <c r="D19" s="34">
        <v>1</v>
      </c>
      <c r="E19" s="35">
        <v>3</v>
      </c>
      <c r="F19" s="35" t="s">
        <v>104</v>
      </c>
      <c r="G19" s="35" t="s">
        <v>93</v>
      </c>
      <c r="H19" s="35">
        <v>4</v>
      </c>
      <c r="I19" s="35">
        <v>1</v>
      </c>
      <c r="J19" s="35">
        <v>1</v>
      </c>
      <c r="K19" s="35">
        <v>167</v>
      </c>
      <c r="L19" s="35">
        <v>1</v>
      </c>
      <c r="M19" s="35" t="s">
        <v>91</v>
      </c>
      <c r="T19" s="13" t="s">
        <v>1014</v>
      </c>
      <c r="U19" s="13"/>
      <c r="V19" s="13"/>
      <c r="W19" s="13"/>
      <c r="X19" s="13"/>
    </row>
    <row r="20" spans="4:24" x14ac:dyDescent="0.2">
      <c r="D20" s="34">
        <v>1</v>
      </c>
      <c r="E20" s="35">
        <v>1</v>
      </c>
      <c r="F20" s="35" t="s">
        <v>105</v>
      </c>
      <c r="G20" s="35" t="s">
        <v>93</v>
      </c>
      <c r="H20" s="35">
        <v>58</v>
      </c>
      <c r="I20" s="35">
        <v>0</v>
      </c>
      <c r="J20" s="35">
        <v>0</v>
      </c>
      <c r="K20" s="35">
        <v>2655</v>
      </c>
      <c r="L20" s="35">
        <v>1</v>
      </c>
      <c r="M20" s="35" t="s">
        <v>91</v>
      </c>
      <c r="O20" t="s">
        <v>990</v>
      </c>
      <c r="R20" s="37">
        <f>GETPIVOTDATA("Sobrevive",$O$9,"Sobrevive",1)/GETPIVOTDATA("Sobrevive",$O$9)</f>
        <v>0.38383838383838381</v>
      </c>
      <c r="T20" s="13"/>
      <c r="U20" s="13"/>
      <c r="V20" s="13"/>
      <c r="W20" s="13"/>
      <c r="X20" s="13"/>
    </row>
    <row r="21" spans="4:24" x14ac:dyDescent="0.2">
      <c r="D21" s="34">
        <v>0</v>
      </c>
      <c r="E21" s="35">
        <v>3</v>
      </c>
      <c r="F21" s="35" t="s">
        <v>106</v>
      </c>
      <c r="G21" s="35" t="s">
        <v>90</v>
      </c>
      <c r="H21" s="35">
        <v>20</v>
      </c>
      <c r="I21" s="35">
        <v>0</v>
      </c>
      <c r="J21" s="35">
        <v>0</v>
      </c>
      <c r="K21" s="35">
        <v>805</v>
      </c>
      <c r="L21" s="35">
        <v>0</v>
      </c>
      <c r="M21" s="35" t="s">
        <v>91</v>
      </c>
      <c r="O21" t="s">
        <v>1004</v>
      </c>
      <c r="R21" s="37">
        <f>GETPIVOTDATA("Sobrevive",$O$9,"Sobrevive",0)/GETPIVOTDATA("Sobrevive",$O$9)</f>
        <v>0.61616161616161613</v>
      </c>
      <c r="T21" s="13" t="s">
        <v>68</v>
      </c>
      <c r="U21" s="13"/>
      <c r="V21" s="13"/>
      <c r="W21" s="13"/>
      <c r="X21" s="13"/>
    </row>
    <row r="22" spans="4:24" x14ac:dyDescent="0.2">
      <c r="D22" s="34">
        <v>0</v>
      </c>
      <c r="E22" s="35">
        <v>3</v>
      </c>
      <c r="F22" s="35" t="s">
        <v>107</v>
      </c>
      <c r="G22" s="35" t="s">
        <v>90</v>
      </c>
      <c r="H22" s="35">
        <v>39</v>
      </c>
      <c r="I22" s="35">
        <v>1</v>
      </c>
      <c r="J22" s="35">
        <v>5</v>
      </c>
      <c r="K22" s="35">
        <v>31275</v>
      </c>
      <c r="L22" s="35">
        <v>0</v>
      </c>
      <c r="M22" s="35" t="s">
        <v>91</v>
      </c>
      <c r="T22" s="13" t="s">
        <v>68</v>
      </c>
      <c r="U22" s="13"/>
      <c r="V22" s="13"/>
      <c r="W22" s="13"/>
      <c r="X22" s="13"/>
    </row>
    <row r="23" spans="4:24" x14ac:dyDescent="0.2">
      <c r="D23" s="34">
        <v>0</v>
      </c>
      <c r="E23" s="35">
        <v>3</v>
      </c>
      <c r="F23" s="35" t="s">
        <v>108</v>
      </c>
      <c r="G23" s="35" t="s">
        <v>93</v>
      </c>
      <c r="H23" s="35">
        <v>14</v>
      </c>
      <c r="I23" s="35">
        <v>0</v>
      </c>
      <c r="J23" s="35">
        <v>0</v>
      </c>
      <c r="K23" s="35">
        <v>78542</v>
      </c>
      <c r="L23" s="35">
        <v>0</v>
      </c>
      <c r="M23" s="35" t="s">
        <v>91</v>
      </c>
      <c r="O23" s="39" t="s">
        <v>992</v>
      </c>
      <c r="P23" s="39"/>
      <c r="Q23" s="39"/>
      <c r="R23" s="39"/>
      <c r="T23" s="13"/>
      <c r="U23" s="13"/>
      <c r="V23" s="13"/>
      <c r="W23" s="13"/>
      <c r="X23" s="13"/>
    </row>
    <row r="24" spans="4:24" x14ac:dyDescent="0.2">
      <c r="D24" s="34">
        <v>1</v>
      </c>
      <c r="E24" s="35">
        <v>2</v>
      </c>
      <c r="F24" s="35" t="s">
        <v>109</v>
      </c>
      <c r="G24" s="35" t="s">
        <v>93</v>
      </c>
      <c r="H24" s="35">
        <v>55</v>
      </c>
      <c r="I24" s="35">
        <v>0</v>
      </c>
      <c r="J24" s="35">
        <v>0</v>
      </c>
      <c r="K24" s="35">
        <v>16</v>
      </c>
      <c r="L24" s="35">
        <v>0</v>
      </c>
      <c r="M24" s="35" t="s">
        <v>91</v>
      </c>
      <c r="T24" s="13" t="s">
        <v>1015</v>
      </c>
      <c r="U24" s="13"/>
      <c r="V24" s="13"/>
      <c r="W24" s="13"/>
      <c r="X24" s="13"/>
    </row>
    <row r="25" spans="4:24" x14ac:dyDescent="0.2">
      <c r="D25" s="34">
        <v>0</v>
      </c>
      <c r="E25" s="35">
        <v>3</v>
      </c>
      <c r="F25" s="35" t="s">
        <v>110</v>
      </c>
      <c r="G25" s="35" t="s">
        <v>90</v>
      </c>
      <c r="H25" s="35">
        <v>2</v>
      </c>
      <c r="I25" s="35">
        <v>4</v>
      </c>
      <c r="J25" s="35">
        <v>1</v>
      </c>
      <c r="K25" s="35">
        <v>29125</v>
      </c>
      <c r="L25" s="35">
        <v>0</v>
      </c>
      <c r="M25" s="35" t="s">
        <v>99</v>
      </c>
      <c r="O25" s="20" t="s">
        <v>991</v>
      </c>
      <c r="P25" s="20"/>
      <c r="Q25" s="20"/>
      <c r="R25" s="38">
        <f>GETPIVOTDATA("Sobrevive",$O$9,"Sobrevive",1,"Sexo","Hombre")/GETPIVOTDATA("Sobrevive",$O$9)</f>
        <v>0.122334455667789</v>
      </c>
      <c r="T25" s="13" t="s">
        <v>68</v>
      </c>
      <c r="U25" s="13"/>
      <c r="V25" s="13"/>
      <c r="W25" s="13"/>
      <c r="X25" s="13"/>
    </row>
    <row r="26" spans="4:24" x14ac:dyDescent="0.2">
      <c r="D26" s="34">
        <v>1</v>
      </c>
      <c r="E26" s="35">
        <v>2</v>
      </c>
      <c r="F26" s="35" t="s">
        <v>111</v>
      </c>
      <c r="G26" s="35" t="s">
        <v>90</v>
      </c>
      <c r="H26" s="36"/>
      <c r="I26" s="35">
        <v>0</v>
      </c>
      <c r="J26" s="35">
        <v>0</v>
      </c>
      <c r="K26" s="35">
        <v>13</v>
      </c>
      <c r="L26" s="35">
        <v>0</v>
      </c>
      <c r="M26" s="35" t="s">
        <v>91</v>
      </c>
      <c r="O26" s="20" t="s">
        <v>993</v>
      </c>
      <c r="P26" s="20"/>
      <c r="Q26" s="20"/>
      <c r="R26" s="38">
        <f>GETPIVOTDATA("Sobrevive",$O$9,"Sobrevive",0,"Sexo","Hombre")/GETPIVOTDATA("Sobrevive",$O$9)</f>
        <v>0.5252525252525253</v>
      </c>
    </row>
    <row r="27" spans="4:24" x14ac:dyDescent="0.2">
      <c r="D27" s="34">
        <v>0</v>
      </c>
      <c r="E27" s="35">
        <v>3</v>
      </c>
      <c r="F27" s="35" t="s">
        <v>112</v>
      </c>
      <c r="G27" s="35" t="s">
        <v>93</v>
      </c>
      <c r="H27" s="35">
        <v>31</v>
      </c>
      <c r="I27" s="35">
        <v>1</v>
      </c>
      <c r="J27" s="35">
        <v>0</v>
      </c>
      <c r="K27" s="35">
        <v>18</v>
      </c>
      <c r="L27" s="35">
        <v>0</v>
      </c>
      <c r="M27" s="35" t="s">
        <v>91</v>
      </c>
    </row>
    <row r="28" spans="4:24" x14ac:dyDescent="0.2">
      <c r="D28" s="34">
        <v>1</v>
      </c>
      <c r="E28" s="35">
        <v>3</v>
      </c>
      <c r="F28" s="35" t="s">
        <v>113</v>
      </c>
      <c r="G28" s="35" t="s">
        <v>93</v>
      </c>
      <c r="H28" s="36"/>
      <c r="I28" s="35">
        <v>0</v>
      </c>
      <c r="J28" s="35">
        <v>0</v>
      </c>
      <c r="K28" s="35">
        <v>7225</v>
      </c>
      <c r="L28" s="35">
        <v>0</v>
      </c>
      <c r="M28" s="35" t="s">
        <v>94</v>
      </c>
      <c r="O28" s="20" t="s">
        <v>994</v>
      </c>
      <c r="P28" s="20"/>
      <c r="Q28" s="20"/>
      <c r="R28" s="38">
        <f>GETPIVOTDATA("Sobrevive",$O$9,"Sobrevive",1,"Sexo","Mujer")/GETPIVOTDATA("Sobrevive",$O$9)</f>
        <v>0.26150392817059481</v>
      </c>
    </row>
    <row r="29" spans="4:24" x14ac:dyDescent="0.2">
      <c r="D29" s="34">
        <v>0</v>
      </c>
      <c r="E29" s="35">
        <v>2</v>
      </c>
      <c r="F29" s="35" t="s">
        <v>114</v>
      </c>
      <c r="G29" s="35" t="s">
        <v>90</v>
      </c>
      <c r="H29" s="35">
        <v>35</v>
      </c>
      <c r="I29" s="35">
        <v>0</v>
      </c>
      <c r="J29" s="35">
        <v>0</v>
      </c>
      <c r="K29" s="35">
        <v>26</v>
      </c>
      <c r="L29" s="35">
        <v>0</v>
      </c>
      <c r="M29" s="35" t="s">
        <v>91</v>
      </c>
      <c r="O29" s="20" t="s">
        <v>995</v>
      </c>
      <c r="P29" s="20"/>
      <c r="Q29" s="20"/>
      <c r="R29" s="38">
        <f>GETPIVOTDATA("Sobrevive",$O$9,"Sobrevive",0,"Sexo","Mujer")/GETPIVOTDATA("Sobrevive",$O$9)</f>
        <v>9.0909090909090912E-2</v>
      </c>
    </row>
    <row r="30" spans="4:24" x14ac:dyDescent="0.2">
      <c r="D30" s="34">
        <v>1</v>
      </c>
      <c r="E30" s="35">
        <v>2</v>
      </c>
      <c r="F30" s="35" t="s">
        <v>115</v>
      </c>
      <c r="G30" s="35" t="s">
        <v>90</v>
      </c>
      <c r="H30" s="35">
        <v>34</v>
      </c>
      <c r="I30" s="35">
        <v>0</v>
      </c>
      <c r="J30" s="35">
        <v>0</v>
      </c>
      <c r="K30" s="35">
        <v>13</v>
      </c>
      <c r="L30" s="35">
        <v>1</v>
      </c>
      <c r="M30" s="35" t="s">
        <v>91</v>
      </c>
    </row>
    <row r="31" spans="4:24" x14ac:dyDescent="0.2">
      <c r="D31" s="34">
        <v>1</v>
      </c>
      <c r="E31" s="35">
        <v>3</v>
      </c>
      <c r="F31" s="35" t="s">
        <v>116</v>
      </c>
      <c r="G31" s="35" t="s">
        <v>93</v>
      </c>
      <c r="H31" s="35">
        <v>15</v>
      </c>
      <c r="I31" s="35">
        <v>0</v>
      </c>
      <c r="J31" s="35">
        <v>0</v>
      </c>
      <c r="K31" s="35">
        <v>80292</v>
      </c>
      <c r="L31" s="35">
        <v>0</v>
      </c>
      <c r="M31" s="35" t="s">
        <v>99</v>
      </c>
      <c r="O31" s="39" t="s">
        <v>996</v>
      </c>
      <c r="P31" s="39"/>
      <c r="Q31" s="39"/>
      <c r="R31" s="39"/>
    </row>
    <row r="32" spans="4:24" x14ac:dyDescent="0.2">
      <c r="D32" s="34">
        <v>1</v>
      </c>
      <c r="E32" s="35">
        <v>1</v>
      </c>
      <c r="F32" s="35" t="s">
        <v>117</v>
      </c>
      <c r="G32" s="35" t="s">
        <v>90</v>
      </c>
      <c r="H32" s="35">
        <v>28</v>
      </c>
      <c r="I32" s="35">
        <v>0</v>
      </c>
      <c r="J32" s="35">
        <v>0</v>
      </c>
      <c r="K32" s="35">
        <v>355</v>
      </c>
      <c r="L32" s="35">
        <v>1</v>
      </c>
      <c r="M32" s="35" t="s">
        <v>91</v>
      </c>
    </row>
    <row r="33" spans="4:18" x14ac:dyDescent="0.2">
      <c r="D33" s="34">
        <v>0</v>
      </c>
      <c r="E33" s="35">
        <v>3</v>
      </c>
      <c r="F33" s="35" t="s">
        <v>118</v>
      </c>
      <c r="G33" s="35" t="s">
        <v>93</v>
      </c>
      <c r="H33" s="35">
        <v>8</v>
      </c>
      <c r="I33" s="35">
        <v>3</v>
      </c>
      <c r="J33" s="35">
        <v>1</v>
      </c>
      <c r="K33" s="35">
        <v>21075</v>
      </c>
      <c r="L33" s="35">
        <v>0</v>
      </c>
      <c r="M33" s="35" t="s">
        <v>91</v>
      </c>
      <c r="O33" t="s">
        <v>997</v>
      </c>
      <c r="R33" s="37">
        <f>R25/R17</f>
        <v>0.18890814558058924</v>
      </c>
    </row>
    <row r="34" spans="4:18" x14ac:dyDescent="0.2">
      <c r="D34" s="34">
        <v>1</v>
      </c>
      <c r="E34" s="35">
        <v>3</v>
      </c>
      <c r="F34" s="35" t="s">
        <v>119</v>
      </c>
      <c r="G34" s="35" t="s">
        <v>93</v>
      </c>
      <c r="H34" s="35">
        <v>38</v>
      </c>
      <c r="I34" s="35">
        <v>1</v>
      </c>
      <c r="J34" s="35">
        <v>5</v>
      </c>
      <c r="K34" s="35">
        <v>313875</v>
      </c>
      <c r="L34" s="35">
        <v>0</v>
      </c>
      <c r="M34" s="35" t="s">
        <v>91</v>
      </c>
      <c r="O34" t="s">
        <v>998</v>
      </c>
      <c r="R34" s="37">
        <f>R26/R17</f>
        <v>0.81109185441941078</v>
      </c>
    </row>
    <row r="35" spans="4:18" x14ac:dyDescent="0.2">
      <c r="D35" s="34">
        <v>0</v>
      </c>
      <c r="E35" s="35">
        <v>3</v>
      </c>
      <c r="F35" s="35" t="s">
        <v>120</v>
      </c>
      <c r="G35" s="35" t="s">
        <v>90</v>
      </c>
      <c r="H35" s="36"/>
      <c r="I35" s="35">
        <v>0</v>
      </c>
      <c r="J35" s="35">
        <v>0</v>
      </c>
      <c r="K35" s="35">
        <v>7225</v>
      </c>
      <c r="L35" s="35">
        <v>0</v>
      </c>
      <c r="M35" s="35" t="s">
        <v>94</v>
      </c>
    </row>
    <row r="36" spans="4:18" x14ac:dyDescent="0.2">
      <c r="D36" s="34">
        <v>0</v>
      </c>
      <c r="E36" s="35">
        <v>1</v>
      </c>
      <c r="F36" s="35" t="s">
        <v>121</v>
      </c>
      <c r="G36" s="35" t="s">
        <v>90</v>
      </c>
      <c r="H36" s="35">
        <v>19</v>
      </c>
      <c r="I36" s="35">
        <v>3</v>
      </c>
      <c r="J36" s="35">
        <v>2</v>
      </c>
      <c r="K36" s="35">
        <v>263</v>
      </c>
      <c r="L36" s="35">
        <v>1</v>
      </c>
      <c r="M36" s="35" t="s">
        <v>91</v>
      </c>
      <c r="O36" t="s">
        <v>999</v>
      </c>
      <c r="R36" s="37">
        <f>R28/R18</f>
        <v>0.7420382165605095</v>
      </c>
    </row>
    <row r="37" spans="4:18" x14ac:dyDescent="0.2">
      <c r="D37" s="34">
        <v>1</v>
      </c>
      <c r="E37" s="35">
        <v>3</v>
      </c>
      <c r="F37" s="35" t="s">
        <v>122</v>
      </c>
      <c r="G37" s="35" t="s">
        <v>93</v>
      </c>
      <c r="H37" s="36"/>
      <c r="I37" s="35">
        <v>0</v>
      </c>
      <c r="J37" s="35">
        <v>0</v>
      </c>
      <c r="K37" s="35">
        <v>78792</v>
      </c>
      <c r="L37" s="35">
        <v>0</v>
      </c>
      <c r="M37" s="35" t="s">
        <v>99</v>
      </c>
      <c r="O37" t="s">
        <v>1000</v>
      </c>
      <c r="R37" s="37">
        <f>R29/R18</f>
        <v>0.25796178343949044</v>
      </c>
    </row>
    <row r="38" spans="4:18" x14ac:dyDescent="0.2">
      <c r="D38" s="34">
        <v>0</v>
      </c>
      <c r="E38" s="35">
        <v>3</v>
      </c>
      <c r="F38" s="35" t="s">
        <v>123</v>
      </c>
      <c r="G38" s="35" t="s">
        <v>90</v>
      </c>
      <c r="H38" s="36"/>
      <c r="I38" s="35">
        <v>0</v>
      </c>
      <c r="J38" s="35">
        <v>0</v>
      </c>
      <c r="K38" s="35">
        <v>78958</v>
      </c>
      <c r="L38" s="35">
        <v>0</v>
      </c>
      <c r="M38" s="35" t="s">
        <v>91</v>
      </c>
    </row>
    <row r="39" spans="4:18" x14ac:dyDescent="0.2">
      <c r="D39" s="34">
        <v>0</v>
      </c>
      <c r="E39" s="35">
        <v>1</v>
      </c>
      <c r="F39" s="35" t="s">
        <v>124</v>
      </c>
      <c r="G39" s="35" t="s">
        <v>90</v>
      </c>
      <c r="H39" s="35">
        <v>40</v>
      </c>
      <c r="I39" s="35">
        <v>0</v>
      </c>
      <c r="J39" s="35">
        <v>0</v>
      </c>
      <c r="K39" s="35">
        <v>277208</v>
      </c>
      <c r="L39" s="35">
        <v>0</v>
      </c>
      <c r="M39" s="35" t="s">
        <v>94</v>
      </c>
      <c r="O39" s="39" t="s">
        <v>1001</v>
      </c>
      <c r="P39" s="39"/>
      <c r="Q39" s="39"/>
      <c r="R39" s="39"/>
    </row>
    <row r="40" spans="4:18" x14ac:dyDescent="0.2">
      <c r="D40" s="34">
        <v>1</v>
      </c>
      <c r="E40" s="35">
        <v>1</v>
      </c>
      <c r="F40" s="35" t="s">
        <v>125</v>
      </c>
      <c r="G40" s="35" t="s">
        <v>93</v>
      </c>
      <c r="H40" s="36"/>
      <c r="I40" s="35">
        <v>1</v>
      </c>
      <c r="J40" s="35">
        <v>0</v>
      </c>
      <c r="K40" s="35">
        <v>1465208</v>
      </c>
      <c r="L40" s="35">
        <v>1</v>
      </c>
      <c r="M40" s="35" t="s">
        <v>94</v>
      </c>
    </row>
    <row r="41" spans="4:18" x14ac:dyDescent="0.2">
      <c r="D41" s="34">
        <v>1</v>
      </c>
      <c r="E41" s="35">
        <v>3</v>
      </c>
      <c r="F41" s="35" t="s">
        <v>126</v>
      </c>
      <c r="G41" s="35" t="s">
        <v>93</v>
      </c>
      <c r="H41" s="36"/>
      <c r="I41" s="35">
        <v>0</v>
      </c>
      <c r="J41" s="35">
        <v>0</v>
      </c>
      <c r="K41" s="35">
        <v>775</v>
      </c>
      <c r="L41" s="35">
        <v>0</v>
      </c>
      <c r="M41" s="35" t="s">
        <v>99</v>
      </c>
      <c r="O41" t="s">
        <v>1002</v>
      </c>
      <c r="R41" s="37">
        <f>R33*R17/R20</f>
        <v>0.31871345029239767</v>
      </c>
    </row>
    <row r="42" spans="4:18" x14ac:dyDescent="0.2">
      <c r="D42" s="34">
        <v>0</v>
      </c>
      <c r="E42" s="35">
        <v>2</v>
      </c>
      <c r="F42" s="35" t="s">
        <v>127</v>
      </c>
      <c r="G42" s="35" t="s">
        <v>90</v>
      </c>
      <c r="H42" s="35">
        <v>66</v>
      </c>
      <c r="I42" s="35">
        <v>0</v>
      </c>
      <c r="J42" s="35">
        <v>0</v>
      </c>
      <c r="K42" s="35">
        <v>105</v>
      </c>
      <c r="L42" s="35">
        <v>0</v>
      </c>
      <c r="M42" s="35" t="s">
        <v>91</v>
      </c>
      <c r="O42" t="s">
        <v>1003</v>
      </c>
      <c r="R42" s="37">
        <f>R36*R18/R20</f>
        <v>0.68128654970760227</v>
      </c>
    </row>
    <row r="43" spans="4:18" x14ac:dyDescent="0.2">
      <c r="D43" s="34">
        <v>0</v>
      </c>
      <c r="E43" s="35">
        <v>1</v>
      </c>
      <c r="F43" s="35" t="s">
        <v>128</v>
      </c>
      <c r="G43" s="35" t="s">
        <v>90</v>
      </c>
      <c r="H43" s="35">
        <v>28</v>
      </c>
      <c r="I43" s="35">
        <v>1</v>
      </c>
      <c r="J43" s="35">
        <v>0</v>
      </c>
      <c r="K43" s="35">
        <v>821708</v>
      </c>
      <c r="L43" s="35">
        <v>0</v>
      </c>
      <c r="M43" s="35" t="s">
        <v>94</v>
      </c>
    </row>
    <row r="44" spans="4:18" x14ac:dyDescent="0.2">
      <c r="D44" s="34">
        <v>0</v>
      </c>
      <c r="E44" s="35">
        <v>1</v>
      </c>
      <c r="F44" s="35" t="s">
        <v>129</v>
      </c>
      <c r="G44" s="35" t="s">
        <v>90</v>
      </c>
      <c r="H44" s="35">
        <v>42</v>
      </c>
      <c r="I44" s="35">
        <v>1</v>
      </c>
      <c r="J44" s="35">
        <v>0</v>
      </c>
      <c r="K44" s="35">
        <v>52</v>
      </c>
      <c r="L44" s="35">
        <v>0</v>
      </c>
      <c r="M44" s="35" t="s">
        <v>91</v>
      </c>
      <c r="O44" t="s">
        <v>1006</v>
      </c>
      <c r="R44" s="37">
        <f>R34*R17/R21</f>
        <v>0.85245901639344279</v>
      </c>
    </row>
    <row r="45" spans="4:18" x14ac:dyDescent="0.2">
      <c r="D45" s="34">
        <v>1</v>
      </c>
      <c r="E45" s="35">
        <v>3</v>
      </c>
      <c r="F45" s="35" t="s">
        <v>130</v>
      </c>
      <c r="G45" s="35" t="s">
        <v>90</v>
      </c>
      <c r="H45" s="36"/>
      <c r="I45" s="35">
        <v>0</v>
      </c>
      <c r="J45" s="35">
        <v>0</v>
      </c>
      <c r="K45" s="35">
        <v>72292</v>
      </c>
      <c r="L45" s="35">
        <v>0</v>
      </c>
      <c r="M45" s="35" t="s">
        <v>94</v>
      </c>
      <c r="O45" t="s">
        <v>1005</v>
      </c>
      <c r="R45" s="37">
        <f>R37*R18/R21</f>
        <v>0.14754098360655737</v>
      </c>
    </row>
    <row r="46" spans="4:18" x14ac:dyDescent="0.2">
      <c r="D46" s="34">
        <v>0</v>
      </c>
      <c r="E46" s="35">
        <v>3</v>
      </c>
      <c r="F46" s="35" t="s">
        <v>131</v>
      </c>
      <c r="G46" s="35" t="s">
        <v>90</v>
      </c>
      <c r="H46" s="35">
        <v>21</v>
      </c>
      <c r="I46" s="35">
        <v>0</v>
      </c>
      <c r="J46" s="35">
        <v>0</v>
      </c>
      <c r="K46" s="35">
        <v>805</v>
      </c>
      <c r="L46" s="35">
        <v>0</v>
      </c>
      <c r="M46" s="35" t="s">
        <v>91</v>
      </c>
    </row>
    <row r="47" spans="4:18" x14ac:dyDescent="0.2">
      <c r="D47" s="34">
        <v>0</v>
      </c>
      <c r="E47" s="35">
        <v>3</v>
      </c>
      <c r="F47" s="35" t="s">
        <v>132</v>
      </c>
      <c r="G47" s="35" t="s">
        <v>93</v>
      </c>
      <c r="H47" s="35">
        <v>18</v>
      </c>
      <c r="I47" s="35">
        <v>2</v>
      </c>
      <c r="J47" s="35">
        <v>0</v>
      </c>
      <c r="K47" s="35">
        <v>18</v>
      </c>
      <c r="L47" s="35">
        <v>0</v>
      </c>
      <c r="M47" s="35" t="s">
        <v>91</v>
      </c>
    </row>
    <row r="48" spans="4:18" x14ac:dyDescent="0.2">
      <c r="D48" s="34">
        <v>1</v>
      </c>
      <c r="E48" s="35">
        <v>3</v>
      </c>
      <c r="F48" s="35" t="s">
        <v>133</v>
      </c>
      <c r="G48" s="35" t="s">
        <v>93</v>
      </c>
      <c r="H48" s="35">
        <v>14</v>
      </c>
      <c r="I48" s="35">
        <v>1</v>
      </c>
      <c r="J48" s="35">
        <v>0</v>
      </c>
      <c r="K48" s="35">
        <v>112417</v>
      </c>
      <c r="L48" s="35">
        <v>0</v>
      </c>
      <c r="M48" s="35" t="s">
        <v>94</v>
      </c>
    </row>
    <row r="49" spans="4:13" x14ac:dyDescent="0.2">
      <c r="D49" s="34">
        <v>0</v>
      </c>
      <c r="E49" s="35">
        <v>3</v>
      </c>
      <c r="F49" s="35" t="s">
        <v>134</v>
      </c>
      <c r="G49" s="35" t="s">
        <v>93</v>
      </c>
      <c r="H49" s="35">
        <v>40</v>
      </c>
      <c r="I49" s="35">
        <v>1</v>
      </c>
      <c r="J49" s="35">
        <v>0</v>
      </c>
      <c r="K49" s="35">
        <v>9475</v>
      </c>
      <c r="L49" s="35">
        <v>0</v>
      </c>
      <c r="M49" s="35" t="s">
        <v>91</v>
      </c>
    </row>
    <row r="50" spans="4:13" x14ac:dyDescent="0.2">
      <c r="D50" s="34">
        <v>0</v>
      </c>
      <c r="E50" s="35">
        <v>2</v>
      </c>
      <c r="F50" s="35" t="s">
        <v>135</v>
      </c>
      <c r="G50" s="35" t="s">
        <v>93</v>
      </c>
      <c r="H50" s="35">
        <v>27</v>
      </c>
      <c r="I50" s="35">
        <v>1</v>
      </c>
      <c r="J50" s="35">
        <v>0</v>
      </c>
      <c r="K50" s="35">
        <v>21</v>
      </c>
      <c r="L50" s="35">
        <v>0</v>
      </c>
      <c r="M50" s="35" t="s">
        <v>91</v>
      </c>
    </row>
    <row r="51" spans="4:13" x14ac:dyDescent="0.2">
      <c r="D51" s="34">
        <v>0</v>
      </c>
      <c r="E51" s="35">
        <v>3</v>
      </c>
      <c r="F51" s="35" t="s">
        <v>136</v>
      </c>
      <c r="G51" s="35" t="s">
        <v>90</v>
      </c>
      <c r="H51" s="36"/>
      <c r="I51" s="35">
        <v>0</v>
      </c>
      <c r="J51" s="35">
        <v>0</v>
      </c>
      <c r="K51" s="35">
        <v>78958</v>
      </c>
      <c r="L51" s="35">
        <v>0</v>
      </c>
      <c r="M51" s="35" t="s">
        <v>94</v>
      </c>
    </row>
    <row r="52" spans="4:13" x14ac:dyDescent="0.2">
      <c r="D52" s="34">
        <v>1</v>
      </c>
      <c r="E52" s="35">
        <v>2</v>
      </c>
      <c r="F52" s="35" t="s">
        <v>137</v>
      </c>
      <c r="G52" s="35" t="s">
        <v>93</v>
      </c>
      <c r="H52" s="35">
        <v>3</v>
      </c>
      <c r="I52" s="35">
        <v>1</v>
      </c>
      <c r="J52" s="35">
        <v>2</v>
      </c>
      <c r="K52" s="35">
        <v>415792</v>
      </c>
      <c r="L52" s="35">
        <v>0</v>
      </c>
      <c r="M52" s="35" t="s">
        <v>94</v>
      </c>
    </row>
    <row r="53" spans="4:13" x14ac:dyDescent="0.2">
      <c r="D53" s="34">
        <v>1</v>
      </c>
      <c r="E53" s="35">
        <v>3</v>
      </c>
      <c r="F53" s="35" t="s">
        <v>138</v>
      </c>
      <c r="G53" s="35" t="s">
        <v>93</v>
      </c>
      <c r="H53" s="35">
        <v>19</v>
      </c>
      <c r="I53" s="35">
        <v>0</v>
      </c>
      <c r="J53" s="35">
        <v>0</v>
      </c>
      <c r="K53" s="35">
        <v>78792</v>
      </c>
      <c r="L53" s="35">
        <v>0</v>
      </c>
      <c r="M53" s="35" t="s">
        <v>99</v>
      </c>
    </row>
    <row r="54" spans="4:13" x14ac:dyDescent="0.2">
      <c r="D54" s="34">
        <v>0</v>
      </c>
      <c r="E54" s="35">
        <v>3</v>
      </c>
      <c r="F54" s="35" t="s">
        <v>139</v>
      </c>
      <c r="G54" s="35" t="s">
        <v>90</v>
      </c>
      <c r="H54" s="36"/>
      <c r="I54" s="35">
        <v>0</v>
      </c>
      <c r="J54" s="35">
        <v>0</v>
      </c>
      <c r="K54" s="35">
        <v>805</v>
      </c>
      <c r="L54" s="35">
        <v>0</v>
      </c>
      <c r="M54" s="35" t="s">
        <v>91</v>
      </c>
    </row>
    <row r="55" spans="4:13" x14ac:dyDescent="0.2">
      <c r="D55" s="34">
        <v>0</v>
      </c>
      <c r="E55" s="35">
        <v>3</v>
      </c>
      <c r="F55" s="35" t="s">
        <v>140</v>
      </c>
      <c r="G55" s="35" t="s">
        <v>90</v>
      </c>
      <c r="H55" s="36"/>
      <c r="I55" s="35">
        <v>1</v>
      </c>
      <c r="J55" s="35">
        <v>0</v>
      </c>
      <c r="K55" s="35">
        <v>155</v>
      </c>
      <c r="L55" s="35">
        <v>0</v>
      </c>
      <c r="M55" s="35" t="s">
        <v>99</v>
      </c>
    </row>
    <row r="56" spans="4:13" x14ac:dyDescent="0.2">
      <c r="D56" s="34">
        <v>1</v>
      </c>
      <c r="E56" s="35">
        <v>3</v>
      </c>
      <c r="F56" s="35" t="s">
        <v>141</v>
      </c>
      <c r="G56" s="35" t="s">
        <v>93</v>
      </c>
      <c r="H56" s="36"/>
      <c r="I56" s="35">
        <v>0</v>
      </c>
      <c r="J56" s="35">
        <v>0</v>
      </c>
      <c r="K56" s="35">
        <v>775</v>
      </c>
      <c r="L56" s="35">
        <v>0</v>
      </c>
      <c r="M56" s="35" t="s">
        <v>99</v>
      </c>
    </row>
    <row r="57" spans="4:13" x14ac:dyDescent="0.2">
      <c r="D57" s="34">
        <v>0</v>
      </c>
      <c r="E57" s="35">
        <v>3</v>
      </c>
      <c r="F57" s="35" t="s">
        <v>142</v>
      </c>
      <c r="G57" s="35" t="s">
        <v>90</v>
      </c>
      <c r="H57" s="36"/>
      <c r="I57" s="35">
        <v>2</v>
      </c>
      <c r="J57" s="35">
        <v>0</v>
      </c>
      <c r="K57" s="35">
        <v>216792</v>
      </c>
      <c r="L57" s="35">
        <v>0</v>
      </c>
      <c r="M57" s="35" t="s">
        <v>94</v>
      </c>
    </row>
    <row r="58" spans="4:13" x14ac:dyDescent="0.2">
      <c r="D58" s="34">
        <v>0</v>
      </c>
      <c r="E58" s="35">
        <v>3</v>
      </c>
      <c r="F58" s="35" t="s">
        <v>143</v>
      </c>
      <c r="G58" s="35" t="s">
        <v>93</v>
      </c>
      <c r="H58" s="35">
        <v>18</v>
      </c>
      <c r="I58" s="35">
        <v>1</v>
      </c>
      <c r="J58" s="35">
        <v>0</v>
      </c>
      <c r="K58" s="35">
        <v>178</v>
      </c>
      <c r="L58" s="35">
        <v>0</v>
      </c>
      <c r="M58" s="35" t="s">
        <v>91</v>
      </c>
    </row>
    <row r="59" spans="4:13" x14ac:dyDescent="0.2">
      <c r="D59" s="34">
        <v>0</v>
      </c>
      <c r="E59" s="35">
        <v>3</v>
      </c>
      <c r="F59" s="35" t="s">
        <v>144</v>
      </c>
      <c r="G59" s="35" t="s">
        <v>90</v>
      </c>
      <c r="H59" s="35">
        <v>7</v>
      </c>
      <c r="I59" s="35">
        <v>4</v>
      </c>
      <c r="J59" s="35">
        <v>1</v>
      </c>
      <c r="K59" s="35">
        <v>396875</v>
      </c>
      <c r="L59" s="35">
        <v>0</v>
      </c>
      <c r="M59" s="35" t="s">
        <v>91</v>
      </c>
    </row>
    <row r="60" spans="4:13" x14ac:dyDescent="0.2">
      <c r="D60" s="34">
        <v>0</v>
      </c>
      <c r="E60" s="35">
        <v>3</v>
      </c>
      <c r="F60" s="35" t="s">
        <v>145</v>
      </c>
      <c r="G60" s="35" t="s">
        <v>90</v>
      </c>
      <c r="H60" s="35">
        <v>21</v>
      </c>
      <c r="I60" s="35">
        <v>0</v>
      </c>
      <c r="J60" s="35">
        <v>0</v>
      </c>
      <c r="K60" s="35">
        <v>78</v>
      </c>
      <c r="L60" s="35">
        <v>0</v>
      </c>
      <c r="M60" s="35" t="s">
        <v>91</v>
      </c>
    </row>
    <row r="61" spans="4:13" x14ac:dyDescent="0.2">
      <c r="D61" s="34">
        <v>1</v>
      </c>
      <c r="E61" s="35">
        <v>1</v>
      </c>
      <c r="F61" s="35" t="s">
        <v>146</v>
      </c>
      <c r="G61" s="35" t="s">
        <v>93</v>
      </c>
      <c r="H61" s="35">
        <v>49</v>
      </c>
      <c r="I61" s="35">
        <v>1</v>
      </c>
      <c r="J61" s="35">
        <v>0</v>
      </c>
      <c r="K61" s="35">
        <v>767292</v>
      </c>
      <c r="L61" s="35">
        <v>1</v>
      </c>
      <c r="M61" s="35" t="s">
        <v>94</v>
      </c>
    </row>
    <row r="62" spans="4:13" x14ac:dyDescent="0.2">
      <c r="D62" s="34">
        <v>1</v>
      </c>
      <c r="E62" s="35">
        <v>2</v>
      </c>
      <c r="F62" s="35" t="s">
        <v>147</v>
      </c>
      <c r="G62" s="35" t="s">
        <v>93</v>
      </c>
      <c r="H62" s="35">
        <v>29</v>
      </c>
      <c r="I62" s="35">
        <v>1</v>
      </c>
      <c r="J62" s="35">
        <v>0</v>
      </c>
      <c r="K62" s="35">
        <v>26</v>
      </c>
      <c r="L62" s="35">
        <v>0</v>
      </c>
      <c r="M62" s="35" t="s">
        <v>91</v>
      </c>
    </row>
    <row r="63" spans="4:13" x14ac:dyDescent="0.2">
      <c r="D63" s="34">
        <v>0</v>
      </c>
      <c r="E63" s="35">
        <v>1</v>
      </c>
      <c r="F63" s="35" t="s">
        <v>148</v>
      </c>
      <c r="G63" s="35" t="s">
        <v>90</v>
      </c>
      <c r="H63" s="35">
        <v>65</v>
      </c>
      <c r="I63" s="35">
        <v>0</v>
      </c>
      <c r="J63" s="35">
        <v>1</v>
      </c>
      <c r="K63" s="35">
        <v>619792</v>
      </c>
      <c r="L63" s="35">
        <v>1</v>
      </c>
      <c r="M63" s="35" t="s">
        <v>94</v>
      </c>
    </row>
    <row r="64" spans="4:13" x14ac:dyDescent="0.2">
      <c r="D64" s="34">
        <v>1</v>
      </c>
      <c r="E64" s="35">
        <v>1</v>
      </c>
      <c r="F64" s="35" t="s">
        <v>149</v>
      </c>
      <c r="G64" s="35" t="s">
        <v>90</v>
      </c>
      <c r="H64" s="36"/>
      <c r="I64" s="35">
        <v>0</v>
      </c>
      <c r="J64" s="35">
        <v>0</v>
      </c>
      <c r="K64" s="35">
        <v>355</v>
      </c>
      <c r="L64" s="35">
        <v>1</v>
      </c>
      <c r="M64" s="35" t="s">
        <v>91</v>
      </c>
    </row>
    <row r="65" spans="4:13" x14ac:dyDescent="0.2">
      <c r="D65" s="34">
        <v>1</v>
      </c>
      <c r="E65" s="35">
        <v>2</v>
      </c>
      <c r="F65" s="35" t="s">
        <v>150</v>
      </c>
      <c r="G65" s="35" t="s">
        <v>93</v>
      </c>
      <c r="H65" s="35">
        <v>21</v>
      </c>
      <c r="I65" s="35">
        <v>0</v>
      </c>
      <c r="J65" s="35">
        <v>0</v>
      </c>
      <c r="K65" s="35">
        <v>105</v>
      </c>
      <c r="L65" s="35">
        <v>0</v>
      </c>
      <c r="M65" s="35" t="s">
        <v>91</v>
      </c>
    </row>
    <row r="66" spans="4:13" x14ac:dyDescent="0.2">
      <c r="D66" s="34">
        <v>0</v>
      </c>
      <c r="E66" s="35">
        <v>3</v>
      </c>
      <c r="F66" s="35" t="s">
        <v>151</v>
      </c>
      <c r="G66" s="35" t="s">
        <v>90</v>
      </c>
      <c r="H66" s="35">
        <v>285</v>
      </c>
      <c r="I66" s="35">
        <v>0</v>
      </c>
      <c r="J66" s="35">
        <v>0</v>
      </c>
      <c r="K66" s="35">
        <v>72292</v>
      </c>
      <c r="L66" s="35">
        <v>0</v>
      </c>
      <c r="M66" s="35" t="s">
        <v>94</v>
      </c>
    </row>
    <row r="67" spans="4:13" x14ac:dyDescent="0.2">
      <c r="D67" s="34">
        <v>1</v>
      </c>
      <c r="E67" s="35">
        <v>2</v>
      </c>
      <c r="F67" s="35" t="s">
        <v>152</v>
      </c>
      <c r="G67" s="35" t="s">
        <v>93</v>
      </c>
      <c r="H67" s="35">
        <v>5</v>
      </c>
      <c r="I67" s="35">
        <v>1</v>
      </c>
      <c r="J67" s="35">
        <v>2</v>
      </c>
      <c r="K67" s="35">
        <v>2775</v>
      </c>
      <c r="L67" s="35">
        <v>0</v>
      </c>
      <c r="M67" s="35" t="s">
        <v>91</v>
      </c>
    </row>
    <row r="68" spans="4:13" x14ac:dyDescent="0.2">
      <c r="D68" s="34">
        <v>0</v>
      </c>
      <c r="E68" s="35">
        <v>3</v>
      </c>
      <c r="F68" s="35" t="s">
        <v>153</v>
      </c>
      <c r="G68" s="35" t="s">
        <v>90</v>
      </c>
      <c r="H68" s="35">
        <v>11</v>
      </c>
      <c r="I68" s="35">
        <v>5</v>
      </c>
      <c r="J68" s="35">
        <v>2</v>
      </c>
      <c r="K68" s="35">
        <v>469</v>
      </c>
      <c r="L68" s="35">
        <v>0</v>
      </c>
      <c r="M68" s="35" t="s">
        <v>91</v>
      </c>
    </row>
    <row r="69" spans="4:13" x14ac:dyDescent="0.2">
      <c r="D69" s="34">
        <v>0</v>
      </c>
      <c r="E69" s="35">
        <v>3</v>
      </c>
      <c r="F69" s="35" t="s">
        <v>154</v>
      </c>
      <c r="G69" s="35" t="s">
        <v>90</v>
      </c>
      <c r="H69" s="35">
        <v>22</v>
      </c>
      <c r="I69" s="35">
        <v>0</v>
      </c>
      <c r="J69" s="35">
        <v>0</v>
      </c>
      <c r="K69" s="35">
        <v>72292</v>
      </c>
      <c r="L69" s="35">
        <v>0</v>
      </c>
      <c r="M69" s="35" t="s">
        <v>94</v>
      </c>
    </row>
    <row r="70" spans="4:13" x14ac:dyDescent="0.2">
      <c r="D70" s="34">
        <v>1</v>
      </c>
      <c r="E70" s="35">
        <v>1</v>
      </c>
      <c r="F70" s="35" t="s">
        <v>155</v>
      </c>
      <c r="G70" s="35" t="s">
        <v>93</v>
      </c>
      <c r="H70" s="35">
        <v>38</v>
      </c>
      <c r="I70" s="35">
        <v>0</v>
      </c>
      <c r="J70" s="35">
        <v>0</v>
      </c>
      <c r="K70" s="35">
        <v>80</v>
      </c>
      <c r="L70" s="35">
        <v>1</v>
      </c>
      <c r="M70" s="36"/>
    </row>
    <row r="71" spans="4:13" x14ac:dyDescent="0.2">
      <c r="D71" s="34">
        <v>0</v>
      </c>
      <c r="E71" s="35">
        <v>1</v>
      </c>
      <c r="F71" s="35" t="s">
        <v>156</v>
      </c>
      <c r="G71" s="35" t="s">
        <v>90</v>
      </c>
      <c r="H71" s="35">
        <v>45</v>
      </c>
      <c r="I71" s="35">
        <v>1</v>
      </c>
      <c r="J71" s="35">
        <v>0</v>
      </c>
      <c r="K71" s="35">
        <v>83475</v>
      </c>
      <c r="L71" s="35">
        <v>1</v>
      </c>
      <c r="M71" s="35" t="s">
        <v>91</v>
      </c>
    </row>
    <row r="72" spans="4:13" x14ac:dyDescent="0.2">
      <c r="D72" s="34">
        <v>0</v>
      </c>
      <c r="E72" s="35">
        <v>3</v>
      </c>
      <c r="F72" s="35" t="s">
        <v>157</v>
      </c>
      <c r="G72" s="35" t="s">
        <v>90</v>
      </c>
      <c r="H72" s="35">
        <v>4</v>
      </c>
      <c r="I72" s="35">
        <v>3</v>
      </c>
      <c r="J72" s="35">
        <v>2</v>
      </c>
      <c r="K72" s="35">
        <v>279</v>
      </c>
      <c r="L72" s="35">
        <v>0</v>
      </c>
      <c r="M72" s="35" t="s">
        <v>91</v>
      </c>
    </row>
    <row r="73" spans="4:13" x14ac:dyDescent="0.2">
      <c r="D73" s="34">
        <v>0</v>
      </c>
      <c r="E73" s="35">
        <v>1</v>
      </c>
      <c r="F73" s="35" t="s">
        <v>158</v>
      </c>
      <c r="G73" s="35" t="s">
        <v>90</v>
      </c>
      <c r="H73" s="36"/>
      <c r="I73" s="35">
        <v>0</v>
      </c>
      <c r="J73" s="35">
        <v>0</v>
      </c>
      <c r="K73" s="35">
        <v>277208</v>
      </c>
      <c r="L73" s="35">
        <v>0</v>
      </c>
      <c r="M73" s="35" t="s">
        <v>94</v>
      </c>
    </row>
    <row r="74" spans="4:13" x14ac:dyDescent="0.2">
      <c r="D74" s="34">
        <v>1</v>
      </c>
      <c r="E74" s="35">
        <v>3</v>
      </c>
      <c r="F74" s="35" t="s">
        <v>159</v>
      </c>
      <c r="G74" s="35" t="s">
        <v>90</v>
      </c>
      <c r="H74" s="36"/>
      <c r="I74" s="35">
        <v>1</v>
      </c>
      <c r="J74" s="35">
        <v>1</v>
      </c>
      <c r="K74" s="35">
        <v>152458</v>
      </c>
      <c r="L74" s="35">
        <v>0</v>
      </c>
      <c r="M74" s="35" t="s">
        <v>94</v>
      </c>
    </row>
    <row r="75" spans="4:13" x14ac:dyDescent="0.2">
      <c r="D75" s="34">
        <v>1</v>
      </c>
      <c r="E75" s="35">
        <v>2</v>
      </c>
      <c r="F75" s="35" t="s">
        <v>160</v>
      </c>
      <c r="G75" s="35" t="s">
        <v>93</v>
      </c>
      <c r="H75" s="35">
        <v>29</v>
      </c>
      <c r="I75" s="35">
        <v>0</v>
      </c>
      <c r="J75" s="35">
        <v>0</v>
      </c>
      <c r="K75" s="35">
        <v>105</v>
      </c>
      <c r="L75" s="35">
        <v>1</v>
      </c>
      <c r="M75" s="35" t="s">
        <v>91</v>
      </c>
    </row>
    <row r="76" spans="4:13" x14ac:dyDescent="0.2">
      <c r="D76" s="34">
        <v>0</v>
      </c>
      <c r="E76" s="35">
        <v>3</v>
      </c>
      <c r="F76" s="35" t="s">
        <v>161</v>
      </c>
      <c r="G76" s="35" t="s">
        <v>90</v>
      </c>
      <c r="H76" s="35">
        <v>19</v>
      </c>
      <c r="I76" s="35">
        <v>0</v>
      </c>
      <c r="J76" s="35">
        <v>0</v>
      </c>
      <c r="K76" s="35">
        <v>81583</v>
      </c>
      <c r="L76" s="35">
        <v>0</v>
      </c>
      <c r="M76" s="35" t="s">
        <v>91</v>
      </c>
    </row>
    <row r="77" spans="4:13" x14ac:dyDescent="0.2">
      <c r="D77" s="34">
        <v>1</v>
      </c>
      <c r="E77" s="35">
        <v>3</v>
      </c>
      <c r="F77" s="35" t="s">
        <v>162</v>
      </c>
      <c r="G77" s="35" t="s">
        <v>93</v>
      </c>
      <c r="H77" s="35">
        <v>17</v>
      </c>
      <c r="I77" s="35">
        <v>4</v>
      </c>
      <c r="J77" s="35">
        <v>2</v>
      </c>
      <c r="K77" s="35">
        <v>7925</v>
      </c>
      <c r="L77" s="35">
        <v>0</v>
      </c>
      <c r="M77" s="35" t="s">
        <v>91</v>
      </c>
    </row>
    <row r="78" spans="4:13" x14ac:dyDescent="0.2">
      <c r="D78" s="34">
        <v>0</v>
      </c>
      <c r="E78" s="35">
        <v>3</v>
      </c>
      <c r="F78" s="35" t="s">
        <v>163</v>
      </c>
      <c r="G78" s="35" t="s">
        <v>90</v>
      </c>
      <c r="H78" s="35">
        <v>26</v>
      </c>
      <c r="I78" s="35">
        <v>2</v>
      </c>
      <c r="J78" s="35">
        <v>0</v>
      </c>
      <c r="K78" s="35">
        <v>86625</v>
      </c>
      <c r="L78" s="35">
        <v>0</v>
      </c>
      <c r="M78" s="35" t="s">
        <v>91</v>
      </c>
    </row>
    <row r="79" spans="4:13" x14ac:dyDescent="0.2">
      <c r="D79" s="34">
        <v>0</v>
      </c>
      <c r="E79" s="35">
        <v>2</v>
      </c>
      <c r="F79" s="35" t="s">
        <v>164</v>
      </c>
      <c r="G79" s="35" t="s">
        <v>90</v>
      </c>
      <c r="H79" s="35">
        <v>32</v>
      </c>
      <c r="I79" s="35">
        <v>0</v>
      </c>
      <c r="J79" s="35">
        <v>0</v>
      </c>
      <c r="K79" s="35">
        <v>105</v>
      </c>
      <c r="L79" s="35">
        <v>0</v>
      </c>
      <c r="M79" s="35" t="s">
        <v>91</v>
      </c>
    </row>
    <row r="80" spans="4:13" x14ac:dyDescent="0.2">
      <c r="D80" s="34">
        <v>0</v>
      </c>
      <c r="E80" s="35">
        <v>3</v>
      </c>
      <c r="F80" s="35" t="s">
        <v>165</v>
      </c>
      <c r="G80" s="35" t="s">
        <v>93</v>
      </c>
      <c r="H80" s="35">
        <v>16</v>
      </c>
      <c r="I80" s="35">
        <v>5</v>
      </c>
      <c r="J80" s="35">
        <v>2</v>
      </c>
      <c r="K80" s="35">
        <v>469</v>
      </c>
      <c r="L80" s="35">
        <v>0</v>
      </c>
      <c r="M80" s="35" t="s">
        <v>91</v>
      </c>
    </row>
    <row r="81" spans="4:13" x14ac:dyDescent="0.2">
      <c r="D81" s="34">
        <v>0</v>
      </c>
      <c r="E81" s="35">
        <v>2</v>
      </c>
      <c r="F81" s="35" t="s">
        <v>166</v>
      </c>
      <c r="G81" s="35" t="s">
        <v>90</v>
      </c>
      <c r="H81" s="35">
        <v>21</v>
      </c>
      <c r="I81" s="35">
        <v>0</v>
      </c>
      <c r="J81" s="35">
        <v>0</v>
      </c>
      <c r="K81" s="35">
        <v>735</v>
      </c>
      <c r="L81" s="35">
        <v>0</v>
      </c>
      <c r="M81" s="35" t="s">
        <v>91</v>
      </c>
    </row>
    <row r="82" spans="4:13" x14ac:dyDescent="0.2">
      <c r="D82" s="34">
        <v>0</v>
      </c>
      <c r="E82" s="35">
        <v>3</v>
      </c>
      <c r="F82" s="35" t="s">
        <v>167</v>
      </c>
      <c r="G82" s="35" t="s">
        <v>90</v>
      </c>
      <c r="H82" s="35">
        <v>26</v>
      </c>
      <c r="I82" s="35">
        <v>1</v>
      </c>
      <c r="J82" s="35">
        <v>0</v>
      </c>
      <c r="K82" s="35">
        <v>144542</v>
      </c>
      <c r="L82" s="35">
        <v>0</v>
      </c>
      <c r="M82" s="35" t="s">
        <v>94</v>
      </c>
    </row>
    <row r="83" spans="4:13" x14ac:dyDescent="0.2">
      <c r="D83" s="34">
        <v>1</v>
      </c>
      <c r="E83" s="35">
        <v>3</v>
      </c>
      <c r="F83" s="35" t="s">
        <v>168</v>
      </c>
      <c r="G83" s="35" t="s">
        <v>90</v>
      </c>
      <c r="H83" s="35">
        <v>32</v>
      </c>
      <c r="I83" s="35">
        <v>0</v>
      </c>
      <c r="J83" s="35">
        <v>0</v>
      </c>
      <c r="K83" s="35">
        <v>564958</v>
      </c>
      <c r="L83" s="35">
        <v>0</v>
      </c>
      <c r="M83" s="35" t="s">
        <v>91</v>
      </c>
    </row>
    <row r="84" spans="4:13" x14ac:dyDescent="0.2">
      <c r="D84" s="34">
        <v>0</v>
      </c>
      <c r="E84" s="35">
        <v>3</v>
      </c>
      <c r="F84" s="35" t="s">
        <v>169</v>
      </c>
      <c r="G84" s="35" t="s">
        <v>90</v>
      </c>
      <c r="H84" s="35">
        <v>25</v>
      </c>
      <c r="I84" s="35">
        <v>0</v>
      </c>
      <c r="J84" s="35">
        <v>0</v>
      </c>
      <c r="K84" s="35">
        <v>765</v>
      </c>
      <c r="L84" s="35">
        <v>1</v>
      </c>
      <c r="M84" s="35" t="s">
        <v>91</v>
      </c>
    </row>
    <row r="85" spans="4:13" x14ac:dyDescent="0.2">
      <c r="D85" s="34">
        <v>0</v>
      </c>
      <c r="E85" s="35">
        <v>3</v>
      </c>
      <c r="F85" s="35" t="s">
        <v>170</v>
      </c>
      <c r="G85" s="35" t="s">
        <v>90</v>
      </c>
      <c r="H85" s="36"/>
      <c r="I85" s="35">
        <v>0</v>
      </c>
      <c r="J85" s="35">
        <v>0</v>
      </c>
      <c r="K85" s="35">
        <v>78958</v>
      </c>
      <c r="L85" s="35">
        <v>0</v>
      </c>
      <c r="M85" s="35" t="s">
        <v>91</v>
      </c>
    </row>
    <row r="86" spans="4:13" x14ac:dyDescent="0.2">
      <c r="D86" s="34">
        <v>0</v>
      </c>
      <c r="E86" s="35">
        <v>3</v>
      </c>
      <c r="F86" s="35" t="s">
        <v>171</v>
      </c>
      <c r="G86" s="35" t="s">
        <v>90</v>
      </c>
      <c r="H86" s="36"/>
      <c r="I86" s="35">
        <v>0</v>
      </c>
      <c r="J86" s="35">
        <v>0</v>
      </c>
      <c r="K86" s="35">
        <v>805</v>
      </c>
      <c r="L86" s="35">
        <v>0</v>
      </c>
      <c r="M86" s="35" t="s">
        <v>91</v>
      </c>
    </row>
    <row r="87" spans="4:13" x14ac:dyDescent="0.2">
      <c r="D87" s="34">
        <v>1</v>
      </c>
      <c r="E87" s="35">
        <v>2</v>
      </c>
      <c r="F87" s="35" t="s">
        <v>172</v>
      </c>
      <c r="G87" s="35" t="s">
        <v>90</v>
      </c>
      <c r="H87" s="35">
        <v>83</v>
      </c>
      <c r="I87" s="35">
        <v>0</v>
      </c>
      <c r="J87" s="35">
        <v>2</v>
      </c>
      <c r="K87" s="35">
        <v>29</v>
      </c>
      <c r="L87" s="35">
        <v>0</v>
      </c>
      <c r="M87" s="35" t="s">
        <v>91</v>
      </c>
    </row>
    <row r="88" spans="4:13" x14ac:dyDescent="0.2">
      <c r="D88" s="34">
        <v>1</v>
      </c>
      <c r="E88" s="35">
        <v>3</v>
      </c>
      <c r="F88" s="35" t="s">
        <v>173</v>
      </c>
      <c r="G88" s="35" t="s">
        <v>93</v>
      </c>
      <c r="H88" s="35">
        <v>30</v>
      </c>
      <c r="I88" s="35">
        <v>0</v>
      </c>
      <c r="J88" s="35">
        <v>0</v>
      </c>
      <c r="K88" s="35">
        <v>12475</v>
      </c>
      <c r="L88" s="35">
        <v>0</v>
      </c>
      <c r="M88" s="35" t="s">
        <v>91</v>
      </c>
    </row>
    <row r="89" spans="4:13" x14ac:dyDescent="0.2">
      <c r="D89" s="34">
        <v>0</v>
      </c>
      <c r="E89" s="35">
        <v>3</v>
      </c>
      <c r="F89" s="35" t="s">
        <v>174</v>
      </c>
      <c r="G89" s="35" t="s">
        <v>90</v>
      </c>
      <c r="H89" s="35">
        <v>22</v>
      </c>
      <c r="I89" s="35">
        <v>0</v>
      </c>
      <c r="J89" s="35">
        <v>0</v>
      </c>
      <c r="K89" s="35">
        <v>9</v>
      </c>
      <c r="L89" s="35">
        <v>0</v>
      </c>
      <c r="M89" s="35" t="s">
        <v>91</v>
      </c>
    </row>
    <row r="90" spans="4:13" x14ac:dyDescent="0.2">
      <c r="D90" s="34">
        <v>1</v>
      </c>
      <c r="E90" s="35">
        <v>3</v>
      </c>
      <c r="F90" s="35" t="s">
        <v>175</v>
      </c>
      <c r="G90" s="35" t="s">
        <v>90</v>
      </c>
      <c r="H90" s="35">
        <v>29</v>
      </c>
      <c r="I90" s="35">
        <v>0</v>
      </c>
      <c r="J90" s="35">
        <v>0</v>
      </c>
      <c r="K90" s="35">
        <v>95</v>
      </c>
      <c r="L90" s="35">
        <v>0</v>
      </c>
      <c r="M90" s="35" t="s">
        <v>91</v>
      </c>
    </row>
    <row r="91" spans="4:13" x14ac:dyDescent="0.2">
      <c r="D91" s="34">
        <v>1</v>
      </c>
      <c r="E91" s="35">
        <v>3</v>
      </c>
      <c r="F91" s="35" t="s">
        <v>176</v>
      </c>
      <c r="G91" s="35" t="s">
        <v>93</v>
      </c>
      <c r="H91" s="36"/>
      <c r="I91" s="35">
        <v>0</v>
      </c>
      <c r="J91" s="35">
        <v>0</v>
      </c>
      <c r="K91" s="35">
        <v>77875</v>
      </c>
      <c r="L91" s="35">
        <v>0</v>
      </c>
      <c r="M91" s="35" t="s">
        <v>99</v>
      </c>
    </row>
    <row r="92" spans="4:13" x14ac:dyDescent="0.2">
      <c r="D92" s="34">
        <v>0</v>
      </c>
      <c r="E92" s="35">
        <v>1</v>
      </c>
      <c r="F92" s="35" t="s">
        <v>177</v>
      </c>
      <c r="G92" s="35" t="s">
        <v>90</v>
      </c>
      <c r="H92" s="35">
        <v>28</v>
      </c>
      <c r="I92" s="35">
        <v>0</v>
      </c>
      <c r="J92" s="35">
        <v>0</v>
      </c>
      <c r="K92" s="35">
        <v>471</v>
      </c>
      <c r="L92" s="35">
        <v>0</v>
      </c>
      <c r="M92" s="35" t="s">
        <v>91</v>
      </c>
    </row>
    <row r="93" spans="4:13" x14ac:dyDescent="0.2">
      <c r="D93" s="34">
        <v>1</v>
      </c>
      <c r="E93" s="35">
        <v>2</v>
      </c>
      <c r="F93" s="35" t="s">
        <v>178</v>
      </c>
      <c r="G93" s="35" t="s">
        <v>93</v>
      </c>
      <c r="H93" s="35">
        <v>17</v>
      </c>
      <c r="I93" s="35">
        <v>0</v>
      </c>
      <c r="J93" s="35">
        <v>0</v>
      </c>
      <c r="K93" s="35">
        <v>105</v>
      </c>
      <c r="L93" s="35">
        <v>0</v>
      </c>
      <c r="M93" s="35" t="s">
        <v>91</v>
      </c>
    </row>
    <row r="94" spans="4:13" x14ac:dyDescent="0.2">
      <c r="D94" s="34">
        <v>1</v>
      </c>
      <c r="E94" s="35">
        <v>3</v>
      </c>
      <c r="F94" s="35" t="s">
        <v>179</v>
      </c>
      <c r="G94" s="35" t="s">
        <v>93</v>
      </c>
      <c r="H94" s="35">
        <v>33</v>
      </c>
      <c r="I94" s="35">
        <v>3</v>
      </c>
      <c r="J94" s="35">
        <v>0</v>
      </c>
      <c r="K94" s="35">
        <v>1585</v>
      </c>
      <c r="L94" s="35">
        <v>0</v>
      </c>
      <c r="M94" s="35" t="s">
        <v>91</v>
      </c>
    </row>
    <row r="95" spans="4:13" x14ac:dyDescent="0.2">
      <c r="D95" s="34">
        <v>0</v>
      </c>
      <c r="E95" s="35">
        <v>3</v>
      </c>
      <c r="F95" s="35" t="s">
        <v>180</v>
      </c>
      <c r="G95" s="35" t="s">
        <v>90</v>
      </c>
      <c r="H95" s="35">
        <v>16</v>
      </c>
      <c r="I95" s="35">
        <v>1</v>
      </c>
      <c r="J95" s="35">
        <v>3</v>
      </c>
      <c r="K95" s="35">
        <v>34375</v>
      </c>
      <c r="L95" s="35">
        <v>0</v>
      </c>
      <c r="M95" s="35" t="s">
        <v>91</v>
      </c>
    </row>
    <row r="96" spans="4:13" x14ac:dyDescent="0.2">
      <c r="D96" s="34">
        <v>0</v>
      </c>
      <c r="E96" s="35">
        <v>3</v>
      </c>
      <c r="F96" s="35" t="s">
        <v>181</v>
      </c>
      <c r="G96" s="35" t="s">
        <v>90</v>
      </c>
      <c r="H96" s="36"/>
      <c r="I96" s="35">
        <v>0</v>
      </c>
      <c r="J96" s="35">
        <v>0</v>
      </c>
      <c r="K96" s="35">
        <v>805</v>
      </c>
      <c r="L96" s="35">
        <v>0</v>
      </c>
      <c r="M96" s="35" t="s">
        <v>91</v>
      </c>
    </row>
    <row r="97" spans="4:13" x14ac:dyDescent="0.2">
      <c r="D97" s="34">
        <v>1</v>
      </c>
      <c r="E97" s="35">
        <v>1</v>
      </c>
      <c r="F97" s="35" t="s">
        <v>182</v>
      </c>
      <c r="G97" s="35" t="s">
        <v>93</v>
      </c>
      <c r="H97" s="35">
        <v>23</v>
      </c>
      <c r="I97" s="35">
        <v>3</v>
      </c>
      <c r="J97" s="35">
        <v>2</v>
      </c>
      <c r="K97" s="35">
        <v>263</v>
      </c>
      <c r="L97" s="35">
        <v>1</v>
      </c>
      <c r="M97" s="35" t="s">
        <v>91</v>
      </c>
    </row>
    <row r="98" spans="4:13" x14ac:dyDescent="0.2">
      <c r="D98" s="34">
        <v>0</v>
      </c>
      <c r="E98" s="35">
        <v>3</v>
      </c>
      <c r="F98" s="35" t="s">
        <v>183</v>
      </c>
      <c r="G98" s="35" t="s">
        <v>90</v>
      </c>
      <c r="H98" s="35">
        <v>24</v>
      </c>
      <c r="I98" s="35">
        <v>0</v>
      </c>
      <c r="J98" s="35">
        <v>0</v>
      </c>
      <c r="K98" s="35">
        <v>805</v>
      </c>
      <c r="L98" s="35">
        <v>0</v>
      </c>
      <c r="M98" s="35" t="s">
        <v>91</v>
      </c>
    </row>
    <row r="99" spans="4:13" x14ac:dyDescent="0.2">
      <c r="D99" s="34">
        <v>0</v>
      </c>
      <c r="E99" s="35">
        <v>3</v>
      </c>
      <c r="F99" s="35" t="s">
        <v>184</v>
      </c>
      <c r="G99" s="35" t="s">
        <v>90</v>
      </c>
      <c r="H99" s="35">
        <v>29</v>
      </c>
      <c r="I99" s="35">
        <v>0</v>
      </c>
      <c r="J99" s="35">
        <v>0</v>
      </c>
      <c r="K99" s="35">
        <v>805</v>
      </c>
      <c r="L99" s="35">
        <v>0</v>
      </c>
      <c r="M99" s="35" t="s">
        <v>91</v>
      </c>
    </row>
    <row r="100" spans="4:13" x14ac:dyDescent="0.2">
      <c r="D100" s="34">
        <v>0</v>
      </c>
      <c r="E100" s="35">
        <v>3</v>
      </c>
      <c r="F100" s="35" t="s">
        <v>185</v>
      </c>
      <c r="G100" s="35" t="s">
        <v>90</v>
      </c>
      <c r="H100" s="35">
        <v>20</v>
      </c>
      <c r="I100" s="35">
        <v>0</v>
      </c>
      <c r="J100" s="35">
        <v>0</v>
      </c>
      <c r="K100" s="35">
        <v>78542</v>
      </c>
      <c r="L100" s="35">
        <v>0</v>
      </c>
      <c r="M100" s="35" t="s">
        <v>91</v>
      </c>
    </row>
    <row r="101" spans="4:13" x14ac:dyDescent="0.2">
      <c r="D101" s="34">
        <v>0</v>
      </c>
      <c r="E101" s="35">
        <v>1</v>
      </c>
      <c r="F101" s="35" t="s">
        <v>186</v>
      </c>
      <c r="G101" s="35" t="s">
        <v>90</v>
      </c>
      <c r="H101" s="35">
        <v>46</v>
      </c>
      <c r="I101" s="35">
        <v>1</v>
      </c>
      <c r="J101" s="35">
        <v>0</v>
      </c>
      <c r="K101" s="35">
        <v>61175</v>
      </c>
      <c r="L101" s="35">
        <v>1</v>
      </c>
      <c r="M101" s="35" t="s">
        <v>91</v>
      </c>
    </row>
    <row r="102" spans="4:13" x14ac:dyDescent="0.2">
      <c r="D102" s="34">
        <v>0</v>
      </c>
      <c r="E102" s="35">
        <v>3</v>
      </c>
      <c r="F102" s="35" t="s">
        <v>187</v>
      </c>
      <c r="G102" s="35" t="s">
        <v>90</v>
      </c>
      <c r="H102" s="35">
        <v>26</v>
      </c>
      <c r="I102" s="35">
        <v>1</v>
      </c>
      <c r="J102" s="35">
        <v>2</v>
      </c>
      <c r="K102" s="35">
        <v>20575</v>
      </c>
      <c r="L102" s="35">
        <v>0</v>
      </c>
      <c r="M102" s="35" t="s">
        <v>91</v>
      </c>
    </row>
    <row r="103" spans="4:13" x14ac:dyDescent="0.2">
      <c r="D103" s="34">
        <v>0</v>
      </c>
      <c r="E103" s="35">
        <v>3</v>
      </c>
      <c r="F103" s="35" t="s">
        <v>188</v>
      </c>
      <c r="G103" s="35" t="s">
        <v>90</v>
      </c>
      <c r="H103" s="35">
        <v>59</v>
      </c>
      <c r="I103" s="35">
        <v>0</v>
      </c>
      <c r="J103" s="35">
        <v>0</v>
      </c>
      <c r="K103" s="35">
        <v>725</v>
      </c>
      <c r="L103" s="35">
        <v>0</v>
      </c>
      <c r="M103" s="35" t="s">
        <v>91</v>
      </c>
    </row>
    <row r="104" spans="4:13" x14ac:dyDescent="0.2">
      <c r="D104" s="34">
        <v>0</v>
      </c>
      <c r="E104" s="35">
        <v>3</v>
      </c>
      <c r="F104" s="35" t="s">
        <v>189</v>
      </c>
      <c r="G104" s="35" t="s">
        <v>90</v>
      </c>
      <c r="H104" s="36"/>
      <c r="I104" s="35">
        <v>0</v>
      </c>
      <c r="J104" s="35">
        <v>0</v>
      </c>
      <c r="K104" s="35">
        <v>805</v>
      </c>
      <c r="L104" s="35">
        <v>0</v>
      </c>
      <c r="M104" s="35" t="s">
        <v>91</v>
      </c>
    </row>
    <row r="105" spans="4:13" x14ac:dyDescent="0.2">
      <c r="D105" s="34">
        <v>0</v>
      </c>
      <c r="E105" s="35">
        <v>1</v>
      </c>
      <c r="F105" s="35" t="s">
        <v>190</v>
      </c>
      <c r="G105" s="35" t="s">
        <v>90</v>
      </c>
      <c r="H105" s="35">
        <v>71</v>
      </c>
      <c r="I105" s="35">
        <v>0</v>
      </c>
      <c r="J105" s="35">
        <v>0</v>
      </c>
      <c r="K105" s="35">
        <v>346542</v>
      </c>
      <c r="L105" s="35">
        <v>1</v>
      </c>
      <c r="M105" s="35" t="s">
        <v>94</v>
      </c>
    </row>
    <row r="106" spans="4:13" x14ac:dyDescent="0.2">
      <c r="D106" s="34">
        <v>1</v>
      </c>
      <c r="E106" s="35">
        <v>1</v>
      </c>
      <c r="F106" s="35" t="s">
        <v>191</v>
      </c>
      <c r="G106" s="35" t="s">
        <v>90</v>
      </c>
      <c r="H106" s="35">
        <v>23</v>
      </c>
      <c r="I106" s="35">
        <v>0</v>
      </c>
      <c r="J106" s="35">
        <v>1</v>
      </c>
      <c r="K106" s="35">
        <v>633583</v>
      </c>
      <c r="L106" s="35">
        <v>1</v>
      </c>
      <c r="M106" s="35" t="s">
        <v>94</v>
      </c>
    </row>
    <row r="107" spans="4:13" x14ac:dyDescent="0.2">
      <c r="D107" s="34">
        <v>1</v>
      </c>
      <c r="E107" s="35">
        <v>2</v>
      </c>
      <c r="F107" s="35" t="s">
        <v>192</v>
      </c>
      <c r="G107" s="35" t="s">
        <v>93</v>
      </c>
      <c r="H107" s="35">
        <v>34</v>
      </c>
      <c r="I107" s="35">
        <v>0</v>
      </c>
      <c r="J107" s="35">
        <v>1</v>
      </c>
      <c r="K107" s="35">
        <v>23</v>
      </c>
      <c r="L107" s="35">
        <v>0</v>
      </c>
      <c r="M107" s="35" t="s">
        <v>91</v>
      </c>
    </row>
    <row r="108" spans="4:13" x14ac:dyDescent="0.2">
      <c r="D108" s="34">
        <v>0</v>
      </c>
      <c r="E108" s="35">
        <v>2</v>
      </c>
      <c r="F108" s="35" t="s">
        <v>193</v>
      </c>
      <c r="G108" s="35" t="s">
        <v>90</v>
      </c>
      <c r="H108" s="35">
        <v>34</v>
      </c>
      <c r="I108" s="35">
        <v>1</v>
      </c>
      <c r="J108" s="35">
        <v>0</v>
      </c>
      <c r="K108" s="35">
        <v>26</v>
      </c>
      <c r="L108" s="35">
        <v>0</v>
      </c>
      <c r="M108" s="35" t="s">
        <v>91</v>
      </c>
    </row>
    <row r="109" spans="4:13" x14ac:dyDescent="0.2">
      <c r="D109" s="34">
        <v>0</v>
      </c>
      <c r="E109" s="35">
        <v>3</v>
      </c>
      <c r="F109" s="35" t="s">
        <v>194</v>
      </c>
      <c r="G109" s="35" t="s">
        <v>93</v>
      </c>
      <c r="H109" s="35">
        <v>28</v>
      </c>
      <c r="I109" s="35">
        <v>0</v>
      </c>
      <c r="J109" s="35">
        <v>0</v>
      </c>
      <c r="K109" s="35">
        <v>78958</v>
      </c>
      <c r="L109" s="35">
        <v>0</v>
      </c>
      <c r="M109" s="35" t="s">
        <v>91</v>
      </c>
    </row>
    <row r="110" spans="4:13" x14ac:dyDescent="0.2">
      <c r="D110" s="34">
        <v>0</v>
      </c>
      <c r="E110" s="35">
        <v>3</v>
      </c>
      <c r="F110" s="35" t="s">
        <v>195</v>
      </c>
      <c r="G110" s="35" t="s">
        <v>90</v>
      </c>
      <c r="H110" s="36"/>
      <c r="I110" s="35">
        <v>0</v>
      </c>
      <c r="J110" s="35">
        <v>0</v>
      </c>
      <c r="K110" s="35">
        <v>78958</v>
      </c>
      <c r="L110" s="35">
        <v>0</v>
      </c>
      <c r="M110" s="35" t="s">
        <v>91</v>
      </c>
    </row>
    <row r="111" spans="4:13" x14ac:dyDescent="0.2">
      <c r="D111" s="34">
        <v>0</v>
      </c>
      <c r="E111" s="35">
        <v>1</v>
      </c>
      <c r="F111" s="35" t="s">
        <v>196</v>
      </c>
      <c r="G111" s="35" t="s">
        <v>90</v>
      </c>
      <c r="H111" s="35">
        <v>21</v>
      </c>
      <c r="I111" s="35">
        <v>0</v>
      </c>
      <c r="J111" s="35">
        <v>1</v>
      </c>
      <c r="K111" s="35">
        <v>772875</v>
      </c>
      <c r="L111" s="35">
        <v>1</v>
      </c>
      <c r="M111" s="35" t="s">
        <v>91</v>
      </c>
    </row>
    <row r="112" spans="4:13" x14ac:dyDescent="0.2">
      <c r="D112" s="34">
        <v>0</v>
      </c>
      <c r="E112" s="35">
        <v>3</v>
      </c>
      <c r="F112" s="35" t="s">
        <v>197</v>
      </c>
      <c r="G112" s="35" t="s">
        <v>90</v>
      </c>
      <c r="H112" s="35">
        <v>33</v>
      </c>
      <c r="I112" s="35">
        <v>0</v>
      </c>
      <c r="J112" s="35">
        <v>0</v>
      </c>
      <c r="K112" s="35">
        <v>86542</v>
      </c>
      <c r="L112" s="35">
        <v>0</v>
      </c>
      <c r="M112" s="35" t="s">
        <v>91</v>
      </c>
    </row>
    <row r="113" spans="4:13" x14ac:dyDescent="0.2">
      <c r="D113" s="34">
        <v>0</v>
      </c>
      <c r="E113" s="35">
        <v>3</v>
      </c>
      <c r="F113" s="35" t="s">
        <v>198</v>
      </c>
      <c r="G113" s="35" t="s">
        <v>90</v>
      </c>
      <c r="H113" s="35">
        <v>37</v>
      </c>
      <c r="I113" s="35">
        <v>2</v>
      </c>
      <c r="J113" s="35">
        <v>0</v>
      </c>
      <c r="K113" s="35">
        <v>7925</v>
      </c>
      <c r="L113" s="35">
        <v>0</v>
      </c>
      <c r="M113" s="35" t="s">
        <v>91</v>
      </c>
    </row>
    <row r="114" spans="4:13" x14ac:dyDescent="0.2">
      <c r="D114" s="34">
        <v>0</v>
      </c>
      <c r="E114" s="35">
        <v>3</v>
      </c>
      <c r="F114" s="35" t="s">
        <v>199</v>
      </c>
      <c r="G114" s="35" t="s">
        <v>90</v>
      </c>
      <c r="H114" s="35">
        <v>28</v>
      </c>
      <c r="I114" s="35">
        <v>0</v>
      </c>
      <c r="J114" s="35">
        <v>0</v>
      </c>
      <c r="K114" s="35">
        <v>78958</v>
      </c>
      <c r="L114" s="35">
        <v>0</v>
      </c>
      <c r="M114" s="35" t="s">
        <v>91</v>
      </c>
    </row>
    <row r="115" spans="4:13" x14ac:dyDescent="0.2">
      <c r="D115" s="34">
        <v>1</v>
      </c>
      <c r="E115" s="35">
        <v>3</v>
      </c>
      <c r="F115" s="35" t="s">
        <v>200</v>
      </c>
      <c r="G115" s="35" t="s">
        <v>93</v>
      </c>
      <c r="H115" s="35">
        <v>21</v>
      </c>
      <c r="I115" s="35">
        <v>0</v>
      </c>
      <c r="J115" s="35">
        <v>0</v>
      </c>
      <c r="K115" s="35">
        <v>765</v>
      </c>
      <c r="L115" s="35">
        <v>0</v>
      </c>
      <c r="M115" s="35" t="s">
        <v>91</v>
      </c>
    </row>
    <row r="116" spans="4:13" x14ac:dyDescent="0.2">
      <c r="D116" s="34">
        <v>1</v>
      </c>
      <c r="E116" s="35">
        <v>3</v>
      </c>
      <c r="F116" s="35" t="s">
        <v>201</v>
      </c>
      <c r="G116" s="35" t="s">
        <v>90</v>
      </c>
      <c r="H116" s="36"/>
      <c r="I116" s="35">
        <v>0</v>
      </c>
      <c r="J116" s="35">
        <v>0</v>
      </c>
      <c r="K116" s="35">
        <v>7775</v>
      </c>
      <c r="L116" s="35">
        <v>0</v>
      </c>
      <c r="M116" s="35" t="s">
        <v>91</v>
      </c>
    </row>
    <row r="117" spans="4:13" x14ac:dyDescent="0.2">
      <c r="D117" s="34">
        <v>0</v>
      </c>
      <c r="E117" s="35">
        <v>3</v>
      </c>
      <c r="F117" s="35" t="s">
        <v>202</v>
      </c>
      <c r="G117" s="35" t="s">
        <v>90</v>
      </c>
      <c r="H117" s="35">
        <v>38</v>
      </c>
      <c r="I117" s="35">
        <v>0</v>
      </c>
      <c r="J117" s="35">
        <v>0</v>
      </c>
      <c r="K117" s="35">
        <v>78958</v>
      </c>
      <c r="L117" s="35">
        <v>0</v>
      </c>
      <c r="M117" s="35" t="s">
        <v>91</v>
      </c>
    </row>
    <row r="118" spans="4:13" x14ac:dyDescent="0.2">
      <c r="D118" s="34">
        <v>1</v>
      </c>
      <c r="E118" s="35">
        <v>3</v>
      </c>
      <c r="F118" s="35" t="s">
        <v>203</v>
      </c>
      <c r="G118" s="35" t="s">
        <v>93</v>
      </c>
      <c r="H118" s="36"/>
      <c r="I118" s="35">
        <v>1</v>
      </c>
      <c r="J118" s="35">
        <v>0</v>
      </c>
      <c r="K118" s="35">
        <v>2415</v>
      </c>
      <c r="L118" s="35">
        <v>0</v>
      </c>
      <c r="M118" s="35" t="s">
        <v>99</v>
      </c>
    </row>
    <row r="119" spans="4:13" x14ac:dyDescent="0.2">
      <c r="D119" s="34">
        <v>0</v>
      </c>
      <c r="E119" s="35">
        <v>1</v>
      </c>
      <c r="F119" s="35" t="s">
        <v>204</v>
      </c>
      <c r="G119" s="35" t="s">
        <v>90</v>
      </c>
      <c r="H119" s="35">
        <v>47</v>
      </c>
      <c r="I119" s="35">
        <v>0</v>
      </c>
      <c r="J119" s="35">
        <v>0</v>
      </c>
      <c r="K119" s="35">
        <v>52</v>
      </c>
      <c r="L119" s="35">
        <v>1</v>
      </c>
      <c r="M119" s="35" t="s">
        <v>91</v>
      </c>
    </row>
    <row r="120" spans="4:13" x14ac:dyDescent="0.2">
      <c r="D120" s="34">
        <v>0</v>
      </c>
      <c r="E120" s="35">
        <v>3</v>
      </c>
      <c r="F120" s="35" t="s">
        <v>205</v>
      </c>
      <c r="G120" s="35" t="s">
        <v>93</v>
      </c>
      <c r="H120" s="35">
        <v>145</v>
      </c>
      <c r="I120" s="35">
        <v>1</v>
      </c>
      <c r="J120" s="35">
        <v>0</v>
      </c>
      <c r="K120" s="35">
        <v>144542</v>
      </c>
      <c r="L120" s="35">
        <v>0</v>
      </c>
      <c r="M120" s="35" t="s">
        <v>94</v>
      </c>
    </row>
    <row r="121" spans="4:13" x14ac:dyDescent="0.2">
      <c r="D121" s="34">
        <v>0</v>
      </c>
      <c r="E121" s="35">
        <v>3</v>
      </c>
      <c r="F121" s="35" t="s">
        <v>206</v>
      </c>
      <c r="G121" s="35" t="s">
        <v>90</v>
      </c>
      <c r="H121" s="35">
        <v>22</v>
      </c>
      <c r="I121" s="35">
        <v>0</v>
      </c>
      <c r="J121" s="35">
        <v>0</v>
      </c>
      <c r="K121" s="35">
        <v>805</v>
      </c>
      <c r="L121" s="35">
        <v>0</v>
      </c>
      <c r="M121" s="35" t="s">
        <v>91</v>
      </c>
    </row>
    <row r="122" spans="4:13" x14ac:dyDescent="0.2">
      <c r="D122" s="34">
        <v>0</v>
      </c>
      <c r="E122" s="35">
        <v>3</v>
      </c>
      <c r="F122" s="35" t="s">
        <v>207</v>
      </c>
      <c r="G122" s="35" t="s">
        <v>93</v>
      </c>
      <c r="H122" s="35">
        <v>20</v>
      </c>
      <c r="I122" s="35">
        <v>1</v>
      </c>
      <c r="J122" s="35">
        <v>0</v>
      </c>
      <c r="K122" s="35">
        <v>9825</v>
      </c>
      <c r="L122" s="35">
        <v>0</v>
      </c>
      <c r="M122" s="35" t="s">
        <v>91</v>
      </c>
    </row>
    <row r="123" spans="4:13" x14ac:dyDescent="0.2">
      <c r="D123" s="34">
        <v>0</v>
      </c>
      <c r="E123" s="35">
        <v>3</v>
      </c>
      <c r="F123" s="35" t="s">
        <v>208</v>
      </c>
      <c r="G123" s="35" t="s">
        <v>93</v>
      </c>
      <c r="H123" s="35">
        <v>17</v>
      </c>
      <c r="I123" s="35">
        <v>0</v>
      </c>
      <c r="J123" s="35">
        <v>0</v>
      </c>
      <c r="K123" s="35">
        <v>144583</v>
      </c>
      <c r="L123" s="35">
        <v>0</v>
      </c>
      <c r="M123" s="35" t="s">
        <v>94</v>
      </c>
    </row>
    <row r="124" spans="4:13" x14ac:dyDescent="0.2">
      <c r="D124" s="34">
        <v>0</v>
      </c>
      <c r="E124" s="35">
        <v>3</v>
      </c>
      <c r="F124" s="35" t="s">
        <v>209</v>
      </c>
      <c r="G124" s="35" t="s">
        <v>90</v>
      </c>
      <c r="H124" s="35">
        <v>21</v>
      </c>
      <c r="I124" s="35">
        <v>0</v>
      </c>
      <c r="J124" s="35">
        <v>0</v>
      </c>
      <c r="K124" s="35">
        <v>7925</v>
      </c>
      <c r="L124" s="35">
        <v>0</v>
      </c>
      <c r="M124" s="35" t="s">
        <v>91</v>
      </c>
    </row>
    <row r="125" spans="4:13" x14ac:dyDescent="0.2">
      <c r="D125" s="34">
        <v>0</v>
      </c>
      <c r="E125" s="35">
        <v>3</v>
      </c>
      <c r="F125" s="35" t="s">
        <v>210</v>
      </c>
      <c r="G125" s="35" t="s">
        <v>90</v>
      </c>
      <c r="H125" s="35">
        <v>705</v>
      </c>
      <c r="I125" s="35">
        <v>0</v>
      </c>
      <c r="J125" s="35">
        <v>0</v>
      </c>
      <c r="K125" s="35">
        <v>775</v>
      </c>
      <c r="L125" s="35">
        <v>0</v>
      </c>
      <c r="M125" s="35" t="s">
        <v>99</v>
      </c>
    </row>
    <row r="126" spans="4:13" x14ac:dyDescent="0.2">
      <c r="D126" s="34">
        <v>0</v>
      </c>
      <c r="E126" s="35">
        <v>2</v>
      </c>
      <c r="F126" s="35" t="s">
        <v>211</v>
      </c>
      <c r="G126" s="35" t="s">
        <v>90</v>
      </c>
      <c r="H126" s="35">
        <v>29</v>
      </c>
      <c r="I126" s="35">
        <v>1</v>
      </c>
      <c r="J126" s="35">
        <v>0</v>
      </c>
      <c r="K126" s="35">
        <v>21</v>
      </c>
      <c r="L126" s="35">
        <v>0</v>
      </c>
      <c r="M126" s="35" t="s">
        <v>91</v>
      </c>
    </row>
    <row r="127" spans="4:13" x14ac:dyDescent="0.2">
      <c r="D127" s="34">
        <v>0</v>
      </c>
      <c r="E127" s="35">
        <v>1</v>
      </c>
      <c r="F127" s="35" t="s">
        <v>212</v>
      </c>
      <c r="G127" s="35" t="s">
        <v>90</v>
      </c>
      <c r="H127" s="35">
        <v>24</v>
      </c>
      <c r="I127" s="35">
        <v>0</v>
      </c>
      <c r="J127" s="35">
        <v>1</v>
      </c>
      <c r="K127" s="35">
        <v>2475208</v>
      </c>
      <c r="L127" s="35">
        <v>1</v>
      </c>
      <c r="M127" s="35" t="s">
        <v>94</v>
      </c>
    </row>
    <row r="128" spans="4:13" x14ac:dyDescent="0.2">
      <c r="D128" s="34">
        <v>0</v>
      </c>
      <c r="E128" s="35">
        <v>3</v>
      </c>
      <c r="F128" s="35" t="s">
        <v>213</v>
      </c>
      <c r="G128" s="35" t="s">
        <v>93</v>
      </c>
      <c r="H128" s="35">
        <v>2</v>
      </c>
      <c r="I128" s="35">
        <v>4</v>
      </c>
      <c r="J128" s="35">
        <v>2</v>
      </c>
      <c r="K128" s="35">
        <v>31275</v>
      </c>
      <c r="L128" s="35">
        <v>0</v>
      </c>
      <c r="M128" s="35" t="s">
        <v>91</v>
      </c>
    </row>
    <row r="129" spans="4:13" x14ac:dyDescent="0.2">
      <c r="D129" s="34">
        <v>0</v>
      </c>
      <c r="E129" s="35">
        <v>2</v>
      </c>
      <c r="F129" s="35" t="s">
        <v>214</v>
      </c>
      <c r="G129" s="35" t="s">
        <v>90</v>
      </c>
      <c r="H129" s="35">
        <v>21</v>
      </c>
      <c r="I129" s="35">
        <v>2</v>
      </c>
      <c r="J129" s="35">
        <v>0</v>
      </c>
      <c r="K129" s="35">
        <v>735</v>
      </c>
      <c r="L129" s="35">
        <v>0</v>
      </c>
      <c r="M129" s="35" t="s">
        <v>91</v>
      </c>
    </row>
    <row r="130" spans="4:13" x14ac:dyDescent="0.2">
      <c r="D130" s="34">
        <v>0</v>
      </c>
      <c r="E130" s="35">
        <v>3</v>
      </c>
      <c r="F130" s="35" t="s">
        <v>215</v>
      </c>
      <c r="G130" s="35" t="s">
        <v>90</v>
      </c>
      <c r="H130" s="36"/>
      <c r="I130" s="35">
        <v>0</v>
      </c>
      <c r="J130" s="35">
        <v>0</v>
      </c>
      <c r="K130" s="35">
        <v>805</v>
      </c>
      <c r="L130" s="35">
        <v>0</v>
      </c>
      <c r="M130" s="35" t="s">
        <v>91</v>
      </c>
    </row>
    <row r="131" spans="4:13" x14ac:dyDescent="0.2">
      <c r="D131" s="34">
        <v>0</v>
      </c>
      <c r="E131" s="35">
        <v>2</v>
      </c>
      <c r="F131" s="35" t="s">
        <v>216</v>
      </c>
      <c r="G131" s="35" t="s">
        <v>90</v>
      </c>
      <c r="H131" s="35">
        <v>325</v>
      </c>
      <c r="I131" s="35">
        <v>1</v>
      </c>
      <c r="J131" s="35">
        <v>0</v>
      </c>
      <c r="K131" s="35">
        <v>300708</v>
      </c>
      <c r="L131" s="35">
        <v>0</v>
      </c>
      <c r="M131" s="35" t="s">
        <v>94</v>
      </c>
    </row>
    <row r="132" spans="4:13" x14ac:dyDescent="0.2">
      <c r="D132" s="34">
        <v>1</v>
      </c>
      <c r="E132" s="35">
        <v>2</v>
      </c>
      <c r="F132" s="35" t="s">
        <v>217</v>
      </c>
      <c r="G132" s="35" t="s">
        <v>93</v>
      </c>
      <c r="H132" s="35">
        <v>325</v>
      </c>
      <c r="I132" s="35">
        <v>0</v>
      </c>
      <c r="J132" s="35">
        <v>0</v>
      </c>
      <c r="K132" s="35">
        <v>13</v>
      </c>
      <c r="L132" s="35">
        <v>1</v>
      </c>
      <c r="M132" s="35" t="s">
        <v>91</v>
      </c>
    </row>
    <row r="133" spans="4:13" x14ac:dyDescent="0.2">
      <c r="D133" s="34">
        <v>0</v>
      </c>
      <c r="E133" s="35">
        <v>1</v>
      </c>
      <c r="F133" s="35" t="s">
        <v>218</v>
      </c>
      <c r="G133" s="35" t="s">
        <v>90</v>
      </c>
      <c r="H133" s="35">
        <v>54</v>
      </c>
      <c r="I133" s="35">
        <v>0</v>
      </c>
      <c r="J133" s="35">
        <v>1</v>
      </c>
      <c r="K133" s="35">
        <v>772875</v>
      </c>
      <c r="L133" s="35">
        <v>1</v>
      </c>
      <c r="M133" s="35" t="s">
        <v>91</v>
      </c>
    </row>
    <row r="134" spans="4:13" x14ac:dyDescent="0.2">
      <c r="D134" s="34">
        <v>1</v>
      </c>
      <c r="E134" s="35">
        <v>3</v>
      </c>
      <c r="F134" s="35" t="s">
        <v>219</v>
      </c>
      <c r="G134" s="35" t="s">
        <v>90</v>
      </c>
      <c r="H134" s="35">
        <v>12</v>
      </c>
      <c r="I134" s="35">
        <v>1</v>
      </c>
      <c r="J134" s="35">
        <v>0</v>
      </c>
      <c r="K134" s="35">
        <v>112417</v>
      </c>
      <c r="L134" s="35">
        <v>0</v>
      </c>
      <c r="M134" s="35" t="s">
        <v>94</v>
      </c>
    </row>
    <row r="135" spans="4:13" x14ac:dyDescent="0.2">
      <c r="D135" s="34">
        <v>0</v>
      </c>
      <c r="E135" s="35">
        <v>3</v>
      </c>
      <c r="F135" s="35" t="s">
        <v>220</v>
      </c>
      <c r="G135" s="35" t="s">
        <v>90</v>
      </c>
      <c r="H135" s="36"/>
      <c r="I135" s="35">
        <v>0</v>
      </c>
      <c r="J135" s="35">
        <v>0</v>
      </c>
      <c r="K135" s="35">
        <v>775</v>
      </c>
      <c r="L135" s="35">
        <v>0</v>
      </c>
      <c r="M135" s="35" t="s">
        <v>99</v>
      </c>
    </row>
    <row r="136" spans="4:13" x14ac:dyDescent="0.2">
      <c r="D136" s="34">
        <v>1</v>
      </c>
      <c r="E136" s="35">
        <v>3</v>
      </c>
      <c r="F136" s="35" t="s">
        <v>221</v>
      </c>
      <c r="G136" s="35" t="s">
        <v>90</v>
      </c>
      <c r="H136" s="35">
        <v>24</v>
      </c>
      <c r="I136" s="35">
        <v>0</v>
      </c>
      <c r="J136" s="35">
        <v>0</v>
      </c>
      <c r="K136" s="35">
        <v>71417</v>
      </c>
      <c r="L136" s="35">
        <v>0</v>
      </c>
      <c r="M136" s="35" t="s">
        <v>91</v>
      </c>
    </row>
    <row r="137" spans="4:13" x14ac:dyDescent="0.2">
      <c r="D137" s="34">
        <v>1</v>
      </c>
      <c r="E137" s="35">
        <v>3</v>
      </c>
      <c r="F137" s="35" t="s">
        <v>222</v>
      </c>
      <c r="G137" s="35" t="s">
        <v>93</v>
      </c>
      <c r="H137" s="36"/>
      <c r="I137" s="35">
        <v>1</v>
      </c>
      <c r="J137" s="35">
        <v>1</v>
      </c>
      <c r="K137" s="35">
        <v>223583</v>
      </c>
      <c r="L137" s="35">
        <v>1</v>
      </c>
      <c r="M137" s="35" t="s">
        <v>94</v>
      </c>
    </row>
    <row r="138" spans="4:13" x14ac:dyDescent="0.2">
      <c r="D138" s="34">
        <v>0</v>
      </c>
      <c r="E138" s="35">
        <v>3</v>
      </c>
      <c r="F138" s="35" t="s">
        <v>223</v>
      </c>
      <c r="G138" s="35" t="s">
        <v>90</v>
      </c>
      <c r="H138" s="35">
        <v>45</v>
      </c>
      <c r="I138" s="35">
        <v>0</v>
      </c>
      <c r="J138" s="35">
        <v>0</v>
      </c>
      <c r="K138" s="35">
        <v>6975</v>
      </c>
      <c r="L138" s="35">
        <v>0</v>
      </c>
      <c r="M138" s="35" t="s">
        <v>91</v>
      </c>
    </row>
    <row r="139" spans="4:13" x14ac:dyDescent="0.2">
      <c r="D139" s="34">
        <v>0</v>
      </c>
      <c r="E139" s="35">
        <v>3</v>
      </c>
      <c r="F139" s="35" t="s">
        <v>224</v>
      </c>
      <c r="G139" s="35" t="s">
        <v>90</v>
      </c>
      <c r="H139" s="35">
        <v>33</v>
      </c>
      <c r="I139" s="35">
        <v>0</v>
      </c>
      <c r="J139" s="35">
        <v>0</v>
      </c>
      <c r="K139" s="35">
        <v>78958</v>
      </c>
      <c r="L139" s="35">
        <v>0</v>
      </c>
      <c r="M139" s="35" t="s">
        <v>94</v>
      </c>
    </row>
    <row r="140" spans="4:13" x14ac:dyDescent="0.2">
      <c r="D140" s="34">
        <v>0</v>
      </c>
      <c r="E140" s="35">
        <v>3</v>
      </c>
      <c r="F140" s="35" t="s">
        <v>225</v>
      </c>
      <c r="G140" s="35" t="s">
        <v>90</v>
      </c>
      <c r="H140" s="35">
        <v>20</v>
      </c>
      <c r="I140" s="35">
        <v>0</v>
      </c>
      <c r="J140" s="35">
        <v>0</v>
      </c>
      <c r="K140" s="35">
        <v>705</v>
      </c>
      <c r="L140" s="35">
        <v>0</v>
      </c>
      <c r="M140" s="35" t="s">
        <v>91</v>
      </c>
    </row>
    <row r="141" spans="4:13" x14ac:dyDescent="0.2">
      <c r="D141" s="34">
        <v>0</v>
      </c>
      <c r="E141" s="35">
        <v>3</v>
      </c>
      <c r="F141" s="35" t="s">
        <v>226</v>
      </c>
      <c r="G141" s="35" t="s">
        <v>93</v>
      </c>
      <c r="H141" s="35">
        <v>47</v>
      </c>
      <c r="I141" s="35">
        <v>1</v>
      </c>
      <c r="J141" s="35">
        <v>0</v>
      </c>
      <c r="K141" s="35">
        <v>145</v>
      </c>
      <c r="L141" s="35">
        <v>0</v>
      </c>
      <c r="M141" s="35" t="s">
        <v>91</v>
      </c>
    </row>
    <row r="142" spans="4:13" x14ac:dyDescent="0.2">
      <c r="D142" s="34">
        <v>1</v>
      </c>
      <c r="E142" s="35">
        <v>2</v>
      </c>
      <c r="F142" s="35" t="s">
        <v>227</v>
      </c>
      <c r="G142" s="35" t="s">
        <v>93</v>
      </c>
      <c r="H142" s="35">
        <v>29</v>
      </c>
      <c r="I142" s="35">
        <v>1</v>
      </c>
      <c r="J142" s="35">
        <v>0</v>
      </c>
      <c r="K142" s="35">
        <v>26</v>
      </c>
      <c r="L142" s="35">
        <v>0</v>
      </c>
      <c r="M142" s="35" t="s">
        <v>91</v>
      </c>
    </row>
    <row r="143" spans="4:13" x14ac:dyDescent="0.2">
      <c r="D143" s="34">
        <v>0</v>
      </c>
      <c r="E143" s="35">
        <v>2</v>
      </c>
      <c r="F143" s="35" t="s">
        <v>228</v>
      </c>
      <c r="G143" s="35" t="s">
        <v>90</v>
      </c>
      <c r="H143" s="35">
        <v>25</v>
      </c>
      <c r="I143" s="35">
        <v>0</v>
      </c>
      <c r="J143" s="35">
        <v>0</v>
      </c>
      <c r="K143" s="35">
        <v>13</v>
      </c>
      <c r="L143" s="35">
        <v>0</v>
      </c>
      <c r="M143" s="35" t="s">
        <v>91</v>
      </c>
    </row>
    <row r="144" spans="4:13" x14ac:dyDescent="0.2">
      <c r="D144" s="34">
        <v>0</v>
      </c>
      <c r="E144" s="35">
        <v>2</v>
      </c>
      <c r="F144" s="35" t="s">
        <v>229</v>
      </c>
      <c r="G144" s="35" t="s">
        <v>90</v>
      </c>
      <c r="H144" s="35">
        <v>23</v>
      </c>
      <c r="I144" s="35">
        <v>0</v>
      </c>
      <c r="J144" s="35">
        <v>0</v>
      </c>
      <c r="K144" s="35">
        <v>150458</v>
      </c>
      <c r="L144" s="35">
        <v>0</v>
      </c>
      <c r="M144" s="35" t="s">
        <v>94</v>
      </c>
    </row>
    <row r="145" spans="4:13" x14ac:dyDescent="0.2">
      <c r="D145" s="34">
        <v>1</v>
      </c>
      <c r="E145" s="35">
        <v>1</v>
      </c>
      <c r="F145" s="35" t="s">
        <v>230</v>
      </c>
      <c r="G145" s="35" t="s">
        <v>93</v>
      </c>
      <c r="H145" s="35">
        <v>19</v>
      </c>
      <c r="I145" s="35">
        <v>0</v>
      </c>
      <c r="J145" s="35">
        <v>2</v>
      </c>
      <c r="K145" s="35">
        <v>262833</v>
      </c>
      <c r="L145" s="35">
        <v>1</v>
      </c>
      <c r="M145" s="35" t="s">
        <v>91</v>
      </c>
    </row>
    <row r="146" spans="4:13" x14ac:dyDescent="0.2">
      <c r="D146" s="34">
        <v>0</v>
      </c>
      <c r="E146" s="35">
        <v>1</v>
      </c>
      <c r="F146" s="35" t="s">
        <v>231</v>
      </c>
      <c r="G146" s="35" t="s">
        <v>90</v>
      </c>
      <c r="H146" s="35">
        <v>37</v>
      </c>
      <c r="I146" s="35">
        <v>1</v>
      </c>
      <c r="J146" s="35">
        <v>0</v>
      </c>
      <c r="K146" s="35">
        <v>531</v>
      </c>
      <c r="L146" s="35">
        <v>1</v>
      </c>
      <c r="M146" s="35" t="s">
        <v>91</v>
      </c>
    </row>
    <row r="147" spans="4:13" x14ac:dyDescent="0.2">
      <c r="D147" s="34">
        <v>0</v>
      </c>
      <c r="E147" s="35">
        <v>3</v>
      </c>
      <c r="F147" s="35" t="s">
        <v>232</v>
      </c>
      <c r="G147" s="35" t="s">
        <v>90</v>
      </c>
      <c r="H147" s="35">
        <v>16</v>
      </c>
      <c r="I147" s="35">
        <v>0</v>
      </c>
      <c r="J147" s="35">
        <v>0</v>
      </c>
      <c r="K147" s="35">
        <v>92167</v>
      </c>
      <c r="L147" s="35">
        <v>0</v>
      </c>
      <c r="M147" s="35" t="s">
        <v>91</v>
      </c>
    </row>
    <row r="148" spans="4:13" x14ac:dyDescent="0.2">
      <c r="D148" s="34">
        <v>0</v>
      </c>
      <c r="E148" s="35">
        <v>1</v>
      </c>
      <c r="F148" s="35" t="s">
        <v>233</v>
      </c>
      <c r="G148" s="35" t="s">
        <v>90</v>
      </c>
      <c r="H148" s="35">
        <v>24</v>
      </c>
      <c r="I148" s="35">
        <v>0</v>
      </c>
      <c r="J148" s="35">
        <v>0</v>
      </c>
      <c r="K148" s="35">
        <v>792</v>
      </c>
      <c r="L148" s="35">
        <v>1</v>
      </c>
      <c r="M148" s="35" t="s">
        <v>94</v>
      </c>
    </row>
    <row r="149" spans="4:13" x14ac:dyDescent="0.2">
      <c r="D149" s="34">
        <v>0</v>
      </c>
      <c r="E149" s="35">
        <v>3</v>
      </c>
      <c r="F149" s="35" t="s">
        <v>234</v>
      </c>
      <c r="G149" s="35" t="s">
        <v>93</v>
      </c>
      <c r="H149" s="36"/>
      <c r="I149" s="35">
        <v>0</v>
      </c>
      <c r="J149" s="35">
        <v>2</v>
      </c>
      <c r="K149" s="35">
        <v>152458</v>
      </c>
      <c r="L149" s="35">
        <v>0</v>
      </c>
      <c r="M149" s="35" t="s">
        <v>94</v>
      </c>
    </row>
    <row r="150" spans="4:13" x14ac:dyDescent="0.2">
      <c r="D150" s="34">
        <v>1</v>
      </c>
      <c r="E150" s="35">
        <v>3</v>
      </c>
      <c r="F150" s="35" t="s">
        <v>235</v>
      </c>
      <c r="G150" s="35" t="s">
        <v>93</v>
      </c>
      <c r="H150" s="35">
        <v>22</v>
      </c>
      <c r="I150" s="35">
        <v>0</v>
      </c>
      <c r="J150" s="35">
        <v>0</v>
      </c>
      <c r="K150" s="35">
        <v>775</v>
      </c>
      <c r="L150" s="35">
        <v>0</v>
      </c>
      <c r="M150" s="35" t="s">
        <v>91</v>
      </c>
    </row>
    <row r="151" spans="4:13" x14ac:dyDescent="0.2">
      <c r="D151" s="34">
        <v>1</v>
      </c>
      <c r="E151" s="35">
        <v>3</v>
      </c>
      <c r="F151" s="35" t="s">
        <v>236</v>
      </c>
      <c r="G151" s="35" t="s">
        <v>93</v>
      </c>
      <c r="H151" s="35">
        <v>24</v>
      </c>
      <c r="I151" s="35">
        <v>1</v>
      </c>
      <c r="J151" s="35">
        <v>0</v>
      </c>
      <c r="K151" s="35">
        <v>1585</v>
      </c>
      <c r="L151" s="35">
        <v>0</v>
      </c>
      <c r="M151" s="35" t="s">
        <v>91</v>
      </c>
    </row>
    <row r="152" spans="4:13" x14ac:dyDescent="0.2">
      <c r="D152" s="34">
        <v>0</v>
      </c>
      <c r="E152" s="35">
        <v>3</v>
      </c>
      <c r="F152" s="35" t="s">
        <v>237</v>
      </c>
      <c r="G152" s="35" t="s">
        <v>90</v>
      </c>
      <c r="H152" s="35">
        <v>19</v>
      </c>
      <c r="I152" s="35">
        <v>0</v>
      </c>
      <c r="J152" s="35">
        <v>0</v>
      </c>
      <c r="K152" s="35">
        <v>675</v>
      </c>
      <c r="L152" s="35">
        <v>0</v>
      </c>
      <c r="M152" s="35" t="s">
        <v>99</v>
      </c>
    </row>
    <row r="153" spans="4:13" x14ac:dyDescent="0.2">
      <c r="D153" s="34">
        <v>0</v>
      </c>
      <c r="E153" s="35">
        <v>2</v>
      </c>
      <c r="F153" s="35" t="s">
        <v>238</v>
      </c>
      <c r="G153" s="35" t="s">
        <v>90</v>
      </c>
      <c r="H153" s="35">
        <v>18</v>
      </c>
      <c r="I153" s="35">
        <v>0</v>
      </c>
      <c r="J153" s="35">
        <v>0</v>
      </c>
      <c r="K153" s="35">
        <v>115</v>
      </c>
      <c r="L153" s="35">
        <v>0</v>
      </c>
      <c r="M153" s="35" t="s">
        <v>91</v>
      </c>
    </row>
    <row r="154" spans="4:13" x14ac:dyDescent="0.2">
      <c r="D154" s="34">
        <v>0</v>
      </c>
      <c r="E154" s="35">
        <v>2</v>
      </c>
      <c r="F154" s="35" t="s">
        <v>239</v>
      </c>
      <c r="G154" s="35" t="s">
        <v>90</v>
      </c>
      <c r="H154" s="35">
        <v>19</v>
      </c>
      <c r="I154" s="35">
        <v>1</v>
      </c>
      <c r="J154" s="35">
        <v>1</v>
      </c>
      <c r="K154" s="35">
        <v>3675</v>
      </c>
      <c r="L154" s="35">
        <v>0</v>
      </c>
      <c r="M154" s="35" t="s">
        <v>91</v>
      </c>
    </row>
    <row r="155" spans="4:13" x14ac:dyDescent="0.2">
      <c r="D155" s="34">
        <v>1</v>
      </c>
      <c r="E155" s="35">
        <v>3</v>
      </c>
      <c r="F155" s="35" t="s">
        <v>240</v>
      </c>
      <c r="G155" s="35" t="s">
        <v>90</v>
      </c>
      <c r="H155" s="35">
        <v>27</v>
      </c>
      <c r="I155" s="35">
        <v>0</v>
      </c>
      <c r="J155" s="35">
        <v>0</v>
      </c>
      <c r="K155" s="35">
        <v>77958</v>
      </c>
      <c r="L155" s="35">
        <v>0</v>
      </c>
      <c r="M155" s="35" t="s">
        <v>91</v>
      </c>
    </row>
    <row r="156" spans="4:13" x14ac:dyDescent="0.2">
      <c r="D156" s="34">
        <v>0</v>
      </c>
      <c r="E156" s="35">
        <v>3</v>
      </c>
      <c r="F156" s="35" t="s">
        <v>241</v>
      </c>
      <c r="G156" s="35" t="s">
        <v>93</v>
      </c>
      <c r="H156" s="35">
        <v>9</v>
      </c>
      <c r="I156" s="35">
        <v>2</v>
      </c>
      <c r="J156" s="35">
        <v>2</v>
      </c>
      <c r="K156" s="35">
        <v>34375</v>
      </c>
      <c r="L156" s="35">
        <v>0</v>
      </c>
      <c r="M156" s="35" t="s">
        <v>91</v>
      </c>
    </row>
    <row r="157" spans="4:13" x14ac:dyDescent="0.2">
      <c r="D157" s="34">
        <v>0</v>
      </c>
      <c r="E157" s="35">
        <v>2</v>
      </c>
      <c r="F157" s="35" t="s">
        <v>242</v>
      </c>
      <c r="G157" s="35" t="s">
        <v>90</v>
      </c>
      <c r="H157" s="35">
        <v>365</v>
      </c>
      <c r="I157" s="35">
        <v>0</v>
      </c>
      <c r="J157" s="35">
        <v>2</v>
      </c>
      <c r="K157" s="35">
        <v>26</v>
      </c>
      <c r="L157" s="35">
        <v>1</v>
      </c>
      <c r="M157" s="35" t="s">
        <v>91</v>
      </c>
    </row>
    <row r="158" spans="4:13" x14ac:dyDescent="0.2">
      <c r="D158" s="34">
        <v>0</v>
      </c>
      <c r="E158" s="35">
        <v>2</v>
      </c>
      <c r="F158" s="35" t="s">
        <v>243</v>
      </c>
      <c r="G158" s="35" t="s">
        <v>90</v>
      </c>
      <c r="H158" s="35">
        <v>42</v>
      </c>
      <c r="I158" s="35">
        <v>0</v>
      </c>
      <c r="J158" s="35">
        <v>0</v>
      </c>
      <c r="K158" s="35">
        <v>13</v>
      </c>
      <c r="L158" s="35">
        <v>0</v>
      </c>
      <c r="M158" s="35" t="s">
        <v>91</v>
      </c>
    </row>
    <row r="159" spans="4:13" x14ac:dyDescent="0.2">
      <c r="D159" s="34">
        <v>0</v>
      </c>
      <c r="E159" s="35">
        <v>2</v>
      </c>
      <c r="F159" s="35" t="s">
        <v>244</v>
      </c>
      <c r="G159" s="35" t="s">
        <v>90</v>
      </c>
      <c r="H159" s="35">
        <v>51</v>
      </c>
      <c r="I159" s="35">
        <v>0</v>
      </c>
      <c r="J159" s="35">
        <v>0</v>
      </c>
      <c r="K159" s="35">
        <v>12525</v>
      </c>
      <c r="L159" s="35">
        <v>0</v>
      </c>
      <c r="M159" s="35" t="s">
        <v>91</v>
      </c>
    </row>
    <row r="160" spans="4:13" x14ac:dyDescent="0.2">
      <c r="D160" s="34">
        <v>1</v>
      </c>
      <c r="E160" s="35">
        <v>1</v>
      </c>
      <c r="F160" s="35" t="s">
        <v>245</v>
      </c>
      <c r="G160" s="35" t="s">
        <v>93</v>
      </c>
      <c r="H160" s="35">
        <v>22</v>
      </c>
      <c r="I160" s="35">
        <v>1</v>
      </c>
      <c r="J160" s="35">
        <v>0</v>
      </c>
      <c r="K160" s="35">
        <v>666</v>
      </c>
      <c r="L160" s="35">
        <v>1</v>
      </c>
      <c r="M160" s="35" t="s">
        <v>91</v>
      </c>
    </row>
    <row r="161" spans="4:13" x14ac:dyDescent="0.2">
      <c r="D161" s="34">
        <v>0</v>
      </c>
      <c r="E161" s="35">
        <v>3</v>
      </c>
      <c r="F161" s="35" t="s">
        <v>246</v>
      </c>
      <c r="G161" s="35" t="s">
        <v>90</v>
      </c>
      <c r="H161" s="35">
        <v>555</v>
      </c>
      <c r="I161" s="35">
        <v>0</v>
      </c>
      <c r="J161" s="35">
        <v>0</v>
      </c>
      <c r="K161" s="35">
        <v>805</v>
      </c>
      <c r="L161" s="35">
        <v>0</v>
      </c>
      <c r="M161" s="35" t="s">
        <v>91</v>
      </c>
    </row>
    <row r="162" spans="4:13" x14ac:dyDescent="0.2">
      <c r="D162" s="34">
        <v>0</v>
      </c>
      <c r="E162" s="35">
        <v>3</v>
      </c>
      <c r="F162" s="35" t="s">
        <v>247</v>
      </c>
      <c r="G162" s="35" t="s">
        <v>90</v>
      </c>
      <c r="H162" s="35">
        <v>405</v>
      </c>
      <c r="I162" s="35">
        <v>0</v>
      </c>
      <c r="J162" s="35">
        <v>2</v>
      </c>
      <c r="K162" s="35">
        <v>145</v>
      </c>
      <c r="L162" s="35">
        <v>0</v>
      </c>
      <c r="M162" s="35" t="s">
        <v>91</v>
      </c>
    </row>
    <row r="163" spans="4:13" x14ac:dyDescent="0.2">
      <c r="D163" s="34">
        <v>0</v>
      </c>
      <c r="E163" s="35">
        <v>3</v>
      </c>
      <c r="F163" s="35" t="s">
        <v>248</v>
      </c>
      <c r="G163" s="35" t="s">
        <v>90</v>
      </c>
      <c r="H163" s="36"/>
      <c r="I163" s="35">
        <v>0</v>
      </c>
      <c r="J163" s="35">
        <v>0</v>
      </c>
      <c r="K163" s="35">
        <v>73125</v>
      </c>
      <c r="L163" s="35">
        <v>0</v>
      </c>
      <c r="M163" s="35" t="s">
        <v>91</v>
      </c>
    </row>
    <row r="164" spans="4:13" x14ac:dyDescent="0.2">
      <c r="D164" s="34">
        <v>0</v>
      </c>
      <c r="E164" s="35">
        <v>1</v>
      </c>
      <c r="F164" s="35" t="s">
        <v>249</v>
      </c>
      <c r="G164" s="35" t="s">
        <v>90</v>
      </c>
      <c r="H164" s="35">
        <v>51</v>
      </c>
      <c r="I164" s="35">
        <v>0</v>
      </c>
      <c r="J164" s="35">
        <v>1</v>
      </c>
      <c r="K164" s="35">
        <v>613792</v>
      </c>
      <c r="L164" s="35">
        <v>0</v>
      </c>
      <c r="M164" s="35" t="s">
        <v>94</v>
      </c>
    </row>
    <row r="165" spans="4:13" x14ac:dyDescent="0.2">
      <c r="D165" s="34">
        <v>1</v>
      </c>
      <c r="E165" s="35">
        <v>3</v>
      </c>
      <c r="F165" s="35" t="s">
        <v>250</v>
      </c>
      <c r="G165" s="35" t="s">
        <v>93</v>
      </c>
      <c r="H165" s="35">
        <v>16</v>
      </c>
      <c r="I165" s="35">
        <v>0</v>
      </c>
      <c r="J165" s="35">
        <v>0</v>
      </c>
      <c r="K165" s="35">
        <v>77333</v>
      </c>
      <c r="L165" s="35">
        <v>0</v>
      </c>
      <c r="M165" s="35" t="s">
        <v>99</v>
      </c>
    </row>
    <row r="166" spans="4:13" x14ac:dyDescent="0.2">
      <c r="D166" s="34">
        <v>0</v>
      </c>
      <c r="E166" s="35">
        <v>3</v>
      </c>
      <c r="F166" s="35" t="s">
        <v>251</v>
      </c>
      <c r="G166" s="35" t="s">
        <v>90</v>
      </c>
      <c r="H166" s="35">
        <v>30</v>
      </c>
      <c r="I166" s="35">
        <v>0</v>
      </c>
      <c r="J166" s="35">
        <v>0</v>
      </c>
      <c r="K166" s="35">
        <v>805</v>
      </c>
      <c r="L166" s="35">
        <v>0</v>
      </c>
      <c r="M166" s="35" t="s">
        <v>91</v>
      </c>
    </row>
    <row r="167" spans="4:13" x14ac:dyDescent="0.2">
      <c r="D167" s="34">
        <v>0</v>
      </c>
      <c r="E167" s="35">
        <v>3</v>
      </c>
      <c r="F167" s="35" t="s">
        <v>252</v>
      </c>
      <c r="G167" s="35" t="s">
        <v>90</v>
      </c>
      <c r="H167" s="36"/>
      <c r="I167" s="35">
        <v>0</v>
      </c>
      <c r="J167" s="35">
        <v>0</v>
      </c>
      <c r="K167" s="35">
        <v>86625</v>
      </c>
      <c r="L167" s="35">
        <v>0</v>
      </c>
      <c r="M167" s="35" t="s">
        <v>91</v>
      </c>
    </row>
    <row r="168" spans="4:13" x14ac:dyDescent="0.2">
      <c r="D168" s="34">
        <v>0</v>
      </c>
      <c r="E168" s="35">
        <v>3</v>
      </c>
      <c r="F168" s="35" t="s">
        <v>253</v>
      </c>
      <c r="G168" s="35" t="s">
        <v>90</v>
      </c>
      <c r="H168" s="36"/>
      <c r="I168" s="35">
        <v>8</v>
      </c>
      <c r="J168" s="35">
        <v>2</v>
      </c>
      <c r="K168" s="35">
        <v>6955</v>
      </c>
      <c r="L168" s="35">
        <v>0</v>
      </c>
      <c r="M168" s="35" t="s">
        <v>91</v>
      </c>
    </row>
    <row r="169" spans="4:13" x14ac:dyDescent="0.2">
      <c r="D169" s="34">
        <v>0</v>
      </c>
      <c r="E169" s="35">
        <v>3</v>
      </c>
      <c r="F169" s="35" t="s">
        <v>254</v>
      </c>
      <c r="G169" s="35" t="s">
        <v>90</v>
      </c>
      <c r="H169" s="35">
        <v>44</v>
      </c>
      <c r="I169" s="35">
        <v>0</v>
      </c>
      <c r="J169" s="35">
        <v>1</v>
      </c>
      <c r="K169" s="35">
        <v>161</v>
      </c>
      <c r="L169" s="35">
        <v>0</v>
      </c>
      <c r="M169" s="35" t="s">
        <v>91</v>
      </c>
    </row>
    <row r="170" spans="4:13" x14ac:dyDescent="0.2">
      <c r="D170" s="34">
        <v>1</v>
      </c>
      <c r="E170" s="35">
        <v>2</v>
      </c>
      <c r="F170" s="35" t="s">
        <v>255</v>
      </c>
      <c r="G170" s="35" t="s">
        <v>93</v>
      </c>
      <c r="H170" s="35">
        <v>40</v>
      </c>
      <c r="I170" s="35">
        <v>0</v>
      </c>
      <c r="J170" s="35">
        <v>0</v>
      </c>
      <c r="K170" s="35">
        <v>1575</v>
      </c>
      <c r="L170" s="35">
        <v>0</v>
      </c>
      <c r="M170" s="35" t="s">
        <v>91</v>
      </c>
    </row>
    <row r="171" spans="4:13" x14ac:dyDescent="0.2">
      <c r="D171" s="34">
        <v>0</v>
      </c>
      <c r="E171" s="35">
        <v>3</v>
      </c>
      <c r="F171" s="35" t="s">
        <v>256</v>
      </c>
      <c r="G171" s="35" t="s">
        <v>90</v>
      </c>
      <c r="H171" s="35">
        <v>26</v>
      </c>
      <c r="I171" s="35">
        <v>0</v>
      </c>
      <c r="J171" s="35">
        <v>0</v>
      </c>
      <c r="K171" s="35">
        <v>7775</v>
      </c>
      <c r="L171" s="35">
        <v>0</v>
      </c>
      <c r="M171" s="35" t="s">
        <v>91</v>
      </c>
    </row>
    <row r="172" spans="4:13" x14ac:dyDescent="0.2">
      <c r="D172" s="34">
        <v>0</v>
      </c>
      <c r="E172" s="35">
        <v>3</v>
      </c>
      <c r="F172" s="35" t="s">
        <v>257</v>
      </c>
      <c r="G172" s="35" t="s">
        <v>90</v>
      </c>
      <c r="H172" s="35">
        <v>17</v>
      </c>
      <c r="I172" s="35">
        <v>0</v>
      </c>
      <c r="J172" s="35">
        <v>0</v>
      </c>
      <c r="K172" s="35">
        <v>86625</v>
      </c>
      <c r="L172" s="35">
        <v>0</v>
      </c>
      <c r="M172" s="35" t="s">
        <v>91</v>
      </c>
    </row>
    <row r="173" spans="4:13" x14ac:dyDescent="0.2">
      <c r="D173" s="34">
        <v>0</v>
      </c>
      <c r="E173" s="35">
        <v>3</v>
      </c>
      <c r="F173" s="35" t="s">
        <v>258</v>
      </c>
      <c r="G173" s="35" t="s">
        <v>90</v>
      </c>
      <c r="H173" s="35">
        <v>1</v>
      </c>
      <c r="I173" s="35">
        <v>4</v>
      </c>
      <c r="J173" s="35">
        <v>1</v>
      </c>
      <c r="K173" s="35">
        <v>396875</v>
      </c>
      <c r="L173" s="35">
        <v>0</v>
      </c>
      <c r="M173" s="35" t="s">
        <v>91</v>
      </c>
    </row>
    <row r="174" spans="4:13" x14ac:dyDescent="0.2">
      <c r="D174" s="34">
        <v>1</v>
      </c>
      <c r="E174" s="35">
        <v>3</v>
      </c>
      <c r="F174" s="35" t="s">
        <v>259</v>
      </c>
      <c r="G174" s="35" t="s">
        <v>90</v>
      </c>
      <c r="H174" s="35">
        <v>9</v>
      </c>
      <c r="I174" s="35">
        <v>0</v>
      </c>
      <c r="J174" s="35">
        <v>2</v>
      </c>
      <c r="K174" s="35">
        <v>20525</v>
      </c>
      <c r="L174" s="35">
        <v>0</v>
      </c>
      <c r="M174" s="35" t="s">
        <v>91</v>
      </c>
    </row>
    <row r="175" spans="4:13" x14ac:dyDescent="0.2">
      <c r="D175" s="34">
        <v>1</v>
      </c>
      <c r="E175" s="35">
        <v>1</v>
      </c>
      <c r="F175" s="35" t="s">
        <v>260</v>
      </c>
      <c r="G175" s="35" t="s">
        <v>93</v>
      </c>
      <c r="H175" s="36"/>
      <c r="I175" s="35">
        <v>0</v>
      </c>
      <c r="J175" s="35">
        <v>1</v>
      </c>
      <c r="K175" s="35">
        <v>55</v>
      </c>
      <c r="L175" s="35">
        <v>1</v>
      </c>
      <c r="M175" s="35" t="s">
        <v>91</v>
      </c>
    </row>
    <row r="176" spans="4:13" x14ac:dyDescent="0.2">
      <c r="D176" s="34">
        <v>0</v>
      </c>
      <c r="E176" s="35">
        <v>3</v>
      </c>
      <c r="F176" s="35" t="s">
        <v>261</v>
      </c>
      <c r="G176" s="35" t="s">
        <v>93</v>
      </c>
      <c r="H176" s="35">
        <v>45</v>
      </c>
      <c r="I176" s="35">
        <v>1</v>
      </c>
      <c r="J176" s="35">
        <v>4</v>
      </c>
      <c r="K176" s="35">
        <v>279</v>
      </c>
      <c r="L176" s="35">
        <v>0</v>
      </c>
      <c r="M176" s="35" t="s">
        <v>91</v>
      </c>
    </row>
    <row r="177" spans="4:13" x14ac:dyDescent="0.2">
      <c r="D177" s="34">
        <v>0</v>
      </c>
      <c r="E177" s="35">
        <v>1</v>
      </c>
      <c r="F177" s="35" t="s">
        <v>262</v>
      </c>
      <c r="G177" s="35" t="s">
        <v>90</v>
      </c>
      <c r="H177" s="36"/>
      <c r="I177" s="35">
        <v>0</v>
      </c>
      <c r="J177" s="35">
        <v>0</v>
      </c>
      <c r="K177" s="35">
        <v>25925</v>
      </c>
      <c r="L177" s="35">
        <v>0</v>
      </c>
      <c r="M177" s="35" t="s">
        <v>91</v>
      </c>
    </row>
    <row r="178" spans="4:13" x14ac:dyDescent="0.2">
      <c r="D178" s="34">
        <v>0</v>
      </c>
      <c r="E178" s="35">
        <v>3</v>
      </c>
      <c r="F178" s="35" t="s">
        <v>263</v>
      </c>
      <c r="G178" s="35" t="s">
        <v>90</v>
      </c>
      <c r="H178" s="35">
        <v>28</v>
      </c>
      <c r="I178" s="35">
        <v>0</v>
      </c>
      <c r="J178" s="35">
        <v>0</v>
      </c>
      <c r="K178" s="35">
        <v>564958</v>
      </c>
      <c r="L178" s="35">
        <v>0</v>
      </c>
      <c r="M178" s="35" t="s">
        <v>91</v>
      </c>
    </row>
    <row r="179" spans="4:13" x14ac:dyDescent="0.2">
      <c r="D179" s="34">
        <v>0</v>
      </c>
      <c r="E179" s="35">
        <v>1</v>
      </c>
      <c r="F179" s="35" t="s">
        <v>264</v>
      </c>
      <c r="G179" s="35" t="s">
        <v>90</v>
      </c>
      <c r="H179" s="35">
        <v>61</v>
      </c>
      <c r="I179" s="35">
        <v>0</v>
      </c>
      <c r="J179" s="35">
        <v>0</v>
      </c>
      <c r="K179" s="35">
        <v>335</v>
      </c>
      <c r="L179" s="35">
        <v>1</v>
      </c>
      <c r="M179" s="35" t="s">
        <v>91</v>
      </c>
    </row>
    <row r="180" spans="4:13" x14ac:dyDescent="0.2">
      <c r="D180" s="34">
        <v>0</v>
      </c>
      <c r="E180" s="35">
        <v>3</v>
      </c>
      <c r="F180" s="35" t="s">
        <v>265</v>
      </c>
      <c r="G180" s="35" t="s">
        <v>90</v>
      </c>
      <c r="H180" s="35">
        <v>4</v>
      </c>
      <c r="I180" s="35">
        <v>4</v>
      </c>
      <c r="J180" s="35">
        <v>1</v>
      </c>
      <c r="K180" s="35">
        <v>29125</v>
      </c>
      <c r="L180" s="35">
        <v>0</v>
      </c>
      <c r="M180" s="35" t="s">
        <v>99</v>
      </c>
    </row>
    <row r="181" spans="4:13" x14ac:dyDescent="0.2">
      <c r="D181" s="34">
        <v>1</v>
      </c>
      <c r="E181" s="35">
        <v>3</v>
      </c>
      <c r="F181" s="35" t="s">
        <v>266</v>
      </c>
      <c r="G181" s="35" t="s">
        <v>93</v>
      </c>
      <c r="H181" s="35">
        <v>1</v>
      </c>
      <c r="I181" s="35">
        <v>1</v>
      </c>
      <c r="J181" s="35">
        <v>1</v>
      </c>
      <c r="K181" s="35">
        <v>111333</v>
      </c>
      <c r="L181" s="35">
        <v>0</v>
      </c>
      <c r="M181" s="35" t="s">
        <v>91</v>
      </c>
    </row>
    <row r="182" spans="4:13" x14ac:dyDescent="0.2">
      <c r="D182" s="34">
        <v>0</v>
      </c>
      <c r="E182" s="35">
        <v>3</v>
      </c>
      <c r="F182" s="35" t="s">
        <v>267</v>
      </c>
      <c r="G182" s="35" t="s">
        <v>90</v>
      </c>
      <c r="H182" s="35">
        <v>21</v>
      </c>
      <c r="I182" s="35">
        <v>0</v>
      </c>
      <c r="J182" s="35">
        <v>0</v>
      </c>
      <c r="K182" s="35">
        <v>7925</v>
      </c>
      <c r="L182" s="35">
        <v>0</v>
      </c>
      <c r="M182" s="35" t="s">
        <v>91</v>
      </c>
    </row>
    <row r="183" spans="4:13" x14ac:dyDescent="0.2">
      <c r="D183" s="34">
        <v>0</v>
      </c>
      <c r="E183" s="35">
        <v>1</v>
      </c>
      <c r="F183" s="35" t="s">
        <v>268</v>
      </c>
      <c r="G183" s="35" t="s">
        <v>90</v>
      </c>
      <c r="H183" s="35">
        <v>56</v>
      </c>
      <c r="I183" s="35">
        <v>0</v>
      </c>
      <c r="J183" s="35">
        <v>0</v>
      </c>
      <c r="K183" s="35">
        <v>306958</v>
      </c>
      <c r="L183" s="35">
        <v>1</v>
      </c>
      <c r="M183" s="35" t="s">
        <v>94</v>
      </c>
    </row>
    <row r="184" spans="4:13" x14ac:dyDescent="0.2">
      <c r="D184" s="34">
        <v>0</v>
      </c>
      <c r="E184" s="35">
        <v>3</v>
      </c>
      <c r="F184" s="35" t="s">
        <v>269</v>
      </c>
      <c r="G184" s="35" t="s">
        <v>90</v>
      </c>
      <c r="H184" s="35">
        <v>18</v>
      </c>
      <c r="I184" s="35">
        <v>1</v>
      </c>
      <c r="J184" s="35">
        <v>1</v>
      </c>
      <c r="K184" s="35">
        <v>78542</v>
      </c>
      <c r="L184" s="35">
        <v>0</v>
      </c>
      <c r="M184" s="35" t="s">
        <v>91</v>
      </c>
    </row>
    <row r="185" spans="4:13" x14ac:dyDescent="0.2">
      <c r="D185" s="34">
        <v>0</v>
      </c>
      <c r="E185" s="35">
        <v>3</v>
      </c>
      <c r="F185" s="35" t="s">
        <v>270</v>
      </c>
      <c r="G185" s="35" t="s">
        <v>90</v>
      </c>
      <c r="H185" s="36"/>
      <c r="I185" s="35">
        <v>3</v>
      </c>
      <c r="J185" s="35">
        <v>1</v>
      </c>
      <c r="K185" s="35">
        <v>254667</v>
      </c>
      <c r="L185" s="35">
        <v>0</v>
      </c>
      <c r="M185" s="35" t="s">
        <v>91</v>
      </c>
    </row>
    <row r="186" spans="4:13" x14ac:dyDescent="0.2">
      <c r="D186" s="34">
        <v>0</v>
      </c>
      <c r="E186" s="35">
        <v>1</v>
      </c>
      <c r="F186" s="35" t="s">
        <v>271</v>
      </c>
      <c r="G186" s="35" t="s">
        <v>93</v>
      </c>
      <c r="H186" s="35">
        <v>50</v>
      </c>
      <c r="I186" s="35">
        <v>0</v>
      </c>
      <c r="J186" s="35">
        <v>0</v>
      </c>
      <c r="K186" s="35">
        <v>287125</v>
      </c>
      <c r="L186" s="35">
        <v>1</v>
      </c>
      <c r="M186" s="35" t="s">
        <v>94</v>
      </c>
    </row>
    <row r="187" spans="4:13" x14ac:dyDescent="0.2">
      <c r="D187" s="34">
        <v>0</v>
      </c>
      <c r="E187" s="35">
        <v>2</v>
      </c>
      <c r="F187" s="35" t="s">
        <v>272</v>
      </c>
      <c r="G187" s="35" t="s">
        <v>90</v>
      </c>
      <c r="H187" s="35">
        <v>30</v>
      </c>
      <c r="I187" s="35">
        <v>0</v>
      </c>
      <c r="J187" s="35">
        <v>0</v>
      </c>
      <c r="K187" s="35">
        <v>13</v>
      </c>
      <c r="L187" s="35">
        <v>0</v>
      </c>
      <c r="M187" s="35" t="s">
        <v>91</v>
      </c>
    </row>
    <row r="188" spans="4:13" x14ac:dyDescent="0.2">
      <c r="D188" s="34">
        <v>0</v>
      </c>
      <c r="E188" s="35">
        <v>3</v>
      </c>
      <c r="F188" s="35" t="s">
        <v>273</v>
      </c>
      <c r="G188" s="35" t="s">
        <v>90</v>
      </c>
      <c r="H188" s="35">
        <v>36</v>
      </c>
      <c r="I188" s="35">
        <v>0</v>
      </c>
      <c r="J188" s="35">
        <v>0</v>
      </c>
      <c r="K188" s="35">
        <v>0</v>
      </c>
      <c r="L188" s="35">
        <v>0</v>
      </c>
      <c r="M188" s="35" t="s">
        <v>91</v>
      </c>
    </row>
    <row r="189" spans="4:13" x14ac:dyDescent="0.2">
      <c r="D189" s="34">
        <v>0</v>
      </c>
      <c r="E189" s="35">
        <v>3</v>
      </c>
      <c r="F189" s="35" t="s">
        <v>274</v>
      </c>
      <c r="G189" s="35" t="s">
        <v>93</v>
      </c>
      <c r="H189" s="36"/>
      <c r="I189" s="35">
        <v>8</v>
      </c>
      <c r="J189" s="35">
        <v>2</v>
      </c>
      <c r="K189" s="35">
        <v>6955</v>
      </c>
      <c r="L189" s="35">
        <v>0</v>
      </c>
      <c r="M189" s="35" t="s">
        <v>91</v>
      </c>
    </row>
    <row r="190" spans="4:13" x14ac:dyDescent="0.2">
      <c r="D190" s="34">
        <v>0</v>
      </c>
      <c r="E190" s="35">
        <v>2</v>
      </c>
      <c r="F190" s="35" t="s">
        <v>275</v>
      </c>
      <c r="G190" s="35" t="s">
        <v>90</v>
      </c>
      <c r="H190" s="36"/>
      <c r="I190" s="35">
        <v>0</v>
      </c>
      <c r="J190" s="35">
        <v>0</v>
      </c>
      <c r="K190" s="35">
        <v>1505</v>
      </c>
      <c r="L190" s="35">
        <v>0</v>
      </c>
      <c r="M190" s="35" t="s">
        <v>94</v>
      </c>
    </row>
    <row r="191" spans="4:13" x14ac:dyDescent="0.2">
      <c r="D191" s="34">
        <v>0</v>
      </c>
      <c r="E191" s="35">
        <v>3</v>
      </c>
      <c r="F191" s="35" t="s">
        <v>276</v>
      </c>
      <c r="G191" s="35" t="s">
        <v>90</v>
      </c>
      <c r="H191" s="35">
        <v>9</v>
      </c>
      <c r="I191" s="35">
        <v>4</v>
      </c>
      <c r="J191" s="35">
        <v>2</v>
      </c>
      <c r="K191" s="35">
        <v>313875</v>
      </c>
      <c r="L191" s="35">
        <v>0</v>
      </c>
      <c r="M191" s="35" t="s">
        <v>91</v>
      </c>
    </row>
    <row r="192" spans="4:13" x14ac:dyDescent="0.2">
      <c r="D192" s="34">
        <v>1</v>
      </c>
      <c r="E192" s="35">
        <v>2</v>
      </c>
      <c r="F192" s="35" t="s">
        <v>277</v>
      </c>
      <c r="G192" s="35" t="s">
        <v>90</v>
      </c>
      <c r="H192" s="35">
        <v>1</v>
      </c>
      <c r="I192" s="35">
        <v>2</v>
      </c>
      <c r="J192" s="35">
        <v>1</v>
      </c>
      <c r="K192" s="35">
        <v>39</v>
      </c>
      <c r="L192" s="35">
        <v>1</v>
      </c>
      <c r="M192" s="35" t="s">
        <v>91</v>
      </c>
    </row>
    <row r="193" spans="4:13" x14ac:dyDescent="0.2">
      <c r="D193" s="34">
        <v>1</v>
      </c>
      <c r="E193" s="35">
        <v>3</v>
      </c>
      <c r="F193" s="35" t="s">
        <v>278</v>
      </c>
      <c r="G193" s="35" t="s">
        <v>93</v>
      </c>
      <c r="H193" s="35">
        <v>4</v>
      </c>
      <c r="I193" s="35">
        <v>0</v>
      </c>
      <c r="J193" s="35">
        <v>2</v>
      </c>
      <c r="K193" s="35">
        <v>22025</v>
      </c>
      <c r="L193" s="35">
        <v>0</v>
      </c>
      <c r="M193" s="35" t="s">
        <v>91</v>
      </c>
    </row>
    <row r="194" spans="4:13" x14ac:dyDescent="0.2">
      <c r="D194" s="34">
        <v>0</v>
      </c>
      <c r="E194" s="35">
        <v>1</v>
      </c>
      <c r="F194" s="35" t="s">
        <v>279</v>
      </c>
      <c r="G194" s="35" t="s">
        <v>90</v>
      </c>
      <c r="H194" s="36"/>
      <c r="I194" s="35">
        <v>0</v>
      </c>
      <c r="J194" s="35">
        <v>0</v>
      </c>
      <c r="K194" s="35">
        <v>50</v>
      </c>
      <c r="L194" s="35">
        <v>1</v>
      </c>
      <c r="M194" s="35" t="s">
        <v>91</v>
      </c>
    </row>
    <row r="195" spans="4:13" x14ac:dyDescent="0.2">
      <c r="D195" s="34">
        <v>1</v>
      </c>
      <c r="E195" s="35">
        <v>3</v>
      </c>
      <c r="F195" s="35" t="s">
        <v>280</v>
      </c>
      <c r="G195" s="35" t="s">
        <v>93</v>
      </c>
      <c r="H195" s="36"/>
      <c r="I195" s="35">
        <v>1</v>
      </c>
      <c r="J195" s="35">
        <v>0</v>
      </c>
      <c r="K195" s="35">
        <v>155</v>
      </c>
      <c r="L195" s="35">
        <v>0</v>
      </c>
      <c r="M195" s="35" t="s">
        <v>99</v>
      </c>
    </row>
    <row r="196" spans="4:13" x14ac:dyDescent="0.2">
      <c r="D196" s="34">
        <v>1</v>
      </c>
      <c r="E196" s="35">
        <v>1</v>
      </c>
      <c r="F196" s="35" t="s">
        <v>281</v>
      </c>
      <c r="G196" s="35" t="s">
        <v>90</v>
      </c>
      <c r="H196" s="35">
        <v>45</v>
      </c>
      <c r="I196" s="35">
        <v>0</v>
      </c>
      <c r="J196" s="35">
        <v>0</v>
      </c>
      <c r="K196" s="35">
        <v>2655</v>
      </c>
      <c r="L196" s="35">
        <v>0</v>
      </c>
      <c r="M196" s="35" t="s">
        <v>91</v>
      </c>
    </row>
    <row r="197" spans="4:13" x14ac:dyDescent="0.2">
      <c r="D197" s="34">
        <v>0</v>
      </c>
      <c r="E197" s="35">
        <v>3</v>
      </c>
      <c r="F197" s="35" t="s">
        <v>282</v>
      </c>
      <c r="G197" s="35" t="s">
        <v>90</v>
      </c>
      <c r="H197" s="35">
        <v>40</v>
      </c>
      <c r="I197" s="35">
        <v>1</v>
      </c>
      <c r="J197" s="35">
        <v>1</v>
      </c>
      <c r="K197" s="35">
        <v>155</v>
      </c>
      <c r="L197" s="35">
        <v>0</v>
      </c>
      <c r="M197" s="35" t="s">
        <v>99</v>
      </c>
    </row>
    <row r="198" spans="4:13" x14ac:dyDescent="0.2">
      <c r="D198" s="34">
        <v>0</v>
      </c>
      <c r="E198" s="35">
        <v>3</v>
      </c>
      <c r="F198" s="35" t="s">
        <v>283</v>
      </c>
      <c r="G198" s="35" t="s">
        <v>90</v>
      </c>
      <c r="H198" s="35">
        <v>36</v>
      </c>
      <c r="I198" s="35">
        <v>0</v>
      </c>
      <c r="J198" s="35">
        <v>0</v>
      </c>
      <c r="K198" s="35">
        <v>78958</v>
      </c>
      <c r="L198" s="35">
        <v>0</v>
      </c>
      <c r="M198" s="35" t="s">
        <v>91</v>
      </c>
    </row>
    <row r="199" spans="4:13" x14ac:dyDescent="0.2">
      <c r="D199" s="34">
        <v>1</v>
      </c>
      <c r="E199" s="35">
        <v>2</v>
      </c>
      <c r="F199" s="35" t="s">
        <v>284</v>
      </c>
      <c r="G199" s="35" t="s">
        <v>93</v>
      </c>
      <c r="H199" s="35">
        <v>32</v>
      </c>
      <c r="I199" s="35">
        <v>0</v>
      </c>
      <c r="J199" s="35">
        <v>0</v>
      </c>
      <c r="K199" s="35">
        <v>13</v>
      </c>
      <c r="L199" s="35">
        <v>0</v>
      </c>
      <c r="M199" s="35" t="s">
        <v>91</v>
      </c>
    </row>
    <row r="200" spans="4:13" x14ac:dyDescent="0.2">
      <c r="D200" s="34">
        <v>0</v>
      </c>
      <c r="E200" s="35">
        <v>2</v>
      </c>
      <c r="F200" s="35" t="s">
        <v>285</v>
      </c>
      <c r="G200" s="35" t="s">
        <v>90</v>
      </c>
      <c r="H200" s="35">
        <v>19</v>
      </c>
      <c r="I200" s="35">
        <v>0</v>
      </c>
      <c r="J200" s="35">
        <v>0</v>
      </c>
      <c r="K200" s="35">
        <v>13</v>
      </c>
      <c r="L200" s="35">
        <v>0</v>
      </c>
      <c r="M200" s="35" t="s">
        <v>91</v>
      </c>
    </row>
    <row r="201" spans="4:13" x14ac:dyDescent="0.2">
      <c r="D201" s="34">
        <v>1</v>
      </c>
      <c r="E201" s="35">
        <v>3</v>
      </c>
      <c r="F201" s="35" t="s">
        <v>286</v>
      </c>
      <c r="G201" s="35" t="s">
        <v>93</v>
      </c>
      <c r="H201" s="35">
        <v>19</v>
      </c>
      <c r="I201" s="35">
        <v>1</v>
      </c>
      <c r="J201" s="35">
        <v>0</v>
      </c>
      <c r="K201" s="35">
        <v>78542</v>
      </c>
      <c r="L201" s="35">
        <v>0</v>
      </c>
      <c r="M201" s="35" t="s">
        <v>91</v>
      </c>
    </row>
    <row r="202" spans="4:13" x14ac:dyDescent="0.2">
      <c r="D202" s="34">
        <v>1</v>
      </c>
      <c r="E202" s="35">
        <v>2</v>
      </c>
      <c r="F202" s="35" t="s">
        <v>287</v>
      </c>
      <c r="G202" s="35" t="s">
        <v>90</v>
      </c>
      <c r="H202" s="35">
        <v>3</v>
      </c>
      <c r="I202" s="35">
        <v>1</v>
      </c>
      <c r="J202" s="35">
        <v>1</v>
      </c>
      <c r="K202" s="35">
        <v>26</v>
      </c>
      <c r="L202" s="35">
        <v>1</v>
      </c>
      <c r="M202" s="35" t="s">
        <v>91</v>
      </c>
    </row>
    <row r="203" spans="4:13" x14ac:dyDescent="0.2">
      <c r="D203" s="34">
        <v>1</v>
      </c>
      <c r="E203" s="35">
        <v>1</v>
      </c>
      <c r="F203" s="35" t="s">
        <v>288</v>
      </c>
      <c r="G203" s="35" t="s">
        <v>93</v>
      </c>
      <c r="H203" s="35">
        <v>44</v>
      </c>
      <c r="I203" s="35">
        <v>0</v>
      </c>
      <c r="J203" s="35">
        <v>0</v>
      </c>
      <c r="K203" s="35">
        <v>277208</v>
      </c>
      <c r="L203" s="35">
        <v>1</v>
      </c>
      <c r="M203" s="35" t="s">
        <v>94</v>
      </c>
    </row>
    <row r="204" spans="4:13" x14ac:dyDescent="0.2">
      <c r="D204" s="34">
        <v>1</v>
      </c>
      <c r="E204" s="35">
        <v>1</v>
      </c>
      <c r="F204" s="35" t="s">
        <v>289</v>
      </c>
      <c r="G204" s="35" t="s">
        <v>93</v>
      </c>
      <c r="H204" s="35">
        <v>58</v>
      </c>
      <c r="I204" s="35">
        <v>0</v>
      </c>
      <c r="J204" s="35">
        <v>0</v>
      </c>
      <c r="K204" s="35">
        <v>1465208</v>
      </c>
      <c r="L204" s="35">
        <v>1</v>
      </c>
      <c r="M204" s="35" t="s">
        <v>94</v>
      </c>
    </row>
    <row r="205" spans="4:13" x14ac:dyDescent="0.2">
      <c r="D205" s="34">
        <v>0</v>
      </c>
      <c r="E205" s="35">
        <v>3</v>
      </c>
      <c r="F205" s="35" t="s">
        <v>290</v>
      </c>
      <c r="G205" s="35" t="s">
        <v>90</v>
      </c>
      <c r="H205" s="36"/>
      <c r="I205" s="35">
        <v>0</v>
      </c>
      <c r="J205" s="35">
        <v>0</v>
      </c>
      <c r="K205" s="35">
        <v>775</v>
      </c>
      <c r="L205" s="35">
        <v>0</v>
      </c>
      <c r="M205" s="35" t="s">
        <v>99</v>
      </c>
    </row>
    <row r="206" spans="4:13" x14ac:dyDescent="0.2">
      <c r="D206" s="34">
        <v>0</v>
      </c>
      <c r="E206" s="35">
        <v>3</v>
      </c>
      <c r="F206" s="35" t="s">
        <v>291</v>
      </c>
      <c r="G206" s="35" t="s">
        <v>90</v>
      </c>
      <c r="H206" s="35">
        <v>42</v>
      </c>
      <c r="I206" s="35">
        <v>0</v>
      </c>
      <c r="J206" s="35">
        <v>1</v>
      </c>
      <c r="K206" s="35">
        <v>84042</v>
      </c>
      <c r="L206" s="35">
        <v>0</v>
      </c>
      <c r="M206" s="35" t="s">
        <v>91</v>
      </c>
    </row>
    <row r="207" spans="4:13" x14ac:dyDescent="0.2">
      <c r="D207" s="34">
        <v>1</v>
      </c>
      <c r="E207" s="35">
        <v>3</v>
      </c>
      <c r="F207" s="35" t="s">
        <v>292</v>
      </c>
      <c r="G207" s="35" t="s">
        <v>93</v>
      </c>
      <c r="H207" s="36"/>
      <c r="I207" s="35">
        <v>0</v>
      </c>
      <c r="J207" s="35">
        <v>0</v>
      </c>
      <c r="K207" s="35">
        <v>775</v>
      </c>
      <c r="L207" s="35">
        <v>0</v>
      </c>
      <c r="M207" s="35" t="s">
        <v>99</v>
      </c>
    </row>
    <row r="208" spans="4:13" x14ac:dyDescent="0.2">
      <c r="D208" s="34">
        <v>0</v>
      </c>
      <c r="E208" s="35">
        <v>2</v>
      </c>
      <c r="F208" s="35" t="s">
        <v>293</v>
      </c>
      <c r="G208" s="35" t="s">
        <v>93</v>
      </c>
      <c r="H208" s="35">
        <v>24</v>
      </c>
      <c r="I208" s="35">
        <v>0</v>
      </c>
      <c r="J208" s="35">
        <v>0</v>
      </c>
      <c r="K208" s="35">
        <v>13</v>
      </c>
      <c r="L208" s="35">
        <v>0</v>
      </c>
      <c r="M208" s="35" t="s">
        <v>91</v>
      </c>
    </row>
    <row r="209" spans="4:13" x14ac:dyDescent="0.2">
      <c r="D209" s="34">
        <v>0</v>
      </c>
      <c r="E209" s="35">
        <v>3</v>
      </c>
      <c r="F209" s="35" t="s">
        <v>294</v>
      </c>
      <c r="G209" s="35" t="s">
        <v>90</v>
      </c>
      <c r="H209" s="35">
        <v>28</v>
      </c>
      <c r="I209" s="35">
        <v>0</v>
      </c>
      <c r="J209" s="35">
        <v>0</v>
      </c>
      <c r="K209" s="35">
        <v>95</v>
      </c>
      <c r="L209" s="35">
        <v>0</v>
      </c>
      <c r="M209" s="35" t="s">
        <v>91</v>
      </c>
    </row>
    <row r="210" spans="4:13" x14ac:dyDescent="0.2">
      <c r="D210" s="34">
        <v>0</v>
      </c>
      <c r="E210" s="35">
        <v>3</v>
      </c>
      <c r="F210" s="35" t="s">
        <v>295</v>
      </c>
      <c r="G210" s="35" t="s">
        <v>90</v>
      </c>
      <c r="H210" s="36"/>
      <c r="I210" s="35">
        <v>8</v>
      </c>
      <c r="J210" s="35">
        <v>2</v>
      </c>
      <c r="K210" s="35">
        <v>6955</v>
      </c>
      <c r="L210" s="35">
        <v>0</v>
      </c>
      <c r="M210" s="35" t="s">
        <v>91</v>
      </c>
    </row>
    <row r="211" spans="4:13" x14ac:dyDescent="0.2">
      <c r="D211" s="34">
        <v>0</v>
      </c>
      <c r="E211" s="35">
        <v>3</v>
      </c>
      <c r="F211" s="35" t="s">
        <v>296</v>
      </c>
      <c r="G211" s="35" t="s">
        <v>90</v>
      </c>
      <c r="H211" s="35">
        <v>34</v>
      </c>
      <c r="I211" s="35">
        <v>0</v>
      </c>
      <c r="J211" s="35">
        <v>0</v>
      </c>
      <c r="K211" s="35">
        <v>64958</v>
      </c>
      <c r="L211" s="35">
        <v>0</v>
      </c>
      <c r="M211" s="35" t="s">
        <v>91</v>
      </c>
    </row>
    <row r="212" spans="4:13" x14ac:dyDescent="0.2">
      <c r="D212" s="34">
        <v>0</v>
      </c>
      <c r="E212" s="35">
        <v>3</v>
      </c>
      <c r="F212" s="35" t="s">
        <v>297</v>
      </c>
      <c r="G212" s="35" t="s">
        <v>90</v>
      </c>
      <c r="H212" s="35">
        <v>455</v>
      </c>
      <c r="I212" s="35">
        <v>0</v>
      </c>
      <c r="J212" s="35">
        <v>0</v>
      </c>
      <c r="K212" s="35">
        <v>7225</v>
      </c>
      <c r="L212" s="35">
        <v>0</v>
      </c>
      <c r="M212" s="35" t="s">
        <v>94</v>
      </c>
    </row>
    <row r="213" spans="4:13" x14ac:dyDescent="0.2">
      <c r="D213" s="34">
        <v>1</v>
      </c>
      <c r="E213" s="35">
        <v>3</v>
      </c>
      <c r="F213" s="35" t="s">
        <v>298</v>
      </c>
      <c r="G213" s="35" t="s">
        <v>90</v>
      </c>
      <c r="H213" s="35">
        <v>18</v>
      </c>
      <c r="I213" s="35">
        <v>0</v>
      </c>
      <c r="J213" s="35">
        <v>0</v>
      </c>
      <c r="K213" s="35">
        <v>805</v>
      </c>
      <c r="L213" s="35">
        <v>0</v>
      </c>
      <c r="M213" s="35" t="s">
        <v>91</v>
      </c>
    </row>
    <row r="214" spans="4:13" x14ac:dyDescent="0.2">
      <c r="D214" s="34">
        <v>0</v>
      </c>
      <c r="E214" s="35">
        <v>3</v>
      </c>
      <c r="F214" s="35" t="s">
        <v>299</v>
      </c>
      <c r="G214" s="35" t="s">
        <v>93</v>
      </c>
      <c r="H214" s="35">
        <v>2</v>
      </c>
      <c r="I214" s="35">
        <v>0</v>
      </c>
      <c r="J214" s="35">
        <v>1</v>
      </c>
      <c r="K214" s="35">
        <v>104625</v>
      </c>
      <c r="L214" s="35">
        <v>1</v>
      </c>
      <c r="M214" s="35" t="s">
        <v>91</v>
      </c>
    </row>
    <row r="215" spans="4:13" x14ac:dyDescent="0.2">
      <c r="D215" s="34">
        <v>0</v>
      </c>
      <c r="E215" s="35">
        <v>3</v>
      </c>
      <c r="F215" s="35" t="s">
        <v>300</v>
      </c>
      <c r="G215" s="35" t="s">
        <v>90</v>
      </c>
      <c r="H215" s="35">
        <v>32</v>
      </c>
      <c r="I215" s="35">
        <v>1</v>
      </c>
      <c r="J215" s="35">
        <v>0</v>
      </c>
      <c r="K215" s="35">
        <v>1585</v>
      </c>
      <c r="L215" s="35">
        <v>0</v>
      </c>
      <c r="M215" s="35" t="s">
        <v>91</v>
      </c>
    </row>
    <row r="216" spans="4:13" x14ac:dyDescent="0.2">
      <c r="D216" s="34">
        <v>1</v>
      </c>
      <c r="E216" s="35">
        <v>3</v>
      </c>
      <c r="F216" s="35" t="s">
        <v>301</v>
      </c>
      <c r="G216" s="35" t="s">
        <v>90</v>
      </c>
      <c r="H216" s="35">
        <v>26</v>
      </c>
      <c r="I216" s="35">
        <v>0</v>
      </c>
      <c r="J216" s="35">
        <v>0</v>
      </c>
      <c r="K216" s="35">
        <v>187875</v>
      </c>
      <c r="L216" s="35">
        <v>0</v>
      </c>
      <c r="M216" s="35" t="s">
        <v>94</v>
      </c>
    </row>
    <row r="217" spans="4:13" x14ac:dyDescent="0.2">
      <c r="D217" s="34">
        <v>1</v>
      </c>
      <c r="E217" s="35">
        <v>3</v>
      </c>
      <c r="F217" s="35" t="s">
        <v>302</v>
      </c>
      <c r="G217" s="35" t="s">
        <v>93</v>
      </c>
      <c r="H217" s="35">
        <v>16</v>
      </c>
      <c r="I217" s="35">
        <v>0</v>
      </c>
      <c r="J217" s="35">
        <v>0</v>
      </c>
      <c r="K217" s="35">
        <v>775</v>
      </c>
      <c r="L217" s="35">
        <v>0</v>
      </c>
      <c r="M217" s="35" t="s">
        <v>99</v>
      </c>
    </row>
    <row r="218" spans="4:13" x14ac:dyDescent="0.2">
      <c r="D218" s="34">
        <v>1</v>
      </c>
      <c r="E218" s="35">
        <v>1</v>
      </c>
      <c r="F218" s="35" t="s">
        <v>303</v>
      </c>
      <c r="G218" s="35" t="s">
        <v>90</v>
      </c>
      <c r="H218" s="35">
        <v>40</v>
      </c>
      <c r="I218" s="35">
        <v>0</v>
      </c>
      <c r="J218" s="35">
        <v>0</v>
      </c>
      <c r="K218" s="35">
        <v>31</v>
      </c>
      <c r="L218" s="35">
        <v>1</v>
      </c>
      <c r="M218" s="35" t="s">
        <v>94</v>
      </c>
    </row>
    <row r="219" spans="4:13" x14ac:dyDescent="0.2">
      <c r="D219" s="34">
        <v>0</v>
      </c>
      <c r="E219" s="35">
        <v>3</v>
      </c>
      <c r="F219" s="35" t="s">
        <v>304</v>
      </c>
      <c r="G219" s="35" t="s">
        <v>90</v>
      </c>
      <c r="H219" s="35">
        <v>24</v>
      </c>
      <c r="I219" s="35">
        <v>0</v>
      </c>
      <c r="J219" s="35">
        <v>0</v>
      </c>
      <c r="K219" s="35">
        <v>705</v>
      </c>
      <c r="L219" s="35">
        <v>0</v>
      </c>
      <c r="M219" s="35" t="s">
        <v>91</v>
      </c>
    </row>
    <row r="220" spans="4:13" x14ac:dyDescent="0.2">
      <c r="D220" s="34">
        <v>1</v>
      </c>
      <c r="E220" s="35">
        <v>2</v>
      </c>
      <c r="F220" s="35" t="s">
        <v>305</v>
      </c>
      <c r="G220" s="35" t="s">
        <v>93</v>
      </c>
      <c r="H220" s="35">
        <v>35</v>
      </c>
      <c r="I220" s="35">
        <v>0</v>
      </c>
      <c r="J220" s="35">
        <v>0</v>
      </c>
      <c r="K220" s="35">
        <v>21</v>
      </c>
      <c r="L220" s="35">
        <v>0</v>
      </c>
      <c r="M220" s="35" t="s">
        <v>91</v>
      </c>
    </row>
    <row r="221" spans="4:13" x14ac:dyDescent="0.2">
      <c r="D221" s="34">
        <v>0</v>
      </c>
      <c r="E221" s="35">
        <v>3</v>
      </c>
      <c r="F221" s="35" t="s">
        <v>306</v>
      </c>
      <c r="G221" s="35" t="s">
        <v>90</v>
      </c>
      <c r="H221" s="35">
        <v>22</v>
      </c>
      <c r="I221" s="35">
        <v>0</v>
      </c>
      <c r="J221" s="35">
        <v>0</v>
      </c>
      <c r="K221" s="35">
        <v>725</v>
      </c>
      <c r="L221" s="35">
        <v>0</v>
      </c>
      <c r="M221" s="35" t="s">
        <v>91</v>
      </c>
    </row>
    <row r="222" spans="4:13" x14ac:dyDescent="0.2">
      <c r="D222" s="34">
        <v>0</v>
      </c>
      <c r="E222" s="35">
        <v>2</v>
      </c>
      <c r="F222" s="35" t="s">
        <v>307</v>
      </c>
      <c r="G222" s="35" t="s">
        <v>90</v>
      </c>
      <c r="H222" s="35">
        <v>30</v>
      </c>
      <c r="I222" s="35">
        <v>0</v>
      </c>
      <c r="J222" s="35">
        <v>0</v>
      </c>
      <c r="K222" s="35">
        <v>13</v>
      </c>
      <c r="L222" s="35">
        <v>0</v>
      </c>
      <c r="M222" s="35" t="s">
        <v>91</v>
      </c>
    </row>
    <row r="223" spans="4:13" x14ac:dyDescent="0.2">
      <c r="D223" s="34">
        <v>0</v>
      </c>
      <c r="E223" s="35">
        <v>3</v>
      </c>
      <c r="F223" s="35" t="s">
        <v>308</v>
      </c>
      <c r="G223" s="35" t="s">
        <v>90</v>
      </c>
      <c r="H223" s="36"/>
      <c r="I223" s="35">
        <v>1</v>
      </c>
      <c r="J223" s="35">
        <v>0</v>
      </c>
      <c r="K223" s="35">
        <v>775</v>
      </c>
      <c r="L223" s="35">
        <v>0</v>
      </c>
      <c r="M223" s="35" t="s">
        <v>99</v>
      </c>
    </row>
    <row r="224" spans="4:13" x14ac:dyDescent="0.2">
      <c r="D224" s="34">
        <v>1</v>
      </c>
      <c r="E224" s="35">
        <v>1</v>
      </c>
      <c r="F224" s="35" t="s">
        <v>309</v>
      </c>
      <c r="G224" s="35" t="s">
        <v>93</v>
      </c>
      <c r="H224" s="35">
        <v>31</v>
      </c>
      <c r="I224" s="35">
        <v>1</v>
      </c>
      <c r="J224" s="35">
        <v>0</v>
      </c>
      <c r="K224" s="35">
        <v>113275</v>
      </c>
      <c r="L224" s="35">
        <v>1</v>
      </c>
      <c r="M224" s="35" t="s">
        <v>94</v>
      </c>
    </row>
    <row r="225" spans="4:13" x14ac:dyDescent="0.2">
      <c r="D225" s="34">
        <v>1</v>
      </c>
      <c r="E225" s="35">
        <v>3</v>
      </c>
      <c r="F225" s="35" t="s">
        <v>310</v>
      </c>
      <c r="G225" s="35" t="s">
        <v>93</v>
      </c>
      <c r="H225" s="35">
        <v>27</v>
      </c>
      <c r="I225" s="35">
        <v>0</v>
      </c>
      <c r="J225" s="35">
        <v>0</v>
      </c>
      <c r="K225" s="35">
        <v>7925</v>
      </c>
      <c r="L225" s="35">
        <v>0</v>
      </c>
      <c r="M225" s="35" t="s">
        <v>91</v>
      </c>
    </row>
    <row r="226" spans="4:13" x14ac:dyDescent="0.2">
      <c r="D226" s="34">
        <v>0</v>
      </c>
      <c r="E226" s="35">
        <v>2</v>
      </c>
      <c r="F226" s="35" t="s">
        <v>311</v>
      </c>
      <c r="G226" s="35" t="s">
        <v>90</v>
      </c>
      <c r="H226" s="35">
        <v>42</v>
      </c>
      <c r="I226" s="35">
        <v>1</v>
      </c>
      <c r="J226" s="35">
        <v>0</v>
      </c>
      <c r="K226" s="35">
        <v>27</v>
      </c>
      <c r="L226" s="35">
        <v>0</v>
      </c>
      <c r="M226" s="35" t="s">
        <v>91</v>
      </c>
    </row>
    <row r="227" spans="4:13" x14ac:dyDescent="0.2">
      <c r="D227" s="34">
        <v>1</v>
      </c>
      <c r="E227" s="35">
        <v>1</v>
      </c>
      <c r="F227" s="35" t="s">
        <v>312</v>
      </c>
      <c r="G227" s="35" t="s">
        <v>93</v>
      </c>
      <c r="H227" s="35">
        <v>32</v>
      </c>
      <c r="I227" s="35">
        <v>0</v>
      </c>
      <c r="J227" s="35">
        <v>0</v>
      </c>
      <c r="K227" s="35">
        <v>762917</v>
      </c>
      <c r="L227" s="35">
        <v>1</v>
      </c>
      <c r="M227" s="35" t="s">
        <v>94</v>
      </c>
    </row>
    <row r="228" spans="4:13" x14ac:dyDescent="0.2">
      <c r="D228" s="34">
        <v>0</v>
      </c>
      <c r="E228" s="35">
        <v>2</v>
      </c>
      <c r="F228" s="35" t="s">
        <v>313</v>
      </c>
      <c r="G228" s="35" t="s">
        <v>90</v>
      </c>
      <c r="H228" s="35">
        <v>30</v>
      </c>
      <c r="I228" s="35">
        <v>0</v>
      </c>
      <c r="J228" s="35">
        <v>0</v>
      </c>
      <c r="K228" s="35">
        <v>105</v>
      </c>
      <c r="L228" s="35">
        <v>0</v>
      </c>
      <c r="M228" s="35" t="s">
        <v>91</v>
      </c>
    </row>
    <row r="229" spans="4:13" x14ac:dyDescent="0.2">
      <c r="D229" s="34">
        <v>1</v>
      </c>
      <c r="E229" s="35">
        <v>3</v>
      </c>
      <c r="F229" s="35" t="s">
        <v>314</v>
      </c>
      <c r="G229" s="35" t="s">
        <v>90</v>
      </c>
      <c r="H229" s="35">
        <v>16</v>
      </c>
      <c r="I229" s="35">
        <v>0</v>
      </c>
      <c r="J229" s="35">
        <v>0</v>
      </c>
      <c r="K229" s="35">
        <v>805</v>
      </c>
      <c r="L229" s="35">
        <v>0</v>
      </c>
      <c r="M229" s="35" t="s">
        <v>91</v>
      </c>
    </row>
    <row r="230" spans="4:13" x14ac:dyDescent="0.2">
      <c r="D230" s="34">
        <v>0</v>
      </c>
      <c r="E230" s="35">
        <v>2</v>
      </c>
      <c r="F230" s="35" t="s">
        <v>315</v>
      </c>
      <c r="G230" s="35" t="s">
        <v>90</v>
      </c>
      <c r="H230" s="35">
        <v>27</v>
      </c>
      <c r="I230" s="35">
        <v>0</v>
      </c>
      <c r="J230" s="35">
        <v>0</v>
      </c>
      <c r="K230" s="35">
        <v>13</v>
      </c>
      <c r="L230" s="35">
        <v>0</v>
      </c>
      <c r="M230" s="35" t="s">
        <v>91</v>
      </c>
    </row>
    <row r="231" spans="4:13" x14ac:dyDescent="0.2">
      <c r="D231" s="34">
        <v>0</v>
      </c>
      <c r="E231" s="35">
        <v>3</v>
      </c>
      <c r="F231" s="35" t="s">
        <v>316</v>
      </c>
      <c r="G231" s="35" t="s">
        <v>90</v>
      </c>
      <c r="H231" s="35">
        <v>51</v>
      </c>
      <c r="I231" s="35">
        <v>0</v>
      </c>
      <c r="J231" s="35">
        <v>0</v>
      </c>
      <c r="K231" s="35">
        <v>805</v>
      </c>
      <c r="L231" s="35">
        <v>0</v>
      </c>
      <c r="M231" s="35" t="s">
        <v>91</v>
      </c>
    </row>
    <row r="232" spans="4:13" x14ac:dyDescent="0.2">
      <c r="D232" s="34">
        <v>0</v>
      </c>
      <c r="E232" s="35">
        <v>3</v>
      </c>
      <c r="F232" s="35" t="s">
        <v>317</v>
      </c>
      <c r="G232" s="35" t="s">
        <v>90</v>
      </c>
      <c r="H232" s="36"/>
      <c r="I232" s="35">
        <v>0</v>
      </c>
      <c r="J232" s="35">
        <v>0</v>
      </c>
      <c r="K232" s="35">
        <v>78958</v>
      </c>
      <c r="L232" s="35">
        <v>0</v>
      </c>
      <c r="M232" s="35" t="s">
        <v>91</v>
      </c>
    </row>
    <row r="233" spans="4:13" x14ac:dyDescent="0.2">
      <c r="D233" s="34">
        <v>1</v>
      </c>
      <c r="E233" s="35">
        <v>1</v>
      </c>
      <c r="F233" s="35" t="s">
        <v>318</v>
      </c>
      <c r="G233" s="35" t="s">
        <v>90</v>
      </c>
      <c r="H233" s="35">
        <v>38</v>
      </c>
      <c r="I233" s="35">
        <v>1</v>
      </c>
      <c r="J233" s="35">
        <v>0</v>
      </c>
      <c r="K233" s="35">
        <v>90</v>
      </c>
      <c r="L233" s="35">
        <v>1</v>
      </c>
      <c r="M233" s="35" t="s">
        <v>91</v>
      </c>
    </row>
    <row r="234" spans="4:13" x14ac:dyDescent="0.2">
      <c r="D234" s="34">
        <v>0</v>
      </c>
      <c r="E234" s="35">
        <v>3</v>
      </c>
      <c r="F234" s="35" t="s">
        <v>319</v>
      </c>
      <c r="G234" s="35" t="s">
        <v>90</v>
      </c>
      <c r="H234" s="35">
        <v>22</v>
      </c>
      <c r="I234" s="35">
        <v>0</v>
      </c>
      <c r="J234" s="35">
        <v>0</v>
      </c>
      <c r="K234" s="35">
        <v>935</v>
      </c>
      <c r="L234" s="35">
        <v>0</v>
      </c>
      <c r="M234" s="35" t="s">
        <v>91</v>
      </c>
    </row>
    <row r="235" spans="4:13" x14ac:dyDescent="0.2">
      <c r="D235" s="34">
        <v>1</v>
      </c>
      <c r="E235" s="35">
        <v>2</v>
      </c>
      <c r="F235" s="35" t="s">
        <v>320</v>
      </c>
      <c r="G235" s="35" t="s">
        <v>90</v>
      </c>
      <c r="H235" s="35">
        <v>19</v>
      </c>
      <c r="I235" s="35">
        <v>0</v>
      </c>
      <c r="J235" s="35">
        <v>0</v>
      </c>
      <c r="K235" s="35">
        <v>105</v>
      </c>
      <c r="L235" s="35">
        <v>0</v>
      </c>
      <c r="M235" s="35" t="s">
        <v>91</v>
      </c>
    </row>
    <row r="236" spans="4:13" x14ac:dyDescent="0.2">
      <c r="D236" s="34">
        <v>0</v>
      </c>
      <c r="E236" s="35">
        <v>3</v>
      </c>
      <c r="F236" s="35" t="s">
        <v>321</v>
      </c>
      <c r="G236" s="35" t="s">
        <v>90</v>
      </c>
      <c r="H236" s="35">
        <v>205</v>
      </c>
      <c r="I236" s="35">
        <v>0</v>
      </c>
      <c r="J236" s="35">
        <v>0</v>
      </c>
      <c r="K236" s="35">
        <v>725</v>
      </c>
      <c r="L236" s="35">
        <v>0</v>
      </c>
      <c r="M236" s="35" t="s">
        <v>91</v>
      </c>
    </row>
    <row r="237" spans="4:13" x14ac:dyDescent="0.2">
      <c r="D237" s="34">
        <v>0</v>
      </c>
      <c r="E237" s="35">
        <v>2</v>
      </c>
      <c r="F237" s="35" t="s">
        <v>322</v>
      </c>
      <c r="G237" s="35" t="s">
        <v>90</v>
      </c>
      <c r="H237" s="35">
        <v>18</v>
      </c>
      <c r="I237" s="35">
        <v>0</v>
      </c>
      <c r="J237" s="35">
        <v>0</v>
      </c>
      <c r="K237" s="35">
        <v>13</v>
      </c>
      <c r="L237" s="35">
        <v>0</v>
      </c>
      <c r="M237" s="35" t="s">
        <v>91</v>
      </c>
    </row>
    <row r="238" spans="4:13" x14ac:dyDescent="0.2">
      <c r="D238" s="34">
        <v>0</v>
      </c>
      <c r="E238" s="35">
        <v>3</v>
      </c>
      <c r="F238" s="35" t="s">
        <v>323</v>
      </c>
      <c r="G238" s="35" t="s">
        <v>93</v>
      </c>
      <c r="H238" s="36"/>
      <c r="I238" s="35">
        <v>3</v>
      </c>
      <c r="J238" s="35">
        <v>1</v>
      </c>
      <c r="K238" s="35">
        <v>254667</v>
      </c>
      <c r="L238" s="35">
        <v>0</v>
      </c>
      <c r="M238" s="35" t="s">
        <v>91</v>
      </c>
    </row>
    <row r="239" spans="4:13" x14ac:dyDescent="0.2">
      <c r="D239" s="34">
        <v>1</v>
      </c>
      <c r="E239" s="35">
        <v>1</v>
      </c>
      <c r="F239" s="35" t="s">
        <v>324</v>
      </c>
      <c r="G239" s="35" t="s">
        <v>93</v>
      </c>
      <c r="H239" s="35">
        <v>35</v>
      </c>
      <c r="I239" s="35">
        <v>1</v>
      </c>
      <c r="J239" s="35">
        <v>0</v>
      </c>
      <c r="K239" s="35">
        <v>83475</v>
      </c>
      <c r="L239" s="35">
        <v>1</v>
      </c>
      <c r="M239" s="35" t="s">
        <v>91</v>
      </c>
    </row>
    <row r="240" spans="4:13" x14ac:dyDescent="0.2">
      <c r="D240" s="34">
        <v>0</v>
      </c>
      <c r="E240" s="35">
        <v>3</v>
      </c>
      <c r="F240" s="35" t="s">
        <v>325</v>
      </c>
      <c r="G240" s="35" t="s">
        <v>90</v>
      </c>
      <c r="H240" s="35">
        <v>29</v>
      </c>
      <c r="I240" s="35">
        <v>0</v>
      </c>
      <c r="J240" s="35">
        <v>0</v>
      </c>
      <c r="K240" s="35">
        <v>7775</v>
      </c>
      <c r="L240" s="35">
        <v>0</v>
      </c>
      <c r="M240" s="35" t="s">
        <v>91</v>
      </c>
    </row>
    <row r="241" spans="4:13" x14ac:dyDescent="0.2">
      <c r="D241" s="34">
        <v>0</v>
      </c>
      <c r="E241" s="35">
        <v>2</v>
      </c>
      <c r="F241" s="35" t="s">
        <v>326</v>
      </c>
      <c r="G241" s="35" t="s">
        <v>90</v>
      </c>
      <c r="H241" s="35">
        <v>59</v>
      </c>
      <c r="I241" s="35">
        <v>0</v>
      </c>
      <c r="J241" s="35">
        <v>0</v>
      </c>
      <c r="K241" s="35">
        <v>135</v>
      </c>
      <c r="L241" s="35">
        <v>0</v>
      </c>
      <c r="M241" s="35" t="s">
        <v>91</v>
      </c>
    </row>
    <row r="242" spans="4:13" x14ac:dyDescent="0.2">
      <c r="D242" s="34">
        <v>1</v>
      </c>
      <c r="E242" s="35">
        <v>3</v>
      </c>
      <c r="F242" s="35" t="s">
        <v>327</v>
      </c>
      <c r="G242" s="35" t="s">
        <v>93</v>
      </c>
      <c r="H242" s="35">
        <v>5</v>
      </c>
      <c r="I242" s="35">
        <v>4</v>
      </c>
      <c r="J242" s="35">
        <v>2</v>
      </c>
      <c r="K242" s="35">
        <v>313875</v>
      </c>
      <c r="L242" s="35">
        <v>0</v>
      </c>
      <c r="M242" s="35" t="s">
        <v>91</v>
      </c>
    </row>
    <row r="243" spans="4:13" x14ac:dyDescent="0.2">
      <c r="D243" s="34">
        <v>0</v>
      </c>
      <c r="E243" s="35">
        <v>2</v>
      </c>
      <c r="F243" s="35" t="s">
        <v>328</v>
      </c>
      <c r="G243" s="35" t="s">
        <v>90</v>
      </c>
      <c r="H243" s="35">
        <v>24</v>
      </c>
      <c r="I243" s="35">
        <v>0</v>
      </c>
      <c r="J243" s="35">
        <v>0</v>
      </c>
      <c r="K243" s="35">
        <v>105</v>
      </c>
      <c r="L243" s="35">
        <v>0</v>
      </c>
      <c r="M243" s="35" t="s">
        <v>91</v>
      </c>
    </row>
    <row r="244" spans="4:13" x14ac:dyDescent="0.2">
      <c r="D244" s="34">
        <v>0</v>
      </c>
      <c r="E244" s="35">
        <v>3</v>
      </c>
      <c r="F244" s="35" t="s">
        <v>329</v>
      </c>
      <c r="G244" s="35" t="s">
        <v>93</v>
      </c>
      <c r="H244" s="36"/>
      <c r="I244" s="35">
        <v>0</v>
      </c>
      <c r="J244" s="35">
        <v>0</v>
      </c>
      <c r="K244" s="35">
        <v>755</v>
      </c>
      <c r="L244" s="35">
        <v>0</v>
      </c>
      <c r="M244" s="35" t="s">
        <v>91</v>
      </c>
    </row>
    <row r="245" spans="4:13" x14ac:dyDescent="0.2">
      <c r="D245" s="34">
        <v>0</v>
      </c>
      <c r="E245" s="35">
        <v>2</v>
      </c>
      <c r="F245" s="35" t="s">
        <v>330</v>
      </c>
      <c r="G245" s="35" t="s">
        <v>90</v>
      </c>
      <c r="H245" s="35">
        <v>44</v>
      </c>
      <c r="I245" s="35">
        <v>1</v>
      </c>
      <c r="J245" s="35">
        <v>0</v>
      </c>
      <c r="K245" s="35">
        <v>26</v>
      </c>
      <c r="L245" s="35">
        <v>0</v>
      </c>
      <c r="M245" s="35" t="s">
        <v>91</v>
      </c>
    </row>
    <row r="246" spans="4:13" x14ac:dyDescent="0.2">
      <c r="D246" s="34">
        <v>1</v>
      </c>
      <c r="E246" s="35">
        <v>2</v>
      </c>
      <c r="F246" s="35" t="s">
        <v>331</v>
      </c>
      <c r="G246" s="35" t="s">
        <v>93</v>
      </c>
      <c r="H246" s="35">
        <v>8</v>
      </c>
      <c r="I246" s="35">
        <v>0</v>
      </c>
      <c r="J246" s="35">
        <v>2</v>
      </c>
      <c r="K246" s="35">
        <v>2625</v>
      </c>
      <c r="L246" s="35">
        <v>0</v>
      </c>
      <c r="M246" s="35" t="s">
        <v>91</v>
      </c>
    </row>
    <row r="247" spans="4:13" x14ac:dyDescent="0.2">
      <c r="D247" s="34">
        <v>0</v>
      </c>
      <c r="E247" s="35">
        <v>2</v>
      </c>
      <c r="F247" s="35" t="s">
        <v>332</v>
      </c>
      <c r="G247" s="35" t="s">
        <v>90</v>
      </c>
      <c r="H247" s="35">
        <v>19</v>
      </c>
      <c r="I247" s="35">
        <v>0</v>
      </c>
      <c r="J247" s="35">
        <v>0</v>
      </c>
      <c r="K247" s="35">
        <v>105</v>
      </c>
      <c r="L247" s="35">
        <v>0</v>
      </c>
      <c r="M247" s="35" t="s">
        <v>91</v>
      </c>
    </row>
    <row r="248" spans="4:13" x14ac:dyDescent="0.2">
      <c r="D248" s="34">
        <v>0</v>
      </c>
      <c r="E248" s="35">
        <v>2</v>
      </c>
      <c r="F248" s="35" t="s">
        <v>333</v>
      </c>
      <c r="G248" s="35" t="s">
        <v>90</v>
      </c>
      <c r="H248" s="35">
        <v>33</v>
      </c>
      <c r="I248" s="35">
        <v>0</v>
      </c>
      <c r="J248" s="35">
        <v>0</v>
      </c>
      <c r="K248" s="35">
        <v>12275</v>
      </c>
      <c r="L248" s="35">
        <v>0</v>
      </c>
      <c r="M248" s="35" t="s">
        <v>91</v>
      </c>
    </row>
    <row r="249" spans="4:13" x14ac:dyDescent="0.2">
      <c r="D249" s="34">
        <v>0</v>
      </c>
      <c r="E249" s="35">
        <v>3</v>
      </c>
      <c r="F249" s="35" t="s">
        <v>334</v>
      </c>
      <c r="G249" s="35" t="s">
        <v>93</v>
      </c>
      <c r="H249" s="36"/>
      <c r="I249" s="35">
        <v>1</v>
      </c>
      <c r="J249" s="35">
        <v>0</v>
      </c>
      <c r="K249" s="35">
        <v>144542</v>
      </c>
      <c r="L249" s="35">
        <v>0</v>
      </c>
      <c r="M249" s="35" t="s">
        <v>94</v>
      </c>
    </row>
    <row r="250" spans="4:13" x14ac:dyDescent="0.2">
      <c r="D250" s="34">
        <v>1</v>
      </c>
      <c r="E250" s="35">
        <v>3</v>
      </c>
      <c r="F250" s="35" t="s">
        <v>335</v>
      </c>
      <c r="G250" s="35" t="s">
        <v>93</v>
      </c>
      <c r="H250" s="36"/>
      <c r="I250" s="35">
        <v>1</v>
      </c>
      <c r="J250" s="35">
        <v>0</v>
      </c>
      <c r="K250" s="35">
        <v>155</v>
      </c>
      <c r="L250" s="35">
        <v>0</v>
      </c>
      <c r="M250" s="35" t="s">
        <v>99</v>
      </c>
    </row>
    <row r="251" spans="4:13" x14ac:dyDescent="0.2">
      <c r="D251" s="34">
        <v>0</v>
      </c>
      <c r="E251" s="35">
        <v>2</v>
      </c>
      <c r="F251" s="35" t="s">
        <v>336</v>
      </c>
      <c r="G251" s="35" t="s">
        <v>90</v>
      </c>
      <c r="H251" s="35">
        <v>29</v>
      </c>
      <c r="I251" s="35">
        <v>0</v>
      </c>
      <c r="J251" s="35">
        <v>0</v>
      </c>
      <c r="K251" s="35">
        <v>105</v>
      </c>
      <c r="L251" s="35">
        <v>0</v>
      </c>
      <c r="M251" s="35" t="s">
        <v>91</v>
      </c>
    </row>
    <row r="252" spans="4:13" x14ac:dyDescent="0.2">
      <c r="D252" s="34">
        <v>0</v>
      </c>
      <c r="E252" s="35">
        <v>3</v>
      </c>
      <c r="F252" s="35" t="s">
        <v>337</v>
      </c>
      <c r="G252" s="35" t="s">
        <v>90</v>
      </c>
      <c r="H252" s="35">
        <v>22</v>
      </c>
      <c r="I252" s="35">
        <v>0</v>
      </c>
      <c r="J252" s="35">
        <v>0</v>
      </c>
      <c r="K252" s="35">
        <v>7125</v>
      </c>
      <c r="L252" s="35">
        <v>0</v>
      </c>
      <c r="M252" s="35" t="s">
        <v>91</v>
      </c>
    </row>
    <row r="253" spans="4:13" x14ac:dyDescent="0.2">
      <c r="D253" s="34">
        <v>0</v>
      </c>
      <c r="E253" s="35">
        <v>3</v>
      </c>
      <c r="F253" s="35" t="s">
        <v>338</v>
      </c>
      <c r="G253" s="35" t="s">
        <v>90</v>
      </c>
      <c r="H253" s="35">
        <v>30</v>
      </c>
      <c r="I253" s="35">
        <v>0</v>
      </c>
      <c r="J253" s="35">
        <v>0</v>
      </c>
      <c r="K253" s="35">
        <v>7225</v>
      </c>
      <c r="L253" s="35">
        <v>0</v>
      </c>
      <c r="M253" s="35" t="s">
        <v>94</v>
      </c>
    </row>
    <row r="254" spans="4:13" x14ac:dyDescent="0.2">
      <c r="D254" s="34">
        <v>0</v>
      </c>
      <c r="E254" s="35">
        <v>1</v>
      </c>
      <c r="F254" s="35" t="s">
        <v>339</v>
      </c>
      <c r="G254" s="35" t="s">
        <v>90</v>
      </c>
      <c r="H254" s="35">
        <v>44</v>
      </c>
      <c r="I254" s="35">
        <v>2</v>
      </c>
      <c r="J254" s="35">
        <v>0</v>
      </c>
      <c r="K254" s="35">
        <v>90</v>
      </c>
      <c r="L254" s="35">
        <v>1</v>
      </c>
      <c r="M254" s="35" t="s">
        <v>99</v>
      </c>
    </row>
    <row r="255" spans="4:13" x14ac:dyDescent="0.2">
      <c r="D255" s="34">
        <v>0</v>
      </c>
      <c r="E255" s="35">
        <v>3</v>
      </c>
      <c r="F255" s="35" t="s">
        <v>340</v>
      </c>
      <c r="G255" s="35" t="s">
        <v>93</v>
      </c>
      <c r="H255" s="35">
        <v>25</v>
      </c>
      <c r="I255" s="35">
        <v>0</v>
      </c>
      <c r="J255" s="35">
        <v>0</v>
      </c>
      <c r="K255" s="35">
        <v>7775</v>
      </c>
      <c r="L255" s="35">
        <v>0</v>
      </c>
      <c r="M255" s="35" t="s">
        <v>91</v>
      </c>
    </row>
    <row r="256" spans="4:13" x14ac:dyDescent="0.2">
      <c r="D256" s="34">
        <v>1</v>
      </c>
      <c r="E256" s="35">
        <v>2</v>
      </c>
      <c r="F256" s="35" t="s">
        <v>341</v>
      </c>
      <c r="G256" s="35" t="s">
        <v>93</v>
      </c>
      <c r="H256" s="35">
        <v>24</v>
      </c>
      <c r="I256" s="35">
        <v>0</v>
      </c>
      <c r="J256" s="35">
        <v>2</v>
      </c>
      <c r="K256" s="35">
        <v>145</v>
      </c>
      <c r="L256" s="35">
        <v>0</v>
      </c>
      <c r="M256" s="35" t="s">
        <v>91</v>
      </c>
    </row>
    <row r="257" spans="4:13" x14ac:dyDescent="0.2">
      <c r="D257" s="34">
        <v>1</v>
      </c>
      <c r="E257" s="35">
        <v>1</v>
      </c>
      <c r="F257" s="35" t="s">
        <v>342</v>
      </c>
      <c r="G257" s="35" t="s">
        <v>90</v>
      </c>
      <c r="H257" s="35">
        <v>37</v>
      </c>
      <c r="I257" s="35">
        <v>1</v>
      </c>
      <c r="J257" s="35">
        <v>1</v>
      </c>
      <c r="K257" s="35">
        <v>525542</v>
      </c>
      <c r="L257" s="35">
        <v>1</v>
      </c>
      <c r="M257" s="35" t="s">
        <v>91</v>
      </c>
    </row>
    <row r="258" spans="4:13" x14ac:dyDescent="0.2">
      <c r="D258" s="34">
        <v>0</v>
      </c>
      <c r="E258" s="35">
        <v>2</v>
      </c>
      <c r="F258" s="35" t="s">
        <v>343</v>
      </c>
      <c r="G258" s="35" t="s">
        <v>90</v>
      </c>
      <c r="H258" s="35">
        <v>54</v>
      </c>
      <c r="I258" s="35">
        <v>1</v>
      </c>
      <c r="J258" s="35">
        <v>0</v>
      </c>
      <c r="K258" s="35">
        <v>26</v>
      </c>
      <c r="L258" s="35">
        <v>0</v>
      </c>
      <c r="M258" s="35" t="s">
        <v>91</v>
      </c>
    </row>
    <row r="259" spans="4:13" x14ac:dyDescent="0.2">
      <c r="D259" s="34">
        <v>0</v>
      </c>
      <c r="E259" s="35">
        <v>3</v>
      </c>
      <c r="F259" s="35" t="s">
        <v>344</v>
      </c>
      <c r="G259" s="35" t="s">
        <v>90</v>
      </c>
      <c r="H259" s="36"/>
      <c r="I259" s="35">
        <v>0</v>
      </c>
      <c r="J259" s="35">
        <v>0</v>
      </c>
      <c r="K259" s="35">
        <v>725</v>
      </c>
      <c r="L259" s="35">
        <v>0</v>
      </c>
      <c r="M259" s="35" t="s">
        <v>91</v>
      </c>
    </row>
    <row r="260" spans="4:13" x14ac:dyDescent="0.2">
      <c r="D260" s="34">
        <v>0</v>
      </c>
      <c r="E260" s="35">
        <v>3</v>
      </c>
      <c r="F260" s="35" t="s">
        <v>345</v>
      </c>
      <c r="G260" s="35" t="s">
        <v>93</v>
      </c>
      <c r="H260" s="35">
        <v>29</v>
      </c>
      <c r="I260" s="35">
        <v>1</v>
      </c>
      <c r="J260" s="35">
        <v>1</v>
      </c>
      <c r="K260" s="35">
        <v>104625</v>
      </c>
      <c r="L260" s="35">
        <v>1</v>
      </c>
      <c r="M260" s="35" t="s">
        <v>91</v>
      </c>
    </row>
    <row r="261" spans="4:13" x14ac:dyDescent="0.2">
      <c r="D261" s="34">
        <v>0</v>
      </c>
      <c r="E261" s="35">
        <v>1</v>
      </c>
      <c r="F261" s="35" t="s">
        <v>346</v>
      </c>
      <c r="G261" s="35" t="s">
        <v>90</v>
      </c>
      <c r="H261" s="35">
        <v>62</v>
      </c>
      <c r="I261" s="35">
        <v>0</v>
      </c>
      <c r="J261" s="35">
        <v>0</v>
      </c>
      <c r="K261" s="35">
        <v>2655</v>
      </c>
      <c r="L261" s="35">
        <v>1</v>
      </c>
      <c r="M261" s="35" t="s">
        <v>91</v>
      </c>
    </row>
    <row r="262" spans="4:13" x14ac:dyDescent="0.2">
      <c r="D262" s="34">
        <v>0</v>
      </c>
      <c r="E262" s="35">
        <v>3</v>
      </c>
      <c r="F262" s="35" t="s">
        <v>347</v>
      </c>
      <c r="G262" s="35" t="s">
        <v>90</v>
      </c>
      <c r="H262" s="35">
        <v>30</v>
      </c>
      <c r="I262" s="35">
        <v>1</v>
      </c>
      <c r="J262" s="35">
        <v>0</v>
      </c>
      <c r="K262" s="35">
        <v>161</v>
      </c>
      <c r="L262" s="35">
        <v>0</v>
      </c>
      <c r="M262" s="35" t="s">
        <v>91</v>
      </c>
    </row>
    <row r="263" spans="4:13" x14ac:dyDescent="0.2">
      <c r="D263" s="34">
        <v>0</v>
      </c>
      <c r="E263" s="35">
        <v>3</v>
      </c>
      <c r="F263" s="35" t="s">
        <v>348</v>
      </c>
      <c r="G263" s="35" t="s">
        <v>93</v>
      </c>
      <c r="H263" s="35">
        <v>41</v>
      </c>
      <c r="I263" s="35">
        <v>0</v>
      </c>
      <c r="J263" s="35">
        <v>2</v>
      </c>
      <c r="K263" s="35">
        <v>202125</v>
      </c>
      <c r="L263" s="35">
        <v>0</v>
      </c>
      <c r="M263" s="35" t="s">
        <v>91</v>
      </c>
    </row>
    <row r="264" spans="4:13" x14ac:dyDescent="0.2">
      <c r="D264" s="34">
        <v>1</v>
      </c>
      <c r="E264" s="35">
        <v>3</v>
      </c>
      <c r="F264" s="35" t="s">
        <v>349</v>
      </c>
      <c r="G264" s="35" t="s">
        <v>93</v>
      </c>
      <c r="H264" s="35">
        <v>29</v>
      </c>
      <c r="I264" s="35">
        <v>0</v>
      </c>
      <c r="J264" s="35">
        <v>2</v>
      </c>
      <c r="K264" s="35">
        <v>152458</v>
      </c>
      <c r="L264" s="35">
        <v>0</v>
      </c>
      <c r="M264" s="35" t="s">
        <v>94</v>
      </c>
    </row>
    <row r="265" spans="4:13" x14ac:dyDescent="0.2">
      <c r="D265" s="34">
        <v>1</v>
      </c>
      <c r="E265" s="35">
        <v>1</v>
      </c>
      <c r="F265" s="35" t="s">
        <v>350</v>
      </c>
      <c r="G265" s="35" t="s">
        <v>93</v>
      </c>
      <c r="H265" s="36"/>
      <c r="I265" s="35">
        <v>0</v>
      </c>
      <c r="J265" s="35">
        <v>0</v>
      </c>
      <c r="K265" s="35">
        <v>792</v>
      </c>
      <c r="L265" s="35">
        <v>0</v>
      </c>
      <c r="M265" s="35" t="s">
        <v>94</v>
      </c>
    </row>
    <row r="266" spans="4:13" x14ac:dyDescent="0.2">
      <c r="D266" s="34">
        <v>1</v>
      </c>
      <c r="E266" s="35">
        <v>1</v>
      </c>
      <c r="F266" s="35" t="s">
        <v>351</v>
      </c>
      <c r="G266" s="35" t="s">
        <v>93</v>
      </c>
      <c r="H266" s="35">
        <v>30</v>
      </c>
      <c r="I266" s="35">
        <v>0</v>
      </c>
      <c r="J266" s="35">
        <v>0</v>
      </c>
      <c r="K266" s="35">
        <v>865</v>
      </c>
      <c r="L266" s="35">
        <v>1</v>
      </c>
      <c r="M266" s="35" t="s">
        <v>91</v>
      </c>
    </row>
    <row r="267" spans="4:13" x14ac:dyDescent="0.2">
      <c r="D267" s="34">
        <v>1</v>
      </c>
      <c r="E267" s="35">
        <v>1</v>
      </c>
      <c r="F267" s="35" t="s">
        <v>352</v>
      </c>
      <c r="G267" s="35" t="s">
        <v>93</v>
      </c>
      <c r="H267" s="35">
        <v>35</v>
      </c>
      <c r="I267" s="35">
        <v>0</v>
      </c>
      <c r="J267" s="35">
        <v>0</v>
      </c>
      <c r="K267" s="35">
        <v>5123292</v>
      </c>
      <c r="L267" s="35">
        <v>0</v>
      </c>
      <c r="M267" s="35" t="s">
        <v>94</v>
      </c>
    </row>
    <row r="268" spans="4:13" x14ac:dyDescent="0.2">
      <c r="D268" s="34">
        <v>1</v>
      </c>
      <c r="E268" s="35">
        <v>2</v>
      </c>
      <c r="F268" s="35" t="s">
        <v>353</v>
      </c>
      <c r="G268" s="35" t="s">
        <v>93</v>
      </c>
      <c r="H268" s="35">
        <v>50</v>
      </c>
      <c r="I268" s="35">
        <v>0</v>
      </c>
      <c r="J268" s="35">
        <v>1</v>
      </c>
      <c r="K268" s="35">
        <v>26</v>
      </c>
      <c r="L268" s="35">
        <v>0</v>
      </c>
      <c r="M268" s="35" t="s">
        <v>91</v>
      </c>
    </row>
    <row r="269" spans="4:13" x14ac:dyDescent="0.2">
      <c r="D269" s="34">
        <v>0</v>
      </c>
      <c r="E269" s="35">
        <v>3</v>
      </c>
      <c r="F269" s="35" t="s">
        <v>354</v>
      </c>
      <c r="G269" s="35" t="s">
        <v>90</v>
      </c>
      <c r="H269" s="36"/>
      <c r="I269" s="35">
        <v>0</v>
      </c>
      <c r="J269" s="35">
        <v>0</v>
      </c>
      <c r="K269" s="35">
        <v>775</v>
      </c>
      <c r="L269" s="35">
        <v>0</v>
      </c>
      <c r="M269" s="35" t="s">
        <v>99</v>
      </c>
    </row>
    <row r="270" spans="4:13" x14ac:dyDescent="0.2">
      <c r="D270" s="34">
        <v>1</v>
      </c>
      <c r="E270" s="35">
        <v>3</v>
      </c>
      <c r="F270" s="35" t="s">
        <v>355</v>
      </c>
      <c r="G270" s="35" t="s">
        <v>90</v>
      </c>
      <c r="H270" s="35">
        <v>3</v>
      </c>
      <c r="I270" s="35">
        <v>4</v>
      </c>
      <c r="J270" s="35">
        <v>2</v>
      </c>
      <c r="K270" s="35">
        <v>313875</v>
      </c>
      <c r="L270" s="35">
        <v>0</v>
      </c>
      <c r="M270" s="35" t="s">
        <v>91</v>
      </c>
    </row>
    <row r="271" spans="4:13" x14ac:dyDescent="0.2">
      <c r="D271" s="34">
        <v>0</v>
      </c>
      <c r="E271" s="35">
        <v>1</v>
      </c>
      <c r="F271" s="35" t="s">
        <v>356</v>
      </c>
      <c r="G271" s="35" t="s">
        <v>90</v>
      </c>
      <c r="H271" s="35">
        <v>52</v>
      </c>
      <c r="I271" s="35">
        <v>1</v>
      </c>
      <c r="J271" s="35">
        <v>1</v>
      </c>
      <c r="K271" s="35">
        <v>7965</v>
      </c>
      <c r="L271" s="35">
        <v>1</v>
      </c>
      <c r="M271" s="35" t="s">
        <v>91</v>
      </c>
    </row>
    <row r="272" spans="4:13" x14ac:dyDescent="0.2">
      <c r="D272" s="34">
        <v>0</v>
      </c>
      <c r="E272" s="35">
        <v>1</v>
      </c>
      <c r="F272" s="35" t="s">
        <v>357</v>
      </c>
      <c r="G272" s="35" t="s">
        <v>90</v>
      </c>
      <c r="H272" s="35">
        <v>40</v>
      </c>
      <c r="I272" s="35">
        <v>0</v>
      </c>
      <c r="J272" s="35">
        <v>0</v>
      </c>
      <c r="K272" s="35">
        <v>0</v>
      </c>
      <c r="L272" s="35">
        <v>1</v>
      </c>
      <c r="M272" s="35" t="s">
        <v>91</v>
      </c>
    </row>
    <row r="273" spans="4:13" x14ac:dyDescent="0.2">
      <c r="D273" s="34">
        <v>0</v>
      </c>
      <c r="E273" s="35">
        <v>3</v>
      </c>
      <c r="F273" s="35" t="s">
        <v>358</v>
      </c>
      <c r="G273" s="35" t="s">
        <v>93</v>
      </c>
      <c r="H273" s="36"/>
      <c r="I273" s="35">
        <v>0</v>
      </c>
      <c r="J273" s="35">
        <v>0</v>
      </c>
      <c r="K273" s="35">
        <v>775</v>
      </c>
      <c r="L273" s="35">
        <v>0</v>
      </c>
      <c r="M273" s="35" t="s">
        <v>99</v>
      </c>
    </row>
    <row r="274" spans="4:13" x14ac:dyDescent="0.2">
      <c r="D274" s="34">
        <v>0</v>
      </c>
      <c r="E274" s="35">
        <v>2</v>
      </c>
      <c r="F274" s="35" t="s">
        <v>359</v>
      </c>
      <c r="G274" s="35" t="s">
        <v>90</v>
      </c>
      <c r="H274" s="35">
        <v>36</v>
      </c>
      <c r="I274" s="35">
        <v>0</v>
      </c>
      <c r="J274" s="35">
        <v>0</v>
      </c>
      <c r="K274" s="35">
        <v>105</v>
      </c>
      <c r="L274" s="35">
        <v>0</v>
      </c>
      <c r="M274" s="35" t="s">
        <v>91</v>
      </c>
    </row>
    <row r="275" spans="4:13" x14ac:dyDescent="0.2">
      <c r="D275" s="34">
        <v>0</v>
      </c>
      <c r="E275" s="35">
        <v>3</v>
      </c>
      <c r="F275" s="35" t="s">
        <v>360</v>
      </c>
      <c r="G275" s="35" t="s">
        <v>90</v>
      </c>
      <c r="H275" s="35">
        <v>16</v>
      </c>
      <c r="I275" s="35">
        <v>4</v>
      </c>
      <c r="J275" s="35">
        <v>1</v>
      </c>
      <c r="K275" s="35">
        <v>396875</v>
      </c>
      <c r="L275" s="35">
        <v>0</v>
      </c>
      <c r="M275" s="35" t="s">
        <v>91</v>
      </c>
    </row>
    <row r="276" spans="4:13" x14ac:dyDescent="0.2">
      <c r="D276" s="34">
        <v>1</v>
      </c>
      <c r="E276" s="35">
        <v>3</v>
      </c>
      <c r="F276" s="35" t="s">
        <v>361</v>
      </c>
      <c r="G276" s="35" t="s">
        <v>90</v>
      </c>
      <c r="H276" s="35">
        <v>25</v>
      </c>
      <c r="I276" s="35">
        <v>1</v>
      </c>
      <c r="J276" s="35">
        <v>0</v>
      </c>
      <c r="K276" s="35">
        <v>7775</v>
      </c>
      <c r="L276" s="35">
        <v>0</v>
      </c>
      <c r="M276" s="35" t="s">
        <v>91</v>
      </c>
    </row>
    <row r="277" spans="4:13" x14ac:dyDescent="0.2">
      <c r="D277" s="34">
        <v>1</v>
      </c>
      <c r="E277" s="35">
        <v>1</v>
      </c>
      <c r="F277" s="35" t="s">
        <v>362</v>
      </c>
      <c r="G277" s="35" t="s">
        <v>93</v>
      </c>
      <c r="H277" s="35">
        <v>58</v>
      </c>
      <c r="I277" s="35">
        <v>0</v>
      </c>
      <c r="J277" s="35">
        <v>1</v>
      </c>
      <c r="K277" s="35">
        <v>1534625</v>
      </c>
      <c r="L277" s="35">
        <v>1</v>
      </c>
      <c r="M277" s="35" t="s">
        <v>91</v>
      </c>
    </row>
    <row r="278" spans="4:13" x14ac:dyDescent="0.2">
      <c r="D278" s="34">
        <v>1</v>
      </c>
      <c r="E278" s="35">
        <v>1</v>
      </c>
      <c r="F278" s="35" t="s">
        <v>363</v>
      </c>
      <c r="G278" s="35" t="s">
        <v>93</v>
      </c>
      <c r="H278" s="35">
        <v>35</v>
      </c>
      <c r="I278" s="35">
        <v>0</v>
      </c>
      <c r="J278" s="35">
        <v>0</v>
      </c>
      <c r="K278" s="35">
        <v>1356333</v>
      </c>
      <c r="L278" s="35">
        <v>1</v>
      </c>
      <c r="M278" s="35" t="s">
        <v>91</v>
      </c>
    </row>
    <row r="279" spans="4:13" x14ac:dyDescent="0.2">
      <c r="D279" s="34">
        <v>0</v>
      </c>
      <c r="E279" s="35">
        <v>1</v>
      </c>
      <c r="F279" s="35" t="s">
        <v>364</v>
      </c>
      <c r="G279" s="35" t="s">
        <v>90</v>
      </c>
      <c r="H279" s="36"/>
      <c r="I279" s="35">
        <v>0</v>
      </c>
      <c r="J279" s="35">
        <v>0</v>
      </c>
      <c r="K279" s="35">
        <v>31</v>
      </c>
      <c r="L279" s="35">
        <v>0</v>
      </c>
      <c r="M279" s="35" t="s">
        <v>91</v>
      </c>
    </row>
    <row r="280" spans="4:13" x14ac:dyDescent="0.2">
      <c r="D280" s="34">
        <v>1</v>
      </c>
      <c r="E280" s="35">
        <v>3</v>
      </c>
      <c r="F280" s="35" t="s">
        <v>365</v>
      </c>
      <c r="G280" s="35" t="s">
        <v>90</v>
      </c>
      <c r="H280" s="35">
        <v>25</v>
      </c>
      <c r="I280" s="35">
        <v>0</v>
      </c>
      <c r="J280" s="35">
        <v>0</v>
      </c>
      <c r="K280" s="35">
        <v>0</v>
      </c>
      <c r="L280" s="35">
        <v>0</v>
      </c>
      <c r="M280" s="35" t="s">
        <v>91</v>
      </c>
    </row>
    <row r="281" spans="4:13" x14ac:dyDescent="0.2">
      <c r="D281" s="34">
        <v>1</v>
      </c>
      <c r="E281" s="35">
        <v>2</v>
      </c>
      <c r="F281" s="35" t="s">
        <v>366</v>
      </c>
      <c r="G281" s="35" t="s">
        <v>93</v>
      </c>
      <c r="H281" s="35">
        <v>41</v>
      </c>
      <c r="I281" s="35">
        <v>0</v>
      </c>
      <c r="J281" s="35">
        <v>1</v>
      </c>
      <c r="K281" s="35">
        <v>195</v>
      </c>
      <c r="L281" s="35">
        <v>0</v>
      </c>
      <c r="M281" s="35" t="s">
        <v>91</v>
      </c>
    </row>
    <row r="282" spans="4:13" x14ac:dyDescent="0.2">
      <c r="D282" s="34">
        <v>0</v>
      </c>
      <c r="E282" s="35">
        <v>1</v>
      </c>
      <c r="F282" s="35" t="s">
        <v>367</v>
      </c>
      <c r="G282" s="35" t="s">
        <v>90</v>
      </c>
      <c r="H282" s="35">
        <v>37</v>
      </c>
      <c r="I282" s="35">
        <v>0</v>
      </c>
      <c r="J282" s="35">
        <v>1</v>
      </c>
      <c r="K282" s="35">
        <v>297</v>
      </c>
      <c r="L282" s="35">
        <v>1</v>
      </c>
      <c r="M282" s="35" t="s">
        <v>94</v>
      </c>
    </row>
    <row r="283" spans="4:13" x14ac:dyDescent="0.2">
      <c r="D283" s="34">
        <v>1</v>
      </c>
      <c r="E283" s="35">
        <v>3</v>
      </c>
      <c r="F283" s="35" t="s">
        <v>368</v>
      </c>
      <c r="G283" s="35" t="s">
        <v>93</v>
      </c>
      <c r="H283" s="36"/>
      <c r="I283" s="35">
        <v>0</v>
      </c>
      <c r="J283" s="35">
        <v>0</v>
      </c>
      <c r="K283" s="35">
        <v>775</v>
      </c>
      <c r="L283" s="35">
        <v>0</v>
      </c>
      <c r="M283" s="35" t="s">
        <v>99</v>
      </c>
    </row>
    <row r="284" spans="4:13" x14ac:dyDescent="0.2">
      <c r="D284" s="34">
        <v>1</v>
      </c>
      <c r="E284" s="35">
        <v>1</v>
      </c>
      <c r="F284" s="35" t="s">
        <v>369</v>
      </c>
      <c r="G284" s="35" t="s">
        <v>93</v>
      </c>
      <c r="H284" s="35">
        <v>63</v>
      </c>
      <c r="I284" s="35">
        <v>1</v>
      </c>
      <c r="J284" s="35">
        <v>0</v>
      </c>
      <c r="K284" s="35">
        <v>779583</v>
      </c>
      <c r="L284" s="35">
        <v>1</v>
      </c>
      <c r="M284" s="35" t="s">
        <v>91</v>
      </c>
    </row>
    <row r="285" spans="4:13" x14ac:dyDescent="0.2">
      <c r="D285" s="34">
        <v>0</v>
      </c>
      <c r="E285" s="35">
        <v>3</v>
      </c>
      <c r="F285" s="35" t="s">
        <v>370</v>
      </c>
      <c r="G285" s="35" t="s">
        <v>93</v>
      </c>
      <c r="H285" s="35">
        <v>45</v>
      </c>
      <c r="I285" s="35">
        <v>0</v>
      </c>
      <c r="J285" s="35">
        <v>0</v>
      </c>
      <c r="K285" s="35">
        <v>775</v>
      </c>
      <c r="L285" s="35">
        <v>0</v>
      </c>
      <c r="M285" s="35" t="s">
        <v>91</v>
      </c>
    </row>
    <row r="286" spans="4:13" x14ac:dyDescent="0.2">
      <c r="D286" s="34">
        <v>0</v>
      </c>
      <c r="E286" s="35">
        <v>2</v>
      </c>
      <c r="F286" s="35" t="s">
        <v>371</v>
      </c>
      <c r="G286" s="35" t="s">
        <v>90</v>
      </c>
      <c r="H286" s="36"/>
      <c r="I286" s="35">
        <v>0</v>
      </c>
      <c r="J286" s="35">
        <v>0</v>
      </c>
      <c r="K286" s="35">
        <v>0</v>
      </c>
      <c r="L286" s="35">
        <v>0</v>
      </c>
      <c r="M286" s="35" t="s">
        <v>91</v>
      </c>
    </row>
    <row r="287" spans="4:13" x14ac:dyDescent="0.2">
      <c r="D287" s="34">
        <v>0</v>
      </c>
      <c r="E287" s="35">
        <v>3</v>
      </c>
      <c r="F287" s="35" t="s">
        <v>372</v>
      </c>
      <c r="G287" s="35" t="s">
        <v>90</v>
      </c>
      <c r="H287" s="35">
        <v>7</v>
      </c>
      <c r="I287" s="35">
        <v>4</v>
      </c>
      <c r="J287" s="35">
        <v>1</v>
      </c>
      <c r="K287" s="35">
        <v>29125</v>
      </c>
      <c r="L287" s="35">
        <v>0</v>
      </c>
      <c r="M287" s="35" t="s">
        <v>99</v>
      </c>
    </row>
    <row r="288" spans="4:13" x14ac:dyDescent="0.2">
      <c r="D288" s="34">
        <v>1</v>
      </c>
      <c r="E288" s="35">
        <v>3</v>
      </c>
      <c r="F288" s="35" t="s">
        <v>373</v>
      </c>
      <c r="G288" s="35" t="s">
        <v>93</v>
      </c>
      <c r="H288" s="35">
        <v>35</v>
      </c>
      <c r="I288" s="35">
        <v>1</v>
      </c>
      <c r="J288" s="35">
        <v>1</v>
      </c>
      <c r="K288" s="35">
        <v>2025</v>
      </c>
      <c r="L288" s="35">
        <v>0</v>
      </c>
      <c r="M288" s="35" t="s">
        <v>91</v>
      </c>
    </row>
    <row r="289" spans="4:13" x14ac:dyDescent="0.2">
      <c r="D289" s="34">
        <v>0</v>
      </c>
      <c r="E289" s="35">
        <v>3</v>
      </c>
      <c r="F289" s="35" t="s">
        <v>374</v>
      </c>
      <c r="G289" s="35" t="s">
        <v>90</v>
      </c>
      <c r="H289" s="35">
        <v>65</v>
      </c>
      <c r="I289" s="35">
        <v>0</v>
      </c>
      <c r="J289" s="35">
        <v>0</v>
      </c>
      <c r="K289" s="35">
        <v>775</v>
      </c>
      <c r="L289" s="35">
        <v>0</v>
      </c>
      <c r="M289" s="35" t="s">
        <v>99</v>
      </c>
    </row>
    <row r="290" spans="4:13" x14ac:dyDescent="0.2">
      <c r="D290" s="34">
        <v>0</v>
      </c>
      <c r="E290" s="35">
        <v>3</v>
      </c>
      <c r="F290" s="35" t="s">
        <v>375</v>
      </c>
      <c r="G290" s="35" t="s">
        <v>90</v>
      </c>
      <c r="H290" s="35">
        <v>28</v>
      </c>
      <c r="I290" s="35">
        <v>0</v>
      </c>
      <c r="J290" s="35">
        <v>0</v>
      </c>
      <c r="K290" s="35">
        <v>78542</v>
      </c>
      <c r="L290" s="35">
        <v>0</v>
      </c>
      <c r="M290" s="35" t="s">
        <v>91</v>
      </c>
    </row>
    <row r="291" spans="4:13" x14ac:dyDescent="0.2">
      <c r="D291" s="34">
        <v>0</v>
      </c>
      <c r="E291" s="35">
        <v>3</v>
      </c>
      <c r="F291" s="35" t="s">
        <v>376</v>
      </c>
      <c r="G291" s="35" t="s">
        <v>90</v>
      </c>
      <c r="H291" s="35">
        <v>16</v>
      </c>
      <c r="I291" s="35">
        <v>0</v>
      </c>
      <c r="J291" s="35">
        <v>0</v>
      </c>
      <c r="K291" s="35">
        <v>95</v>
      </c>
      <c r="L291" s="35">
        <v>0</v>
      </c>
      <c r="M291" s="35" t="s">
        <v>91</v>
      </c>
    </row>
    <row r="292" spans="4:13" x14ac:dyDescent="0.2">
      <c r="D292" s="34">
        <v>1</v>
      </c>
      <c r="E292" s="35">
        <v>3</v>
      </c>
      <c r="F292" s="35" t="s">
        <v>377</v>
      </c>
      <c r="G292" s="35" t="s">
        <v>90</v>
      </c>
      <c r="H292" s="35">
        <v>19</v>
      </c>
      <c r="I292" s="35">
        <v>0</v>
      </c>
      <c r="J292" s="35">
        <v>0</v>
      </c>
      <c r="K292" s="35">
        <v>805</v>
      </c>
      <c r="L292" s="35">
        <v>0</v>
      </c>
      <c r="M292" s="35" t="s">
        <v>91</v>
      </c>
    </row>
    <row r="293" spans="4:13" x14ac:dyDescent="0.2">
      <c r="D293" s="34">
        <v>0</v>
      </c>
      <c r="E293" s="35">
        <v>1</v>
      </c>
      <c r="F293" s="35" t="s">
        <v>378</v>
      </c>
      <c r="G293" s="35" t="s">
        <v>90</v>
      </c>
      <c r="H293" s="36"/>
      <c r="I293" s="35">
        <v>0</v>
      </c>
      <c r="J293" s="35">
        <v>0</v>
      </c>
      <c r="K293" s="35">
        <v>26</v>
      </c>
      <c r="L293" s="35">
        <v>1</v>
      </c>
      <c r="M293" s="35" t="s">
        <v>91</v>
      </c>
    </row>
    <row r="294" spans="4:13" x14ac:dyDescent="0.2">
      <c r="D294" s="34">
        <v>0</v>
      </c>
      <c r="E294" s="35">
        <v>3</v>
      </c>
      <c r="F294" s="35" t="s">
        <v>379</v>
      </c>
      <c r="G294" s="35" t="s">
        <v>90</v>
      </c>
      <c r="H294" s="35">
        <v>33</v>
      </c>
      <c r="I294" s="35">
        <v>0</v>
      </c>
      <c r="J294" s="35">
        <v>0</v>
      </c>
      <c r="K294" s="35">
        <v>86625</v>
      </c>
      <c r="L294" s="35">
        <v>0</v>
      </c>
      <c r="M294" s="35" t="s">
        <v>94</v>
      </c>
    </row>
    <row r="295" spans="4:13" x14ac:dyDescent="0.2">
      <c r="D295" s="34">
        <v>1</v>
      </c>
      <c r="E295" s="35">
        <v>3</v>
      </c>
      <c r="F295" s="35" t="s">
        <v>380</v>
      </c>
      <c r="G295" s="35" t="s">
        <v>90</v>
      </c>
      <c r="H295" s="35">
        <v>30</v>
      </c>
      <c r="I295" s="35">
        <v>0</v>
      </c>
      <c r="J295" s="35">
        <v>0</v>
      </c>
      <c r="K295" s="35">
        <v>95</v>
      </c>
      <c r="L295" s="35">
        <v>0</v>
      </c>
      <c r="M295" s="35" t="s">
        <v>91</v>
      </c>
    </row>
    <row r="296" spans="4:13" x14ac:dyDescent="0.2">
      <c r="D296" s="34">
        <v>0</v>
      </c>
      <c r="E296" s="35">
        <v>3</v>
      </c>
      <c r="F296" s="35" t="s">
        <v>381</v>
      </c>
      <c r="G296" s="35" t="s">
        <v>90</v>
      </c>
      <c r="H296" s="35">
        <v>22</v>
      </c>
      <c r="I296" s="35">
        <v>0</v>
      </c>
      <c r="J296" s="35">
        <v>0</v>
      </c>
      <c r="K296" s="35">
        <v>78958</v>
      </c>
      <c r="L296" s="35">
        <v>0</v>
      </c>
      <c r="M296" s="35" t="s">
        <v>91</v>
      </c>
    </row>
    <row r="297" spans="4:13" x14ac:dyDescent="0.2">
      <c r="D297" s="34">
        <v>1</v>
      </c>
      <c r="E297" s="35">
        <v>2</v>
      </c>
      <c r="F297" s="35" t="s">
        <v>382</v>
      </c>
      <c r="G297" s="35" t="s">
        <v>90</v>
      </c>
      <c r="H297" s="35">
        <v>42</v>
      </c>
      <c r="I297" s="35">
        <v>0</v>
      </c>
      <c r="J297" s="35">
        <v>0</v>
      </c>
      <c r="K297" s="35">
        <v>13</v>
      </c>
      <c r="L297" s="35">
        <v>0</v>
      </c>
      <c r="M297" s="35" t="s">
        <v>91</v>
      </c>
    </row>
    <row r="298" spans="4:13" x14ac:dyDescent="0.2">
      <c r="D298" s="34">
        <v>1</v>
      </c>
      <c r="E298" s="35">
        <v>3</v>
      </c>
      <c r="F298" s="35" t="s">
        <v>383</v>
      </c>
      <c r="G298" s="35" t="s">
        <v>93</v>
      </c>
      <c r="H298" s="35">
        <v>22</v>
      </c>
      <c r="I298" s="35">
        <v>0</v>
      </c>
      <c r="J298" s="35">
        <v>0</v>
      </c>
      <c r="K298" s="35">
        <v>775</v>
      </c>
      <c r="L298" s="35">
        <v>0</v>
      </c>
      <c r="M298" s="35" t="s">
        <v>99</v>
      </c>
    </row>
    <row r="299" spans="4:13" x14ac:dyDescent="0.2">
      <c r="D299" s="34">
        <v>1</v>
      </c>
      <c r="E299" s="35">
        <v>1</v>
      </c>
      <c r="F299" s="35" t="s">
        <v>384</v>
      </c>
      <c r="G299" s="35" t="s">
        <v>93</v>
      </c>
      <c r="H299" s="35">
        <v>26</v>
      </c>
      <c r="I299" s="35">
        <v>0</v>
      </c>
      <c r="J299" s="35">
        <v>0</v>
      </c>
      <c r="K299" s="35">
        <v>7885</v>
      </c>
      <c r="L299" s="35">
        <v>0</v>
      </c>
      <c r="M299" s="35" t="s">
        <v>91</v>
      </c>
    </row>
    <row r="300" spans="4:13" x14ac:dyDescent="0.2">
      <c r="D300" s="34">
        <v>1</v>
      </c>
      <c r="E300" s="35">
        <v>1</v>
      </c>
      <c r="F300" s="35" t="s">
        <v>385</v>
      </c>
      <c r="G300" s="35" t="s">
        <v>93</v>
      </c>
      <c r="H300" s="35">
        <v>19</v>
      </c>
      <c r="I300" s="35">
        <v>1</v>
      </c>
      <c r="J300" s="35">
        <v>0</v>
      </c>
      <c r="K300" s="35">
        <v>910792</v>
      </c>
      <c r="L300" s="35">
        <v>1</v>
      </c>
      <c r="M300" s="35" t="s">
        <v>94</v>
      </c>
    </row>
    <row r="301" spans="4:13" x14ac:dyDescent="0.2">
      <c r="D301" s="34">
        <v>0</v>
      </c>
      <c r="E301" s="35">
        <v>2</v>
      </c>
      <c r="F301" s="35" t="s">
        <v>386</v>
      </c>
      <c r="G301" s="35" t="s">
        <v>90</v>
      </c>
      <c r="H301" s="35">
        <v>36</v>
      </c>
      <c r="I301" s="35">
        <v>0</v>
      </c>
      <c r="J301" s="35">
        <v>0</v>
      </c>
      <c r="K301" s="35">
        <v>12875</v>
      </c>
      <c r="L301" s="35">
        <v>1</v>
      </c>
      <c r="M301" s="35" t="s">
        <v>94</v>
      </c>
    </row>
    <row r="302" spans="4:13" x14ac:dyDescent="0.2">
      <c r="D302" s="34">
        <v>0</v>
      </c>
      <c r="E302" s="35">
        <v>3</v>
      </c>
      <c r="F302" s="35" t="s">
        <v>387</v>
      </c>
      <c r="G302" s="35" t="s">
        <v>93</v>
      </c>
      <c r="H302" s="35">
        <v>24</v>
      </c>
      <c r="I302" s="35">
        <v>0</v>
      </c>
      <c r="J302" s="35">
        <v>0</v>
      </c>
      <c r="K302" s="35">
        <v>885</v>
      </c>
      <c r="L302" s="35">
        <v>0</v>
      </c>
      <c r="M302" s="35" t="s">
        <v>91</v>
      </c>
    </row>
    <row r="303" spans="4:13" x14ac:dyDescent="0.2">
      <c r="D303" s="34">
        <v>0</v>
      </c>
      <c r="E303" s="35">
        <v>3</v>
      </c>
      <c r="F303" s="35" t="s">
        <v>388</v>
      </c>
      <c r="G303" s="35" t="s">
        <v>90</v>
      </c>
      <c r="H303" s="35">
        <v>24</v>
      </c>
      <c r="I303" s="35">
        <v>0</v>
      </c>
      <c r="J303" s="35">
        <v>0</v>
      </c>
      <c r="K303" s="35">
        <v>78958</v>
      </c>
      <c r="L303" s="35">
        <v>0</v>
      </c>
      <c r="M303" s="35" t="s">
        <v>91</v>
      </c>
    </row>
    <row r="304" spans="4:13" x14ac:dyDescent="0.2">
      <c r="D304" s="34">
        <v>0</v>
      </c>
      <c r="E304" s="35">
        <v>1</v>
      </c>
      <c r="F304" s="35" t="s">
        <v>389</v>
      </c>
      <c r="G304" s="35" t="s">
        <v>90</v>
      </c>
      <c r="H304" s="36"/>
      <c r="I304" s="35">
        <v>0</v>
      </c>
      <c r="J304" s="35">
        <v>0</v>
      </c>
      <c r="K304" s="35">
        <v>277208</v>
      </c>
      <c r="L304" s="35">
        <v>0</v>
      </c>
      <c r="M304" s="35" t="s">
        <v>94</v>
      </c>
    </row>
    <row r="305" spans="4:13" x14ac:dyDescent="0.2">
      <c r="D305" s="34">
        <v>0</v>
      </c>
      <c r="E305" s="35">
        <v>3</v>
      </c>
      <c r="F305" s="35" t="s">
        <v>390</v>
      </c>
      <c r="G305" s="35" t="s">
        <v>90</v>
      </c>
      <c r="H305" s="35">
        <v>235</v>
      </c>
      <c r="I305" s="35">
        <v>0</v>
      </c>
      <c r="J305" s="35">
        <v>0</v>
      </c>
      <c r="K305" s="35">
        <v>72292</v>
      </c>
      <c r="L305" s="35">
        <v>0</v>
      </c>
      <c r="M305" s="35" t="s">
        <v>94</v>
      </c>
    </row>
    <row r="306" spans="4:13" x14ac:dyDescent="0.2">
      <c r="D306" s="34">
        <v>0</v>
      </c>
      <c r="E306" s="35">
        <v>1</v>
      </c>
      <c r="F306" s="35" t="s">
        <v>391</v>
      </c>
      <c r="G306" s="35" t="s">
        <v>93</v>
      </c>
      <c r="H306" s="35">
        <v>2</v>
      </c>
      <c r="I306" s="35">
        <v>1</v>
      </c>
      <c r="J306" s="35">
        <v>2</v>
      </c>
      <c r="K306" s="35">
        <v>15155</v>
      </c>
      <c r="L306" s="35">
        <v>1</v>
      </c>
      <c r="M306" s="35" t="s">
        <v>91</v>
      </c>
    </row>
    <row r="307" spans="4:13" x14ac:dyDescent="0.2">
      <c r="D307" s="34">
        <v>1</v>
      </c>
      <c r="E307" s="35">
        <v>1</v>
      </c>
      <c r="F307" s="35" t="s">
        <v>392</v>
      </c>
      <c r="G307" s="35" t="s">
        <v>90</v>
      </c>
      <c r="H307" s="36"/>
      <c r="I307" s="35">
        <v>0</v>
      </c>
      <c r="J307" s="35">
        <v>0</v>
      </c>
      <c r="K307" s="35">
        <v>305</v>
      </c>
      <c r="L307" s="35">
        <v>1</v>
      </c>
      <c r="M307" s="35" t="s">
        <v>91</v>
      </c>
    </row>
    <row r="308" spans="4:13" x14ac:dyDescent="0.2">
      <c r="D308" s="34">
        <v>1</v>
      </c>
      <c r="E308" s="35">
        <v>1</v>
      </c>
      <c r="F308" s="35" t="s">
        <v>393</v>
      </c>
      <c r="G308" s="35" t="s">
        <v>93</v>
      </c>
      <c r="H308" s="35">
        <v>50</v>
      </c>
      <c r="I308" s="35">
        <v>0</v>
      </c>
      <c r="J308" s="35">
        <v>1</v>
      </c>
      <c r="K308" s="35">
        <v>2475208</v>
      </c>
      <c r="L308" s="35">
        <v>1</v>
      </c>
      <c r="M308" s="35" t="s">
        <v>94</v>
      </c>
    </row>
    <row r="309" spans="4:13" x14ac:dyDescent="0.2">
      <c r="D309" s="34">
        <v>1</v>
      </c>
      <c r="E309" s="35">
        <v>3</v>
      </c>
      <c r="F309" s="35" t="s">
        <v>394</v>
      </c>
      <c r="G309" s="35" t="s">
        <v>93</v>
      </c>
      <c r="H309" s="36"/>
      <c r="I309" s="35">
        <v>0</v>
      </c>
      <c r="J309" s="35">
        <v>0</v>
      </c>
      <c r="K309" s="35">
        <v>775</v>
      </c>
      <c r="L309" s="35">
        <v>0</v>
      </c>
      <c r="M309" s="35" t="s">
        <v>99</v>
      </c>
    </row>
    <row r="310" spans="4:13" x14ac:dyDescent="0.2">
      <c r="D310" s="34">
        <v>1</v>
      </c>
      <c r="E310" s="35">
        <v>3</v>
      </c>
      <c r="F310" s="35" t="s">
        <v>395</v>
      </c>
      <c r="G310" s="35" t="s">
        <v>90</v>
      </c>
      <c r="H310" s="36"/>
      <c r="I310" s="35">
        <v>2</v>
      </c>
      <c r="J310" s="35">
        <v>0</v>
      </c>
      <c r="K310" s="35">
        <v>2325</v>
      </c>
      <c r="L310" s="35">
        <v>0</v>
      </c>
      <c r="M310" s="35" t="s">
        <v>99</v>
      </c>
    </row>
    <row r="311" spans="4:13" x14ac:dyDescent="0.2">
      <c r="D311" s="34">
        <v>0</v>
      </c>
      <c r="E311" s="35">
        <v>3</v>
      </c>
      <c r="F311" s="35" t="s">
        <v>396</v>
      </c>
      <c r="G311" s="35" t="s">
        <v>90</v>
      </c>
      <c r="H311" s="35">
        <v>19</v>
      </c>
      <c r="I311" s="35">
        <v>0</v>
      </c>
      <c r="J311" s="35">
        <v>0</v>
      </c>
      <c r="K311" s="35">
        <v>0</v>
      </c>
      <c r="L311" s="35">
        <v>0</v>
      </c>
      <c r="M311" s="35" t="s">
        <v>91</v>
      </c>
    </row>
    <row r="312" spans="4:13" x14ac:dyDescent="0.2">
      <c r="D312" s="34">
        <v>1</v>
      </c>
      <c r="E312" s="35">
        <v>2</v>
      </c>
      <c r="F312" s="35" t="s">
        <v>397</v>
      </c>
      <c r="G312" s="35" t="s">
        <v>93</v>
      </c>
      <c r="H312" s="36"/>
      <c r="I312" s="35">
        <v>0</v>
      </c>
      <c r="J312" s="35">
        <v>0</v>
      </c>
      <c r="K312" s="35">
        <v>1235</v>
      </c>
      <c r="L312" s="35">
        <v>1</v>
      </c>
      <c r="M312" s="35" t="s">
        <v>99</v>
      </c>
    </row>
    <row r="313" spans="4:13" x14ac:dyDescent="0.2">
      <c r="D313" s="34">
        <v>0</v>
      </c>
      <c r="E313" s="35">
        <v>3</v>
      </c>
      <c r="F313" s="35" t="s">
        <v>398</v>
      </c>
      <c r="G313" s="35" t="s">
        <v>90</v>
      </c>
      <c r="H313" s="36"/>
      <c r="I313" s="35">
        <v>0</v>
      </c>
      <c r="J313" s="35">
        <v>0</v>
      </c>
      <c r="K313" s="35">
        <v>805</v>
      </c>
      <c r="L313" s="35">
        <v>0</v>
      </c>
      <c r="M313" s="35" t="s">
        <v>91</v>
      </c>
    </row>
    <row r="314" spans="4:13" x14ac:dyDescent="0.2">
      <c r="D314" s="34">
        <v>1</v>
      </c>
      <c r="E314" s="35">
        <v>1</v>
      </c>
      <c r="F314" s="35" t="s">
        <v>399</v>
      </c>
      <c r="G314" s="35" t="s">
        <v>90</v>
      </c>
      <c r="H314" s="35">
        <v>92</v>
      </c>
      <c r="I314" s="35">
        <v>1</v>
      </c>
      <c r="J314" s="35">
        <v>2</v>
      </c>
      <c r="K314" s="35">
        <v>15155</v>
      </c>
      <c r="L314" s="35">
        <v>1</v>
      </c>
      <c r="M314" s="35" t="s">
        <v>91</v>
      </c>
    </row>
    <row r="315" spans="4:13" x14ac:dyDescent="0.2">
      <c r="D315" s="34">
        <v>1</v>
      </c>
      <c r="E315" s="35">
        <v>1</v>
      </c>
      <c r="F315" s="35" t="s">
        <v>400</v>
      </c>
      <c r="G315" s="35" t="s">
        <v>93</v>
      </c>
      <c r="H315" s="36"/>
      <c r="I315" s="35">
        <v>0</v>
      </c>
      <c r="J315" s="35">
        <v>0</v>
      </c>
      <c r="K315" s="35">
        <v>1108833</v>
      </c>
      <c r="L315" s="35">
        <v>0</v>
      </c>
      <c r="M315" s="35" t="s">
        <v>94</v>
      </c>
    </row>
    <row r="316" spans="4:13" x14ac:dyDescent="0.2">
      <c r="D316" s="34">
        <v>1</v>
      </c>
      <c r="E316" s="35">
        <v>1</v>
      </c>
      <c r="F316" s="35" t="s">
        <v>401</v>
      </c>
      <c r="G316" s="35" t="s">
        <v>93</v>
      </c>
      <c r="H316" s="35">
        <v>17</v>
      </c>
      <c r="I316" s="35">
        <v>1</v>
      </c>
      <c r="J316" s="35">
        <v>0</v>
      </c>
      <c r="K316" s="35">
        <v>1089</v>
      </c>
      <c r="L316" s="35">
        <v>1</v>
      </c>
      <c r="M316" s="35" t="s">
        <v>94</v>
      </c>
    </row>
    <row r="317" spans="4:13" x14ac:dyDescent="0.2">
      <c r="D317" s="34">
        <v>0</v>
      </c>
      <c r="E317" s="35">
        <v>2</v>
      </c>
      <c r="F317" s="35" t="s">
        <v>402</v>
      </c>
      <c r="G317" s="35" t="s">
        <v>90</v>
      </c>
      <c r="H317" s="35">
        <v>30</v>
      </c>
      <c r="I317" s="35">
        <v>1</v>
      </c>
      <c r="J317" s="35">
        <v>0</v>
      </c>
      <c r="K317" s="35">
        <v>24</v>
      </c>
      <c r="L317" s="35">
        <v>0</v>
      </c>
      <c r="M317" s="35" t="s">
        <v>94</v>
      </c>
    </row>
    <row r="318" spans="4:13" x14ac:dyDescent="0.2">
      <c r="D318" s="34">
        <v>1</v>
      </c>
      <c r="E318" s="35">
        <v>1</v>
      </c>
      <c r="F318" s="35" t="s">
        <v>403</v>
      </c>
      <c r="G318" s="35" t="s">
        <v>93</v>
      </c>
      <c r="H318" s="35">
        <v>30</v>
      </c>
      <c r="I318" s="35">
        <v>0</v>
      </c>
      <c r="J318" s="35">
        <v>0</v>
      </c>
      <c r="K318" s="35">
        <v>569292</v>
      </c>
      <c r="L318" s="35">
        <v>1</v>
      </c>
      <c r="M318" s="35" t="s">
        <v>94</v>
      </c>
    </row>
    <row r="319" spans="4:13" x14ac:dyDescent="0.2">
      <c r="D319" s="34">
        <v>1</v>
      </c>
      <c r="E319" s="35">
        <v>1</v>
      </c>
      <c r="F319" s="35" t="s">
        <v>404</v>
      </c>
      <c r="G319" s="35" t="s">
        <v>93</v>
      </c>
      <c r="H319" s="35">
        <v>24</v>
      </c>
      <c r="I319" s="35">
        <v>0</v>
      </c>
      <c r="J319" s="35">
        <v>0</v>
      </c>
      <c r="K319" s="35">
        <v>831583</v>
      </c>
      <c r="L319" s="35">
        <v>1</v>
      </c>
      <c r="M319" s="35" t="s">
        <v>94</v>
      </c>
    </row>
    <row r="320" spans="4:13" x14ac:dyDescent="0.2">
      <c r="D320" s="34">
        <v>1</v>
      </c>
      <c r="E320" s="35">
        <v>1</v>
      </c>
      <c r="F320" s="35" t="s">
        <v>405</v>
      </c>
      <c r="G320" s="35" t="s">
        <v>93</v>
      </c>
      <c r="H320" s="35">
        <v>18</v>
      </c>
      <c r="I320" s="35">
        <v>2</v>
      </c>
      <c r="J320" s="35">
        <v>2</v>
      </c>
      <c r="K320" s="35">
        <v>262375</v>
      </c>
      <c r="L320" s="35">
        <v>1</v>
      </c>
      <c r="M320" s="35" t="s">
        <v>94</v>
      </c>
    </row>
    <row r="321" spans="4:13" x14ac:dyDescent="0.2">
      <c r="D321" s="34">
        <v>0</v>
      </c>
      <c r="E321" s="35">
        <v>2</v>
      </c>
      <c r="F321" s="35" t="s">
        <v>406</v>
      </c>
      <c r="G321" s="35" t="s">
        <v>93</v>
      </c>
      <c r="H321" s="35">
        <v>26</v>
      </c>
      <c r="I321" s="35">
        <v>1</v>
      </c>
      <c r="J321" s="35">
        <v>1</v>
      </c>
      <c r="K321" s="35">
        <v>26</v>
      </c>
      <c r="L321" s="35">
        <v>0</v>
      </c>
      <c r="M321" s="35" t="s">
        <v>91</v>
      </c>
    </row>
    <row r="322" spans="4:13" x14ac:dyDescent="0.2">
      <c r="D322" s="34">
        <v>0</v>
      </c>
      <c r="E322" s="35">
        <v>3</v>
      </c>
      <c r="F322" s="35" t="s">
        <v>407</v>
      </c>
      <c r="G322" s="35" t="s">
        <v>90</v>
      </c>
      <c r="H322" s="35">
        <v>28</v>
      </c>
      <c r="I322" s="35">
        <v>0</v>
      </c>
      <c r="J322" s="35">
        <v>0</v>
      </c>
      <c r="K322" s="35">
        <v>78958</v>
      </c>
      <c r="L322" s="35">
        <v>0</v>
      </c>
      <c r="M322" s="35" t="s">
        <v>91</v>
      </c>
    </row>
    <row r="323" spans="4:13" x14ac:dyDescent="0.2">
      <c r="D323" s="34">
        <v>0</v>
      </c>
      <c r="E323" s="35">
        <v>2</v>
      </c>
      <c r="F323" s="35" t="s">
        <v>408</v>
      </c>
      <c r="G323" s="35" t="s">
        <v>90</v>
      </c>
      <c r="H323" s="35">
        <v>43</v>
      </c>
      <c r="I323" s="35">
        <v>1</v>
      </c>
      <c r="J323" s="35">
        <v>1</v>
      </c>
      <c r="K323" s="35">
        <v>2625</v>
      </c>
      <c r="L323" s="35">
        <v>0</v>
      </c>
      <c r="M323" s="35" t="s">
        <v>91</v>
      </c>
    </row>
    <row r="324" spans="4:13" x14ac:dyDescent="0.2">
      <c r="D324" s="34">
        <v>1</v>
      </c>
      <c r="E324" s="35">
        <v>3</v>
      </c>
      <c r="F324" s="35" t="s">
        <v>409</v>
      </c>
      <c r="G324" s="35" t="s">
        <v>93</v>
      </c>
      <c r="H324" s="35">
        <v>26</v>
      </c>
      <c r="I324" s="35">
        <v>0</v>
      </c>
      <c r="J324" s="35">
        <v>0</v>
      </c>
      <c r="K324" s="35">
        <v>78542</v>
      </c>
      <c r="L324" s="35">
        <v>0</v>
      </c>
      <c r="M324" s="35" t="s">
        <v>91</v>
      </c>
    </row>
    <row r="325" spans="4:13" x14ac:dyDescent="0.2">
      <c r="D325" s="34">
        <v>1</v>
      </c>
      <c r="E325" s="35">
        <v>2</v>
      </c>
      <c r="F325" s="35" t="s">
        <v>410</v>
      </c>
      <c r="G325" s="35" t="s">
        <v>93</v>
      </c>
      <c r="H325" s="35">
        <v>24</v>
      </c>
      <c r="I325" s="35">
        <v>1</v>
      </c>
      <c r="J325" s="35">
        <v>0</v>
      </c>
      <c r="K325" s="35">
        <v>26</v>
      </c>
      <c r="L325" s="35">
        <v>0</v>
      </c>
      <c r="M325" s="35" t="s">
        <v>91</v>
      </c>
    </row>
    <row r="326" spans="4:13" x14ac:dyDescent="0.2">
      <c r="D326" s="34">
        <v>0</v>
      </c>
      <c r="E326" s="35">
        <v>2</v>
      </c>
      <c r="F326" s="35" t="s">
        <v>411</v>
      </c>
      <c r="G326" s="35" t="s">
        <v>90</v>
      </c>
      <c r="H326" s="35">
        <v>54</v>
      </c>
      <c r="I326" s="35">
        <v>0</v>
      </c>
      <c r="J326" s="35">
        <v>0</v>
      </c>
      <c r="K326" s="35">
        <v>14</v>
      </c>
      <c r="L326" s="35">
        <v>0</v>
      </c>
      <c r="M326" s="35" t="s">
        <v>91</v>
      </c>
    </row>
    <row r="327" spans="4:13" x14ac:dyDescent="0.2">
      <c r="D327" s="34">
        <v>1</v>
      </c>
      <c r="E327" s="35">
        <v>1</v>
      </c>
      <c r="F327" s="35" t="s">
        <v>412</v>
      </c>
      <c r="G327" s="35" t="s">
        <v>93</v>
      </c>
      <c r="H327" s="35">
        <v>31</v>
      </c>
      <c r="I327" s="35">
        <v>0</v>
      </c>
      <c r="J327" s="35">
        <v>2</v>
      </c>
      <c r="K327" s="35">
        <v>1648667</v>
      </c>
      <c r="L327" s="35">
        <v>1</v>
      </c>
      <c r="M327" s="35" t="s">
        <v>91</v>
      </c>
    </row>
    <row r="328" spans="4:13" x14ac:dyDescent="0.2">
      <c r="D328" s="34">
        <v>1</v>
      </c>
      <c r="E328" s="35">
        <v>1</v>
      </c>
      <c r="F328" s="35" t="s">
        <v>413</v>
      </c>
      <c r="G328" s="35" t="s">
        <v>93</v>
      </c>
      <c r="H328" s="35">
        <v>40</v>
      </c>
      <c r="I328" s="35">
        <v>1</v>
      </c>
      <c r="J328" s="35">
        <v>1</v>
      </c>
      <c r="K328" s="35">
        <v>1345</v>
      </c>
      <c r="L328" s="35">
        <v>1</v>
      </c>
      <c r="M328" s="35" t="s">
        <v>94</v>
      </c>
    </row>
    <row r="329" spans="4:13" x14ac:dyDescent="0.2">
      <c r="D329" s="34">
        <v>0</v>
      </c>
      <c r="E329" s="35">
        <v>3</v>
      </c>
      <c r="F329" s="35" t="s">
        <v>414</v>
      </c>
      <c r="G329" s="35" t="s">
        <v>90</v>
      </c>
      <c r="H329" s="35">
        <v>22</v>
      </c>
      <c r="I329" s="35">
        <v>0</v>
      </c>
      <c r="J329" s="35">
        <v>0</v>
      </c>
      <c r="K329" s="35">
        <v>725</v>
      </c>
      <c r="L329" s="35">
        <v>0</v>
      </c>
      <c r="M329" s="35" t="s">
        <v>91</v>
      </c>
    </row>
    <row r="330" spans="4:13" x14ac:dyDescent="0.2">
      <c r="D330" s="34">
        <v>0</v>
      </c>
      <c r="E330" s="35">
        <v>3</v>
      </c>
      <c r="F330" s="35" t="s">
        <v>415</v>
      </c>
      <c r="G330" s="35" t="s">
        <v>90</v>
      </c>
      <c r="H330" s="35">
        <v>27</v>
      </c>
      <c r="I330" s="35">
        <v>0</v>
      </c>
      <c r="J330" s="35">
        <v>0</v>
      </c>
      <c r="K330" s="35">
        <v>78958</v>
      </c>
      <c r="L330" s="35">
        <v>0</v>
      </c>
      <c r="M330" s="35" t="s">
        <v>91</v>
      </c>
    </row>
    <row r="331" spans="4:13" x14ac:dyDescent="0.2">
      <c r="D331" s="34">
        <v>1</v>
      </c>
      <c r="E331" s="35">
        <v>2</v>
      </c>
      <c r="F331" s="35" t="s">
        <v>416</v>
      </c>
      <c r="G331" s="35" t="s">
        <v>93</v>
      </c>
      <c r="H331" s="35">
        <v>30</v>
      </c>
      <c r="I331" s="35">
        <v>0</v>
      </c>
      <c r="J331" s="35">
        <v>0</v>
      </c>
      <c r="K331" s="35">
        <v>1235</v>
      </c>
      <c r="L331" s="35">
        <v>0</v>
      </c>
      <c r="M331" s="35" t="s">
        <v>99</v>
      </c>
    </row>
    <row r="332" spans="4:13" x14ac:dyDescent="0.2">
      <c r="D332" s="34">
        <v>1</v>
      </c>
      <c r="E332" s="35">
        <v>2</v>
      </c>
      <c r="F332" s="35" t="s">
        <v>417</v>
      </c>
      <c r="G332" s="35" t="s">
        <v>93</v>
      </c>
      <c r="H332" s="35">
        <v>22</v>
      </c>
      <c r="I332" s="35">
        <v>1</v>
      </c>
      <c r="J332" s="35">
        <v>1</v>
      </c>
      <c r="K332" s="35">
        <v>29</v>
      </c>
      <c r="L332" s="35">
        <v>0</v>
      </c>
      <c r="M332" s="35" t="s">
        <v>91</v>
      </c>
    </row>
    <row r="333" spans="4:13" x14ac:dyDescent="0.2">
      <c r="D333" s="34">
        <v>0</v>
      </c>
      <c r="E333" s="35">
        <v>3</v>
      </c>
      <c r="F333" s="35" t="s">
        <v>418</v>
      </c>
      <c r="G333" s="35" t="s">
        <v>90</v>
      </c>
      <c r="H333" s="36"/>
      <c r="I333" s="35">
        <v>8</v>
      </c>
      <c r="J333" s="35">
        <v>2</v>
      </c>
      <c r="K333" s="35">
        <v>6955</v>
      </c>
      <c r="L333" s="35">
        <v>0</v>
      </c>
      <c r="M333" s="35" t="s">
        <v>91</v>
      </c>
    </row>
    <row r="334" spans="4:13" x14ac:dyDescent="0.2">
      <c r="D334" s="34">
        <v>1</v>
      </c>
      <c r="E334" s="35">
        <v>1</v>
      </c>
      <c r="F334" s="35" t="s">
        <v>419</v>
      </c>
      <c r="G334" s="35" t="s">
        <v>93</v>
      </c>
      <c r="H334" s="35">
        <v>36</v>
      </c>
      <c r="I334" s="35">
        <v>0</v>
      </c>
      <c r="J334" s="35">
        <v>0</v>
      </c>
      <c r="K334" s="35">
        <v>1356333</v>
      </c>
      <c r="L334" s="35">
        <v>1</v>
      </c>
      <c r="M334" s="35" t="s">
        <v>94</v>
      </c>
    </row>
    <row r="335" spans="4:13" x14ac:dyDescent="0.2">
      <c r="D335" s="34">
        <v>0</v>
      </c>
      <c r="E335" s="35">
        <v>3</v>
      </c>
      <c r="F335" s="35" t="s">
        <v>420</v>
      </c>
      <c r="G335" s="35" t="s">
        <v>90</v>
      </c>
      <c r="H335" s="35">
        <v>61</v>
      </c>
      <c r="I335" s="35">
        <v>0</v>
      </c>
      <c r="J335" s="35">
        <v>0</v>
      </c>
      <c r="K335" s="35">
        <v>62375</v>
      </c>
      <c r="L335" s="35">
        <v>0</v>
      </c>
      <c r="M335" s="35" t="s">
        <v>91</v>
      </c>
    </row>
    <row r="336" spans="4:13" x14ac:dyDescent="0.2">
      <c r="D336" s="34">
        <v>1</v>
      </c>
      <c r="E336" s="35">
        <v>2</v>
      </c>
      <c r="F336" s="35" t="s">
        <v>421</v>
      </c>
      <c r="G336" s="35" t="s">
        <v>93</v>
      </c>
      <c r="H336" s="35">
        <v>36</v>
      </c>
      <c r="I336" s="35">
        <v>0</v>
      </c>
      <c r="J336" s="35">
        <v>0</v>
      </c>
      <c r="K336" s="35">
        <v>13</v>
      </c>
      <c r="L336" s="35">
        <v>1</v>
      </c>
      <c r="M336" s="35" t="s">
        <v>91</v>
      </c>
    </row>
    <row r="337" spans="4:13" x14ac:dyDescent="0.2">
      <c r="D337" s="34">
        <v>1</v>
      </c>
      <c r="E337" s="35">
        <v>3</v>
      </c>
      <c r="F337" s="35" t="s">
        <v>422</v>
      </c>
      <c r="G337" s="35" t="s">
        <v>93</v>
      </c>
      <c r="H337" s="35">
        <v>31</v>
      </c>
      <c r="I337" s="35">
        <v>1</v>
      </c>
      <c r="J337" s="35">
        <v>1</v>
      </c>
      <c r="K337" s="35">
        <v>20525</v>
      </c>
      <c r="L337" s="35">
        <v>0</v>
      </c>
      <c r="M337" s="35" t="s">
        <v>91</v>
      </c>
    </row>
    <row r="338" spans="4:13" x14ac:dyDescent="0.2">
      <c r="D338" s="34">
        <v>1</v>
      </c>
      <c r="E338" s="35">
        <v>1</v>
      </c>
      <c r="F338" s="35" t="s">
        <v>423</v>
      </c>
      <c r="G338" s="35" t="s">
        <v>93</v>
      </c>
      <c r="H338" s="35">
        <v>16</v>
      </c>
      <c r="I338" s="35">
        <v>0</v>
      </c>
      <c r="J338" s="35">
        <v>1</v>
      </c>
      <c r="K338" s="35">
        <v>579792</v>
      </c>
      <c r="L338" s="35">
        <v>1</v>
      </c>
      <c r="M338" s="35" t="s">
        <v>94</v>
      </c>
    </row>
    <row r="339" spans="4:13" x14ac:dyDescent="0.2">
      <c r="D339" s="34">
        <v>1</v>
      </c>
      <c r="E339" s="35">
        <v>3</v>
      </c>
      <c r="F339" s="35" t="s">
        <v>424</v>
      </c>
      <c r="G339" s="35" t="s">
        <v>93</v>
      </c>
      <c r="H339" s="36"/>
      <c r="I339" s="35">
        <v>2</v>
      </c>
      <c r="J339" s="35">
        <v>0</v>
      </c>
      <c r="K339" s="35">
        <v>2325</v>
      </c>
      <c r="L339" s="35">
        <v>0</v>
      </c>
      <c r="M339" s="35" t="s">
        <v>99</v>
      </c>
    </row>
    <row r="340" spans="4:13" x14ac:dyDescent="0.2">
      <c r="D340" s="34">
        <v>0</v>
      </c>
      <c r="E340" s="35">
        <v>1</v>
      </c>
      <c r="F340" s="35" t="s">
        <v>425</v>
      </c>
      <c r="G340" s="35" t="s">
        <v>90</v>
      </c>
      <c r="H340" s="35">
        <v>455</v>
      </c>
      <c r="I340" s="35">
        <v>0</v>
      </c>
      <c r="J340" s="35">
        <v>0</v>
      </c>
      <c r="K340" s="35">
        <v>285</v>
      </c>
      <c r="L340" s="35">
        <v>1</v>
      </c>
      <c r="M340" s="35" t="s">
        <v>91</v>
      </c>
    </row>
    <row r="341" spans="4:13" x14ac:dyDescent="0.2">
      <c r="D341" s="34">
        <v>0</v>
      </c>
      <c r="E341" s="35">
        <v>1</v>
      </c>
      <c r="F341" s="35" t="s">
        <v>426</v>
      </c>
      <c r="G341" s="35" t="s">
        <v>90</v>
      </c>
      <c r="H341" s="35">
        <v>38</v>
      </c>
      <c r="I341" s="35">
        <v>0</v>
      </c>
      <c r="J341" s="35">
        <v>1</v>
      </c>
      <c r="K341" s="35">
        <v>1534625</v>
      </c>
      <c r="L341" s="35">
        <v>1</v>
      </c>
      <c r="M341" s="35" t="s">
        <v>91</v>
      </c>
    </row>
    <row r="342" spans="4:13" x14ac:dyDescent="0.2">
      <c r="D342" s="34">
        <v>0</v>
      </c>
      <c r="E342" s="35">
        <v>3</v>
      </c>
      <c r="F342" s="35" t="s">
        <v>427</v>
      </c>
      <c r="G342" s="35" t="s">
        <v>90</v>
      </c>
      <c r="H342" s="35">
        <v>16</v>
      </c>
      <c r="I342" s="35">
        <v>2</v>
      </c>
      <c r="J342" s="35">
        <v>0</v>
      </c>
      <c r="K342" s="35">
        <v>18</v>
      </c>
      <c r="L342" s="35">
        <v>0</v>
      </c>
      <c r="M342" s="35" t="s">
        <v>91</v>
      </c>
    </row>
    <row r="343" spans="4:13" x14ac:dyDescent="0.2">
      <c r="D343" s="34">
        <v>1</v>
      </c>
      <c r="E343" s="35">
        <v>1</v>
      </c>
      <c r="F343" s="35" t="s">
        <v>428</v>
      </c>
      <c r="G343" s="35" t="s">
        <v>93</v>
      </c>
      <c r="H343" s="36"/>
      <c r="I343" s="35">
        <v>1</v>
      </c>
      <c r="J343" s="35">
        <v>0</v>
      </c>
      <c r="K343" s="35">
        <v>13365</v>
      </c>
      <c r="L343" s="35">
        <v>0</v>
      </c>
      <c r="M343" s="35" t="s">
        <v>91</v>
      </c>
    </row>
    <row r="344" spans="4:13" x14ac:dyDescent="0.2">
      <c r="D344" s="34">
        <v>0</v>
      </c>
      <c r="E344" s="35">
        <v>3</v>
      </c>
      <c r="F344" s="35" t="s">
        <v>429</v>
      </c>
      <c r="G344" s="35" t="s">
        <v>90</v>
      </c>
      <c r="H344" s="36"/>
      <c r="I344" s="35">
        <v>0</v>
      </c>
      <c r="J344" s="35">
        <v>0</v>
      </c>
      <c r="K344" s="35">
        <v>78958</v>
      </c>
      <c r="L344" s="35">
        <v>0</v>
      </c>
      <c r="M344" s="35" t="s">
        <v>91</v>
      </c>
    </row>
    <row r="345" spans="4:13" x14ac:dyDescent="0.2">
      <c r="D345" s="34">
        <v>0</v>
      </c>
      <c r="E345" s="35">
        <v>1</v>
      </c>
      <c r="F345" s="35" t="s">
        <v>430</v>
      </c>
      <c r="G345" s="35" t="s">
        <v>90</v>
      </c>
      <c r="H345" s="35">
        <v>29</v>
      </c>
      <c r="I345" s="35">
        <v>1</v>
      </c>
      <c r="J345" s="35">
        <v>0</v>
      </c>
      <c r="K345" s="35">
        <v>666</v>
      </c>
      <c r="L345" s="35">
        <v>1</v>
      </c>
      <c r="M345" s="35" t="s">
        <v>91</v>
      </c>
    </row>
    <row r="346" spans="4:13" x14ac:dyDescent="0.2">
      <c r="D346" s="34">
        <v>1</v>
      </c>
      <c r="E346" s="35">
        <v>1</v>
      </c>
      <c r="F346" s="35" t="s">
        <v>431</v>
      </c>
      <c r="G346" s="35" t="s">
        <v>93</v>
      </c>
      <c r="H346" s="35">
        <v>41</v>
      </c>
      <c r="I346" s="35">
        <v>0</v>
      </c>
      <c r="J346" s="35">
        <v>0</v>
      </c>
      <c r="K346" s="35">
        <v>1345</v>
      </c>
      <c r="L346" s="35">
        <v>1</v>
      </c>
      <c r="M346" s="35" t="s">
        <v>94</v>
      </c>
    </row>
    <row r="347" spans="4:13" x14ac:dyDescent="0.2">
      <c r="D347" s="34">
        <v>1</v>
      </c>
      <c r="E347" s="35">
        <v>3</v>
      </c>
      <c r="F347" s="35" t="s">
        <v>432</v>
      </c>
      <c r="G347" s="35" t="s">
        <v>90</v>
      </c>
      <c r="H347" s="35">
        <v>45</v>
      </c>
      <c r="I347" s="35">
        <v>0</v>
      </c>
      <c r="J347" s="35">
        <v>0</v>
      </c>
      <c r="K347" s="35">
        <v>805</v>
      </c>
      <c r="L347" s="35">
        <v>0</v>
      </c>
      <c r="M347" s="35" t="s">
        <v>91</v>
      </c>
    </row>
    <row r="348" spans="4:13" x14ac:dyDescent="0.2">
      <c r="D348" s="34">
        <v>0</v>
      </c>
      <c r="E348" s="35">
        <v>1</v>
      </c>
      <c r="F348" s="35" t="s">
        <v>433</v>
      </c>
      <c r="G348" s="35" t="s">
        <v>90</v>
      </c>
      <c r="H348" s="35">
        <v>45</v>
      </c>
      <c r="I348" s="35">
        <v>0</v>
      </c>
      <c r="J348" s="35">
        <v>0</v>
      </c>
      <c r="K348" s="35">
        <v>355</v>
      </c>
      <c r="L348" s="35">
        <v>1</v>
      </c>
      <c r="M348" s="35" t="s">
        <v>91</v>
      </c>
    </row>
    <row r="349" spans="4:13" x14ac:dyDescent="0.2">
      <c r="D349" s="34">
        <v>1</v>
      </c>
      <c r="E349" s="35">
        <v>2</v>
      </c>
      <c r="F349" s="35" t="s">
        <v>434</v>
      </c>
      <c r="G349" s="35" t="s">
        <v>90</v>
      </c>
      <c r="H349" s="35">
        <v>2</v>
      </c>
      <c r="I349" s="35">
        <v>1</v>
      </c>
      <c r="J349" s="35">
        <v>1</v>
      </c>
      <c r="K349" s="35">
        <v>26</v>
      </c>
      <c r="L349" s="35">
        <v>1</v>
      </c>
      <c r="M349" s="35" t="s">
        <v>91</v>
      </c>
    </row>
    <row r="350" spans="4:13" x14ac:dyDescent="0.2">
      <c r="D350" s="34">
        <v>1</v>
      </c>
      <c r="E350" s="35">
        <v>1</v>
      </c>
      <c r="F350" s="35" t="s">
        <v>435</v>
      </c>
      <c r="G350" s="35" t="s">
        <v>93</v>
      </c>
      <c r="H350" s="35">
        <v>24</v>
      </c>
      <c r="I350" s="35">
        <v>3</v>
      </c>
      <c r="J350" s="35">
        <v>2</v>
      </c>
      <c r="K350" s="35">
        <v>263</v>
      </c>
      <c r="L350" s="35">
        <v>1</v>
      </c>
      <c r="M350" s="35" t="s">
        <v>91</v>
      </c>
    </row>
    <row r="351" spans="4:13" x14ac:dyDescent="0.2">
      <c r="D351" s="34">
        <v>0</v>
      </c>
      <c r="E351" s="35">
        <v>2</v>
      </c>
      <c r="F351" s="35" t="s">
        <v>436</v>
      </c>
      <c r="G351" s="35" t="s">
        <v>90</v>
      </c>
      <c r="H351" s="35">
        <v>28</v>
      </c>
      <c r="I351" s="35">
        <v>0</v>
      </c>
      <c r="J351" s="35">
        <v>0</v>
      </c>
      <c r="K351" s="35">
        <v>13</v>
      </c>
      <c r="L351" s="35">
        <v>0</v>
      </c>
      <c r="M351" s="35" t="s">
        <v>91</v>
      </c>
    </row>
    <row r="352" spans="4:13" x14ac:dyDescent="0.2">
      <c r="D352" s="34">
        <v>0</v>
      </c>
      <c r="E352" s="35">
        <v>2</v>
      </c>
      <c r="F352" s="35" t="s">
        <v>437</v>
      </c>
      <c r="G352" s="35" t="s">
        <v>90</v>
      </c>
      <c r="H352" s="35">
        <v>25</v>
      </c>
      <c r="I352" s="35">
        <v>0</v>
      </c>
      <c r="J352" s="35">
        <v>0</v>
      </c>
      <c r="K352" s="35">
        <v>13</v>
      </c>
      <c r="L352" s="35">
        <v>0</v>
      </c>
      <c r="M352" s="35" t="s">
        <v>91</v>
      </c>
    </row>
    <row r="353" spans="4:13" x14ac:dyDescent="0.2">
      <c r="D353" s="34">
        <v>0</v>
      </c>
      <c r="E353" s="35">
        <v>2</v>
      </c>
      <c r="F353" s="35" t="s">
        <v>438</v>
      </c>
      <c r="G353" s="35" t="s">
        <v>90</v>
      </c>
      <c r="H353" s="35">
        <v>36</v>
      </c>
      <c r="I353" s="35">
        <v>0</v>
      </c>
      <c r="J353" s="35">
        <v>0</v>
      </c>
      <c r="K353" s="35">
        <v>13</v>
      </c>
      <c r="L353" s="35">
        <v>0</v>
      </c>
      <c r="M353" s="35" t="s">
        <v>91</v>
      </c>
    </row>
    <row r="354" spans="4:13" x14ac:dyDescent="0.2">
      <c r="D354" s="34">
        <v>1</v>
      </c>
      <c r="E354" s="35">
        <v>2</v>
      </c>
      <c r="F354" s="35" t="s">
        <v>439</v>
      </c>
      <c r="G354" s="35" t="s">
        <v>93</v>
      </c>
      <c r="H354" s="35">
        <v>24</v>
      </c>
      <c r="I354" s="35">
        <v>0</v>
      </c>
      <c r="J354" s="35">
        <v>0</v>
      </c>
      <c r="K354" s="35">
        <v>13</v>
      </c>
      <c r="L354" s="35">
        <v>1</v>
      </c>
      <c r="M354" s="35" t="s">
        <v>91</v>
      </c>
    </row>
    <row r="355" spans="4:13" x14ac:dyDescent="0.2">
      <c r="D355" s="34">
        <v>1</v>
      </c>
      <c r="E355" s="35">
        <v>2</v>
      </c>
      <c r="F355" s="35" t="s">
        <v>440</v>
      </c>
      <c r="G355" s="35" t="s">
        <v>93</v>
      </c>
      <c r="H355" s="35">
        <v>40</v>
      </c>
      <c r="I355" s="35">
        <v>0</v>
      </c>
      <c r="J355" s="35">
        <v>0</v>
      </c>
      <c r="K355" s="35">
        <v>13</v>
      </c>
      <c r="L355" s="35">
        <v>0</v>
      </c>
      <c r="M355" s="35" t="s">
        <v>91</v>
      </c>
    </row>
    <row r="356" spans="4:13" x14ac:dyDescent="0.2">
      <c r="D356" s="34">
        <v>1</v>
      </c>
      <c r="E356" s="35">
        <v>3</v>
      </c>
      <c r="F356" s="35" t="s">
        <v>441</v>
      </c>
      <c r="G356" s="35" t="s">
        <v>93</v>
      </c>
      <c r="H356" s="36"/>
      <c r="I356" s="35">
        <v>1</v>
      </c>
      <c r="J356" s="35">
        <v>0</v>
      </c>
      <c r="K356" s="35">
        <v>161</v>
      </c>
      <c r="L356" s="35">
        <v>0</v>
      </c>
      <c r="M356" s="35" t="s">
        <v>91</v>
      </c>
    </row>
    <row r="357" spans="4:13" x14ac:dyDescent="0.2">
      <c r="D357" s="34">
        <v>1</v>
      </c>
      <c r="E357" s="35">
        <v>3</v>
      </c>
      <c r="F357" s="35" t="s">
        <v>442</v>
      </c>
      <c r="G357" s="35" t="s">
        <v>90</v>
      </c>
      <c r="H357" s="35">
        <v>3</v>
      </c>
      <c r="I357" s="35">
        <v>1</v>
      </c>
      <c r="J357" s="35">
        <v>1</v>
      </c>
      <c r="K357" s="35">
        <v>159</v>
      </c>
      <c r="L357" s="35">
        <v>0</v>
      </c>
      <c r="M357" s="35" t="s">
        <v>91</v>
      </c>
    </row>
    <row r="358" spans="4:13" x14ac:dyDescent="0.2">
      <c r="D358" s="34">
        <v>0</v>
      </c>
      <c r="E358" s="35">
        <v>3</v>
      </c>
      <c r="F358" s="35" t="s">
        <v>443</v>
      </c>
      <c r="G358" s="35" t="s">
        <v>90</v>
      </c>
      <c r="H358" s="35">
        <v>42</v>
      </c>
      <c r="I358" s="35">
        <v>0</v>
      </c>
      <c r="J358" s="35">
        <v>0</v>
      </c>
      <c r="K358" s="35">
        <v>86625</v>
      </c>
      <c r="L358" s="35">
        <v>0</v>
      </c>
      <c r="M358" s="35" t="s">
        <v>91</v>
      </c>
    </row>
    <row r="359" spans="4:13" x14ac:dyDescent="0.2">
      <c r="D359" s="34">
        <v>0</v>
      </c>
      <c r="E359" s="35">
        <v>3</v>
      </c>
      <c r="F359" s="35" t="s">
        <v>444</v>
      </c>
      <c r="G359" s="35" t="s">
        <v>90</v>
      </c>
      <c r="H359" s="35">
        <v>23</v>
      </c>
      <c r="I359" s="35">
        <v>0</v>
      </c>
      <c r="J359" s="35">
        <v>0</v>
      </c>
      <c r="K359" s="35">
        <v>9225</v>
      </c>
      <c r="L359" s="35">
        <v>0</v>
      </c>
      <c r="M359" s="35" t="s">
        <v>91</v>
      </c>
    </row>
    <row r="360" spans="4:13" x14ac:dyDescent="0.2">
      <c r="D360" s="34">
        <v>0</v>
      </c>
      <c r="E360" s="35">
        <v>1</v>
      </c>
      <c r="F360" s="35" t="s">
        <v>445</v>
      </c>
      <c r="G360" s="35" t="s">
        <v>90</v>
      </c>
      <c r="H360" s="36"/>
      <c r="I360" s="35">
        <v>0</v>
      </c>
      <c r="J360" s="35">
        <v>0</v>
      </c>
      <c r="K360" s="35">
        <v>35</v>
      </c>
      <c r="L360" s="35">
        <v>1</v>
      </c>
      <c r="M360" s="35" t="s">
        <v>91</v>
      </c>
    </row>
    <row r="361" spans="4:13" x14ac:dyDescent="0.2">
      <c r="D361" s="34">
        <v>0</v>
      </c>
      <c r="E361" s="35">
        <v>3</v>
      </c>
      <c r="F361" s="35" t="s">
        <v>446</v>
      </c>
      <c r="G361" s="35" t="s">
        <v>90</v>
      </c>
      <c r="H361" s="35">
        <v>15</v>
      </c>
      <c r="I361" s="35">
        <v>1</v>
      </c>
      <c r="J361" s="35">
        <v>1</v>
      </c>
      <c r="K361" s="35">
        <v>72292</v>
      </c>
      <c r="L361" s="35">
        <v>0</v>
      </c>
      <c r="M361" s="35" t="s">
        <v>94</v>
      </c>
    </row>
    <row r="362" spans="4:13" x14ac:dyDescent="0.2">
      <c r="D362" s="34">
        <v>0</v>
      </c>
      <c r="E362" s="35">
        <v>3</v>
      </c>
      <c r="F362" s="35" t="s">
        <v>447</v>
      </c>
      <c r="G362" s="35" t="s">
        <v>90</v>
      </c>
      <c r="H362" s="35">
        <v>25</v>
      </c>
      <c r="I362" s="35">
        <v>1</v>
      </c>
      <c r="J362" s="35">
        <v>0</v>
      </c>
      <c r="K362" s="35">
        <v>178</v>
      </c>
      <c r="L362" s="35">
        <v>0</v>
      </c>
      <c r="M362" s="35" t="s">
        <v>91</v>
      </c>
    </row>
    <row r="363" spans="4:13" x14ac:dyDescent="0.2">
      <c r="D363" s="34">
        <v>0</v>
      </c>
      <c r="E363" s="35">
        <v>3</v>
      </c>
      <c r="F363" s="35" t="s">
        <v>448</v>
      </c>
      <c r="G363" s="35" t="s">
        <v>90</v>
      </c>
      <c r="H363" s="36"/>
      <c r="I363" s="35">
        <v>0</v>
      </c>
      <c r="J363" s="35">
        <v>0</v>
      </c>
      <c r="K363" s="35">
        <v>7225</v>
      </c>
      <c r="L363" s="35">
        <v>0</v>
      </c>
      <c r="M363" s="35" t="s">
        <v>94</v>
      </c>
    </row>
    <row r="364" spans="4:13" x14ac:dyDescent="0.2">
      <c r="D364" s="34">
        <v>0</v>
      </c>
      <c r="E364" s="35">
        <v>3</v>
      </c>
      <c r="F364" s="35" t="s">
        <v>449</v>
      </c>
      <c r="G364" s="35" t="s">
        <v>90</v>
      </c>
      <c r="H364" s="35">
        <v>28</v>
      </c>
      <c r="I364" s="35">
        <v>0</v>
      </c>
      <c r="J364" s="35">
        <v>0</v>
      </c>
      <c r="K364" s="35">
        <v>95</v>
      </c>
      <c r="L364" s="35">
        <v>0</v>
      </c>
      <c r="M364" s="35" t="s">
        <v>91</v>
      </c>
    </row>
    <row r="365" spans="4:13" x14ac:dyDescent="0.2">
      <c r="D365" s="34">
        <v>1</v>
      </c>
      <c r="E365" s="35">
        <v>1</v>
      </c>
      <c r="F365" s="35" t="s">
        <v>450</v>
      </c>
      <c r="G365" s="35" t="s">
        <v>93</v>
      </c>
      <c r="H365" s="35">
        <v>22</v>
      </c>
      <c r="I365" s="35">
        <v>0</v>
      </c>
      <c r="J365" s="35">
        <v>1</v>
      </c>
      <c r="K365" s="35">
        <v>55</v>
      </c>
      <c r="L365" s="35">
        <v>1</v>
      </c>
      <c r="M365" s="35" t="s">
        <v>91</v>
      </c>
    </row>
    <row r="366" spans="4:13" x14ac:dyDescent="0.2">
      <c r="D366" s="34">
        <v>0</v>
      </c>
      <c r="E366" s="35">
        <v>2</v>
      </c>
      <c r="F366" s="35" t="s">
        <v>451</v>
      </c>
      <c r="G366" s="35" t="s">
        <v>93</v>
      </c>
      <c r="H366" s="35">
        <v>38</v>
      </c>
      <c r="I366" s="35">
        <v>0</v>
      </c>
      <c r="J366" s="35">
        <v>0</v>
      </c>
      <c r="K366" s="35">
        <v>13</v>
      </c>
      <c r="L366" s="35">
        <v>0</v>
      </c>
      <c r="M366" s="35" t="s">
        <v>91</v>
      </c>
    </row>
    <row r="367" spans="4:13" x14ac:dyDescent="0.2">
      <c r="D367" s="34">
        <v>1</v>
      </c>
      <c r="E367" s="35">
        <v>3</v>
      </c>
      <c r="F367" s="35" t="s">
        <v>452</v>
      </c>
      <c r="G367" s="35" t="s">
        <v>93</v>
      </c>
      <c r="H367" s="36"/>
      <c r="I367" s="35">
        <v>0</v>
      </c>
      <c r="J367" s="35">
        <v>0</v>
      </c>
      <c r="K367" s="35">
        <v>78792</v>
      </c>
      <c r="L367" s="35">
        <v>0</v>
      </c>
      <c r="M367" s="35" t="s">
        <v>99</v>
      </c>
    </row>
    <row r="368" spans="4:13" x14ac:dyDescent="0.2">
      <c r="D368" s="34">
        <v>1</v>
      </c>
      <c r="E368" s="35">
        <v>3</v>
      </c>
      <c r="F368" s="35" t="s">
        <v>453</v>
      </c>
      <c r="G368" s="35" t="s">
        <v>93</v>
      </c>
      <c r="H368" s="36"/>
      <c r="I368" s="35">
        <v>0</v>
      </c>
      <c r="J368" s="35">
        <v>0</v>
      </c>
      <c r="K368" s="35">
        <v>78792</v>
      </c>
      <c r="L368" s="35">
        <v>0</v>
      </c>
      <c r="M368" s="35" t="s">
        <v>99</v>
      </c>
    </row>
    <row r="369" spans="4:13" x14ac:dyDescent="0.2">
      <c r="D369" s="34">
        <v>0</v>
      </c>
      <c r="E369" s="35">
        <v>3</v>
      </c>
      <c r="F369" s="35" t="s">
        <v>454</v>
      </c>
      <c r="G369" s="35" t="s">
        <v>90</v>
      </c>
      <c r="H369" s="35">
        <v>40</v>
      </c>
      <c r="I369" s="35">
        <v>1</v>
      </c>
      <c r="J369" s="35">
        <v>4</v>
      </c>
      <c r="K369" s="35">
        <v>279</v>
      </c>
      <c r="L369" s="35">
        <v>0</v>
      </c>
      <c r="M369" s="35" t="s">
        <v>91</v>
      </c>
    </row>
    <row r="370" spans="4:13" x14ac:dyDescent="0.2">
      <c r="D370" s="34">
        <v>0</v>
      </c>
      <c r="E370" s="35">
        <v>2</v>
      </c>
      <c r="F370" s="35" t="s">
        <v>455</v>
      </c>
      <c r="G370" s="35" t="s">
        <v>90</v>
      </c>
      <c r="H370" s="35">
        <v>29</v>
      </c>
      <c r="I370" s="35">
        <v>1</v>
      </c>
      <c r="J370" s="35">
        <v>0</v>
      </c>
      <c r="K370" s="35">
        <v>277208</v>
      </c>
      <c r="L370" s="35">
        <v>0</v>
      </c>
      <c r="M370" s="35" t="s">
        <v>94</v>
      </c>
    </row>
    <row r="371" spans="4:13" x14ac:dyDescent="0.2">
      <c r="D371" s="34">
        <v>0</v>
      </c>
      <c r="E371" s="35">
        <v>3</v>
      </c>
      <c r="F371" s="35" t="s">
        <v>456</v>
      </c>
      <c r="G371" s="35" t="s">
        <v>93</v>
      </c>
      <c r="H371" s="35">
        <v>45</v>
      </c>
      <c r="I371" s="35">
        <v>0</v>
      </c>
      <c r="J371" s="35">
        <v>1</v>
      </c>
      <c r="K371" s="35">
        <v>144542</v>
      </c>
      <c r="L371" s="35">
        <v>0</v>
      </c>
      <c r="M371" s="35" t="s">
        <v>94</v>
      </c>
    </row>
    <row r="372" spans="4:13" x14ac:dyDescent="0.2">
      <c r="D372" s="34">
        <v>0</v>
      </c>
      <c r="E372" s="35">
        <v>3</v>
      </c>
      <c r="F372" s="35" t="s">
        <v>457</v>
      </c>
      <c r="G372" s="35" t="s">
        <v>90</v>
      </c>
      <c r="H372" s="35">
        <v>35</v>
      </c>
      <c r="I372" s="35">
        <v>0</v>
      </c>
      <c r="J372" s="35">
        <v>0</v>
      </c>
      <c r="K372" s="35">
        <v>705</v>
      </c>
      <c r="L372" s="35">
        <v>0</v>
      </c>
      <c r="M372" s="35" t="s">
        <v>91</v>
      </c>
    </row>
    <row r="373" spans="4:13" x14ac:dyDescent="0.2">
      <c r="D373" s="34">
        <v>0</v>
      </c>
      <c r="E373" s="35">
        <v>3</v>
      </c>
      <c r="F373" s="35" t="s">
        <v>458</v>
      </c>
      <c r="G373" s="35" t="s">
        <v>90</v>
      </c>
      <c r="H373" s="36"/>
      <c r="I373" s="35">
        <v>1</v>
      </c>
      <c r="J373" s="35">
        <v>0</v>
      </c>
      <c r="K373" s="35">
        <v>155</v>
      </c>
      <c r="L373" s="35">
        <v>0</v>
      </c>
      <c r="M373" s="35" t="s">
        <v>99</v>
      </c>
    </row>
    <row r="374" spans="4:13" x14ac:dyDescent="0.2">
      <c r="D374" s="34">
        <v>0</v>
      </c>
      <c r="E374" s="35">
        <v>3</v>
      </c>
      <c r="F374" s="35" t="s">
        <v>459</v>
      </c>
      <c r="G374" s="35" t="s">
        <v>90</v>
      </c>
      <c r="H374" s="35">
        <v>30</v>
      </c>
      <c r="I374" s="35">
        <v>0</v>
      </c>
      <c r="J374" s="35">
        <v>0</v>
      </c>
      <c r="K374" s="35">
        <v>725</v>
      </c>
      <c r="L374" s="35">
        <v>0</v>
      </c>
      <c r="M374" s="35" t="s">
        <v>91</v>
      </c>
    </row>
    <row r="375" spans="4:13" x14ac:dyDescent="0.2">
      <c r="D375" s="34">
        <v>1</v>
      </c>
      <c r="E375" s="35">
        <v>1</v>
      </c>
      <c r="F375" s="35" t="s">
        <v>460</v>
      </c>
      <c r="G375" s="35" t="s">
        <v>93</v>
      </c>
      <c r="H375" s="35">
        <v>60</v>
      </c>
      <c r="I375" s="35">
        <v>1</v>
      </c>
      <c r="J375" s="35">
        <v>0</v>
      </c>
      <c r="K375" s="35">
        <v>7525</v>
      </c>
      <c r="L375" s="35">
        <v>1</v>
      </c>
      <c r="M375" s="35" t="s">
        <v>94</v>
      </c>
    </row>
    <row r="376" spans="4:13" x14ac:dyDescent="0.2">
      <c r="D376" s="34">
        <v>1</v>
      </c>
      <c r="E376" s="35">
        <v>3</v>
      </c>
      <c r="F376" s="35" t="s">
        <v>461</v>
      </c>
      <c r="G376" s="35" t="s">
        <v>93</v>
      </c>
      <c r="H376" s="36"/>
      <c r="I376" s="35">
        <v>0</v>
      </c>
      <c r="J376" s="35">
        <v>0</v>
      </c>
      <c r="K376" s="35">
        <v>72292</v>
      </c>
      <c r="L376" s="35">
        <v>0</v>
      </c>
      <c r="M376" s="35" t="s">
        <v>94</v>
      </c>
    </row>
    <row r="377" spans="4:13" x14ac:dyDescent="0.2">
      <c r="D377" s="34">
        <v>1</v>
      </c>
      <c r="E377" s="35">
        <v>3</v>
      </c>
      <c r="F377" s="35" t="s">
        <v>462</v>
      </c>
      <c r="G377" s="35" t="s">
        <v>93</v>
      </c>
      <c r="H377" s="36"/>
      <c r="I377" s="35">
        <v>0</v>
      </c>
      <c r="J377" s="35">
        <v>0</v>
      </c>
      <c r="K377" s="35">
        <v>775</v>
      </c>
      <c r="L377" s="35">
        <v>0</v>
      </c>
      <c r="M377" s="35" t="s">
        <v>99</v>
      </c>
    </row>
    <row r="378" spans="4:13" x14ac:dyDescent="0.2">
      <c r="D378" s="34">
        <v>1</v>
      </c>
      <c r="E378" s="35">
        <v>1</v>
      </c>
      <c r="F378" s="35" t="s">
        <v>463</v>
      </c>
      <c r="G378" s="35" t="s">
        <v>93</v>
      </c>
      <c r="H378" s="35">
        <v>24</v>
      </c>
      <c r="I378" s="35">
        <v>0</v>
      </c>
      <c r="J378" s="35">
        <v>0</v>
      </c>
      <c r="K378" s="35">
        <v>693</v>
      </c>
      <c r="L378" s="35">
        <v>1</v>
      </c>
      <c r="M378" s="35" t="s">
        <v>94</v>
      </c>
    </row>
    <row r="379" spans="4:13" x14ac:dyDescent="0.2">
      <c r="D379" s="34">
        <v>1</v>
      </c>
      <c r="E379" s="35">
        <v>1</v>
      </c>
      <c r="F379" s="35" t="s">
        <v>464</v>
      </c>
      <c r="G379" s="35" t="s">
        <v>90</v>
      </c>
      <c r="H379" s="35">
        <v>25</v>
      </c>
      <c r="I379" s="35">
        <v>1</v>
      </c>
      <c r="J379" s="35">
        <v>0</v>
      </c>
      <c r="K379" s="35">
        <v>554417</v>
      </c>
      <c r="L379" s="35">
        <v>1</v>
      </c>
      <c r="M379" s="35" t="s">
        <v>94</v>
      </c>
    </row>
    <row r="380" spans="4:13" x14ac:dyDescent="0.2">
      <c r="D380" s="34">
        <v>0</v>
      </c>
      <c r="E380" s="35">
        <v>3</v>
      </c>
      <c r="F380" s="35" t="s">
        <v>465</v>
      </c>
      <c r="G380" s="35" t="s">
        <v>90</v>
      </c>
      <c r="H380" s="35">
        <v>18</v>
      </c>
      <c r="I380" s="35">
        <v>1</v>
      </c>
      <c r="J380" s="35">
        <v>0</v>
      </c>
      <c r="K380" s="35">
        <v>64958</v>
      </c>
      <c r="L380" s="35">
        <v>0</v>
      </c>
      <c r="M380" s="35" t="s">
        <v>91</v>
      </c>
    </row>
    <row r="381" spans="4:13" x14ac:dyDescent="0.2">
      <c r="D381" s="34">
        <v>0</v>
      </c>
      <c r="E381" s="35">
        <v>3</v>
      </c>
      <c r="F381" s="35" t="s">
        <v>466</v>
      </c>
      <c r="G381" s="35" t="s">
        <v>90</v>
      </c>
      <c r="H381" s="35">
        <v>19</v>
      </c>
      <c r="I381" s="35">
        <v>0</v>
      </c>
      <c r="J381" s="35">
        <v>0</v>
      </c>
      <c r="K381" s="35">
        <v>805</v>
      </c>
      <c r="L381" s="35">
        <v>0</v>
      </c>
      <c r="M381" s="35" t="s">
        <v>91</v>
      </c>
    </row>
    <row r="382" spans="4:13" x14ac:dyDescent="0.2">
      <c r="D382" s="34">
        <v>0</v>
      </c>
      <c r="E382" s="35">
        <v>1</v>
      </c>
      <c r="F382" s="35" t="s">
        <v>467</v>
      </c>
      <c r="G382" s="35" t="s">
        <v>90</v>
      </c>
      <c r="H382" s="35">
        <v>22</v>
      </c>
      <c r="I382" s="35">
        <v>0</v>
      </c>
      <c r="J382" s="35">
        <v>0</v>
      </c>
      <c r="K382" s="35">
        <v>1356333</v>
      </c>
      <c r="L382" s="35">
        <v>0</v>
      </c>
      <c r="M382" s="35" t="s">
        <v>94</v>
      </c>
    </row>
    <row r="383" spans="4:13" x14ac:dyDescent="0.2">
      <c r="D383" s="34">
        <v>0</v>
      </c>
      <c r="E383" s="35">
        <v>3</v>
      </c>
      <c r="F383" s="35" t="s">
        <v>468</v>
      </c>
      <c r="G383" s="35" t="s">
        <v>93</v>
      </c>
      <c r="H383" s="35">
        <v>3</v>
      </c>
      <c r="I383" s="35">
        <v>3</v>
      </c>
      <c r="J383" s="35">
        <v>1</v>
      </c>
      <c r="K383" s="35">
        <v>21075</v>
      </c>
      <c r="L383" s="35">
        <v>0</v>
      </c>
      <c r="M383" s="35" t="s">
        <v>91</v>
      </c>
    </row>
    <row r="384" spans="4:13" x14ac:dyDescent="0.2">
      <c r="D384" s="34">
        <v>1</v>
      </c>
      <c r="E384" s="35">
        <v>1</v>
      </c>
      <c r="F384" s="35" t="s">
        <v>469</v>
      </c>
      <c r="G384" s="35" t="s">
        <v>93</v>
      </c>
      <c r="H384" s="36"/>
      <c r="I384" s="35">
        <v>1</v>
      </c>
      <c r="J384" s="35">
        <v>0</v>
      </c>
      <c r="K384" s="35">
        <v>821708</v>
      </c>
      <c r="L384" s="35">
        <v>0</v>
      </c>
      <c r="M384" s="35" t="s">
        <v>94</v>
      </c>
    </row>
    <row r="385" spans="4:13" x14ac:dyDescent="0.2">
      <c r="D385" s="34">
        <v>1</v>
      </c>
      <c r="E385" s="35">
        <v>3</v>
      </c>
      <c r="F385" s="35" t="s">
        <v>470</v>
      </c>
      <c r="G385" s="35" t="s">
        <v>93</v>
      </c>
      <c r="H385" s="35">
        <v>22</v>
      </c>
      <c r="I385" s="35">
        <v>0</v>
      </c>
      <c r="J385" s="35">
        <v>0</v>
      </c>
      <c r="K385" s="35">
        <v>725</v>
      </c>
      <c r="L385" s="35">
        <v>0</v>
      </c>
      <c r="M385" s="35" t="s">
        <v>91</v>
      </c>
    </row>
    <row r="386" spans="4:13" x14ac:dyDescent="0.2">
      <c r="D386" s="34">
        <v>0</v>
      </c>
      <c r="E386" s="35">
        <v>1</v>
      </c>
      <c r="F386" s="35" t="s">
        <v>471</v>
      </c>
      <c r="G386" s="35" t="s">
        <v>90</v>
      </c>
      <c r="H386" s="35">
        <v>27</v>
      </c>
      <c r="I386" s="35">
        <v>0</v>
      </c>
      <c r="J386" s="35">
        <v>2</v>
      </c>
      <c r="K386" s="35">
        <v>2115</v>
      </c>
      <c r="L386" s="35">
        <v>1</v>
      </c>
      <c r="M386" s="35" t="s">
        <v>94</v>
      </c>
    </row>
    <row r="387" spans="4:13" x14ac:dyDescent="0.2">
      <c r="D387" s="34">
        <v>0</v>
      </c>
      <c r="E387" s="35">
        <v>3</v>
      </c>
      <c r="F387" s="35" t="s">
        <v>472</v>
      </c>
      <c r="G387" s="35" t="s">
        <v>90</v>
      </c>
      <c r="H387" s="35">
        <v>20</v>
      </c>
      <c r="I387" s="35">
        <v>0</v>
      </c>
      <c r="J387" s="35">
        <v>0</v>
      </c>
      <c r="K387" s="35">
        <v>40125</v>
      </c>
      <c r="L387" s="35">
        <v>0</v>
      </c>
      <c r="M387" s="35" t="s">
        <v>94</v>
      </c>
    </row>
    <row r="388" spans="4:13" x14ac:dyDescent="0.2">
      <c r="D388" s="34">
        <v>0</v>
      </c>
      <c r="E388" s="35">
        <v>3</v>
      </c>
      <c r="F388" s="35" t="s">
        <v>473</v>
      </c>
      <c r="G388" s="35" t="s">
        <v>90</v>
      </c>
      <c r="H388" s="35">
        <v>19</v>
      </c>
      <c r="I388" s="35">
        <v>0</v>
      </c>
      <c r="J388" s="35">
        <v>0</v>
      </c>
      <c r="K388" s="35">
        <v>7775</v>
      </c>
      <c r="L388" s="35">
        <v>0</v>
      </c>
      <c r="M388" s="35" t="s">
        <v>91</v>
      </c>
    </row>
    <row r="389" spans="4:13" x14ac:dyDescent="0.2">
      <c r="D389" s="34">
        <v>1</v>
      </c>
      <c r="E389" s="35">
        <v>1</v>
      </c>
      <c r="F389" s="35" t="s">
        <v>474</v>
      </c>
      <c r="G389" s="35" t="s">
        <v>93</v>
      </c>
      <c r="H389" s="35">
        <v>42</v>
      </c>
      <c r="I389" s="35">
        <v>0</v>
      </c>
      <c r="J389" s="35">
        <v>0</v>
      </c>
      <c r="K389" s="35">
        <v>227525</v>
      </c>
      <c r="L389" s="35">
        <v>0</v>
      </c>
      <c r="M389" s="35" t="s">
        <v>94</v>
      </c>
    </row>
    <row r="390" spans="4:13" x14ac:dyDescent="0.2">
      <c r="D390" s="34">
        <v>1</v>
      </c>
      <c r="E390" s="35">
        <v>3</v>
      </c>
      <c r="F390" s="35" t="s">
        <v>475</v>
      </c>
      <c r="G390" s="35" t="s">
        <v>93</v>
      </c>
      <c r="H390" s="35">
        <v>1</v>
      </c>
      <c r="I390" s="35">
        <v>0</v>
      </c>
      <c r="J390" s="35">
        <v>2</v>
      </c>
      <c r="K390" s="35">
        <v>157417</v>
      </c>
      <c r="L390" s="35">
        <v>0</v>
      </c>
      <c r="M390" s="35" t="s">
        <v>94</v>
      </c>
    </row>
    <row r="391" spans="4:13" x14ac:dyDescent="0.2">
      <c r="D391" s="34">
        <v>0</v>
      </c>
      <c r="E391" s="35">
        <v>3</v>
      </c>
      <c r="F391" s="35" t="s">
        <v>476</v>
      </c>
      <c r="G391" s="35" t="s">
        <v>90</v>
      </c>
      <c r="H391" s="35">
        <v>32</v>
      </c>
      <c r="I391" s="35">
        <v>0</v>
      </c>
      <c r="J391" s="35">
        <v>0</v>
      </c>
      <c r="K391" s="35">
        <v>7925</v>
      </c>
      <c r="L391" s="35">
        <v>0</v>
      </c>
      <c r="M391" s="35" t="s">
        <v>91</v>
      </c>
    </row>
    <row r="392" spans="4:13" x14ac:dyDescent="0.2">
      <c r="D392" s="34">
        <v>1</v>
      </c>
      <c r="E392" s="35">
        <v>1</v>
      </c>
      <c r="F392" s="35" t="s">
        <v>477</v>
      </c>
      <c r="G392" s="35" t="s">
        <v>93</v>
      </c>
      <c r="H392" s="35">
        <v>35</v>
      </c>
      <c r="I392" s="35">
        <v>1</v>
      </c>
      <c r="J392" s="35">
        <v>0</v>
      </c>
      <c r="K392" s="35">
        <v>52</v>
      </c>
      <c r="L392" s="35">
        <v>0</v>
      </c>
      <c r="M392" s="35" t="s">
        <v>91</v>
      </c>
    </row>
    <row r="393" spans="4:13" x14ac:dyDescent="0.2">
      <c r="D393" s="34">
        <v>0</v>
      </c>
      <c r="E393" s="35">
        <v>3</v>
      </c>
      <c r="F393" s="35" t="s">
        <v>478</v>
      </c>
      <c r="G393" s="35" t="s">
        <v>90</v>
      </c>
      <c r="H393" s="36"/>
      <c r="I393" s="35">
        <v>0</v>
      </c>
      <c r="J393" s="35">
        <v>0</v>
      </c>
      <c r="K393" s="35">
        <v>78958</v>
      </c>
      <c r="L393" s="35">
        <v>0</v>
      </c>
      <c r="M393" s="35" t="s">
        <v>91</v>
      </c>
    </row>
    <row r="394" spans="4:13" x14ac:dyDescent="0.2">
      <c r="D394" s="34">
        <v>0</v>
      </c>
      <c r="E394" s="35">
        <v>2</v>
      </c>
      <c r="F394" s="35" t="s">
        <v>479</v>
      </c>
      <c r="G394" s="35" t="s">
        <v>90</v>
      </c>
      <c r="H394" s="35">
        <v>18</v>
      </c>
      <c r="I394" s="35">
        <v>0</v>
      </c>
      <c r="J394" s="35">
        <v>0</v>
      </c>
      <c r="K394" s="35">
        <v>735</v>
      </c>
      <c r="L394" s="35">
        <v>0</v>
      </c>
      <c r="M394" s="35" t="s">
        <v>91</v>
      </c>
    </row>
    <row r="395" spans="4:13" x14ac:dyDescent="0.2">
      <c r="D395" s="34">
        <v>0</v>
      </c>
      <c r="E395" s="35">
        <v>3</v>
      </c>
      <c r="F395" s="35" t="s">
        <v>480</v>
      </c>
      <c r="G395" s="35" t="s">
        <v>90</v>
      </c>
      <c r="H395" s="35">
        <v>1</v>
      </c>
      <c r="I395" s="35">
        <v>5</v>
      </c>
      <c r="J395" s="35">
        <v>2</v>
      </c>
      <c r="K395" s="35">
        <v>469</v>
      </c>
      <c r="L395" s="35">
        <v>0</v>
      </c>
      <c r="M395" s="35" t="s">
        <v>91</v>
      </c>
    </row>
    <row r="396" spans="4:13" x14ac:dyDescent="0.2">
      <c r="D396" s="34">
        <v>1</v>
      </c>
      <c r="E396" s="35">
        <v>2</v>
      </c>
      <c r="F396" s="35" t="s">
        <v>481</v>
      </c>
      <c r="G396" s="35" t="s">
        <v>93</v>
      </c>
      <c r="H396" s="35">
        <v>36</v>
      </c>
      <c r="I396" s="35">
        <v>0</v>
      </c>
      <c r="J396" s="35">
        <v>0</v>
      </c>
      <c r="K396" s="35">
        <v>13</v>
      </c>
      <c r="L396" s="35">
        <v>0</v>
      </c>
      <c r="M396" s="35" t="s">
        <v>91</v>
      </c>
    </row>
    <row r="397" spans="4:13" x14ac:dyDescent="0.2">
      <c r="D397" s="34">
        <v>0</v>
      </c>
      <c r="E397" s="35">
        <v>3</v>
      </c>
      <c r="F397" s="35" t="s">
        <v>482</v>
      </c>
      <c r="G397" s="35" t="s">
        <v>90</v>
      </c>
      <c r="H397" s="36"/>
      <c r="I397" s="35">
        <v>0</v>
      </c>
      <c r="J397" s="35">
        <v>0</v>
      </c>
      <c r="K397" s="35">
        <v>77292</v>
      </c>
      <c r="L397" s="35">
        <v>0</v>
      </c>
      <c r="M397" s="35" t="s">
        <v>99</v>
      </c>
    </row>
    <row r="398" spans="4:13" x14ac:dyDescent="0.2">
      <c r="D398" s="34">
        <v>1</v>
      </c>
      <c r="E398" s="35">
        <v>2</v>
      </c>
      <c r="F398" s="35" t="s">
        <v>483</v>
      </c>
      <c r="G398" s="35" t="s">
        <v>93</v>
      </c>
      <c r="H398" s="35">
        <v>17</v>
      </c>
      <c r="I398" s="35">
        <v>0</v>
      </c>
      <c r="J398" s="35">
        <v>0</v>
      </c>
      <c r="K398" s="35">
        <v>12</v>
      </c>
      <c r="L398" s="35">
        <v>0</v>
      </c>
      <c r="M398" s="35" t="s">
        <v>94</v>
      </c>
    </row>
    <row r="399" spans="4:13" x14ac:dyDescent="0.2">
      <c r="D399" s="34">
        <v>1</v>
      </c>
      <c r="E399" s="35">
        <v>1</v>
      </c>
      <c r="F399" s="35" t="s">
        <v>484</v>
      </c>
      <c r="G399" s="35" t="s">
        <v>90</v>
      </c>
      <c r="H399" s="35">
        <v>36</v>
      </c>
      <c r="I399" s="35">
        <v>1</v>
      </c>
      <c r="J399" s="35">
        <v>2</v>
      </c>
      <c r="K399" s="35">
        <v>120</v>
      </c>
      <c r="L399" s="35">
        <v>1</v>
      </c>
      <c r="M399" s="35" t="s">
        <v>91</v>
      </c>
    </row>
    <row r="400" spans="4:13" x14ac:dyDescent="0.2">
      <c r="D400" s="34">
        <v>1</v>
      </c>
      <c r="E400" s="35">
        <v>3</v>
      </c>
      <c r="F400" s="35" t="s">
        <v>485</v>
      </c>
      <c r="G400" s="35" t="s">
        <v>90</v>
      </c>
      <c r="H400" s="35">
        <v>21</v>
      </c>
      <c r="I400" s="35">
        <v>0</v>
      </c>
      <c r="J400" s="35">
        <v>0</v>
      </c>
      <c r="K400" s="35">
        <v>77958</v>
      </c>
      <c r="L400" s="35">
        <v>0</v>
      </c>
      <c r="M400" s="35" t="s">
        <v>91</v>
      </c>
    </row>
    <row r="401" spans="4:13" x14ac:dyDescent="0.2">
      <c r="D401" s="34">
        <v>0</v>
      </c>
      <c r="E401" s="35">
        <v>3</v>
      </c>
      <c r="F401" s="35" t="s">
        <v>486</v>
      </c>
      <c r="G401" s="35" t="s">
        <v>90</v>
      </c>
      <c r="H401" s="35">
        <v>28</v>
      </c>
      <c r="I401" s="35">
        <v>2</v>
      </c>
      <c r="J401" s="35">
        <v>0</v>
      </c>
      <c r="K401" s="35">
        <v>7925</v>
      </c>
      <c r="L401" s="35">
        <v>0</v>
      </c>
      <c r="M401" s="35" t="s">
        <v>91</v>
      </c>
    </row>
    <row r="402" spans="4:13" x14ac:dyDescent="0.2">
      <c r="D402" s="34">
        <v>1</v>
      </c>
      <c r="E402" s="35">
        <v>1</v>
      </c>
      <c r="F402" s="35" t="s">
        <v>487</v>
      </c>
      <c r="G402" s="35" t="s">
        <v>93</v>
      </c>
      <c r="H402" s="35">
        <v>23</v>
      </c>
      <c r="I402" s="35">
        <v>1</v>
      </c>
      <c r="J402" s="35">
        <v>0</v>
      </c>
      <c r="K402" s="35">
        <v>113275</v>
      </c>
      <c r="L402" s="35">
        <v>1</v>
      </c>
      <c r="M402" s="35" t="s">
        <v>94</v>
      </c>
    </row>
    <row r="403" spans="4:13" x14ac:dyDescent="0.2">
      <c r="D403" s="34">
        <v>1</v>
      </c>
      <c r="E403" s="35">
        <v>3</v>
      </c>
      <c r="F403" s="35" t="s">
        <v>488</v>
      </c>
      <c r="G403" s="35" t="s">
        <v>93</v>
      </c>
      <c r="H403" s="35">
        <v>24</v>
      </c>
      <c r="I403" s="35">
        <v>0</v>
      </c>
      <c r="J403" s="35">
        <v>2</v>
      </c>
      <c r="K403" s="35">
        <v>167</v>
      </c>
      <c r="L403" s="35">
        <v>1</v>
      </c>
      <c r="M403" s="35" t="s">
        <v>91</v>
      </c>
    </row>
    <row r="404" spans="4:13" x14ac:dyDescent="0.2">
      <c r="D404" s="34">
        <v>0</v>
      </c>
      <c r="E404" s="35">
        <v>3</v>
      </c>
      <c r="F404" s="35" t="s">
        <v>489</v>
      </c>
      <c r="G404" s="35" t="s">
        <v>90</v>
      </c>
      <c r="H404" s="35">
        <v>22</v>
      </c>
      <c r="I404" s="35">
        <v>0</v>
      </c>
      <c r="J404" s="35">
        <v>0</v>
      </c>
      <c r="K404" s="35">
        <v>77958</v>
      </c>
      <c r="L404" s="35">
        <v>0</v>
      </c>
      <c r="M404" s="35" t="s">
        <v>91</v>
      </c>
    </row>
    <row r="405" spans="4:13" x14ac:dyDescent="0.2">
      <c r="D405" s="34">
        <v>0</v>
      </c>
      <c r="E405" s="35">
        <v>3</v>
      </c>
      <c r="F405" s="35" t="s">
        <v>490</v>
      </c>
      <c r="G405" s="35" t="s">
        <v>93</v>
      </c>
      <c r="H405" s="35">
        <v>31</v>
      </c>
      <c r="I405" s="35">
        <v>0</v>
      </c>
      <c r="J405" s="35">
        <v>0</v>
      </c>
      <c r="K405" s="35">
        <v>78542</v>
      </c>
      <c r="L405" s="35">
        <v>0</v>
      </c>
      <c r="M405" s="35" t="s">
        <v>91</v>
      </c>
    </row>
    <row r="406" spans="4:13" x14ac:dyDescent="0.2">
      <c r="D406" s="34">
        <v>0</v>
      </c>
      <c r="E406" s="35">
        <v>2</v>
      </c>
      <c r="F406" s="35" t="s">
        <v>491</v>
      </c>
      <c r="G406" s="35" t="s">
        <v>90</v>
      </c>
      <c r="H406" s="35">
        <v>46</v>
      </c>
      <c r="I406" s="35">
        <v>0</v>
      </c>
      <c r="J406" s="35">
        <v>0</v>
      </c>
      <c r="K406" s="35">
        <v>26</v>
      </c>
      <c r="L406" s="35">
        <v>0</v>
      </c>
      <c r="M406" s="35" t="s">
        <v>91</v>
      </c>
    </row>
    <row r="407" spans="4:13" x14ac:dyDescent="0.2">
      <c r="D407" s="34">
        <v>0</v>
      </c>
      <c r="E407" s="35">
        <v>2</v>
      </c>
      <c r="F407" s="35" t="s">
        <v>492</v>
      </c>
      <c r="G407" s="35" t="s">
        <v>90</v>
      </c>
      <c r="H407" s="35">
        <v>23</v>
      </c>
      <c r="I407" s="35">
        <v>0</v>
      </c>
      <c r="J407" s="35">
        <v>0</v>
      </c>
      <c r="K407" s="35">
        <v>105</v>
      </c>
      <c r="L407" s="35">
        <v>0</v>
      </c>
      <c r="M407" s="35" t="s">
        <v>91</v>
      </c>
    </row>
    <row r="408" spans="4:13" x14ac:dyDescent="0.2">
      <c r="D408" s="34">
        <v>1</v>
      </c>
      <c r="E408" s="35">
        <v>2</v>
      </c>
      <c r="F408" s="35" t="s">
        <v>493</v>
      </c>
      <c r="G408" s="35" t="s">
        <v>93</v>
      </c>
      <c r="H408" s="35">
        <v>28</v>
      </c>
      <c r="I408" s="35">
        <v>0</v>
      </c>
      <c r="J408" s="35">
        <v>0</v>
      </c>
      <c r="K408" s="35">
        <v>1265</v>
      </c>
      <c r="L408" s="35">
        <v>0</v>
      </c>
      <c r="M408" s="35" t="s">
        <v>91</v>
      </c>
    </row>
    <row r="409" spans="4:13" x14ac:dyDescent="0.2">
      <c r="D409" s="34">
        <v>1</v>
      </c>
      <c r="E409" s="35">
        <v>3</v>
      </c>
      <c r="F409" s="35" t="s">
        <v>494</v>
      </c>
      <c r="G409" s="35" t="s">
        <v>90</v>
      </c>
      <c r="H409" s="35">
        <v>39</v>
      </c>
      <c r="I409" s="35">
        <v>0</v>
      </c>
      <c r="J409" s="35">
        <v>0</v>
      </c>
      <c r="K409" s="35">
        <v>7925</v>
      </c>
      <c r="L409" s="35">
        <v>0</v>
      </c>
      <c r="M409" s="35" t="s">
        <v>91</v>
      </c>
    </row>
    <row r="410" spans="4:13" x14ac:dyDescent="0.2">
      <c r="D410" s="34">
        <v>0</v>
      </c>
      <c r="E410" s="35">
        <v>3</v>
      </c>
      <c r="F410" s="35" t="s">
        <v>495</v>
      </c>
      <c r="G410" s="35" t="s">
        <v>90</v>
      </c>
      <c r="H410" s="35">
        <v>26</v>
      </c>
      <c r="I410" s="35">
        <v>0</v>
      </c>
      <c r="J410" s="35">
        <v>0</v>
      </c>
      <c r="K410" s="35">
        <v>805</v>
      </c>
      <c r="L410" s="35">
        <v>0</v>
      </c>
      <c r="M410" s="35" t="s">
        <v>91</v>
      </c>
    </row>
    <row r="411" spans="4:13" x14ac:dyDescent="0.2">
      <c r="D411" s="34">
        <v>0</v>
      </c>
      <c r="E411" s="35">
        <v>3</v>
      </c>
      <c r="F411" s="35" t="s">
        <v>496</v>
      </c>
      <c r="G411" s="35" t="s">
        <v>93</v>
      </c>
      <c r="H411" s="35">
        <v>21</v>
      </c>
      <c r="I411" s="35">
        <v>1</v>
      </c>
      <c r="J411" s="35">
        <v>0</v>
      </c>
      <c r="K411" s="35">
        <v>9825</v>
      </c>
      <c r="L411" s="35">
        <v>0</v>
      </c>
      <c r="M411" s="35" t="s">
        <v>91</v>
      </c>
    </row>
    <row r="412" spans="4:13" x14ac:dyDescent="0.2">
      <c r="D412" s="34">
        <v>0</v>
      </c>
      <c r="E412" s="35">
        <v>3</v>
      </c>
      <c r="F412" s="35" t="s">
        <v>497</v>
      </c>
      <c r="G412" s="35" t="s">
        <v>90</v>
      </c>
      <c r="H412" s="35">
        <v>28</v>
      </c>
      <c r="I412" s="35">
        <v>1</v>
      </c>
      <c r="J412" s="35">
        <v>0</v>
      </c>
      <c r="K412" s="35">
        <v>1585</v>
      </c>
      <c r="L412" s="35">
        <v>0</v>
      </c>
      <c r="M412" s="35" t="s">
        <v>91</v>
      </c>
    </row>
    <row r="413" spans="4:13" x14ac:dyDescent="0.2">
      <c r="D413" s="34">
        <v>0</v>
      </c>
      <c r="E413" s="35">
        <v>3</v>
      </c>
      <c r="F413" s="35" t="s">
        <v>498</v>
      </c>
      <c r="G413" s="35" t="s">
        <v>93</v>
      </c>
      <c r="H413" s="35">
        <v>20</v>
      </c>
      <c r="I413" s="35">
        <v>0</v>
      </c>
      <c r="J413" s="35">
        <v>0</v>
      </c>
      <c r="K413" s="35">
        <v>86625</v>
      </c>
      <c r="L413" s="35">
        <v>0</v>
      </c>
      <c r="M413" s="35" t="s">
        <v>91</v>
      </c>
    </row>
    <row r="414" spans="4:13" x14ac:dyDescent="0.2">
      <c r="D414" s="34">
        <v>0</v>
      </c>
      <c r="E414" s="35">
        <v>2</v>
      </c>
      <c r="F414" s="35" t="s">
        <v>499</v>
      </c>
      <c r="G414" s="35" t="s">
        <v>90</v>
      </c>
      <c r="H414" s="35">
        <v>34</v>
      </c>
      <c r="I414" s="35">
        <v>1</v>
      </c>
      <c r="J414" s="35">
        <v>0</v>
      </c>
      <c r="K414" s="35">
        <v>21</v>
      </c>
      <c r="L414" s="35">
        <v>0</v>
      </c>
      <c r="M414" s="35" t="s">
        <v>91</v>
      </c>
    </row>
    <row r="415" spans="4:13" x14ac:dyDescent="0.2">
      <c r="D415" s="34">
        <v>0</v>
      </c>
      <c r="E415" s="35">
        <v>3</v>
      </c>
      <c r="F415" s="35" t="s">
        <v>500</v>
      </c>
      <c r="G415" s="35" t="s">
        <v>90</v>
      </c>
      <c r="H415" s="35">
        <v>51</v>
      </c>
      <c r="I415" s="35">
        <v>0</v>
      </c>
      <c r="J415" s="35">
        <v>0</v>
      </c>
      <c r="K415" s="35">
        <v>775</v>
      </c>
      <c r="L415" s="35">
        <v>0</v>
      </c>
      <c r="M415" s="35" t="s">
        <v>91</v>
      </c>
    </row>
    <row r="416" spans="4:13" x14ac:dyDescent="0.2">
      <c r="D416" s="34">
        <v>1</v>
      </c>
      <c r="E416" s="35">
        <v>2</v>
      </c>
      <c r="F416" s="35" t="s">
        <v>501</v>
      </c>
      <c r="G416" s="35" t="s">
        <v>90</v>
      </c>
      <c r="H416" s="35">
        <v>3</v>
      </c>
      <c r="I416" s="35">
        <v>1</v>
      </c>
      <c r="J416" s="35">
        <v>1</v>
      </c>
      <c r="K416" s="35">
        <v>1875</v>
      </c>
      <c r="L416" s="35">
        <v>0</v>
      </c>
      <c r="M416" s="35" t="s">
        <v>91</v>
      </c>
    </row>
    <row r="417" spans="4:13" x14ac:dyDescent="0.2">
      <c r="D417" s="34">
        <v>0</v>
      </c>
      <c r="E417" s="35">
        <v>3</v>
      </c>
      <c r="F417" s="35" t="s">
        <v>502</v>
      </c>
      <c r="G417" s="35" t="s">
        <v>90</v>
      </c>
      <c r="H417" s="35">
        <v>21</v>
      </c>
      <c r="I417" s="35">
        <v>0</v>
      </c>
      <c r="J417" s="35">
        <v>0</v>
      </c>
      <c r="K417" s="35">
        <v>7775</v>
      </c>
      <c r="L417" s="35">
        <v>0</v>
      </c>
      <c r="M417" s="35" t="s">
        <v>91</v>
      </c>
    </row>
    <row r="418" spans="4:13" x14ac:dyDescent="0.2">
      <c r="D418" s="34">
        <v>0</v>
      </c>
      <c r="E418" s="35">
        <v>3</v>
      </c>
      <c r="F418" s="35" t="s">
        <v>503</v>
      </c>
      <c r="G418" s="35" t="s">
        <v>93</v>
      </c>
      <c r="H418" s="36"/>
      <c r="I418" s="35">
        <v>3</v>
      </c>
      <c r="J418" s="35">
        <v>1</v>
      </c>
      <c r="K418" s="35">
        <v>254667</v>
      </c>
      <c r="L418" s="35">
        <v>0</v>
      </c>
      <c r="M418" s="35" t="s">
        <v>91</v>
      </c>
    </row>
    <row r="419" spans="4:13" x14ac:dyDescent="0.2">
      <c r="D419" s="34">
        <v>0</v>
      </c>
      <c r="E419" s="35">
        <v>3</v>
      </c>
      <c r="F419" s="35" t="s">
        <v>504</v>
      </c>
      <c r="G419" s="35" t="s">
        <v>90</v>
      </c>
      <c r="H419" s="36"/>
      <c r="I419" s="35">
        <v>0</v>
      </c>
      <c r="J419" s="35">
        <v>0</v>
      </c>
      <c r="K419" s="35">
        <v>78958</v>
      </c>
      <c r="L419" s="35">
        <v>0</v>
      </c>
      <c r="M419" s="35" t="s">
        <v>91</v>
      </c>
    </row>
    <row r="420" spans="4:13" x14ac:dyDescent="0.2">
      <c r="D420" s="34">
        <v>0</v>
      </c>
      <c r="E420" s="35">
        <v>3</v>
      </c>
      <c r="F420" s="35" t="s">
        <v>505</v>
      </c>
      <c r="G420" s="35" t="s">
        <v>90</v>
      </c>
      <c r="H420" s="36"/>
      <c r="I420" s="35">
        <v>0</v>
      </c>
      <c r="J420" s="35">
        <v>0</v>
      </c>
      <c r="K420" s="35">
        <v>68583</v>
      </c>
      <c r="L420" s="35">
        <v>0</v>
      </c>
      <c r="M420" s="35" t="s">
        <v>99</v>
      </c>
    </row>
    <row r="421" spans="4:13" x14ac:dyDescent="0.2">
      <c r="D421" s="34">
        <v>1</v>
      </c>
      <c r="E421" s="35">
        <v>1</v>
      </c>
      <c r="F421" s="35" t="s">
        <v>506</v>
      </c>
      <c r="G421" s="35" t="s">
        <v>93</v>
      </c>
      <c r="H421" s="35">
        <v>33</v>
      </c>
      <c r="I421" s="35">
        <v>1</v>
      </c>
      <c r="J421" s="35">
        <v>0</v>
      </c>
      <c r="K421" s="35">
        <v>90</v>
      </c>
      <c r="L421" s="35">
        <v>1</v>
      </c>
      <c r="M421" s="35" t="s">
        <v>99</v>
      </c>
    </row>
    <row r="422" spans="4:13" x14ac:dyDescent="0.2">
      <c r="D422" s="34">
        <v>0</v>
      </c>
      <c r="E422" s="35">
        <v>2</v>
      </c>
      <c r="F422" s="35" t="s">
        <v>507</v>
      </c>
      <c r="G422" s="35" t="s">
        <v>90</v>
      </c>
      <c r="H422" s="36"/>
      <c r="I422" s="35">
        <v>0</v>
      </c>
      <c r="J422" s="35">
        <v>0</v>
      </c>
      <c r="K422" s="35">
        <v>0</v>
      </c>
      <c r="L422" s="35">
        <v>0</v>
      </c>
      <c r="M422" s="35" t="s">
        <v>91</v>
      </c>
    </row>
    <row r="423" spans="4:13" x14ac:dyDescent="0.2">
      <c r="D423" s="34">
        <v>1</v>
      </c>
      <c r="E423" s="35">
        <v>3</v>
      </c>
      <c r="F423" s="35" t="s">
        <v>508</v>
      </c>
      <c r="G423" s="35" t="s">
        <v>90</v>
      </c>
      <c r="H423" s="35">
        <v>44</v>
      </c>
      <c r="I423" s="35">
        <v>0</v>
      </c>
      <c r="J423" s="35">
        <v>0</v>
      </c>
      <c r="K423" s="35">
        <v>7925</v>
      </c>
      <c r="L423" s="35">
        <v>0</v>
      </c>
      <c r="M423" s="35" t="s">
        <v>91</v>
      </c>
    </row>
    <row r="424" spans="4:13" x14ac:dyDescent="0.2">
      <c r="D424" s="34">
        <v>0</v>
      </c>
      <c r="E424" s="35">
        <v>3</v>
      </c>
      <c r="F424" s="35" t="s">
        <v>509</v>
      </c>
      <c r="G424" s="35" t="s">
        <v>93</v>
      </c>
      <c r="H424" s="36"/>
      <c r="I424" s="35">
        <v>0</v>
      </c>
      <c r="J424" s="35">
        <v>0</v>
      </c>
      <c r="K424" s="35">
        <v>805</v>
      </c>
      <c r="L424" s="35">
        <v>0</v>
      </c>
      <c r="M424" s="35" t="s">
        <v>91</v>
      </c>
    </row>
    <row r="425" spans="4:13" x14ac:dyDescent="0.2">
      <c r="D425" s="34">
        <v>1</v>
      </c>
      <c r="E425" s="35">
        <v>2</v>
      </c>
      <c r="F425" s="35" t="s">
        <v>510</v>
      </c>
      <c r="G425" s="35" t="s">
        <v>93</v>
      </c>
      <c r="H425" s="35">
        <v>34</v>
      </c>
      <c r="I425" s="35">
        <v>1</v>
      </c>
      <c r="J425" s="35">
        <v>1</v>
      </c>
      <c r="K425" s="35">
        <v>325</v>
      </c>
      <c r="L425" s="35">
        <v>0</v>
      </c>
      <c r="M425" s="35" t="s">
        <v>91</v>
      </c>
    </row>
    <row r="426" spans="4:13" x14ac:dyDescent="0.2">
      <c r="D426" s="34">
        <v>1</v>
      </c>
      <c r="E426" s="35">
        <v>2</v>
      </c>
      <c r="F426" s="35" t="s">
        <v>511</v>
      </c>
      <c r="G426" s="35" t="s">
        <v>93</v>
      </c>
      <c r="H426" s="35">
        <v>18</v>
      </c>
      <c r="I426" s="35">
        <v>0</v>
      </c>
      <c r="J426" s="35">
        <v>2</v>
      </c>
      <c r="K426" s="35">
        <v>13</v>
      </c>
      <c r="L426" s="35">
        <v>0</v>
      </c>
      <c r="M426" s="35" t="s">
        <v>91</v>
      </c>
    </row>
    <row r="427" spans="4:13" x14ac:dyDescent="0.2">
      <c r="D427" s="34">
        <v>0</v>
      </c>
      <c r="E427" s="35">
        <v>2</v>
      </c>
      <c r="F427" s="35" t="s">
        <v>512</v>
      </c>
      <c r="G427" s="35" t="s">
        <v>90</v>
      </c>
      <c r="H427" s="35">
        <v>30</v>
      </c>
      <c r="I427" s="35">
        <v>0</v>
      </c>
      <c r="J427" s="35">
        <v>0</v>
      </c>
      <c r="K427" s="35">
        <v>13</v>
      </c>
      <c r="L427" s="35">
        <v>0</v>
      </c>
      <c r="M427" s="35" t="s">
        <v>91</v>
      </c>
    </row>
    <row r="428" spans="4:13" x14ac:dyDescent="0.2">
      <c r="D428" s="34">
        <v>0</v>
      </c>
      <c r="E428" s="35">
        <v>3</v>
      </c>
      <c r="F428" s="35" t="s">
        <v>513</v>
      </c>
      <c r="G428" s="35" t="s">
        <v>93</v>
      </c>
      <c r="H428" s="35">
        <v>10</v>
      </c>
      <c r="I428" s="35">
        <v>0</v>
      </c>
      <c r="J428" s="35">
        <v>2</v>
      </c>
      <c r="K428" s="35">
        <v>2415</v>
      </c>
      <c r="L428" s="35">
        <v>0</v>
      </c>
      <c r="M428" s="35" t="s">
        <v>91</v>
      </c>
    </row>
    <row r="429" spans="4:13" x14ac:dyDescent="0.2">
      <c r="D429" s="34">
        <v>0</v>
      </c>
      <c r="E429" s="35">
        <v>3</v>
      </c>
      <c r="F429" s="35" t="s">
        <v>514</v>
      </c>
      <c r="G429" s="35" t="s">
        <v>90</v>
      </c>
      <c r="H429" s="36"/>
      <c r="I429" s="35">
        <v>0</v>
      </c>
      <c r="J429" s="35">
        <v>0</v>
      </c>
      <c r="K429" s="35">
        <v>78958</v>
      </c>
      <c r="L429" s="35">
        <v>0</v>
      </c>
      <c r="M429" s="35" t="s">
        <v>94</v>
      </c>
    </row>
    <row r="430" spans="4:13" x14ac:dyDescent="0.2">
      <c r="D430" s="34">
        <v>0</v>
      </c>
      <c r="E430" s="35">
        <v>3</v>
      </c>
      <c r="F430" s="35" t="s">
        <v>515</v>
      </c>
      <c r="G430" s="35" t="s">
        <v>90</v>
      </c>
      <c r="H430" s="35">
        <v>21</v>
      </c>
      <c r="I430" s="35">
        <v>0</v>
      </c>
      <c r="J430" s="35">
        <v>0</v>
      </c>
      <c r="K430" s="35">
        <v>77333</v>
      </c>
      <c r="L430" s="35">
        <v>0</v>
      </c>
      <c r="M430" s="35" t="s">
        <v>99</v>
      </c>
    </row>
    <row r="431" spans="4:13" x14ac:dyDescent="0.2">
      <c r="D431" s="34">
        <v>0</v>
      </c>
      <c r="E431" s="35">
        <v>3</v>
      </c>
      <c r="F431" s="35" t="s">
        <v>516</v>
      </c>
      <c r="G431" s="35" t="s">
        <v>90</v>
      </c>
      <c r="H431" s="35">
        <v>29</v>
      </c>
      <c r="I431" s="35">
        <v>0</v>
      </c>
      <c r="J431" s="35">
        <v>0</v>
      </c>
      <c r="K431" s="35">
        <v>7875</v>
      </c>
      <c r="L431" s="35">
        <v>0</v>
      </c>
      <c r="M431" s="35" t="s">
        <v>91</v>
      </c>
    </row>
    <row r="432" spans="4:13" x14ac:dyDescent="0.2">
      <c r="D432" s="34">
        <v>0</v>
      </c>
      <c r="E432" s="35">
        <v>3</v>
      </c>
      <c r="F432" s="35" t="s">
        <v>517</v>
      </c>
      <c r="G432" s="35" t="s">
        <v>93</v>
      </c>
      <c r="H432" s="35">
        <v>28</v>
      </c>
      <c r="I432" s="35">
        <v>1</v>
      </c>
      <c r="J432" s="35">
        <v>1</v>
      </c>
      <c r="K432" s="35">
        <v>144</v>
      </c>
      <c r="L432" s="35">
        <v>0</v>
      </c>
      <c r="M432" s="35" t="s">
        <v>91</v>
      </c>
    </row>
    <row r="433" spans="4:13" x14ac:dyDescent="0.2">
      <c r="D433" s="34">
        <v>0</v>
      </c>
      <c r="E433" s="35">
        <v>3</v>
      </c>
      <c r="F433" s="35" t="s">
        <v>518</v>
      </c>
      <c r="G433" s="35" t="s">
        <v>90</v>
      </c>
      <c r="H433" s="35">
        <v>18</v>
      </c>
      <c r="I433" s="35">
        <v>1</v>
      </c>
      <c r="J433" s="35">
        <v>1</v>
      </c>
      <c r="K433" s="35">
        <v>202125</v>
      </c>
      <c r="L433" s="35">
        <v>0</v>
      </c>
      <c r="M433" s="35" t="s">
        <v>91</v>
      </c>
    </row>
    <row r="434" spans="4:13" x14ac:dyDescent="0.2">
      <c r="D434" s="34">
        <v>0</v>
      </c>
      <c r="E434" s="35">
        <v>3</v>
      </c>
      <c r="F434" s="35" t="s">
        <v>519</v>
      </c>
      <c r="G434" s="35" t="s">
        <v>90</v>
      </c>
      <c r="H434" s="36"/>
      <c r="I434" s="35">
        <v>0</v>
      </c>
      <c r="J434" s="35">
        <v>0</v>
      </c>
      <c r="K434" s="35">
        <v>725</v>
      </c>
      <c r="L434" s="35">
        <v>0</v>
      </c>
      <c r="M434" s="35" t="s">
        <v>91</v>
      </c>
    </row>
    <row r="435" spans="4:13" x14ac:dyDescent="0.2">
      <c r="D435" s="34">
        <v>1</v>
      </c>
      <c r="E435" s="35">
        <v>2</v>
      </c>
      <c r="F435" s="35" t="s">
        <v>520</v>
      </c>
      <c r="G435" s="35" t="s">
        <v>93</v>
      </c>
      <c r="H435" s="35">
        <v>28</v>
      </c>
      <c r="I435" s="35">
        <v>1</v>
      </c>
      <c r="J435" s="35">
        <v>0</v>
      </c>
      <c r="K435" s="35">
        <v>26</v>
      </c>
      <c r="L435" s="35">
        <v>0</v>
      </c>
      <c r="M435" s="35" t="s">
        <v>91</v>
      </c>
    </row>
    <row r="436" spans="4:13" x14ac:dyDescent="0.2">
      <c r="D436" s="34">
        <v>1</v>
      </c>
      <c r="E436" s="35">
        <v>2</v>
      </c>
      <c r="F436" s="35" t="s">
        <v>521</v>
      </c>
      <c r="G436" s="35" t="s">
        <v>93</v>
      </c>
      <c r="H436" s="35">
        <v>19</v>
      </c>
      <c r="I436" s="35">
        <v>0</v>
      </c>
      <c r="J436" s="35">
        <v>0</v>
      </c>
      <c r="K436" s="35">
        <v>26</v>
      </c>
      <c r="L436" s="35">
        <v>0</v>
      </c>
      <c r="M436" s="35" t="s">
        <v>91</v>
      </c>
    </row>
    <row r="437" spans="4:13" x14ac:dyDescent="0.2">
      <c r="D437" s="34">
        <v>0</v>
      </c>
      <c r="E437" s="35">
        <v>3</v>
      </c>
      <c r="F437" s="35" t="s">
        <v>522</v>
      </c>
      <c r="G437" s="35" t="s">
        <v>90</v>
      </c>
      <c r="H437" s="36"/>
      <c r="I437" s="35">
        <v>0</v>
      </c>
      <c r="J437" s="35">
        <v>0</v>
      </c>
      <c r="K437" s="35">
        <v>775</v>
      </c>
      <c r="L437" s="35">
        <v>0</v>
      </c>
      <c r="M437" s="35" t="s">
        <v>99</v>
      </c>
    </row>
    <row r="438" spans="4:13" x14ac:dyDescent="0.2">
      <c r="D438" s="34">
        <v>1</v>
      </c>
      <c r="E438" s="35">
        <v>3</v>
      </c>
      <c r="F438" s="35" t="s">
        <v>523</v>
      </c>
      <c r="G438" s="35" t="s">
        <v>90</v>
      </c>
      <c r="H438" s="35">
        <v>32</v>
      </c>
      <c r="I438" s="35">
        <v>0</v>
      </c>
      <c r="J438" s="35">
        <v>0</v>
      </c>
      <c r="K438" s="35">
        <v>805</v>
      </c>
      <c r="L438" s="35">
        <v>1</v>
      </c>
      <c r="M438" s="35" t="s">
        <v>91</v>
      </c>
    </row>
    <row r="439" spans="4:13" x14ac:dyDescent="0.2">
      <c r="D439" s="34">
        <v>1</v>
      </c>
      <c r="E439" s="35">
        <v>1</v>
      </c>
      <c r="F439" s="35" t="s">
        <v>524</v>
      </c>
      <c r="G439" s="35" t="s">
        <v>90</v>
      </c>
      <c r="H439" s="35">
        <v>28</v>
      </c>
      <c r="I439" s="35">
        <v>0</v>
      </c>
      <c r="J439" s="35">
        <v>0</v>
      </c>
      <c r="K439" s="35">
        <v>2655</v>
      </c>
      <c r="L439" s="35">
        <v>1</v>
      </c>
      <c r="M439" s="35" t="s">
        <v>91</v>
      </c>
    </row>
    <row r="440" spans="4:13" x14ac:dyDescent="0.2">
      <c r="D440" s="34">
        <v>1</v>
      </c>
      <c r="E440" s="35">
        <v>3</v>
      </c>
      <c r="F440" s="35" t="s">
        <v>525</v>
      </c>
      <c r="G440" s="35" t="s">
        <v>93</v>
      </c>
      <c r="H440" s="36"/>
      <c r="I440" s="35">
        <v>1</v>
      </c>
      <c r="J440" s="35">
        <v>0</v>
      </c>
      <c r="K440" s="35">
        <v>161</v>
      </c>
      <c r="L440" s="35">
        <v>0</v>
      </c>
      <c r="M440" s="35" t="s">
        <v>91</v>
      </c>
    </row>
    <row r="441" spans="4:13" x14ac:dyDescent="0.2">
      <c r="D441" s="34">
        <v>1</v>
      </c>
      <c r="E441" s="35">
        <v>2</v>
      </c>
      <c r="F441" s="35" t="s">
        <v>526</v>
      </c>
      <c r="G441" s="35" t="s">
        <v>93</v>
      </c>
      <c r="H441" s="35">
        <v>42</v>
      </c>
      <c r="I441" s="35">
        <v>1</v>
      </c>
      <c r="J441" s="35">
        <v>0</v>
      </c>
      <c r="K441" s="35">
        <v>26</v>
      </c>
      <c r="L441" s="35">
        <v>0</v>
      </c>
      <c r="M441" s="35" t="s">
        <v>91</v>
      </c>
    </row>
    <row r="442" spans="4:13" x14ac:dyDescent="0.2">
      <c r="D442" s="34">
        <v>0</v>
      </c>
      <c r="E442" s="35">
        <v>3</v>
      </c>
      <c r="F442" s="35" t="s">
        <v>527</v>
      </c>
      <c r="G442" s="35" t="s">
        <v>90</v>
      </c>
      <c r="H442" s="35">
        <v>17</v>
      </c>
      <c r="I442" s="35">
        <v>0</v>
      </c>
      <c r="J442" s="35">
        <v>0</v>
      </c>
      <c r="K442" s="35">
        <v>7125</v>
      </c>
      <c r="L442" s="35">
        <v>0</v>
      </c>
      <c r="M442" s="35" t="s">
        <v>91</v>
      </c>
    </row>
    <row r="443" spans="4:13" x14ac:dyDescent="0.2">
      <c r="D443" s="34">
        <v>0</v>
      </c>
      <c r="E443" s="35">
        <v>1</v>
      </c>
      <c r="F443" s="35" t="s">
        <v>528</v>
      </c>
      <c r="G443" s="35" t="s">
        <v>90</v>
      </c>
      <c r="H443" s="35">
        <v>50</v>
      </c>
      <c r="I443" s="35">
        <v>1</v>
      </c>
      <c r="J443" s="35">
        <v>0</v>
      </c>
      <c r="K443" s="35">
        <v>559</v>
      </c>
      <c r="L443" s="35">
        <v>1</v>
      </c>
      <c r="M443" s="35" t="s">
        <v>91</v>
      </c>
    </row>
    <row r="444" spans="4:13" x14ac:dyDescent="0.2">
      <c r="D444" s="34">
        <v>1</v>
      </c>
      <c r="E444" s="35">
        <v>1</v>
      </c>
      <c r="F444" s="35" t="s">
        <v>529</v>
      </c>
      <c r="G444" s="35" t="s">
        <v>93</v>
      </c>
      <c r="H444" s="35">
        <v>14</v>
      </c>
      <c r="I444" s="35">
        <v>1</v>
      </c>
      <c r="J444" s="35">
        <v>2</v>
      </c>
      <c r="K444" s="35">
        <v>120</v>
      </c>
      <c r="L444" s="35">
        <v>1</v>
      </c>
      <c r="M444" s="35" t="s">
        <v>91</v>
      </c>
    </row>
    <row r="445" spans="4:13" x14ac:dyDescent="0.2">
      <c r="D445" s="34">
        <v>0</v>
      </c>
      <c r="E445" s="35">
        <v>3</v>
      </c>
      <c r="F445" s="35" t="s">
        <v>530</v>
      </c>
      <c r="G445" s="35" t="s">
        <v>93</v>
      </c>
      <c r="H445" s="35">
        <v>21</v>
      </c>
      <c r="I445" s="35">
        <v>2</v>
      </c>
      <c r="J445" s="35">
        <v>2</v>
      </c>
      <c r="K445" s="35">
        <v>34375</v>
      </c>
      <c r="L445" s="35">
        <v>0</v>
      </c>
      <c r="M445" s="35" t="s">
        <v>91</v>
      </c>
    </row>
    <row r="446" spans="4:13" x14ac:dyDescent="0.2">
      <c r="D446" s="34">
        <v>1</v>
      </c>
      <c r="E446" s="35">
        <v>2</v>
      </c>
      <c r="F446" s="35" t="s">
        <v>531</v>
      </c>
      <c r="G446" s="35" t="s">
        <v>93</v>
      </c>
      <c r="H446" s="35">
        <v>24</v>
      </c>
      <c r="I446" s="35">
        <v>2</v>
      </c>
      <c r="J446" s="35">
        <v>3</v>
      </c>
      <c r="K446" s="35">
        <v>1875</v>
      </c>
      <c r="L446" s="35">
        <v>0</v>
      </c>
      <c r="M446" s="35" t="s">
        <v>91</v>
      </c>
    </row>
    <row r="447" spans="4:13" x14ac:dyDescent="0.2">
      <c r="D447" s="34">
        <v>0</v>
      </c>
      <c r="E447" s="35">
        <v>1</v>
      </c>
      <c r="F447" s="35" t="s">
        <v>532</v>
      </c>
      <c r="G447" s="35" t="s">
        <v>90</v>
      </c>
      <c r="H447" s="35">
        <v>64</v>
      </c>
      <c r="I447" s="35">
        <v>1</v>
      </c>
      <c r="J447" s="35">
        <v>4</v>
      </c>
      <c r="K447" s="35">
        <v>263</v>
      </c>
      <c r="L447" s="35">
        <v>1</v>
      </c>
      <c r="M447" s="35" t="s">
        <v>91</v>
      </c>
    </row>
    <row r="448" spans="4:13" x14ac:dyDescent="0.2">
      <c r="D448" s="34">
        <v>0</v>
      </c>
      <c r="E448" s="35">
        <v>2</v>
      </c>
      <c r="F448" s="35" t="s">
        <v>533</v>
      </c>
      <c r="G448" s="35" t="s">
        <v>90</v>
      </c>
      <c r="H448" s="35">
        <v>31</v>
      </c>
      <c r="I448" s="35">
        <v>0</v>
      </c>
      <c r="J448" s="35">
        <v>0</v>
      </c>
      <c r="K448" s="35">
        <v>105</v>
      </c>
      <c r="L448" s="35">
        <v>0</v>
      </c>
      <c r="M448" s="35" t="s">
        <v>91</v>
      </c>
    </row>
    <row r="449" spans="4:13" x14ac:dyDescent="0.2">
      <c r="D449" s="34">
        <v>1</v>
      </c>
      <c r="E449" s="35">
        <v>2</v>
      </c>
      <c r="F449" s="35" t="s">
        <v>534</v>
      </c>
      <c r="G449" s="35" t="s">
        <v>93</v>
      </c>
      <c r="H449" s="35">
        <v>45</v>
      </c>
      <c r="I449" s="35">
        <v>1</v>
      </c>
      <c r="J449" s="35">
        <v>1</v>
      </c>
      <c r="K449" s="35">
        <v>2625</v>
      </c>
      <c r="L449" s="35">
        <v>0</v>
      </c>
      <c r="M449" s="35" t="s">
        <v>91</v>
      </c>
    </row>
    <row r="450" spans="4:13" x14ac:dyDescent="0.2">
      <c r="D450" s="34">
        <v>0</v>
      </c>
      <c r="E450" s="35">
        <v>3</v>
      </c>
      <c r="F450" s="35" t="s">
        <v>535</v>
      </c>
      <c r="G450" s="35" t="s">
        <v>90</v>
      </c>
      <c r="H450" s="35">
        <v>20</v>
      </c>
      <c r="I450" s="35">
        <v>0</v>
      </c>
      <c r="J450" s="35">
        <v>0</v>
      </c>
      <c r="K450" s="35">
        <v>95</v>
      </c>
      <c r="L450" s="35">
        <v>0</v>
      </c>
      <c r="M450" s="35" t="s">
        <v>91</v>
      </c>
    </row>
    <row r="451" spans="4:13" x14ac:dyDescent="0.2">
      <c r="D451" s="34">
        <v>0</v>
      </c>
      <c r="E451" s="35">
        <v>3</v>
      </c>
      <c r="F451" s="35" t="s">
        <v>536</v>
      </c>
      <c r="G451" s="35" t="s">
        <v>90</v>
      </c>
      <c r="H451" s="35">
        <v>25</v>
      </c>
      <c r="I451" s="35">
        <v>1</v>
      </c>
      <c r="J451" s="35">
        <v>0</v>
      </c>
      <c r="K451" s="35">
        <v>7775</v>
      </c>
      <c r="L451" s="35">
        <v>0</v>
      </c>
      <c r="M451" s="35" t="s">
        <v>91</v>
      </c>
    </row>
    <row r="452" spans="4:13" x14ac:dyDescent="0.2">
      <c r="D452" s="34">
        <v>1</v>
      </c>
      <c r="E452" s="35">
        <v>2</v>
      </c>
      <c r="F452" s="35" t="s">
        <v>537</v>
      </c>
      <c r="G452" s="35" t="s">
        <v>93</v>
      </c>
      <c r="H452" s="35">
        <v>28</v>
      </c>
      <c r="I452" s="35">
        <v>0</v>
      </c>
      <c r="J452" s="35">
        <v>0</v>
      </c>
      <c r="K452" s="35">
        <v>13</v>
      </c>
      <c r="L452" s="35">
        <v>0</v>
      </c>
      <c r="M452" s="35" t="s">
        <v>91</v>
      </c>
    </row>
    <row r="453" spans="4:13" x14ac:dyDescent="0.2">
      <c r="D453" s="34">
        <v>1</v>
      </c>
      <c r="E453" s="35">
        <v>3</v>
      </c>
      <c r="F453" s="35" t="s">
        <v>538</v>
      </c>
      <c r="G453" s="35" t="s">
        <v>90</v>
      </c>
      <c r="H453" s="36"/>
      <c r="I453" s="35">
        <v>0</v>
      </c>
      <c r="J453" s="35">
        <v>0</v>
      </c>
      <c r="K453" s="35">
        <v>81125</v>
      </c>
      <c r="L453" s="35">
        <v>0</v>
      </c>
      <c r="M453" s="35" t="s">
        <v>91</v>
      </c>
    </row>
    <row r="454" spans="4:13" x14ac:dyDescent="0.2">
      <c r="D454" s="34">
        <v>1</v>
      </c>
      <c r="E454" s="35">
        <v>1</v>
      </c>
      <c r="F454" s="35" t="s">
        <v>539</v>
      </c>
      <c r="G454" s="35" t="s">
        <v>90</v>
      </c>
      <c r="H454" s="35">
        <v>4</v>
      </c>
      <c r="I454" s="35">
        <v>0</v>
      </c>
      <c r="J454" s="35">
        <v>2</v>
      </c>
      <c r="K454" s="35">
        <v>818583</v>
      </c>
      <c r="L454" s="35">
        <v>1</v>
      </c>
      <c r="M454" s="35" t="s">
        <v>91</v>
      </c>
    </row>
    <row r="455" spans="4:13" x14ac:dyDescent="0.2">
      <c r="D455" s="34">
        <v>1</v>
      </c>
      <c r="E455" s="35">
        <v>2</v>
      </c>
      <c r="F455" s="35" t="s">
        <v>540</v>
      </c>
      <c r="G455" s="35" t="s">
        <v>93</v>
      </c>
      <c r="H455" s="35">
        <v>13</v>
      </c>
      <c r="I455" s="35">
        <v>0</v>
      </c>
      <c r="J455" s="35">
        <v>1</v>
      </c>
      <c r="K455" s="35">
        <v>195</v>
      </c>
      <c r="L455" s="35">
        <v>0</v>
      </c>
      <c r="M455" s="35" t="s">
        <v>91</v>
      </c>
    </row>
    <row r="456" spans="4:13" x14ac:dyDescent="0.2">
      <c r="D456" s="34">
        <v>1</v>
      </c>
      <c r="E456" s="35">
        <v>1</v>
      </c>
      <c r="F456" s="35" t="s">
        <v>541</v>
      </c>
      <c r="G456" s="35" t="s">
        <v>90</v>
      </c>
      <c r="H456" s="35">
        <v>34</v>
      </c>
      <c r="I456" s="35">
        <v>0</v>
      </c>
      <c r="J456" s="35">
        <v>0</v>
      </c>
      <c r="K456" s="35">
        <v>2655</v>
      </c>
      <c r="L456" s="35">
        <v>0</v>
      </c>
      <c r="M456" s="35" t="s">
        <v>91</v>
      </c>
    </row>
    <row r="457" spans="4:13" x14ac:dyDescent="0.2">
      <c r="D457" s="34">
        <v>1</v>
      </c>
      <c r="E457" s="35">
        <v>3</v>
      </c>
      <c r="F457" s="35" t="s">
        <v>542</v>
      </c>
      <c r="G457" s="35" t="s">
        <v>93</v>
      </c>
      <c r="H457" s="35">
        <v>5</v>
      </c>
      <c r="I457" s="35">
        <v>2</v>
      </c>
      <c r="J457" s="35">
        <v>1</v>
      </c>
      <c r="K457" s="35">
        <v>192583</v>
      </c>
      <c r="L457" s="35">
        <v>0</v>
      </c>
      <c r="M457" s="35" t="s">
        <v>94</v>
      </c>
    </row>
    <row r="458" spans="4:13" x14ac:dyDescent="0.2">
      <c r="D458" s="34">
        <v>1</v>
      </c>
      <c r="E458" s="35">
        <v>1</v>
      </c>
      <c r="F458" s="35" t="s">
        <v>543</v>
      </c>
      <c r="G458" s="35" t="s">
        <v>90</v>
      </c>
      <c r="H458" s="35">
        <v>52</v>
      </c>
      <c r="I458" s="35">
        <v>0</v>
      </c>
      <c r="J458" s="35">
        <v>0</v>
      </c>
      <c r="K458" s="35">
        <v>305</v>
      </c>
      <c r="L458" s="35">
        <v>1</v>
      </c>
      <c r="M458" s="35" t="s">
        <v>91</v>
      </c>
    </row>
    <row r="459" spans="4:13" x14ac:dyDescent="0.2">
      <c r="D459" s="34">
        <v>0</v>
      </c>
      <c r="E459" s="35">
        <v>2</v>
      </c>
      <c r="F459" s="35" t="s">
        <v>544</v>
      </c>
      <c r="G459" s="35" t="s">
        <v>90</v>
      </c>
      <c r="H459" s="35">
        <v>36</v>
      </c>
      <c r="I459" s="35">
        <v>1</v>
      </c>
      <c r="J459" s="35">
        <v>2</v>
      </c>
      <c r="K459" s="35">
        <v>2775</v>
      </c>
      <c r="L459" s="35">
        <v>0</v>
      </c>
      <c r="M459" s="35" t="s">
        <v>91</v>
      </c>
    </row>
    <row r="460" spans="4:13" x14ac:dyDescent="0.2">
      <c r="D460" s="34">
        <v>0</v>
      </c>
      <c r="E460" s="35">
        <v>3</v>
      </c>
      <c r="F460" s="35" t="s">
        <v>545</v>
      </c>
      <c r="G460" s="35" t="s">
        <v>90</v>
      </c>
      <c r="H460" s="36"/>
      <c r="I460" s="35">
        <v>1</v>
      </c>
      <c r="J460" s="35">
        <v>0</v>
      </c>
      <c r="K460" s="35">
        <v>199667</v>
      </c>
      <c r="L460" s="35">
        <v>0</v>
      </c>
      <c r="M460" s="35" t="s">
        <v>91</v>
      </c>
    </row>
    <row r="461" spans="4:13" x14ac:dyDescent="0.2">
      <c r="D461" s="34">
        <v>0</v>
      </c>
      <c r="E461" s="35">
        <v>1</v>
      </c>
      <c r="F461" s="35" t="s">
        <v>546</v>
      </c>
      <c r="G461" s="35" t="s">
        <v>90</v>
      </c>
      <c r="H461" s="35">
        <v>30</v>
      </c>
      <c r="I461" s="35">
        <v>0</v>
      </c>
      <c r="J461" s="35">
        <v>0</v>
      </c>
      <c r="K461" s="35">
        <v>2775</v>
      </c>
      <c r="L461" s="35">
        <v>1</v>
      </c>
      <c r="M461" s="35" t="s">
        <v>94</v>
      </c>
    </row>
    <row r="462" spans="4:13" x14ac:dyDescent="0.2">
      <c r="D462" s="34">
        <v>1</v>
      </c>
      <c r="E462" s="35">
        <v>1</v>
      </c>
      <c r="F462" s="35" t="s">
        <v>547</v>
      </c>
      <c r="G462" s="35" t="s">
        <v>90</v>
      </c>
      <c r="H462" s="35">
        <v>49</v>
      </c>
      <c r="I462" s="35">
        <v>1</v>
      </c>
      <c r="J462" s="35">
        <v>0</v>
      </c>
      <c r="K462" s="35">
        <v>891042</v>
      </c>
      <c r="L462" s="35">
        <v>1</v>
      </c>
      <c r="M462" s="35" t="s">
        <v>94</v>
      </c>
    </row>
    <row r="463" spans="4:13" x14ac:dyDescent="0.2">
      <c r="D463" s="34">
        <v>0</v>
      </c>
      <c r="E463" s="35">
        <v>3</v>
      </c>
      <c r="F463" s="35" t="s">
        <v>548</v>
      </c>
      <c r="G463" s="35" t="s">
        <v>90</v>
      </c>
      <c r="H463" s="36"/>
      <c r="I463" s="35">
        <v>0</v>
      </c>
      <c r="J463" s="35">
        <v>0</v>
      </c>
      <c r="K463" s="35">
        <v>805</v>
      </c>
      <c r="L463" s="35">
        <v>0</v>
      </c>
      <c r="M463" s="35" t="s">
        <v>91</v>
      </c>
    </row>
    <row r="464" spans="4:13" x14ac:dyDescent="0.2">
      <c r="D464" s="34">
        <v>1</v>
      </c>
      <c r="E464" s="35">
        <v>3</v>
      </c>
      <c r="F464" s="35" t="s">
        <v>549</v>
      </c>
      <c r="G464" s="35" t="s">
        <v>90</v>
      </c>
      <c r="H464" s="35">
        <v>29</v>
      </c>
      <c r="I464" s="35">
        <v>0</v>
      </c>
      <c r="J464" s="35">
        <v>0</v>
      </c>
      <c r="K464" s="35">
        <v>78958</v>
      </c>
      <c r="L464" s="35">
        <v>0</v>
      </c>
      <c r="M464" s="35" t="s">
        <v>94</v>
      </c>
    </row>
    <row r="465" spans="4:13" x14ac:dyDescent="0.2">
      <c r="D465" s="34">
        <v>0</v>
      </c>
      <c r="E465" s="35">
        <v>1</v>
      </c>
      <c r="F465" s="35" t="s">
        <v>550</v>
      </c>
      <c r="G465" s="35" t="s">
        <v>90</v>
      </c>
      <c r="H465" s="35">
        <v>65</v>
      </c>
      <c r="I465" s="35">
        <v>0</v>
      </c>
      <c r="J465" s="35">
        <v>0</v>
      </c>
      <c r="K465" s="35">
        <v>2655</v>
      </c>
      <c r="L465" s="35">
        <v>1</v>
      </c>
      <c r="M465" s="35" t="s">
        <v>91</v>
      </c>
    </row>
    <row r="466" spans="4:13" x14ac:dyDescent="0.2">
      <c r="D466" s="34">
        <v>1</v>
      </c>
      <c r="E466" s="35">
        <v>1</v>
      </c>
      <c r="F466" s="35" t="s">
        <v>551</v>
      </c>
      <c r="G466" s="35" t="s">
        <v>93</v>
      </c>
      <c r="H466" s="36"/>
      <c r="I466" s="35">
        <v>1</v>
      </c>
      <c r="J466" s="35">
        <v>0</v>
      </c>
      <c r="K466" s="35">
        <v>518625</v>
      </c>
      <c r="L466" s="35">
        <v>1</v>
      </c>
      <c r="M466" s="35" t="s">
        <v>91</v>
      </c>
    </row>
    <row r="467" spans="4:13" x14ac:dyDescent="0.2">
      <c r="D467" s="34">
        <v>1</v>
      </c>
      <c r="E467" s="35">
        <v>2</v>
      </c>
      <c r="F467" s="35" t="s">
        <v>552</v>
      </c>
      <c r="G467" s="35" t="s">
        <v>93</v>
      </c>
      <c r="H467" s="35">
        <v>50</v>
      </c>
      <c r="I467" s="35">
        <v>0</v>
      </c>
      <c r="J467" s="35">
        <v>0</v>
      </c>
      <c r="K467" s="35">
        <v>105</v>
      </c>
      <c r="L467" s="35">
        <v>0</v>
      </c>
      <c r="M467" s="35" t="s">
        <v>91</v>
      </c>
    </row>
    <row r="468" spans="4:13" x14ac:dyDescent="0.2">
      <c r="D468" s="34">
        <v>0</v>
      </c>
      <c r="E468" s="35">
        <v>3</v>
      </c>
      <c r="F468" s="35" t="s">
        <v>553</v>
      </c>
      <c r="G468" s="35" t="s">
        <v>90</v>
      </c>
      <c r="H468" s="36"/>
      <c r="I468" s="35">
        <v>0</v>
      </c>
      <c r="J468" s="35">
        <v>0</v>
      </c>
      <c r="K468" s="35">
        <v>775</v>
      </c>
      <c r="L468" s="35">
        <v>0</v>
      </c>
      <c r="M468" s="35" t="s">
        <v>99</v>
      </c>
    </row>
    <row r="469" spans="4:13" x14ac:dyDescent="0.2">
      <c r="D469" s="34">
        <v>1</v>
      </c>
      <c r="E469" s="35">
        <v>1</v>
      </c>
      <c r="F469" s="35" t="s">
        <v>554</v>
      </c>
      <c r="G469" s="35" t="s">
        <v>90</v>
      </c>
      <c r="H469" s="35">
        <v>48</v>
      </c>
      <c r="I469" s="35">
        <v>0</v>
      </c>
      <c r="J469" s="35">
        <v>0</v>
      </c>
      <c r="K469" s="35">
        <v>2655</v>
      </c>
      <c r="L469" s="35">
        <v>1</v>
      </c>
      <c r="M469" s="35" t="s">
        <v>91</v>
      </c>
    </row>
    <row r="470" spans="4:13" x14ac:dyDescent="0.2">
      <c r="D470" s="34">
        <v>0</v>
      </c>
      <c r="E470" s="35">
        <v>3</v>
      </c>
      <c r="F470" s="35" t="s">
        <v>555</v>
      </c>
      <c r="G470" s="35" t="s">
        <v>90</v>
      </c>
      <c r="H470" s="35">
        <v>34</v>
      </c>
      <c r="I470" s="35">
        <v>0</v>
      </c>
      <c r="J470" s="35">
        <v>0</v>
      </c>
      <c r="K470" s="35">
        <v>805</v>
      </c>
      <c r="L470" s="35">
        <v>0</v>
      </c>
      <c r="M470" s="35" t="s">
        <v>91</v>
      </c>
    </row>
    <row r="471" spans="4:13" x14ac:dyDescent="0.2">
      <c r="D471" s="34">
        <v>0</v>
      </c>
      <c r="E471" s="35">
        <v>1</v>
      </c>
      <c r="F471" s="35" t="s">
        <v>556</v>
      </c>
      <c r="G471" s="35" t="s">
        <v>90</v>
      </c>
      <c r="H471" s="35">
        <v>47</v>
      </c>
      <c r="I471" s="35">
        <v>0</v>
      </c>
      <c r="J471" s="35">
        <v>0</v>
      </c>
      <c r="K471" s="35">
        <v>385</v>
      </c>
      <c r="L471" s="35">
        <v>1</v>
      </c>
      <c r="M471" s="35" t="s">
        <v>91</v>
      </c>
    </row>
    <row r="472" spans="4:13" x14ac:dyDescent="0.2">
      <c r="D472" s="34">
        <v>0</v>
      </c>
      <c r="E472" s="35">
        <v>2</v>
      </c>
      <c r="F472" s="35" t="s">
        <v>557</v>
      </c>
      <c r="G472" s="35" t="s">
        <v>90</v>
      </c>
      <c r="H472" s="35">
        <v>48</v>
      </c>
      <c r="I472" s="35">
        <v>0</v>
      </c>
      <c r="J472" s="35">
        <v>0</v>
      </c>
      <c r="K472" s="35">
        <v>13</v>
      </c>
      <c r="L472" s="35">
        <v>0</v>
      </c>
      <c r="M472" s="35" t="s">
        <v>91</v>
      </c>
    </row>
    <row r="473" spans="4:13" x14ac:dyDescent="0.2">
      <c r="D473" s="34">
        <v>0</v>
      </c>
      <c r="E473" s="35">
        <v>3</v>
      </c>
      <c r="F473" s="35" t="s">
        <v>558</v>
      </c>
      <c r="G473" s="35" t="s">
        <v>90</v>
      </c>
      <c r="H473" s="36"/>
      <c r="I473" s="35">
        <v>0</v>
      </c>
      <c r="J473" s="35">
        <v>0</v>
      </c>
      <c r="K473" s="35">
        <v>805</v>
      </c>
      <c r="L473" s="35">
        <v>0</v>
      </c>
      <c r="M473" s="35" t="s">
        <v>91</v>
      </c>
    </row>
    <row r="474" spans="4:13" x14ac:dyDescent="0.2">
      <c r="D474" s="34">
        <v>0</v>
      </c>
      <c r="E474" s="35">
        <v>3</v>
      </c>
      <c r="F474" s="35" t="s">
        <v>559</v>
      </c>
      <c r="G474" s="35" t="s">
        <v>90</v>
      </c>
      <c r="H474" s="35">
        <v>38</v>
      </c>
      <c r="I474" s="35">
        <v>0</v>
      </c>
      <c r="J474" s="35">
        <v>0</v>
      </c>
      <c r="K474" s="35">
        <v>705</v>
      </c>
      <c r="L474" s="35">
        <v>0</v>
      </c>
      <c r="M474" s="35" t="s">
        <v>91</v>
      </c>
    </row>
    <row r="475" spans="4:13" x14ac:dyDescent="0.2">
      <c r="D475" s="34">
        <v>0</v>
      </c>
      <c r="E475" s="35">
        <v>2</v>
      </c>
      <c r="F475" s="35" t="s">
        <v>560</v>
      </c>
      <c r="G475" s="35" t="s">
        <v>90</v>
      </c>
      <c r="H475" s="36"/>
      <c r="I475" s="35">
        <v>0</v>
      </c>
      <c r="J475" s="35">
        <v>0</v>
      </c>
      <c r="K475" s="35">
        <v>0</v>
      </c>
      <c r="L475" s="35">
        <v>0</v>
      </c>
      <c r="M475" s="35" t="s">
        <v>91</v>
      </c>
    </row>
    <row r="476" spans="4:13" x14ac:dyDescent="0.2">
      <c r="D476" s="34">
        <v>0</v>
      </c>
      <c r="E476" s="35">
        <v>1</v>
      </c>
      <c r="F476" s="35" t="s">
        <v>561</v>
      </c>
      <c r="G476" s="35" t="s">
        <v>90</v>
      </c>
      <c r="H476" s="35">
        <v>56</v>
      </c>
      <c r="I476" s="35">
        <v>0</v>
      </c>
      <c r="J476" s="35">
        <v>0</v>
      </c>
      <c r="K476" s="35">
        <v>2655</v>
      </c>
      <c r="L476" s="35">
        <v>0</v>
      </c>
      <c r="M476" s="35" t="s">
        <v>91</v>
      </c>
    </row>
    <row r="477" spans="4:13" x14ac:dyDescent="0.2">
      <c r="D477" s="34">
        <v>0</v>
      </c>
      <c r="E477" s="35">
        <v>3</v>
      </c>
      <c r="F477" s="35" t="s">
        <v>562</v>
      </c>
      <c r="G477" s="35" t="s">
        <v>90</v>
      </c>
      <c r="H477" s="36"/>
      <c r="I477" s="35">
        <v>0</v>
      </c>
      <c r="J477" s="35">
        <v>0</v>
      </c>
      <c r="K477" s="35">
        <v>7725</v>
      </c>
      <c r="L477" s="35">
        <v>0</v>
      </c>
      <c r="M477" s="35" t="s">
        <v>99</v>
      </c>
    </row>
    <row r="478" spans="4:13" x14ac:dyDescent="0.2">
      <c r="D478" s="34">
        <v>1</v>
      </c>
      <c r="E478" s="35">
        <v>3</v>
      </c>
      <c r="F478" s="35" t="s">
        <v>563</v>
      </c>
      <c r="G478" s="35" t="s">
        <v>93</v>
      </c>
      <c r="H478" s="35">
        <v>75</v>
      </c>
      <c r="I478" s="35">
        <v>2</v>
      </c>
      <c r="J478" s="35">
        <v>1</v>
      </c>
      <c r="K478" s="35">
        <v>192583</v>
      </c>
      <c r="L478" s="35">
        <v>0</v>
      </c>
      <c r="M478" s="35" t="s">
        <v>94</v>
      </c>
    </row>
    <row r="479" spans="4:13" x14ac:dyDescent="0.2">
      <c r="D479" s="34">
        <v>0</v>
      </c>
      <c r="E479" s="35">
        <v>3</v>
      </c>
      <c r="F479" s="35" t="s">
        <v>564</v>
      </c>
      <c r="G479" s="35" t="s">
        <v>90</v>
      </c>
      <c r="H479" s="36"/>
      <c r="I479" s="35">
        <v>0</v>
      </c>
      <c r="J479" s="35">
        <v>0</v>
      </c>
      <c r="K479" s="35">
        <v>725</v>
      </c>
      <c r="L479" s="35">
        <v>0</v>
      </c>
      <c r="M479" s="35" t="s">
        <v>91</v>
      </c>
    </row>
    <row r="480" spans="4:13" x14ac:dyDescent="0.2">
      <c r="D480" s="34">
        <v>0</v>
      </c>
      <c r="E480" s="35">
        <v>3</v>
      </c>
      <c r="F480" s="35" t="s">
        <v>565</v>
      </c>
      <c r="G480" s="35" t="s">
        <v>90</v>
      </c>
      <c r="H480" s="35">
        <v>38</v>
      </c>
      <c r="I480" s="35">
        <v>0</v>
      </c>
      <c r="J480" s="35">
        <v>0</v>
      </c>
      <c r="K480" s="35">
        <v>86625</v>
      </c>
      <c r="L480" s="35">
        <v>0</v>
      </c>
      <c r="M480" s="35" t="s">
        <v>91</v>
      </c>
    </row>
    <row r="481" spans="4:13" x14ac:dyDescent="0.2">
      <c r="D481" s="34">
        <v>1</v>
      </c>
      <c r="E481" s="35">
        <v>2</v>
      </c>
      <c r="F481" s="35" t="s">
        <v>566</v>
      </c>
      <c r="G481" s="35" t="s">
        <v>93</v>
      </c>
      <c r="H481" s="35">
        <v>33</v>
      </c>
      <c r="I481" s="35">
        <v>1</v>
      </c>
      <c r="J481" s="35">
        <v>2</v>
      </c>
      <c r="K481" s="35">
        <v>2775</v>
      </c>
      <c r="L481" s="35">
        <v>0</v>
      </c>
      <c r="M481" s="35" t="s">
        <v>91</v>
      </c>
    </row>
    <row r="482" spans="4:13" x14ac:dyDescent="0.2">
      <c r="D482" s="34">
        <v>1</v>
      </c>
      <c r="E482" s="35">
        <v>2</v>
      </c>
      <c r="F482" s="35" t="s">
        <v>567</v>
      </c>
      <c r="G482" s="35" t="s">
        <v>93</v>
      </c>
      <c r="H482" s="35">
        <v>23</v>
      </c>
      <c r="I482" s="35">
        <v>0</v>
      </c>
      <c r="J482" s="35">
        <v>0</v>
      </c>
      <c r="K482" s="35">
        <v>137917</v>
      </c>
      <c r="L482" s="35">
        <v>1</v>
      </c>
      <c r="M482" s="35" t="s">
        <v>94</v>
      </c>
    </row>
    <row r="483" spans="4:13" x14ac:dyDescent="0.2">
      <c r="D483" s="34">
        <v>0</v>
      </c>
      <c r="E483" s="35">
        <v>3</v>
      </c>
      <c r="F483" s="35" t="s">
        <v>568</v>
      </c>
      <c r="G483" s="35" t="s">
        <v>93</v>
      </c>
      <c r="H483" s="35">
        <v>22</v>
      </c>
      <c r="I483" s="35">
        <v>0</v>
      </c>
      <c r="J483" s="35">
        <v>0</v>
      </c>
      <c r="K483" s="35">
        <v>98375</v>
      </c>
      <c r="L483" s="35">
        <v>0</v>
      </c>
      <c r="M483" s="35" t="s">
        <v>91</v>
      </c>
    </row>
    <row r="484" spans="4:13" x14ac:dyDescent="0.2">
      <c r="D484" s="34">
        <v>0</v>
      </c>
      <c r="E484" s="35">
        <v>1</v>
      </c>
      <c r="F484" s="35" t="s">
        <v>569</v>
      </c>
      <c r="G484" s="35" t="s">
        <v>90</v>
      </c>
      <c r="H484" s="36"/>
      <c r="I484" s="35">
        <v>0</v>
      </c>
      <c r="J484" s="35">
        <v>0</v>
      </c>
      <c r="K484" s="35">
        <v>52</v>
      </c>
      <c r="L484" s="35">
        <v>1</v>
      </c>
      <c r="M484" s="35" t="s">
        <v>91</v>
      </c>
    </row>
    <row r="485" spans="4:13" x14ac:dyDescent="0.2">
      <c r="D485" s="34">
        <v>0</v>
      </c>
      <c r="E485" s="35">
        <v>2</v>
      </c>
      <c r="F485" s="35" t="s">
        <v>570</v>
      </c>
      <c r="G485" s="35" t="s">
        <v>90</v>
      </c>
      <c r="H485" s="35">
        <v>34</v>
      </c>
      <c r="I485" s="35">
        <v>1</v>
      </c>
      <c r="J485" s="35">
        <v>0</v>
      </c>
      <c r="K485" s="35">
        <v>21</v>
      </c>
      <c r="L485" s="35">
        <v>0</v>
      </c>
      <c r="M485" s="35" t="s">
        <v>91</v>
      </c>
    </row>
    <row r="486" spans="4:13" x14ac:dyDescent="0.2">
      <c r="D486" s="34">
        <v>0</v>
      </c>
      <c r="E486" s="35">
        <v>3</v>
      </c>
      <c r="F486" s="35" t="s">
        <v>571</v>
      </c>
      <c r="G486" s="35" t="s">
        <v>90</v>
      </c>
      <c r="H486" s="35">
        <v>29</v>
      </c>
      <c r="I486" s="35">
        <v>1</v>
      </c>
      <c r="J486" s="35">
        <v>0</v>
      </c>
      <c r="K486" s="35">
        <v>70458</v>
      </c>
      <c r="L486" s="35">
        <v>0</v>
      </c>
      <c r="M486" s="35" t="s">
        <v>91</v>
      </c>
    </row>
    <row r="487" spans="4:13" x14ac:dyDescent="0.2">
      <c r="D487" s="34">
        <v>0</v>
      </c>
      <c r="E487" s="35">
        <v>3</v>
      </c>
      <c r="F487" s="35" t="s">
        <v>572</v>
      </c>
      <c r="G487" s="35" t="s">
        <v>90</v>
      </c>
      <c r="H487" s="35">
        <v>22</v>
      </c>
      <c r="I487" s="35">
        <v>0</v>
      </c>
      <c r="J487" s="35">
        <v>0</v>
      </c>
      <c r="K487" s="35">
        <v>75208</v>
      </c>
      <c r="L487" s="35">
        <v>0</v>
      </c>
      <c r="M487" s="35" t="s">
        <v>91</v>
      </c>
    </row>
    <row r="488" spans="4:13" x14ac:dyDescent="0.2">
      <c r="D488" s="34">
        <v>1</v>
      </c>
      <c r="E488" s="35">
        <v>3</v>
      </c>
      <c r="F488" s="35" t="s">
        <v>573</v>
      </c>
      <c r="G488" s="35" t="s">
        <v>93</v>
      </c>
      <c r="H488" s="35">
        <v>2</v>
      </c>
      <c r="I488" s="35">
        <v>0</v>
      </c>
      <c r="J488" s="35">
        <v>1</v>
      </c>
      <c r="K488" s="35">
        <v>122875</v>
      </c>
      <c r="L488" s="35">
        <v>0</v>
      </c>
      <c r="M488" s="35" t="s">
        <v>91</v>
      </c>
    </row>
    <row r="489" spans="4:13" x14ac:dyDescent="0.2">
      <c r="D489" s="34">
        <v>0</v>
      </c>
      <c r="E489" s="35">
        <v>3</v>
      </c>
      <c r="F489" s="35" t="s">
        <v>574</v>
      </c>
      <c r="G489" s="35" t="s">
        <v>90</v>
      </c>
      <c r="H489" s="35">
        <v>9</v>
      </c>
      <c r="I489" s="35">
        <v>5</v>
      </c>
      <c r="J489" s="35">
        <v>2</v>
      </c>
      <c r="K489" s="35">
        <v>469</v>
      </c>
      <c r="L489" s="35">
        <v>0</v>
      </c>
      <c r="M489" s="35" t="s">
        <v>91</v>
      </c>
    </row>
    <row r="490" spans="4:13" x14ac:dyDescent="0.2">
      <c r="D490" s="34">
        <v>0</v>
      </c>
      <c r="E490" s="35">
        <v>2</v>
      </c>
      <c r="F490" s="35" t="s">
        <v>575</v>
      </c>
      <c r="G490" s="35" t="s">
        <v>90</v>
      </c>
      <c r="H490" s="36"/>
      <c r="I490" s="35">
        <v>0</v>
      </c>
      <c r="J490" s="35">
        <v>0</v>
      </c>
      <c r="K490" s="35">
        <v>0</v>
      </c>
      <c r="L490" s="35">
        <v>0</v>
      </c>
      <c r="M490" s="35" t="s">
        <v>91</v>
      </c>
    </row>
    <row r="491" spans="4:13" x14ac:dyDescent="0.2">
      <c r="D491" s="34">
        <v>0</v>
      </c>
      <c r="E491" s="35">
        <v>3</v>
      </c>
      <c r="F491" s="35" t="s">
        <v>576</v>
      </c>
      <c r="G491" s="35" t="s">
        <v>90</v>
      </c>
      <c r="H491" s="35">
        <v>50</v>
      </c>
      <c r="I491" s="35">
        <v>0</v>
      </c>
      <c r="J491" s="35">
        <v>0</v>
      </c>
      <c r="K491" s="35">
        <v>805</v>
      </c>
      <c r="L491" s="35">
        <v>0</v>
      </c>
      <c r="M491" s="35" t="s">
        <v>91</v>
      </c>
    </row>
    <row r="492" spans="4:13" x14ac:dyDescent="0.2">
      <c r="D492" s="34">
        <v>1</v>
      </c>
      <c r="E492" s="35">
        <v>3</v>
      </c>
      <c r="F492" s="35" t="s">
        <v>577</v>
      </c>
      <c r="G492" s="35" t="s">
        <v>93</v>
      </c>
      <c r="H492" s="35">
        <v>63</v>
      </c>
      <c r="I492" s="35">
        <v>0</v>
      </c>
      <c r="J492" s="35">
        <v>0</v>
      </c>
      <c r="K492" s="35">
        <v>95875</v>
      </c>
      <c r="L492" s="35">
        <v>0</v>
      </c>
      <c r="M492" s="35" t="s">
        <v>91</v>
      </c>
    </row>
    <row r="493" spans="4:13" x14ac:dyDescent="0.2">
      <c r="D493" s="34">
        <v>1</v>
      </c>
      <c r="E493" s="35">
        <v>1</v>
      </c>
      <c r="F493" s="35" t="s">
        <v>578</v>
      </c>
      <c r="G493" s="35" t="s">
        <v>90</v>
      </c>
      <c r="H493" s="35">
        <v>25</v>
      </c>
      <c r="I493" s="35">
        <v>1</v>
      </c>
      <c r="J493" s="35">
        <v>0</v>
      </c>
      <c r="K493" s="35">
        <v>910792</v>
      </c>
      <c r="L493" s="35">
        <v>1</v>
      </c>
      <c r="M493" s="35" t="s">
        <v>94</v>
      </c>
    </row>
    <row r="494" spans="4:13" x14ac:dyDescent="0.2">
      <c r="D494" s="34">
        <v>0</v>
      </c>
      <c r="E494" s="35">
        <v>3</v>
      </c>
      <c r="F494" s="35" t="s">
        <v>579</v>
      </c>
      <c r="G494" s="35" t="s">
        <v>93</v>
      </c>
      <c r="H494" s="36"/>
      <c r="I494" s="35">
        <v>3</v>
      </c>
      <c r="J494" s="35">
        <v>1</v>
      </c>
      <c r="K494" s="35">
        <v>254667</v>
      </c>
      <c r="L494" s="35">
        <v>0</v>
      </c>
      <c r="M494" s="35" t="s">
        <v>91</v>
      </c>
    </row>
    <row r="495" spans="4:13" x14ac:dyDescent="0.2">
      <c r="D495" s="34">
        <v>1</v>
      </c>
      <c r="E495" s="35">
        <v>1</v>
      </c>
      <c r="F495" s="35" t="s">
        <v>580</v>
      </c>
      <c r="G495" s="35" t="s">
        <v>93</v>
      </c>
      <c r="H495" s="35">
        <v>35</v>
      </c>
      <c r="I495" s="35">
        <v>1</v>
      </c>
      <c r="J495" s="35">
        <v>0</v>
      </c>
      <c r="K495" s="35">
        <v>90</v>
      </c>
      <c r="L495" s="35">
        <v>1</v>
      </c>
      <c r="M495" s="35" t="s">
        <v>91</v>
      </c>
    </row>
    <row r="496" spans="4:13" x14ac:dyDescent="0.2">
      <c r="D496" s="34">
        <v>0</v>
      </c>
      <c r="E496" s="35">
        <v>1</v>
      </c>
      <c r="F496" s="35" t="s">
        <v>581</v>
      </c>
      <c r="G496" s="35" t="s">
        <v>90</v>
      </c>
      <c r="H496" s="35">
        <v>58</v>
      </c>
      <c r="I496" s="35">
        <v>0</v>
      </c>
      <c r="J496" s="35">
        <v>0</v>
      </c>
      <c r="K496" s="35">
        <v>297</v>
      </c>
      <c r="L496" s="35">
        <v>1</v>
      </c>
      <c r="M496" s="35" t="s">
        <v>94</v>
      </c>
    </row>
    <row r="497" spans="4:13" x14ac:dyDescent="0.2">
      <c r="D497" s="34">
        <v>0</v>
      </c>
      <c r="E497" s="35">
        <v>3</v>
      </c>
      <c r="F497" s="35" t="s">
        <v>582</v>
      </c>
      <c r="G497" s="35" t="s">
        <v>90</v>
      </c>
      <c r="H497" s="35">
        <v>30</v>
      </c>
      <c r="I497" s="35">
        <v>0</v>
      </c>
      <c r="J497" s="35">
        <v>0</v>
      </c>
      <c r="K497" s="35">
        <v>805</v>
      </c>
      <c r="L497" s="35">
        <v>0</v>
      </c>
      <c r="M497" s="35" t="s">
        <v>91</v>
      </c>
    </row>
    <row r="498" spans="4:13" x14ac:dyDescent="0.2">
      <c r="D498" s="34">
        <v>1</v>
      </c>
      <c r="E498" s="35">
        <v>3</v>
      </c>
      <c r="F498" s="35" t="s">
        <v>583</v>
      </c>
      <c r="G498" s="35" t="s">
        <v>90</v>
      </c>
      <c r="H498" s="35">
        <v>9</v>
      </c>
      <c r="I498" s="35">
        <v>1</v>
      </c>
      <c r="J498" s="35">
        <v>1</v>
      </c>
      <c r="K498" s="35">
        <v>159</v>
      </c>
      <c r="L498" s="35">
        <v>0</v>
      </c>
      <c r="M498" s="35" t="s">
        <v>91</v>
      </c>
    </row>
    <row r="499" spans="4:13" x14ac:dyDescent="0.2">
      <c r="D499" s="34">
        <v>0</v>
      </c>
      <c r="E499" s="35">
        <v>3</v>
      </c>
      <c r="F499" s="35" t="s">
        <v>584</v>
      </c>
      <c r="G499" s="35" t="s">
        <v>90</v>
      </c>
      <c r="H499" s="36"/>
      <c r="I499" s="35">
        <v>1</v>
      </c>
      <c r="J499" s="35">
        <v>0</v>
      </c>
      <c r="K499" s="35">
        <v>199667</v>
      </c>
      <c r="L499" s="35">
        <v>0</v>
      </c>
      <c r="M499" s="35" t="s">
        <v>91</v>
      </c>
    </row>
    <row r="500" spans="4:13" x14ac:dyDescent="0.2">
      <c r="D500" s="34">
        <v>0</v>
      </c>
      <c r="E500" s="35">
        <v>3</v>
      </c>
      <c r="F500" s="35" t="s">
        <v>585</v>
      </c>
      <c r="G500" s="35" t="s">
        <v>90</v>
      </c>
      <c r="H500" s="35">
        <v>21</v>
      </c>
      <c r="I500" s="35">
        <v>0</v>
      </c>
      <c r="J500" s="35">
        <v>0</v>
      </c>
      <c r="K500" s="35">
        <v>725</v>
      </c>
      <c r="L500" s="35">
        <v>0</v>
      </c>
      <c r="M500" s="35" t="s">
        <v>91</v>
      </c>
    </row>
    <row r="501" spans="4:13" x14ac:dyDescent="0.2">
      <c r="D501" s="34">
        <v>0</v>
      </c>
      <c r="E501" s="35">
        <v>1</v>
      </c>
      <c r="F501" s="35" t="s">
        <v>586</v>
      </c>
      <c r="G501" s="35" t="s">
        <v>90</v>
      </c>
      <c r="H501" s="35">
        <v>55</v>
      </c>
      <c r="I501" s="35">
        <v>0</v>
      </c>
      <c r="J501" s="35">
        <v>0</v>
      </c>
      <c r="K501" s="35">
        <v>305</v>
      </c>
      <c r="L501" s="35">
        <v>1</v>
      </c>
      <c r="M501" s="35" t="s">
        <v>91</v>
      </c>
    </row>
    <row r="502" spans="4:13" x14ac:dyDescent="0.2">
      <c r="D502" s="34">
        <v>0</v>
      </c>
      <c r="E502" s="35">
        <v>1</v>
      </c>
      <c r="F502" s="35" t="s">
        <v>587</v>
      </c>
      <c r="G502" s="35" t="s">
        <v>90</v>
      </c>
      <c r="H502" s="35">
        <v>71</v>
      </c>
      <c r="I502" s="35">
        <v>0</v>
      </c>
      <c r="J502" s="35">
        <v>0</v>
      </c>
      <c r="K502" s="35">
        <v>495042</v>
      </c>
      <c r="L502" s="35">
        <v>0</v>
      </c>
      <c r="M502" s="35" t="s">
        <v>94</v>
      </c>
    </row>
    <row r="503" spans="4:13" x14ac:dyDescent="0.2">
      <c r="D503" s="34">
        <v>0</v>
      </c>
      <c r="E503" s="35">
        <v>3</v>
      </c>
      <c r="F503" s="35" t="s">
        <v>588</v>
      </c>
      <c r="G503" s="35" t="s">
        <v>90</v>
      </c>
      <c r="H503" s="35">
        <v>21</v>
      </c>
      <c r="I503" s="35">
        <v>0</v>
      </c>
      <c r="J503" s="35">
        <v>0</v>
      </c>
      <c r="K503" s="35">
        <v>805</v>
      </c>
      <c r="L503" s="35">
        <v>0</v>
      </c>
      <c r="M503" s="35" t="s">
        <v>91</v>
      </c>
    </row>
    <row r="504" spans="4:13" x14ac:dyDescent="0.2">
      <c r="D504" s="34">
        <v>0</v>
      </c>
      <c r="E504" s="35">
        <v>3</v>
      </c>
      <c r="F504" s="35" t="s">
        <v>589</v>
      </c>
      <c r="G504" s="35" t="s">
        <v>90</v>
      </c>
      <c r="H504" s="36"/>
      <c r="I504" s="35">
        <v>0</v>
      </c>
      <c r="J504" s="35">
        <v>0</v>
      </c>
      <c r="K504" s="35">
        <v>144583</v>
      </c>
      <c r="L504" s="35">
        <v>0</v>
      </c>
      <c r="M504" s="35" t="s">
        <v>94</v>
      </c>
    </row>
    <row r="505" spans="4:13" x14ac:dyDescent="0.2">
      <c r="D505" s="34">
        <v>1</v>
      </c>
      <c r="E505" s="35">
        <v>1</v>
      </c>
      <c r="F505" s="35" t="s">
        <v>590</v>
      </c>
      <c r="G505" s="35" t="s">
        <v>93</v>
      </c>
      <c r="H505" s="35">
        <v>54</v>
      </c>
      <c r="I505" s="35">
        <v>1</v>
      </c>
      <c r="J505" s="35">
        <v>0</v>
      </c>
      <c r="K505" s="35">
        <v>782667</v>
      </c>
      <c r="L505" s="35">
        <v>1</v>
      </c>
      <c r="M505" s="35" t="s">
        <v>94</v>
      </c>
    </row>
    <row r="506" spans="4:13" x14ac:dyDescent="0.2">
      <c r="D506" s="34">
        <v>0</v>
      </c>
      <c r="E506" s="35">
        <v>3</v>
      </c>
      <c r="F506" s="35" t="s">
        <v>591</v>
      </c>
      <c r="G506" s="35" t="s">
        <v>90</v>
      </c>
      <c r="H506" s="36"/>
      <c r="I506" s="35">
        <v>0</v>
      </c>
      <c r="J506" s="35">
        <v>0</v>
      </c>
      <c r="K506" s="35">
        <v>151</v>
      </c>
      <c r="L506" s="35">
        <v>0</v>
      </c>
      <c r="M506" s="35" t="s">
        <v>91</v>
      </c>
    </row>
    <row r="507" spans="4:13" x14ac:dyDescent="0.2">
      <c r="D507" s="34">
        <v>0</v>
      </c>
      <c r="E507" s="35">
        <v>1</v>
      </c>
      <c r="F507" s="35" t="s">
        <v>592</v>
      </c>
      <c r="G507" s="35" t="s">
        <v>93</v>
      </c>
      <c r="H507" s="35">
        <v>25</v>
      </c>
      <c r="I507" s="35">
        <v>1</v>
      </c>
      <c r="J507" s="35">
        <v>2</v>
      </c>
      <c r="K507" s="35">
        <v>15155</v>
      </c>
      <c r="L507" s="35">
        <v>1</v>
      </c>
      <c r="M507" s="35" t="s">
        <v>91</v>
      </c>
    </row>
    <row r="508" spans="4:13" x14ac:dyDescent="0.2">
      <c r="D508" s="34">
        <v>0</v>
      </c>
      <c r="E508" s="35">
        <v>3</v>
      </c>
      <c r="F508" s="35" t="s">
        <v>593</v>
      </c>
      <c r="G508" s="35" t="s">
        <v>90</v>
      </c>
      <c r="H508" s="35">
        <v>24</v>
      </c>
      <c r="I508" s="35">
        <v>0</v>
      </c>
      <c r="J508" s="35">
        <v>0</v>
      </c>
      <c r="K508" s="35">
        <v>77958</v>
      </c>
      <c r="L508" s="35">
        <v>0</v>
      </c>
      <c r="M508" s="35" t="s">
        <v>91</v>
      </c>
    </row>
    <row r="509" spans="4:13" x14ac:dyDescent="0.2">
      <c r="D509" s="34">
        <v>0</v>
      </c>
      <c r="E509" s="35">
        <v>3</v>
      </c>
      <c r="F509" s="35" t="s">
        <v>594</v>
      </c>
      <c r="G509" s="35" t="s">
        <v>90</v>
      </c>
      <c r="H509" s="35">
        <v>17</v>
      </c>
      <c r="I509" s="35">
        <v>0</v>
      </c>
      <c r="J509" s="35">
        <v>0</v>
      </c>
      <c r="K509" s="35">
        <v>86625</v>
      </c>
      <c r="L509" s="35">
        <v>0</v>
      </c>
      <c r="M509" s="35" t="s">
        <v>91</v>
      </c>
    </row>
    <row r="510" spans="4:13" x14ac:dyDescent="0.2">
      <c r="D510" s="34">
        <v>0</v>
      </c>
      <c r="E510" s="35">
        <v>3</v>
      </c>
      <c r="F510" s="35" t="s">
        <v>595</v>
      </c>
      <c r="G510" s="35" t="s">
        <v>93</v>
      </c>
      <c r="H510" s="35">
        <v>21</v>
      </c>
      <c r="I510" s="35">
        <v>0</v>
      </c>
      <c r="J510" s="35">
        <v>0</v>
      </c>
      <c r="K510" s="35">
        <v>775</v>
      </c>
      <c r="L510" s="35">
        <v>0</v>
      </c>
      <c r="M510" s="35" t="s">
        <v>99</v>
      </c>
    </row>
    <row r="511" spans="4:13" x14ac:dyDescent="0.2">
      <c r="D511" s="34">
        <v>0</v>
      </c>
      <c r="E511" s="35">
        <v>3</v>
      </c>
      <c r="F511" s="35" t="s">
        <v>596</v>
      </c>
      <c r="G511" s="35" t="s">
        <v>93</v>
      </c>
      <c r="H511" s="36"/>
      <c r="I511" s="35">
        <v>0</v>
      </c>
      <c r="J511" s="35">
        <v>0</v>
      </c>
      <c r="K511" s="35">
        <v>76292</v>
      </c>
      <c r="L511" s="35">
        <v>0</v>
      </c>
      <c r="M511" s="35" t="s">
        <v>99</v>
      </c>
    </row>
    <row r="512" spans="4:13" x14ac:dyDescent="0.2">
      <c r="D512" s="34">
        <v>0</v>
      </c>
      <c r="E512" s="35">
        <v>3</v>
      </c>
      <c r="F512" s="35" t="s">
        <v>597</v>
      </c>
      <c r="G512" s="35" t="s">
        <v>93</v>
      </c>
      <c r="H512" s="35">
        <v>37</v>
      </c>
      <c r="I512" s="35">
        <v>0</v>
      </c>
      <c r="J512" s="35">
        <v>0</v>
      </c>
      <c r="K512" s="35">
        <v>95875</v>
      </c>
      <c r="L512" s="35">
        <v>0</v>
      </c>
      <c r="M512" s="35" t="s">
        <v>91</v>
      </c>
    </row>
    <row r="513" spans="4:13" x14ac:dyDescent="0.2">
      <c r="D513" s="34">
        <v>1</v>
      </c>
      <c r="E513" s="35">
        <v>1</v>
      </c>
      <c r="F513" s="35" t="s">
        <v>598</v>
      </c>
      <c r="G513" s="35" t="s">
        <v>93</v>
      </c>
      <c r="H513" s="35">
        <v>16</v>
      </c>
      <c r="I513" s="35">
        <v>0</v>
      </c>
      <c r="J513" s="35">
        <v>0</v>
      </c>
      <c r="K513" s="35">
        <v>865</v>
      </c>
      <c r="L513" s="35">
        <v>1</v>
      </c>
      <c r="M513" s="35" t="s">
        <v>91</v>
      </c>
    </row>
    <row r="514" spans="4:13" x14ac:dyDescent="0.2">
      <c r="D514" s="34">
        <v>0</v>
      </c>
      <c r="E514" s="35">
        <v>1</v>
      </c>
      <c r="F514" s="35" t="s">
        <v>599</v>
      </c>
      <c r="G514" s="35" t="s">
        <v>90</v>
      </c>
      <c r="H514" s="35">
        <v>18</v>
      </c>
      <c r="I514" s="35">
        <v>1</v>
      </c>
      <c r="J514" s="35">
        <v>0</v>
      </c>
      <c r="K514" s="35">
        <v>1089</v>
      </c>
      <c r="L514" s="35">
        <v>1</v>
      </c>
      <c r="M514" s="35" t="s">
        <v>94</v>
      </c>
    </row>
    <row r="515" spans="4:13" x14ac:dyDescent="0.2">
      <c r="D515" s="34">
        <v>1</v>
      </c>
      <c r="E515" s="35">
        <v>2</v>
      </c>
      <c r="F515" s="35" t="s">
        <v>600</v>
      </c>
      <c r="G515" s="35" t="s">
        <v>93</v>
      </c>
      <c r="H515" s="35">
        <v>33</v>
      </c>
      <c r="I515" s="35">
        <v>0</v>
      </c>
      <c r="J515" s="35">
        <v>2</v>
      </c>
      <c r="K515" s="35">
        <v>26</v>
      </c>
      <c r="L515" s="35">
        <v>0</v>
      </c>
      <c r="M515" s="35" t="s">
        <v>91</v>
      </c>
    </row>
    <row r="516" spans="4:13" x14ac:dyDescent="0.2">
      <c r="D516" s="34">
        <v>1</v>
      </c>
      <c r="E516" s="35">
        <v>1</v>
      </c>
      <c r="F516" s="35" t="s">
        <v>601</v>
      </c>
      <c r="G516" s="35" t="s">
        <v>90</v>
      </c>
      <c r="H516" s="36"/>
      <c r="I516" s="35">
        <v>0</v>
      </c>
      <c r="J516" s="35">
        <v>0</v>
      </c>
      <c r="K516" s="35">
        <v>2655</v>
      </c>
      <c r="L516" s="35">
        <v>0</v>
      </c>
      <c r="M516" s="35" t="s">
        <v>91</v>
      </c>
    </row>
    <row r="517" spans="4:13" x14ac:dyDescent="0.2">
      <c r="D517" s="34">
        <v>0</v>
      </c>
      <c r="E517" s="35">
        <v>3</v>
      </c>
      <c r="F517" s="35" t="s">
        <v>602</v>
      </c>
      <c r="G517" s="35" t="s">
        <v>90</v>
      </c>
      <c r="H517" s="35">
        <v>28</v>
      </c>
      <c r="I517" s="35">
        <v>0</v>
      </c>
      <c r="J517" s="35">
        <v>0</v>
      </c>
      <c r="K517" s="35">
        <v>22525</v>
      </c>
      <c r="L517" s="35">
        <v>0</v>
      </c>
      <c r="M517" s="35" t="s">
        <v>91</v>
      </c>
    </row>
    <row r="518" spans="4:13" x14ac:dyDescent="0.2">
      <c r="D518" s="34">
        <v>1</v>
      </c>
      <c r="E518" s="35">
        <v>3</v>
      </c>
      <c r="F518" s="35" t="s">
        <v>603</v>
      </c>
      <c r="G518" s="35" t="s">
        <v>90</v>
      </c>
      <c r="H518" s="35">
        <v>26</v>
      </c>
      <c r="I518" s="35">
        <v>0</v>
      </c>
      <c r="J518" s="35">
        <v>0</v>
      </c>
      <c r="K518" s="35">
        <v>564958</v>
      </c>
      <c r="L518" s="35">
        <v>0</v>
      </c>
      <c r="M518" s="35" t="s">
        <v>91</v>
      </c>
    </row>
    <row r="519" spans="4:13" x14ac:dyDescent="0.2">
      <c r="D519" s="34">
        <v>1</v>
      </c>
      <c r="E519" s="35">
        <v>3</v>
      </c>
      <c r="F519" s="35" t="s">
        <v>604</v>
      </c>
      <c r="G519" s="35" t="s">
        <v>90</v>
      </c>
      <c r="H519" s="35">
        <v>29</v>
      </c>
      <c r="I519" s="35">
        <v>0</v>
      </c>
      <c r="J519" s="35">
        <v>0</v>
      </c>
      <c r="K519" s="35">
        <v>775</v>
      </c>
      <c r="L519" s="35">
        <v>0</v>
      </c>
      <c r="M519" s="35" t="s">
        <v>99</v>
      </c>
    </row>
    <row r="520" spans="4:13" x14ac:dyDescent="0.2">
      <c r="D520" s="34">
        <v>0</v>
      </c>
      <c r="E520" s="35">
        <v>3</v>
      </c>
      <c r="F520" s="35" t="s">
        <v>605</v>
      </c>
      <c r="G520" s="35" t="s">
        <v>90</v>
      </c>
      <c r="H520" s="36"/>
      <c r="I520" s="35">
        <v>0</v>
      </c>
      <c r="J520" s="35">
        <v>0</v>
      </c>
      <c r="K520" s="35">
        <v>805</v>
      </c>
      <c r="L520" s="35">
        <v>0</v>
      </c>
      <c r="M520" s="35" t="s">
        <v>91</v>
      </c>
    </row>
    <row r="521" spans="4:13" x14ac:dyDescent="0.2">
      <c r="D521" s="34">
        <v>1</v>
      </c>
      <c r="E521" s="35">
        <v>1</v>
      </c>
      <c r="F521" s="35" t="s">
        <v>606</v>
      </c>
      <c r="G521" s="35" t="s">
        <v>90</v>
      </c>
      <c r="H521" s="35">
        <v>36</v>
      </c>
      <c r="I521" s="35">
        <v>0</v>
      </c>
      <c r="J521" s="35">
        <v>0</v>
      </c>
      <c r="K521" s="35">
        <v>262875</v>
      </c>
      <c r="L521" s="35">
        <v>1</v>
      </c>
      <c r="M521" s="35" t="s">
        <v>91</v>
      </c>
    </row>
    <row r="522" spans="4:13" x14ac:dyDescent="0.2">
      <c r="D522" s="34">
        <v>1</v>
      </c>
      <c r="E522" s="35">
        <v>1</v>
      </c>
      <c r="F522" s="35" t="s">
        <v>607</v>
      </c>
      <c r="G522" s="35" t="s">
        <v>93</v>
      </c>
      <c r="H522" s="35">
        <v>54</v>
      </c>
      <c r="I522" s="35">
        <v>1</v>
      </c>
      <c r="J522" s="35">
        <v>0</v>
      </c>
      <c r="K522" s="35">
        <v>594</v>
      </c>
      <c r="L522" s="35">
        <v>0</v>
      </c>
      <c r="M522" s="35" t="s">
        <v>94</v>
      </c>
    </row>
    <row r="523" spans="4:13" x14ac:dyDescent="0.2">
      <c r="D523" s="34">
        <v>0</v>
      </c>
      <c r="E523" s="35">
        <v>3</v>
      </c>
      <c r="F523" s="35" t="s">
        <v>608</v>
      </c>
      <c r="G523" s="35" t="s">
        <v>90</v>
      </c>
      <c r="H523" s="35">
        <v>24</v>
      </c>
      <c r="I523" s="35">
        <v>0</v>
      </c>
      <c r="J523" s="35">
        <v>0</v>
      </c>
      <c r="K523" s="35">
        <v>74958</v>
      </c>
      <c r="L523" s="35">
        <v>0</v>
      </c>
      <c r="M523" s="35" t="s">
        <v>91</v>
      </c>
    </row>
    <row r="524" spans="4:13" x14ac:dyDescent="0.2">
      <c r="D524" s="34">
        <v>0</v>
      </c>
      <c r="E524" s="35">
        <v>1</v>
      </c>
      <c r="F524" s="35" t="s">
        <v>609</v>
      </c>
      <c r="G524" s="35" t="s">
        <v>90</v>
      </c>
      <c r="H524" s="35">
        <v>47</v>
      </c>
      <c r="I524" s="35">
        <v>0</v>
      </c>
      <c r="J524" s="35">
        <v>0</v>
      </c>
      <c r="K524" s="35">
        <v>340208</v>
      </c>
      <c r="L524" s="35">
        <v>1</v>
      </c>
      <c r="M524" s="35" t="s">
        <v>91</v>
      </c>
    </row>
    <row r="525" spans="4:13" x14ac:dyDescent="0.2">
      <c r="D525" s="34">
        <v>1</v>
      </c>
      <c r="E525" s="35">
        <v>2</v>
      </c>
      <c r="F525" s="35" t="s">
        <v>610</v>
      </c>
      <c r="G525" s="35" t="s">
        <v>93</v>
      </c>
      <c r="H525" s="35">
        <v>34</v>
      </c>
      <c r="I525" s="35">
        <v>0</v>
      </c>
      <c r="J525" s="35">
        <v>0</v>
      </c>
      <c r="K525" s="35">
        <v>105</v>
      </c>
      <c r="L525" s="35">
        <v>1</v>
      </c>
      <c r="M525" s="35" t="s">
        <v>91</v>
      </c>
    </row>
    <row r="526" spans="4:13" x14ac:dyDescent="0.2">
      <c r="D526" s="34">
        <v>0</v>
      </c>
      <c r="E526" s="35">
        <v>3</v>
      </c>
      <c r="F526" s="35" t="s">
        <v>611</v>
      </c>
      <c r="G526" s="35" t="s">
        <v>90</v>
      </c>
      <c r="H526" s="36"/>
      <c r="I526" s="35">
        <v>0</v>
      </c>
      <c r="J526" s="35">
        <v>0</v>
      </c>
      <c r="K526" s="35">
        <v>2415</v>
      </c>
      <c r="L526" s="35">
        <v>0</v>
      </c>
      <c r="M526" s="35" t="s">
        <v>99</v>
      </c>
    </row>
    <row r="527" spans="4:13" x14ac:dyDescent="0.2">
      <c r="D527" s="34">
        <v>1</v>
      </c>
      <c r="E527" s="35">
        <v>2</v>
      </c>
      <c r="F527" s="35" t="s">
        <v>612</v>
      </c>
      <c r="G527" s="35" t="s">
        <v>93</v>
      </c>
      <c r="H527" s="35">
        <v>36</v>
      </c>
      <c r="I527" s="35">
        <v>1</v>
      </c>
      <c r="J527" s="35">
        <v>0</v>
      </c>
      <c r="K527" s="35">
        <v>26</v>
      </c>
      <c r="L527" s="35">
        <v>0</v>
      </c>
      <c r="M527" s="35" t="s">
        <v>91</v>
      </c>
    </row>
    <row r="528" spans="4:13" x14ac:dyDescent="0.2">
      <c r="D528" s="34">
        <v>0</v>
      </c>
      <c r="E528" s="35">
        <v>3</v>
      </c>
      <c r="F528" s="35" t="s">
        <v>613</v>
      </c>
      <c r="G528" s="35" t="s">
        <v>90</v>
      </c>
      <c r="H528" s="35">
        <v>32</v>
      </c>
      <c r="I528" s="35">
        <v>0</v>
      </c>
      <c r="J528" s="35">
        <v>0</v>
      </c>
      <c r="K528" s="35">
        <v>78958</v>
      </c>
      <c r="L528" s="35">
        <v>0</v>
      </c>
      <c r="M528" s="35" t="s">
        <v>91</v>
      </c>
    </row>
    <row r="529" spans="4:13" x14ac:dyDescent="0.2">
      <c r="D529" s="34">
        <v>1</v>
      </c>
      <c r="E529" s="35">
        <v>1</v>
      </c>
      <c r="F529" s="35" t="s">
        <v>614</v>
      </c>
      <c r="G529" s="35" t="s">
        <v>93</v>
      </c>
      <c r="H529" s="35">
        <v>30</v>
      </c>
      <c r="I529" s="35">
        <v>0</v>
      </c>
      <c r="J529" s="35">
        <v>0</v>
      </c>
      <c r="K529" s="35">
        <v>935</v>
      </c>
      <c r="L529" s="35">
        <v>1</v>
      </c>
      <c r="M529" s="35" t="s">
        <v>91</v>
      </c>
    </row>
    <row r="530" spans="4:13" x14ac:dyDescent="0.2">
      <c r="D530" s="34">
        <v>0</v>
      </c>
      <c r="E530" s="35">
        <v>3</v>
      </c>
      <c r="F530" s="35" t="s">
        <v>615</v>
      </c>
      <c r="G530" s="35" t="s">
        <v>90</v>
      </c>
      <c r="H530" s="35">
        <v>22</v>
      </c>
      <c r="I530" s="35">
        <v>0</v>
      </c>
      <c r="J530" s="35">
        <v>0</v>
      </c>
      <c r="K530" s="35">
        <v>78958</v>
      </c>
      <c r="L530" s="35">
        <v>0</v>
      </c>
      <c r="M530" s="35" t="s">
        <v>91</v>
      </c>
    </row>
    <row r="531" spans="4:13" x14ac:dyDescent="0.2">
      <c r="D531" s="34">
        <v>0</v>
      </c>
      <c r="E531" s="35">
        <v>3</v>
      </c>
      <c r="F531" s="35" t="s">
        <v>616</v>
      </c>
      <c r="G531" s="35" t="s">
        <v>90</v>
      </c>
      <c r="H531" s="36"/>
      <c r="I531" s="35">
        <v>0</v>
      </c>
      <c r="J531" s="35">
        <v>0</v>
      </c>
      <c r="K531" s="35">
        <v>7225</v>
      </c>
      <c r="L531" s="35">
        <v>0</v>
      </c>
      <c r="M531" s="35" t="s">
        <v>94</v>
      </c>
    </row>
    <row r="532" spans="4:13" x14ac:dyDescent="0.2">
      <c r="D532" s="34">
        <v>1</v>
      </c>
      <c r="E532" s="35">
        <v>1</v>
      </c>
      <c r="F532" s="35" t="s">
        <v>617</v>
      </c>
      <c r="G532" s="35" t="s">
        <v>93</v>
      </c>
      <c r="H532" s="35">
        <v>44</v>
      </c>
      <c r="I532" s="35">
        <v>0</v>
      </c>
      <c r="J532" s="35">
        <v>1</v>
      </c>
      <c r="K532" s="35">
        <v>579792</v>
      </c>
      <c r="L532" s="35">
        <v>1</v>
      </c>
      <c r="M532" s="35" t="s">
        <v>94</v>
      </c>
    </row>
    <row r="533" spans="4:13" x14ac:dyDescent="0.2">
      <c r="D533" s="34">
        <v>0</v>
      </c>
      <c r="E533" s="35">
        <v>3</v>
      </c>
      <c r="F533" s="35" t="s">
        <v>618</v>
      </c>
      <c r="G533" s="35" t="s">
        <v>90</v>
      </c>
      <c r="H533" s="36"/>
      <c r="I533" s="35">
        <v>0</v>
      </c>
      <c r="J533" s="35">
        <v>0</v>
      </c>
      <c r="K533" s="35">
        <v>72292</v>
      </c>
      <c r="L533" s="35">
        <v>0</v>
      </c>
      <c r="M533" s="35" t="s">
        <v>94</v>
      </c>
    </row>
    <row r="534" spans="4:13" x14ac:dyDescent="0.2">
      <c r="D534" s="34">
        <v>0</v>
      </c>
      <c r="E534" s="35">
        <v>3</v>
      </c>
      <c r="F534" s="35" t="s">
        <v>619</v>
      </c>
      <c r="G534" s="35" t="s">
        <v>90</v>
      </c>
      <c r="H534" s="35">
        <v>405</v>
      </c>
      <c r="I534" s="35">
        <v>0</v>
      </c>
      <c r="J534" s="35">
        <v>0</v>
      </c>
      <c r="K534" s="35">
        <v>775</v>
      </c>
      <c r="L534" s="35">
        <v>0</v>
      </c>
      <c r="M534" s="35" t="s">
        <v>99</v>
      </c>
    </row>
    <row r="535" spans="4:13" x14ac:dyDescent="0.2">
      <c r="D535" s="34">
        <v>1</v>
      </c>
      <c r="E535" s="35">
        <v>2</v>
      </c>
      <c r="F535" s="35" t="s">
        <v>620</v>
      </c>
      <c r="G535" s="35" t="s">
        <v>93</v>
      </c>
      <c r="H535" s="35">
        <v>50</v>
      </c>
      <c r="I535" s="35">
        <v>0</v>
      </c>
      <c r="J535" s="35">
        <v>0</v>
      </c>
      <c r="K535" s="35">
        <v>105</v>
      </c>
      <c r="L535" s="35">
        <v>0</v>
      </c>
      <c r="M535" s="35" t="s">
        <v>91</v>
      </c>
    </row>
    <row r="536" spans="4:13" x14ac:dyDescent="0.2">
      <c r="D536" s="34">
        <v>0</v>
      </c>
      <c r="E536" s="35">
        <v>1</v>
      </c>
      <c r="F536" s="35" t="s">
        <v>621</v>
      </c>
      <c r="G536" s="35" t="s">
        <v>90</v>
      </c>
      <c r="H536" s="36"/>
      <c r="I536" s="35">
        <v>0</v>
      </c>
      <c r="J536" s="35">
        <v>0</v>
      </c>
      <c r="K536" s="35">
        <v>2217792</v>
      </c>
      <c r="L536" s="35">
        <v>1</v>
      </c>
      <c r="M536" s="35" t="s">
        <v>91</v>
      </c>
    </row>
    <row r="537" spans="4:13" x14ac:dyDescent="0.2">
      <c r="D537" s="34">
        <v>0</v>
      </c>
      <c r="E537" s="35">
        <v>3</v>
      </c>
      <c r="F537" s="35" t="s">
        <v>622</v>
      </c>
      <c r="G537" s="35" t="s">
        <v>90</v>
      </c>
      <c r="H537" s="35">
        <v>39</v>
      </c>
      <c r="I537" s="35">
        <v>0</v>
      </c>
      <c r="J537" s="35">
        <v>0</v>
      </c>
      <c r="K537" s="35">
        <v>7925</v>
      </c>
      <c r="L537" s="35">
        <v>0</v>
      </c>
      <c r="M537" s="35" t="s">
        <v>91</v>
      </c>
    </row>
    <row r="538" spans="4:13" x14ac:dyDescent="0.2">
      <c r="D538" s="34">
        <v>0</v>
      </c>
      <c r="E538" s="35">
        <v>2</v>
      </c>
      <c r="F538" s="35" t="s">
        <v>623</v>
      </c>
      <c r="G538" s="35" t="s">
        <v>90</v>
      </c>
      <c r="H538" s="35">
        <v>23</v>
      </c>
      <c r="I538" s="35">
        <v>2</v>
      </c>
      <c r="J538" s="35">
        <v>1</v>
      </c>
      <c r="K538" s="35">
        <v>115</v>
      </c>
      <c r="L538" s="35">
        <v>0</v>
      </c>
      <c r="M538" s="35" t="s">
        <v>91</v>
      </c>
    </row>
    <row r="539" spans="4:13" x14ac:dyDescent="0.2">
      <c r="D539" s="34">
        <v>1</v>
      </c>
      <c r="E539" s="35">
        <v>2</v>
      </c>
      <c r="F539" s="35" t="s">
        <v>624</v>
      </c>
      <c r="G539" s="35" t="s">
        <v>93</v>
      </c>
      <c r="H539" s="35">
        <v>2</v>
      </c>
      <c r="I539" s="35">
        <v>1</v>
      </c>
      <c r="J539" s="35">
        <v>1</v>
      </c>
      <c r="K539" s="35">
        <v>26</v>
      </c>
      <c r="L539" s="35">
        <v>0</v>
      </c>
      <c r="M539" s="35" t="s">
        <v>91</v>
      </c>
    </row>
    <row r="540" spans="4:13" x14ac:dyDescent="0.2">
      <c r="D540" s="34">
        <v>0</v>
      </c>
      <c r="E540" s="35">
        <v>3</v>
      </c>
      <c r="F540" s="35" t="s">
        <v>625</v>
      </c>
      <c r="G540" s="35" t="s">
        <v>90</v>
      </c>
      <c r="H540" s="36"/>
      <c r="I540" s="35">
        <v>0</v>
      </c>
      <c r="J540" s="35">
        <v>0</v>
      </c>
      <c r="K540" s="35">
        <v>72292</v>
      </c>
      <c r="L540" s="35">
        <v>0</v>
      </c>
      <c r="M540" s="35" t="s">
        <v>94</v>
      </c>
    </row>
    <row r="541" spans="4:13" x14ac:dyDescent="0.2">
      <c r="D541" s="34">
        <v>0</v>
      </c>
      <c r="E541" s="35">
        <v>3</v>
      </c>
      <c r="F541" s="35" t="s">
        <v>626</v>
      </c>
      <c r="G541" s="35" t="s">
        <v>90</v>
      </c>
      <c r="H541" s="35">
        <v>17</v>
      </c>
      <c r="I541" s="35">
        <v>1</v>
      </c>
      <c r="J541" s="35">
        <v>1</v>
      </c>
      <c r="K541" s="35">
        <v>72292</v>
      </c>
      <c r="L541" s="35">
        <v>0</v>
      </c>
      <c r="M541" s="35" t="s">
        <v>94</v>
      </c>
    </row>
    <row r="542" spans="4:13" x14ac:dyDescent="0.2">
      <c r="D542" s="34">
        <v>1</v>
      </c>
      <c r="E542" s="35">
        <v>3</v>
      </c>
      <c r="F542" s="35" t="s">
        <v>627</v>
      </c>
      <c r="G542" s="35" t="s">
        <v>93</v>
      </c>
      <c r="H542" s="36"/>
      <c r="I542" s="35">
        <v>0</v>
      </c>
      <c r="J542" s="35">
        <v>2</v>
      </c>
      <c r="K542" s="35">
        <v>223583</v>
      </c>
      <c r="L542" s="35">
        <v>0</v>
      </c>
      <c r="M542" s="35" t="s">
        <v>94</v>
      </c>
    </row>
    <row r="543" spans="4:13" x14ac:dyDescent="0.2">
      <c r="D543" s="34">
        <v>0</v>
      </c>
      <c r="E543" s="35">
        <v>3</v>
      </c>
      <c r="F543" s="35" t="s">
        <v>628</v>
      </c>
      <c r="G543" s="35" t="s">
        <v>93</v>
      </c>
      <c r="H543" s="35">
        <v>30</v>
      </c>
      <c r="I543" s="35">
        <v>0</v>
      </c>
      <c r="J543" s="35">
        <v>0</v>
      </c>
      <c r="K543" s="35">
        <v>86625</v>
      </c>
      <c r="L543" s="35">
        <v>0</v>
      </c>
      <c r="M543" s="35" t="s">
        <v>91</v>
      </c>
    </row>
    <row r="544" spans="4:13" x14ac:dyDescent="0.2">
      <c r="D544" s="34">
        <v>1</v>
      </c>
      <c r="E544" s="35">
        <v>2</v>
      </c>
      <c r="F544" s="35" t="s">
        <v>629</v>
      </c>
      <c r="G544" s="35" t="s">
        <v>93</v>
      </c>
      <c r="H544" s="35">
        <v>7</v>
      </c>
      <c r="I544" s="35">
        <v>0</v>
      </c>
      <c r="J544" s="35">
        <v>2</v>
      </c>
      <c r="K544" s="35">
        <v>2625</v>
      </c>
      <c r="L544" s="35">
        <v>0</v>
      </c>
      <c r="M544" s="35" t="s">
        <v>91</v>
      </c>
    </row>
    <row r="545" spans="4:13" x14ac:dyDescent="0.2">
      <c r="D545" s="34">
        <v>0</v>
      </c>
      <c r="E545" s="35">
        <v>1</v>
      </c>
      <c r="F545" s="35" t="s">
        <v>630</v>
      </c>
      <c r="G545" s="35" t="s">
        <v>90</v>
      </c>
      <c r="H545" s="35">
        <v>45</v>
      </c>
      <c r="I545" s="35">
        <v>0</v>
      </c>
      <c r="J545" s="35">
        <v>0</v>
      </c>
      <c r="K545" s="35">
        <v>2655</v>
      </c>
      <c r="L545" s="35">
        <v>1</v>
      </c>
      <c r="M545" s="35" t="s">
        <v>91</v>
      </c>
    </row>
    <row r="546" spans="4:13" x14ac:dyDescent="0.2">
      <c r="D546" s="34">
        <v>1</v>
      </c>
      <c r="E546" s="35">
        <v>1</v>
      </c>
      <c r="F546" s="35" t="s">
        <v>631</v>
      </c>
      <c r="G546" s="35" t="s">
        <v>93</v>
      </c>
      <c r="H546" s="35">
        <v>30</v>
      </c>
      <c r="I546" s="35">
        <v>0</v>
      </c>
      <c r="J546" s="35">
        <v>0</v>
      </c>
      <c r="K546" s="35">
        <v>106425</v>
      </c>
      <c r="L546" s="35">
        <v>0</v>
      </c>
      <c r="M546" s="35" t="s">
        <v>94</v>
      </c>
    </row>
    <row r="547" spans="4:13" x14ac:dyDescent="0.2">
      <c r="D547" s="34">
        <v>0</v>
      </c>
      <c r="E547" s="35">
        <v>3</v>
      </c>
      <c r="F547" s="35" t="s">
        <v>632</v>
      </c>
      <c r="G547" s="35" t="s">
        <v>90</v>
      </c>
      <c r="H547" s="36"/>
      <c r="I547" s="35">
        <v>0</v>
      </c>
      <c r="J547" s="35">
        <v>0</v>
      </c>
      <c r="K547" s="35">
        <v>145</v>
      </c>
      <c r="L547" s="35">
        <v>0</v>
      </c>
      <c r="M547" s="35" t="s">
        <v>91</v>
      </c>
    </row>
    <row r="548" spans="4:13" x14ac:dyDescent="0.2">
      <c r="D548" s="34">
        <v>1</v>
      </c>
      <c r="E548" s="35">
        <v>1</v>
      </c>
      <c r="F548" s="35" t="s">
        <v>633</v>
      </c>
      <c r="G548" s="35" t="s">
        <v>93</v>
      </c>
      <c r="H548" s="35">
        <v>22</v>
      </c>
      <c r="I548" s="35">
        <v>0</v>
      </c>
      <c r="J548" s="35">
        <v>2</v>
      </c>
      <c r="K548" s="35">
        <v>495</v>
      </c>
      <c r="L548" s="35">
        <v>1</v>
      </c>
      <c r="M548" s="35" t="s">
        <v>94</v>
      </c>
    </row>
    <row r="549" spans="4:13" x14ac:dyDescent="0.2">
      <c r="D549" s="34">
        <v>1</v>
      </c>
      <c r="E549" s="35">
        <v>1</v>
      </c>
      <c r="F549" s="35" t="s">
        <v>634</v>
      </c>
      <c r="G549" s="35" t="s">
        <v>93</v>
      </c>
      <c r="H549" s="35">
        <v>36</v>
      </c>
      <c r="I549" s="35">
        <v>0</v>
      </c>
      <c r="J549" s="35">
        <v>2</v>
      </c>
      <c r="K549" s="35">
        <v>71</v>
      </c>
      <c r="L549" s="35">
        <v>1</v>
      </c>
      <c r="M549" s="35" t="s">
        <v>91</v>
      </c>
    </row>
    <row r="550" spans="4:13" x14ac:dyDescent="0.2">
      <c r="D550" s="34">
        <v>0</v>
      </c>
      <c r="E550" s="35">
        <v>3</v>
      </c>
      <c r="F550" s="35" t="s">
        <v>635</v>
      </c>
      <c r="G550" s="35" t="s">
        <v>93</v>
      </c>
      <c r="H550" s="35">
        <v>9</v>
      </c>
      <c r="I550" s="35">
        <v>4</v>
      </c>
      <c r="J550" s="35">
        <v>2</v>
      </c>
      <c r="K550" s="35">
        <v>31275</v>
      </c>
      <c r="L550" s="35">
        <v>0</v>
      </c>
      <c r="M550" s="35" t="s">
        <v>91</v>
      </c>
    </row>
    <row r="551" spans="4:13" x14ac:dyDescent="0.2">
      <c r="D551" s="34">
        <v>0</v>
      </c>
      <c r="E551" s="35">
        <v>3</v>
      </c>
      <c r="F551" s="35" t="s">
        <v>636</v>
      </c>
      <c r="G551" s="35" t="s">
        <v>93</v>
      </c>
      <c r="H551" s="35">
        <v>11</v>
      </c>
      <c r="I551" s="35">
        <v>4</v>
      </c>
      <c r="J551" s="35">
        <v>2</v>
      </c>
      <c r="K551" s="35">
        <v>31275</v>
      </c>
      <c r="L551" s="35">
        <v>0</v>
      </c>
      <c r="M551" s="35" t="s">
        <v>91</v>
      </c>
    </row>
    <row r="552" spans="4:13" x14ac:dyDescent="0.2">
      <c r="D552" s="34">
        <v>1</v>
      </c>
      <c r="E552" s="35">
        <v>2</v>
      </c>
      <c r="F552" s="35" t="s">
        <v>637</v>
      </c>
      <c r="G552" s="35" t="s">
        <v>90</v>
      </c>
      <c r="H552" s="35">
        <v>32</v>
      </c>
      <c r="I552" s="35">
        <v>1</v>
      </c>
      <c r="J552" s="35">
        <v>0</v>
      </c>
      <c r="K552" s="35">
        <v>26</v>
      </c>
      <c r="L552" s="35">
        <v>0</v>
      </c>
      <c r="M552" s="35" t="s">
        <v>91</v>
      </c>
    </row>
    <row r="553" spans="4:13" x14ac:dyDescent="0.2">
      <c r="D553" s="34">
        <v>0</v>
      </c>
      <c r="E553" s="35">
        <v>1</v>
      </c>
      <c r="F553" s="35" t="s">
        <v>638</v>
      </c>
      <c r="G553" s="35" t="s">
        <v>90</v>
      </c>
      <c r="H553" s="35">
        <v>50</v>
      </c>
      <c r="I553" s="35">
        <v>1</v>
      </c>
      <c r="J553" s="35">
        <v>0</v>
      </c>
      <c r="K553" s="35">
        <v>106425</v>
      </c>
      <c r="L553" s="35">
        <v>1</v>
      </c>
      <c r="M553" s="35" t="s">
        <v>94</v>
      </c>
    </row>
    <row r="554" spans="4:13" x14ac:dyDescent="0.2">
      <c r="D554" s="34">
        <v>0</v>
      </c>
      <c r="E554" s="35">
        <v>1</v>
      </c>
      <c r="F554" s="35" t="s">
        <v>639</v>
      </c>
      <c r="G554" s="35" t="s">
        <v>90</v>
      </c>
      <c r="H554" s="35">
        <v>64</v>
      </c>
      <c r="I554" s="35">
        <v>0</v>
      </c>
      <c r="J554" s="35">
        <v>0</v>
      </c>
      <c r="K554" s="35">
        <v>26</v>
      </c>
      <c r="L554" s="35">
        <v>0</v>
      </c>
      <c r="M554" s="35" t="s">
        <v>91</v>
      </c>
    </row>
    <row r="555" spans="4:13" x14ac:dyDescent="0.2">
      <c r="D555" s="34">
        <v>1</v>
      </c>
      <c r="E555" s="35">
        <v>2</v>
      </c>
      <c r="F555" s="35" t="s">
        <v>640</v>
      </c>
      <c r="G555" s="35" t="s">
        <v>93</v>
      </c>
      <c r="H555" s="35">
        <v>19</v>
      </c>
      <c r="I555" s="35">
        <v>1</v>
      </c>
      <c r="J555" s="35">
        <v>0</v>
      </c>
      <c r="K555" s="35">
        <v>26</v>
      </c>
      <c r="L555" s="35">
        <v>0</v>
      </c>
      <c r="M555" s="35" t="s">
        <v>91</v>
      </c>
    </row>
    <row r="556" spans="4:13" x14ac:dyDescent="0.2">
      <c r="D556" s="34">
        <v>1</v>
      </c>
      <c r="E556" s="35">
        <v>2</v>
      </c>
      <c r="F556" s="35" t="s">
        <v>641</v>
      </c>
      <c r="G556" s="35" t="s">
        <v>90</v>
      </c>
      <c r="H556" s="36"/>
      <c r="I556" s="35">
        <v>0</v>
      </c>
      <c r="J556" s="35">
        <v>0</v>
      </c>
      <c r="K556" s="35">
        <v>138625</v>
      </c>
      <c r="L556" s="35">
        <v>0</v>
      </c>
      <c r="M556" s="35" t="s">
        <v>94</v>
      </c>
    </row>
    <row r="557" spans="4:13" x14ac:dyDescent="0.2">
      <c r="D557" s="34">
        <v>0</v>
      </c>
      <c r="E557" s="35">
        <v>3</v>
      </c>
      <c r="F557" s="35" t="s">
        <v>642</v>
      </c>
      <c r="G557" s="35" t="s">
        <v>90</v>
      </c>
      <c r="H557" s="35">
        <v>33</v>
      </c>
      <c r="I557" s="35">
        <v>1</v>
      </c>
      <c r="J557" s="35">
        <v>1</v>
      </c>
      <c r="K557" s="35">
        <v>20525</v>
      </c>
      <c r="L557" s="35">
        <v>0</v>
      </c>
      <c r="M557" s="35" t="s">
        <v>91</v>
      </c>
    </row>
    <row r="558" spans="4:13" x14ac:dyDescent="0.2">
      <c r="D558" s="34">
        <v>1</v>
      </c>
      <c r="E558" s="35">
        <v>2</v>
      </c>
      <c r="F558" s="35" t="s">
        <v>643</v>
      </c>
      <c r="G558" s="35" t="s">
        <v>90</v>
      </c>
      <c r="H558" s="35">
        <v>8</v>
      </c>
      <c r="I558" s="35">
        <v>1</v>
      </c>
      <c r="J558" s="35">
        <v>1</v>
      </c>
      <c r="K558" s="35">
        <v>3675</v>
      </c>
      <c r="L558" s="35">
        <v>0</v>
      </c>
      <c r="M558" s="35" t="s">
        <v>91</v>
      </c>
    </row>
    <row r="559" spans="4:13" x14ac:dyDescent="0.2">
      <c r="D559" s="34">
        <v>1</v>
      </c>
      <c r="E559" s="35">
        <v>1</v>
      </c>
      <c r="F559" s="35" t="s">
        <v>644</v>
      </c>
      <c r="G559" s="35" t="s">
        <v>90</v>
      </c>
      <c r="H559" s="35">
        <v>17</v>
      </c>
      <c r="I559" s="35">
        <v>0</v>
      </c>
      <c r="J559" s="35">
        <v>2</v>
      </c>
      <c r="K559" s="35">
        <v>1108833</v>
      </c>
      <c r="L559" s="35">
        <v>1</v>
      </c>
      <c r="M559" s="35" t="s">
        <v>94</v>
      </c>
    </row>
    <row r="560" spans="4:13" x14ac:dyDescent="0.2">
      <c r="D560" s="34">
        <v>0</v>
      </c>
      <c r="E560" s="35">
        <v>2</v>
      </c>
      <c r="F560" s="35" t="s">
        <v>645</v>
      </c>
      <c r="G560" s="35" t="s">
        <v>90</v>
      </c>
      <c r="H560" s="35">
        <v>27</v>
      </c>
      <c r="I560" s="35">
        <v>0</v>
      </c>
      <c r="J560" s="35">
        <v>0</v>
      </c>
      <c r="K560" s="35">
        <v>26</v>
      </c>
      <c r="L560" s="35">
        <v>0</v>
      </c>
      <c r="M560" s="35" t="s">
        <v>91</v>
      </c>
    </row>
    <row r="561" spans="4:13" x14ac:dyDescent="0.2">
      <c r="D561" s="34">
        <v>0</v>
      </c>
      <c r="E561" s="35">
        <v>3</v>
      </c>
      <c r="F561" s="35" t="s">
        <v>646</v>
      </c>
      <c r="G561" s="35" t="s">
        <v>90</v>
      </c>
      <c r="H561" s="36"/>
      <c r="I561" s="35">
        <v>0</v>
      </c>
      <c r="J561" s="35">
        <v>0</v>
      </c>
      <c r="K561" s="35">
        <v>78292</v>
      </c>
      <c r="L561" s="35">
        <v>0</v>
      </c>
      <c r="M561" s="35" t="s">
        <v>99</v>
      </c>
    </row>
    <row r="562" spans="4:13" x14ac:dyDescent="0.2">
      <c r="D562" s="34">
        <v>1</v>
      </c>
      <c r="E562" s="35">
        <v>3</v>
      </c>
      <c r="F562" s="35" t="s">
        <v>647</v>
      </c>
      <c r="G562" s="35" t="s">
        <v>90</v>
      </c>
      <c r="H562" s="35">
        <v>22</v>
      </c>
      <c r="I562" s="35">
        <v>0</v>
      </c>
      <c r="J562" s="35">
        <v>0</v>
      </c>
      <c r="K562" s="35">
        <v>7225</v>
      </c>
      <c r="L562" s="35">
        <v>0</v>
      </c>
      <c r="M562" s="35" t="s">
        <v>94</v>
      </c>
    </row>
    <row r="563" spans="4:13" x14ac:dyDescent="0.2">
      <c r="D563" s="34">
        <v>1</v>
      </c>
      <c r="E563" s="35">
        <v>3</v>
      </c>
      <c r="F563" s="35" t="s">
        <v>648</v>
      </c>
      <c r="G563" s="35" t="s">
        <v>93</v>
      </c>
      <c r="H563" s="35">
        <v>22</v>
      </c>
      <c r="I563" s="35">
        <v>0</v>
      </c>
      <c r="J563" s="35">
        <v>0</v>
      </c>
      <c r="K563" s="35">
        <v>7775</v>
      </c>
      <c r="L563" s="35">
        <v>0</v>
      </c>
      <c r="M563" s="35" t="s">
        <v>91</v>
      </c>
    </row>
    <row r="564" spans="4:13" x14ac:dyDescent="0.2">
      <c r="D564" s="34">
        <v>0</v>
      </c>
      <c r="E564" s="35">
        <v>1</v>
      </c>
      <c r="F564" s="35" t="s">
        <v>649</v>
      </c>
      <c r="G564" s="35" t="s">
        <v>90</v>
      </c>
      <c r="H564" s="35">
        <v>62</v>
      </c>
      <c r="I564" s="35">
        <v>0</v>
      </c>
      <c r="J564" s="35">
        <v>0</v>
      </c>
      <c r="K564" s="35">
        <v>2655</v>
      </c>
      <c r="L564" s="35">
        <v>0</v>
      </c>
      <c r="M564" s="35" t="s">
        <v>91</v>
      </c>
    </row>
    <row r="565" spans="4:13" x14ac:dyDescent="0.2">
      <c r="D565" s="34">
        <v>1</v>
      </c>
      <c r="E565" s="35">
        <v>1</v>
      </c>
      <c r="F565" s="35" t="s">
        <v>650</v>
      </c>
      <c r="G565" s="35" t="s">
        <v>93</v>
      </c>
      <c r="H565" s="35">
        <v>48</v>
      </c>
      <c r="I565" s="35">
        <v>1</v>
      </c>
      <c r="J565" s="35">
        <v>0</v>
      </c>
      <c r="K565" s="35">
        <v>396</v>
      </c>
      <c r="L565" s="35">
        <v>1</v>
      </c>
      <c r="M565" s="35" t="s">
        <v>94</v>
      </c>
    </row>
    <row r="566" spans="4:13" x14ac:dyDescent="0.2">
      <c r="D566" s="34">
        <v>0</v>
      </c>
      <c r="E566" s="35">
        <v>1</v>
      </c>
      <c r="F566" s="35" t="s">
        <v>651</v>
      </c>
      <c r="G566" s="35" t="s">
        <v>90</v>
      </c>
      <c r="H566" s="36"/>
      <c r="I566" s="35">
        <v>0</v>
      </c>
      <c r="J566" s="35">
        <v>0</v>
      </c>
      <c r="K566" s="35">
        <v>227525</v>
      </c>
      <c r="L566" s="35">
        <v>0</v>
      </c>
      <c r="M566" s="35" t="s">
        <v>94</v>
      </c>
    </row>
    <row r="567" spans="4:13" x14ac:dyDescent="0.2">
      <c r="D567" s="34">
        <v>1</v>
      </c>
      <c r="E567" s="35">
        <v>1</v>
      </c>
      <c r="F567" s="35" t="s">
        <v>652</v>
      </c>
      <c r="G567" s="35" t="s">
        <v>93</v>
      </c>
      <c r="H567" s="35">
        <v>39</v>
      </c>
      <c r="I567" s="35">
        <v>1</v>
      </c>
      <c r="J567" s="35">
        <v>1</v>
      </c>
      <c r="K567" s="35">
        <v>7965</v>
      </c>
      <c r="L567" s="35">
        <v>1</v>
      </c>
      <c r="M567" s="35" t="s">
        <v>91</v>
      </c>
    </row>
    <row r="568" spans="4:13" x14ac:dyDescent="0.2">
      <c r="D568" s="34">
        <v>1</v>
      </c>
      <c r="E568" s="35">
        <v>3</v>
      </c>
      <c r="F568" s="35" t="s">
        <v>653</v>
      </c>
      <c r="G568" s="35" t="s">
        <v>93</v>
      </c>
      <c r="H568" s="35">
        <v>36</v>
      </c>
      <c r="I568" s="35">
        <v>1</v>
      </c>
      <c r="J568" s="35">
        <v>0</v>
      </c>
      <c r="K568" s="35">
        <v>174</v>
      </c>
      <c r="L568" s="35">
        <v>0</v>
      </c>
      <c r="M568" s="35" t="s">
        <v>91</v>
      </c>
    </row>
    <row r="569" spans="4:13" x14ac:dyDescent="0.2">
      <c r="D569" s="34">
        <v>0</v>
      </c>
      <c r="E569" s="35">
        <v>3</v>
      </c>
      <c r="F569" s="35" t="s">
        <v>654</v>
      </c>
      <c r="G569" s="35" t="s">
        <v>90</v>
      </c>
      <c r="H569" s="36"/>
      <c r="I569" s="35">
        <v>0</v>
      </c>
      <c r="J569" s="35">
        <v>0</v>
      </c>
      <c r="K569" s="35">
        <v>775</v>
      </c>
      <c r="L569" s="35">
        <v>0</v>
      </c>
      <c r="M569" s="35" t="s">
        <v>99</v>
      </c>
    </row>
    <row r="570" spans="4:13" x14ac:dyDescent="0.2">
      <c r="D570" s="34">
        <v>0</v>
      </c>
      <c r="E570" s="35">
        <v>3</v>
      </c>
      <c r="F570" s="35" t="s">
        <v>655</v>
      </c>
      <c r="G570" s="35" t="s">
        <v>90</v>
      </c>
      <c r="H570" s="35">
        <v>40</v>
      </c>
      <c r="I570" s="35">
        <v>0</v>
      </c>
      <c r="J570" s="35">
        <v>0</v>
      </c>
      <c r="K570" s="35">
        <v>78958</v>
      </c>
      <c r="L570" s="35">
        <v>0</v>
      </c>
      <c r="M570" s="35" t="s">
        <v>91</v>
      </c>
    </row>
    <row r="571" spans="4:13" x14ac:dyDescent="0.2">
      <c r="D571" s="34">
        <v>0</v>
      </c>
      <c r="E571" s="35">
        <v>2</v>
      </c>
      <c r="F571" s="35" t="s">
        <v>656</v>
      </c>
      <c r="G571" s="35" t="s">
        <v>90</v>
      </c>
      <c r="H571" s="35">
        <v>28</v>
      </c>
      <c r="I571" s="35">
        <v>0</v>
      </c>
      <c r="J571" s="35">
        <v>0</v>
      </c>
      <c r="K571" s="35">
        <v>135</v>
      </c>
      <c r="L571" s="35">
        <v>0</v>
      </c>
      <c r="M571" s="35" t="s">
        <v>91</v>
      </c>
    </row>
    <row r="572" spans="4:13" x14ac:dyDescent="0.2">
      <c r="D572" s="34">
        <v>0</v>
      </c>
      <c r="E572" s="35">
        <v>3</v>
      </c>
      <c r="F572" s="35" t="s">
        <v>657</v>
      </c>
      <c r="G572" s="35" t="s">
        <v>90</v>
      </c>
      <c r="H572" s="36"/>
      <c r="I572" s="35">
        <v>0</v>
      </c>
      <c r="J572" s="35">
        <v>0</v>
      </c>
      <c r="K572" s="35">
        <v>805</v>
      </c>
      <c r="L572" s="35">
        <v>0</v>
      </c>
      <c r="M572" s="35" t="s">
        <v>91</v>
      </c>
    </row>
    <row r="573" spans="4:13" x14ac:dyDescent="0.2">
      <c r="D573" s="34">
        <v>0</v>
      </c>
      <c r="E573" s="35">
        <v>3</v>
      </c>
      <c r="F573" s="35" t="s">
        <v>658</v>
      </c>
      <c r="G573" s="35" t="s">
        <v>93</v>
      </c>
      <c r="H573" s="36"/>
      <c r="I573" s="35">
        <v>0</v>
      </c>
      <c r="J573" s="35">
        <v>0</v>
      </c>
      <c r="K573" s="35">
        <v>805</v>
      </c>
      <c r="L573" s="35">
        <v>0</v>
      </c>
      <c r="M573" s="35" t="s">
        <v>91</v>
      </c>
    </row>
    <row r="574" spans="4:13" x14ac:dyDescent="0.2">
      <c r="D574" s="34">
        <v>0</v>
      </c>
      <c r="E574" s="35">
        <v>3</v>
      </c>
      <c r="F574" s="35" t="s">
        <v>659</v>
      </c>
      <c r="G574" s="35" t="s">
        <v>90</v>
      </c>
      <c r="H574" s="35">
        <v>24</v>
      </c>
      <c r="I574" s="35">
        <v>2</v>
      </c>
      <c r="J574" s="35">
        <v>0</v>
      </c>
      <c r="K574" s="35">
        <v>2415</v>
      </c>
      <c r="L574" s="35">
        <v>0</v>
      </c>
      <c r="M574" s="35" t="s">
        <v>91</v>
      </c>
    </row>
    <row r="575" spans="4:13" x14ac:dyDescent="0.2">
      <c r="D575" s="34">
        <v>0</v>
      </c>
      <c r="E575" s="35">
        <v>3</v>
      </c>
      <c r="F575" s="35" t="s">
        <v>660</v>
      </c>
      <c r="G575" s="35" t="s">
        <v>90</v>
      </c>
      <c r="H575" s="35">
        <v>19</v>
      </c>
      <c r="I575" s="35">
        <v>0</v>
      </c>
      <c r="J575" s="35">
        <v>0</v>
      </c>
      <c r="K575" s="35">
        <v>78958</v>
      </c>
      <c r="L575" s="35">
        <v>0</v>
      </c>
      <c r="M575" s="35" t="s">
        <v>91</v>
      </c>
    </row>
    <row r="576" spans="4:13" x14ac:dyDescent="0.2">
      <c r="D576" s="34">
        <v>0</v>
      </c>
      <c r="E576" s="35">
        <v>3</v>
      </c>
      <c r="F576" s="35" t="s">
        <v>661</v>
      </c>
      <c r="G576" s="35" t="s">
        <v>93</v>
      </c>
      <c r="H576" s="35">
        <v>29</v>
      </c>
      <c r="I576" s="35">
        <v>0</v>
      </c>
      <c r="J576" s="35">
        <v>4</v>
      </c>
      <c r="K576" s="35">
        <v>21075</v>
      </c>
      <c r="L576" s="35">
        <v>0</v>
      </c>
      <c r="M576" s="35" t="s">
        <v>91</v>
      </c>
    </row>
    <row r="577" spans="4:13" x14ac:dyDescent="0.2">
      <c r="D577" s="34">
        <v>0</v>
      </c>
      <c r="E577" s="35">
        <v>3</v>
      </c>
      <c r="F577" s="35" t="s">
        <v>662</v>
      </c>
      <c r="G577" s="35" t="s">
        <v>90</v>
      </c>
      <c r="H577" s="36"/>
      <c r="I577" s="35">
        <v>0</v>
      </c>
      <c r="J577" s="35">
        <v>0</v>
      </c>
      <c r="K577" s="35">
        <v>72292</v>
      </c>
      <c r="L577" s="35">
        <v>0</v>
      </c>
      <c r="M577" s="35" t="s">
        <v>94</v>
      </c>
    </row>
    <row r="578" spans="4:13" x14ac:dyDescent="0.2">
      <c r="D578" s="34">
        <v>1</v>
      </c>
      <c r="E578" s="35">
        <v>3</v>
      </c>
      <c r="F578" s="35" t="s">
        <v>663</v>
      </c>
      <c r="G578" s="35" t="s">
        <v>90</v>
      </c>
      <c r="H578" s="35">
        <v>32</v>
      </c>
      <c r="I578" s="35">
        <v>0</v>
      </c>
      <c r="J578" s="35">
        <v>0</v>
      </c>
      <c r="K578" s="35">
        <v>78542</v>
      </c>
      <c r="L578" s="35">
        <v>0</v>
      </c>
      <c r="M578" s="35" t="s">
        <v>91</v>
      </c>
    </row>
    <row r="579" spans="4:13" x14ac:dyDescent="0.2">
      <c r="D579" s="34">
        <v>1</v>
      </c>
      <c r="E579" s="35">
        <v>2</v>
      </c>
      <c r="F579" s="35" t="s">
        <v>664</v>
      </c>
      <c r="G579" s="35" t="s">
        <v>90</v>
      </c>
      <c r="H579" s="35">
        <v>62</v>
      </c>
      <c r="I579" s="35">
        <v>0</v>
      </c>
      <c r="J579" s="35">
        <v>0</v>
      </c>
      <c r="K579" s="35">
        <v>105</v>
      </c>
      <c r="L579" s="35">
        <v>0</v>
      </c>
      <c r="M579" s="35" t="s">
        <v>91</v>
      </c>
    </row>
    <row r="580" spans="4:13" x14ac:dyDescent="0.2">
      <c r="D580" s="34">
        <v>1</v>
      </c>
      <c r="E580" s="35">
        <v>1</v>
      </c>
      <c r="F580" s="35" t="s">
        <v>665</v>
      </c>
      <c r="G580" s="35" t="s">
        <v>93</v>
      </c>
      <c r="H580" s="35">
        <v>53</v>
      </c>
      <c r="I580" s="35">
        <v>2</v>
      </c>
      <c r="J580" s="35">
        <v>0</v>
      </c>
      <c r="K580" s="35">
        <v>514792</v>
      </c>
      <c r="L580" s="35">
        <v>1</v>
      </c>
      <c r="M580" s="35" t="s">
        <v>91</v>
      </c>
    </row>
    <row r="581" spans="4:13" x14ac:dyDescent="0.2">
      <c r="D581" s="34">
        <v>1</v>
      </c>
      <c r="E581" s="35">
        <v>1</v>
      </c>
      <c r="F581" s="35" t="s">
        <v>666</v>
      </c>
      <c r="G581" s="35" t="s">
        <v>90</v>
      </c>
      <c r="H581" s="35">
        <v>36</v>
      </c>
      <c r="I581" s="35">
        <v>0</v>
      </c>
      <c r="J581" s="35">
        <v>0</v>
      </c>
      <c r="K581" s="35">
        <v>263875</v>
      </c>
      <c r="L581" s="35">
        <v>1</v>
      </c>
      <c r="M581" s="35" t="s">
        <v>91</v>
      </c>
    </row>
    <row r="582" spans="4:13" x14ac:dyDescent="0.2">
      <c r="D582" s="34">
        <v>1</v>
      </c>
      <c r="E582" s="35">
        <v>3</v>
      </c>
      <c r="F582" s="35" t="s">
        <v>667</v>
      </c>
      <c r="G582" s="35" t="s">
        <v>93</v>
      </c>
      <c r="H582" s="36"/>
      <c r="I582" s="35">
        <v>0</v>
      </c>
      <c r="J582" s="35">
        <v>0</v>
      </c>
      <c r="K582" s="35">
        <v>775</v>
      </c>
      <c r="L582" s="35">
        <v>0</v>
      </c>
      <c r="M582" s="35" t="s">
        <v>99</v>
      </c>
    </row>
    <row r="583" spans="4:13" x14ac:dyDescent="0.2">
      <c r="D583" s="34">
        <v>0</v>
      </c>
      <c r="E583" s="35">
        <v>3</v>
      </c>
      <c r="F583" s="35" t="s">
        <v>668</v>
      </c>
      <c r="G583" s="35" t="s">
        <v>90</v>
      </c>
      <c r="H583" s="35">
        <v>16</v>
      </c>
      <c r="I583" s="35">
        <v>0</v>
      </c>
      <c r="J583" s="35">
        <v>0</v>
      </c>
      <c r="K583" s="35">
        <v>805</v>
      </c>
      <c r="L583" s="35">
        <v>0</v>
      </c>
      <c r="M583" s="35" t="s">
        <v>91</v>
      </c>
    </row>
    <row r="584" spans="4:13" x14ac:dyDescent="0.2">
      <c r="D584" s="34">
        <v>0</v>
      </c>
      <c r="E584" s="35">
        <v>3</v>
      </c>
      <c r="F584" s="35" t="s">
        <v>669</v>
      </c>
      <c r="G584" s="35" t="s">
        <v>90</v>
      </c>
      <c r="H584" s="35">
        <v>19</v>
      </c>
      <c r="I584" s="35">
        <v>0</v>
      </c>
      <c r="J584" s="35">
        <v>0</v>
      </c>
      <c r="K584" s="35">
        <v>145</v>
      </c>
      <c r="L584" s="35">
        <v>0</v>
      </c>
      <c r="M584" s="35" t="s">
        <v>91</v>
      </c>
    </row>
    <row r="585" spans="4:13" x14ac:dyDescent="0.2">
      <c r="D585" s="34">
        <v>1</v>
      </c>
      <c r="E585" s="35">
        <v>2</v>
      </c>
      <c r="F585" s="35" t="s">
        <v>670</v>
      </c>
      <c r="G585" s="35" t="s">
        <v>93</v>
      </c>
      <c r="H585" s="35">
        <v>34</v>
      </c>
      <c r="I585" s="35">
        <v>0</v>
      </c>
      <c r="J585" s="35">
        <v>0</v>
      </c>
      <c r="K585" s="35">
        <v>13</v>
      </c>
      <c r="L585" s="35">
        <v>0</v>
      </c>
      <c r="M585" s="35" t="s">
        <v>91</v>
      </c>
    </row>
    <row r="586" spans="4:13" x14ac:dyDescent="0.2">
      <c r="D586" s="34">
        <v>1</v>
      </c>
      <c r="E586" s="35">
        <v>1</v>
      </c>
      <c r="F586" s="35" t="s">
        <v>671</v>
      </c>
      <c r="G586" s="35" t="s">
        <v>93</v>
      </c>
      <c r="H586" s="35">
        <v>39</v>
      </c>
      <c r="I586" s="35">
        <v>1</v>
      </c>
      <c r="J586" s="35">
        <v>0</v>
      </c>
      <c r="K586" s="35">
        <v>559</v>
      </c>
      <c r="L586" s="35">
        <v>1</v>
      </c>
      <c r="M586" s="35" t="s">
        <v>91</v>
      </c>
    </row>
    <row r="587" spans="4:13" x14ac:dyDescent="0.2">
      <c r="D587" s="34">
        <v>0</v>
      </c>
      <c r="E587" s="35">
        <v>3</v>
      </c>
      <c r="F587" s="35" t="s">
        <v>672</v>
      </c>
      <c r="G587" s="35" t="s">
        <v>93</v>
      </c>
      <c r="H587" s="36"/>
      <c r="I587" s="35">
        <v>1</v>
      </c>
      <c r="J587" s="35">
        <v>0</v>
      </c>
      <c r="K587" s="35">
        <v>144583</v>
      </c>
      <c r="L587" s="35">
        <v>0</v>
      </c>
      <c r="M587" s="35" t="s">
        <v>94</v>
      </c>
    </row>
    <row r="588" spans="4:13" x14ac:dyDescent="0.2">
      <c r="D588" s="34">
        <v>1</v>
      </c>
      <c r="E588" s="35">
        <v>3</v>
      </c>
      <c r="F588" s="35" t="s">
        <v>673</v>
      </c>
      <c r="G588" s="35" t="s">
        <v>90</v>
      </c>
      <c r="H588" s="35">
        <v>32</v>
      </c>
      <c r="I588" s="35">
        <v>0</v>
      </c>
      <c r="J588" s="35">
        <v>0</v>
      </c>
      <c r="K588" s="35">
        <v>7925</v>
      </c>
      <c r="L588" s="35">
        <v>0</v>
      </c>
      <c r="M588" s="35" t="s">
        <v>91</v>
      </c>
    </row>
    <row r="589" spans="4:13" x14ac:dyDescent="0.2">
      <c r="D589" s="34">
        <v>1</v>
      </c>
      <c r="E589" s="35">
        <v>2</v>
      </c>
      <c r="F589" s="35" t="s">
        <v>674</v>
      </c>
      <c r="G589" s="35" t="s">
        <v>93</v>
      </c>
      <c r="H589" s="35">
        <v>25</v>
      </c>
      <c r="I589" s="35">
        <v>1</v>
      </c>
      <c r="J589" s="35">
        <v>1</v>
      </c>
      <c r="K589" s="35">
        <v>30</v>
      </c>
      <c r="L589" s="35">
        <v>0</v>
      </c>
      <c r="M589" s="35" t="s">
        <v>91</v>
      </c>
    </row>
    <row r="590" spans="4:13" x14ac:dyDescent="0.2">
      <c r="D590" s="34">
        <v>1</v>
      </c>
      <c r="E590" s="35">
        <v>1</v>
      </c>
      <c r="F590" s="35" t="s">
        <v>675</v>
      </c>
      <c r="G590" s="35" t="s">
        <v>93</v>
      </c>
      <c r="H590" s="35">
        <v>39</v>
      </c>
      <c r="I590" s="35">
        <v>1</v>
      </c>
      <c r="J590" s="35">
        <v>1</v>
      </c>
      <c r="K590" s="35">
        <v>1108833</v>
      </c>
      <c r="L590" s="35">
        <v>1</v>
      </c>
      <c r="M590" s="35" t="s">
        <v>94</v>
      </c>
    </row>
    <row r="591" spans="4:13" x14ac:dyDescent="0.2">
      <c r="D591" s="34">
        <v>0</v>
      </c>
      <c r="E591" s="35">
        <v>2</v>
      </c>
      <c r="F591" s="35" t="s">
        <v>676</v>
      </c>
      <c r="G591" s="35" t="s">
        <v>90</v>
      </c>
      <c r="H591" s="35">
        <v>54</v>
      </c>
      <c r="I591" s="35">
        <v>0</v>
      </c>
      <c r="J591" s="35">
        <v>0</v>
      </c>
      <c r="K591" s="35">
        <v>26</v>
      </c>
      <c r="L591" s="35">
        <v>0</v>
      </c>
      <c r="M591" s="35" t="s">
        <v>91</v>
      </c>
    </row>
    <row r="592" spans="4:13" x14ac:dyDescent="0.2">
      <c r="D592" s="34">
        <v>0</v>
      </c>
      <c r="E592" s="35">
        <v>1</v>
      </c>
      <c r="F592" s="35" t="s">
        <v>677</v>
      </c>
      <c r="G592" s="35" t="s">
        <v>90</v>
      </c>
      <c r="H592" s="35">
        <v>36</v>
      </c>
      <c r="I592" s="35">
        <v>0</v>
      </c>
      <c r="J592" s="35">
        <v>0</v>
      </c>
      <c r="K592" s="35">
        <v>40125</v>
      </c>
      <c r="L592" s="35">
        <v>1</v>
      </c>
      <c r="M592" s="35" t="s">
        <v>94</v>
      </c>
    </row>
    <row r="593" spans="4:13" x14ac:dyDescent="0.2">
      <c r="D593" s="34">
        <v>0</v>
      </c>
      <c r="E593" s="35">
        <v>3</v>
      </c>
      <c r="F593" s="35" t="s">
        <v>678</v>
      </c>
      <c r="G593" s="35" t="s">
        <v>90</v>
      </c>
      <c r="H593" s="36"/>
      <c r="I593" s="35">
        <v>0</v>
      </c>
      <c r="J593" s="35">
        <v>0</v>
      </c>
      <c r="K593" s="35">
        <v>87125</v>
      </c>
      <c r="L593" s="35">
        <v>0</v>
      </c>
      <c r="M593" s="35" t="s">
        <v>94</v>
      </c>
    </row>
    <row r="594" spans="4:13" x14ac:dyDescent="0.2">
      <c r="D594" s="34">
        <v>1</v>
      </c>
      <c r="E594" s="35">
        <v>1</v>
      </c>
      <c r="F594" s="35" t="s">
        <v>679</v>
      </c>
      <c r="G594" s="35" t="s">
        <v>93</v>
      </c>
      <c r="H594" s="35">
        <v>18</v>
      </c>
      <c r="I594" s="35">
        <v>0</v>
      </c>
      <c r="J594" s="35">
        <v>2</v>
      </c>
      <c r="K594" s="35">
        <v>7965</v>
      </c>
      <c r="L594" s="35">
        <v>1</v>
      </c>
      <c r="M594" s="35" t="s">
        <v>91</v>
      </c>
    </row>
    <row r="595" spans="4:13" x14ac:dyDescent="0.2">
      <c r="D595" s="34">
        <v>0</v>
      </c>
      <c r="E595" s="35">
        <v>2</v>
      </c>
      <c r="F595" s="35" t="s">
        <v>680</v>
      </c>
      <c r="G595" s="35" t="s">
        <v>90</v>
      </c>
      <c r="H595" s="35">
        <v>47</v>
      </c>
      <c r="I595" s="35">
        <v>0</v>
      </c>
      <c r="J595" s="35">
        <v>0</v>
      </c>
      <c r="K595" s="35">
        <v>15</v>
      </c>
      <c r="L595" s="35">
        <v>0</v>
      </c>
      <c r="M595" s="35" t="s">
        <v>91</v>
      </c>
    </row>
    <row r="596" spans="4:13" x14ac:dyDescent="0.2">
      <c r="D596" s="34">
        <v>1</v>
      </c>
      <c r="E596" s="35">
        <v>1</v>
      </c>
      <c r="F596" s="35" t="s">
        <v>681</v>
      </c>
      <c r="G596" s="35" t="s">
        <v>90</v>
      </c>
      <c r="H596" s="35">
        <v>60</v>
      </c>
      <c r="I596" s="35">
        <v>1</v>
      </c>
      <c r="J596" s="35">
        <v>1</v>
      </c>
      <c r="K596" s="35">
        <v>792</v>
      </c>
      <c r="L596" s="35">
        <v>1</v>
      </c>
      <c r="M596" s="35" t="s">
        <v>94</v>
      </c>
    </row>
    <row r="597" spans="4:13" x14ac:dyDescent="0.2">
      <c r="D597" s="34">
        <v>0</v>
      </c>
      <c r="E597" s="35">
        <v>3</v>
      </c>
      <c r="F597" s="35" t="s">
        <v>682</v>
      </c>
      <c r="G597" s="35" t="s">
        <v>90</v>
      </c>
      <c r="H597" s="35">
        <v>22</v>
      </c>
      <c r="I597" s="35">
        <v>0</v>
      </c>
      <c r="J597" s="35">
        <v>0</v>
      </c>
      <c r="K597" s="35">
        <v>805</v>
      </c>
      <c r="L597" s="35">
        <v>0</v>
      </c>
      <c r="M597" s="35" t="s">
        <v>91</v>
      </c>
    </row>
    <row r="598" spans="4:13" x14ac:dyDescent="0.2">
      <c r="D598" s="34">
        <v>0</v>
      </c>
      <c r="E598" s="35">
        <v>3</v>
      </c>
      <c r="F598" s="35" t="s">
        <v>683</v>
      </c>
      <c r="G598" s="35" t="s">
        <v>90</v>
      </c>
      <c r="H598" s="36"/>
      <c r="I598" s="35">
        <v>0</v>
      </c>
      <c r="J598" s="35">
        <v>0</v>
      </c>
      <c r="K598" s="35">
        <v>805</v>
      </c>
      <c r="L598" s="35">
        <v>0</v>
      </c>
      <c r="M598" s="35" t="s">
        <v>91</v>
      </c>
    </row>
    <row r="599" spans="4:13" x14ac:dyDescent="0.2">
      <c r="D599" s="34">
        <v>0</v>
      </c>
      <c r="E599" s="35">
        <v>3</v>
      </c>
      <c r="F599" s="35" t="s">
        <v>684</v>
      </c>
      <c r="G599" s="35" t="s">
        <v>90</v>
      </c>
      <c r="H599" s="35">
        <v>35</v>
      </c>
      <c r="I599" s="35">
        <v>0</v>
      </c>
      <c r="J599" s="35">
        <v>0</v>
      </c>
      <c r="K599" s="35">
        <v>7125</v>
      </c>
      <c r="L599" s="35">
        <v>0</v>
      </c>
      <c r="M599" s="35" t="s">
        <v>91</v>
      </c>
    </row>
    <row r="600" spans="4:13" x14ac:dyDescent="0.2">
      <c r="D600" s="34">
        <v>1</v>
      </c>
      <c r="E600" s="35">
        <v>1</v>
      </c>
      <c r="F600" s="35" t="s">
        <v>685</v>
      </c>
      <c r="G600" s="35" t="s">
        <v>93</v>
      </c>
      <c r="H600" s="35">
        <v>52</v>
      </c>
      <c r="I600" s="35">
        <v>1</v>
      </c>
      <c r="J600" s="35">
        <v>0</v>
      </c>
      <c r="K600" s="35">
        <v>782667</v>
      </c>
      <c r="L600" s="35">
        <v>1</v>
      </c>
      <c r="M600" s="35" t="s">
        <v>94</v>
      </c>
    </row>
    <row r="601" spans="4:13" x14ac:dyDescent="0.2">
      <c r="D601" s="34">
        <v>0</v>
      </c>
      <c r="E601" s="35">
        <v>3</v>
      </c>
      <c r="F601" s="35" t="s">
        <v>686</v>
      </c>
      <c r="G601" s="35" t="s">
        <v>90</v>
      </c>
      <c r="H601" s="35">
        <v>47</v>
      </c>
      <c r="I601" s="35">
        <v>0</v>
      </c>
      <c r="J601" s="35">
        <v>0</v>
      </c>
      <c r="K601" s="35">
        <v>725</v>
      </c>
      <c r="L601" s="35">
        <v>0</v>
      </c>
      <c r="M601" s="35" t="s">
        <v>91</v>
      </c>
    </row>
    <row r="602" spans="4:13" x14ac:dyDescent="0.2">
      <c r="D602" s="34">
        <v>0</v>
      </c>
      <c r="E602" s="35">
        <v>3</v>
      </c>
      <c r="F602" s="35" t="s">
        <v>687</v>
      </c>
      <c r="G602" s="35" t="s">
        <v>93</v>
      </c>
      <c r="H602" s="36"/>
      <c r="I602" s="35">
        <v>0</v>
      </c>
      <c r="J602" s="35">
        <v>2</v>
      </c>
      <c r="K602" s="35">
        <v>775</v>
      </c>
      <c r="L602" s="35">
        <v>0</v>
      </c>
      <c r="M602" s="35" t="s">
        <v>99</v>
      </c>
    </row>
    <row r="603" spans="4:13" x14ac:dyDescent="0.2">
      <c r="D603" s="34">
        <v>0</v>
      </c>
      <c r="E603" s="35">
        <v>2</v>
      </c>
      <c r="F603" s="35" t="s">
        <v>688</v>
      </c>
      <c r="G603" s="35" t="s">
        <v>90</v>
      </c>
      <c r="H603" s="35">
        <v>37</v>
      </c>
      <c r="I603" s="35">
        <v>1</v>
      </c>
      <c r="J603" s="35">
        <v>0</v>
      </c>
      <c r="K603" s="35">
        <v>26</v>
      </c>
      <c r="L603" s="35">
        <v>0</v>
      </c>
      <c r="M603" s="35" t="s">
        <v>91</v>
      </c>
    </row>
    <row r="604" spans="4:13" x14ac:dyDescent="0.2">
      <c r="D604" s="34">
        <v>0</v>
      </c>
      <c r="E604" s="35">
        <v>3</v>
      </c>
      <c r="F604" s="35" t="s">
        <v>689</v>
      </c>
      <c r="G604" s="35" t="s">
        <v>90</v>
      </c>
      <c r="H604" s="35">
        <v>36</v>
      </c>
      <c r="I604" s="35">
        <v>1</v>
      </c>
      <c r="J604" s="35">
        <v>1</v>
      </c>
      <c r="K604" s="35">
        <v>2415</v>
      </c>
      <c r="L604" s="35">
        <v>0</v>
      </c>
      <c r="M604" s="35" t="s">
        <v>91</v>
      </c>
    </row>
    <row r="605" spans="4:13" x14ac:dyDescent="0.2">
      <c r="D605" s="34">
        <v>1</v>
      </c>
      <c r="E605" s="35">
        <v>2</v>
      </c>
      <c r="F605" s="35" t="s">
        <v>690</v>
      </c>
      <c r="G605" s="35" t="s">
        <v>93</v>
      </c>
      <c r="H605" s="36"/>
      <c r="I605" s="35">
        <v>0</v>
      </c>
      <c r="J605" s="35">
        <v>0</v>
      </c>
      <c r="K605" s="35">
        <v>33</v>
      </c>
      <c r="L605" s="35">
        <v>0</v>
      </c>
      <c r="M605" s="35" t="s">
        <v>91</v>
      </c>
    </row>
    <row r="606" spans="4:13" x14ac:dyDescent="0.2">
      <c r="D606" s="34">
        <v>0</v>
      </c>
      <c r="E606" s="35">
        <v>3</v>
      </c>
      <c r="F606" s="35" t="s">
        <v>691</v>
      </c>
      <c r="G606" s="35" t="s">
        <v>90</v>
      </c>
      <c r="H606" s="35">
        <v>49</v>
      </c>
      <c r="I606" s="35">
        <v>0</v>
      </c>
      <c r="J606" s="35">
        <v>0</v>
      </c>
      <c r="K606" s="35">
        <v>0</v>
      </c>
      <c r="L606" s="35">
        <v>0</v>
      </c>
      <c r="M606" s="35" t="s">
        <v>91</v>
      </c>
    </row>
    <row r="607" spans="4:13" x14ac:dyDescent="0.2">
      <c r="D607" s="34">
        <v>0</v>
      </c>
      <c r="E607" s="35">
        <v>3</v>
      </c>
      <c r="F607" s="35" t="s">
        <v>692</v>
      </c>
      <c r="G607" s="35" t="s">
        <v>90</v>
      </c>
      <c r="H607" s="36"/>
      <c r="I607" s="35">
        <v>0</v>
      </c>
      <c r="J607" s="35">
        <v>0</v>
      </c>
      <c r="K607" s="35">
        <v>7225</v>
      </c>
      <c r="L607" s="35">
        <v>0</v>
      </c>
      <c r="M607" s="35" t="s">
        <v>94</v>
      </c>
    </row>
    <row r="608" spans="4:13" x14ac:dyDescent="0.2">
      <c r="D608" s="34">
        <v>1</v>
      </c>
      <c r="E608" s="35">
        <v>1</v>
      </c>
      <c r="F608" s="35" t="s">
        <v>693</v>
      </c>
      <c r="G608" s="35" t="s">
        <v>90</v>
      </c>
      <c r="H608" s="35">
        <v>49</v>
      </c>
      <c r="I608" s="35">
        <v>1</v>
      </c>
      <c r="J608" s="35">
        <v>0</v>
      </c>
      <c r="K608" s="35">
        <v>569292</v>
      </c>
      <c r="L608" s="35">
        <v>1</v>
      </c>
      <c r="M608" s="35" t="s">
        <v>94</v>
      </c>
    </row>
    <row r="609" spans="4:13" x14ac:dyDescent="0.2">
      <c r="D609" s="34">
        <v>1</v>
      </c>
      <c r="E609" s="35">
        <v>2</v>
      </c>
      <c r="F609" s="35" t="s">
        <v>694</v>
      </c>
      <c r="G609" s="35" t="s">
        <v>93</v>
      </c>
      <c r="H609" s="35">
        <v>24</v>
      </c>
      <c r="I609" s="35">
        <v>2</v>
      </c>
      <c r="J609" s="35">
        <v>1</v>
      </c>
      <c r="K609" s="35">
        <v>27</v>
      </c>
      <c r="L609" s="35">
        <v>0</v>
      </c>
      <c r="M609" s="35" t="s">
        <v>91</v>
      </c>
    </row>
    <row r="610" spans="4:13" x14ac:dyDescent="0.2">
      <c r="D610" s="34">
        <v>0</v>
      </c>
      <c r="E610" s="35">
        <v>3</v>
      </c>
      <c r="F610" s="35" t="s">
        <v>695</v>
      </c>
      <c r="G610" s="35" t="s">
        <v>90</v>
      </c>
      <c r="H610" s="36"/>
      <c r="I610" s="35">
        <v>0</v>
      </c>
      <c r="J610" s="35">
        <v>0</v>
      </c>
      <c r="K610" s="35">
        <v>78958</v>
      </c>
      <c r="L610" s="35">
        <v>0</v>
      </c>
      <c r="M610" s="35" t="s">
        <v>91</v>
      </c>
    </row>
    <row r="611" spans="4:13" x14ac:dyDescent="0.2">
      <c r="D611" s="34">
        <v>0</v>
      </c>
      <c r="E611" s="35">
        <v>1</v>
      </c>
      <c r="F611" s="35" t="s">
        <v>696</v>
      </c>
      <c r="G611" s="35" t="s">
        <v>90</v>
      </c>
      <c r="H611" s="36"/>
      <c r="I611" s="35">
        <v>0</v>
      </c>
      <c r="J611" s="35">
        <v>0</v>
      </c>
      <c r="K611" s="35">
        <v>424</v>
      </c>
      <c r="L611" s="35">
        <v>0</v>
      </c>
      <c r="M611" s="35" t="s">
        <v>91</v>
      </c>
    </row>
    <row r="612" spans="4:13" x14ac:dyDescent="0.2">
      <c r="D612" s="34">
        <v>0</v>
      </c>
      <c r="E612" s="35">
        <v>3</v>
      </c>
      <c r="F612" s="35" t="s">
        <v>697</v>
      </c>
      <c r="G612" s="35" t="s">
        <v>90</v>
      </c>
      <c r="H612" s="35">
        <v>44</v>
      </c>
      <c r="I612" s="35">
        <v>0</v>
      </c>
      <c r="J612" s="35">
        <v>0</v>
      </c>
      <c r="K612" s="35">
        <v>805</v>
      </c>
      <c r="L612" s="35">
        <v>0</v>
      </c>
      <c r="M612" s="35" t="s">
        <v>91</v>
      </c>
    </row>
    <row r="613" spans="4:13" x14ac:dyDescent="0.2">
      <c r="D613" s="34">
        <v>1</v>
      </c>
      <c r="E613" s="35">
        <v>1</v>
      </c>
      <c r="F613" s="35" t="s">
        <v>698</v>
      </c>
      <c r="G613" s="35" t="s">
        <v>90</v>
      </c>
      <c r="H613" s="35">
        <v>35</v>
      </c>
      <c r="I613" s="35">
        <v>0</v>
      </c>
      <c r="J613" s="35">
        <v>0</v>
      </c>
      <c r="K613" s="35">
        <v>2655</v>
      </c>
      <c r="L613" s="35">
        <v>0</v>
      </c>
      <c r="M613" s="35" t="s">
        <v>94</v>
      </c>
    </row>
    <row r="614" spans="4:13" x14ac:dyDescent="0.2">
      <c r="D614" s="34">
        <v>0</v>
      </c>
      <c r="E614" s="35">
        <v>3</v>
      </c>
      <c r="F614" s="35" t="s">
        <v>699</v>
      </c>
      <c r="G614" s="35" t="s">
        <v>90</v>
      </c>
      <c r="H614" s="35">
        <v>36</v>
      </c>
      <c r="I614" s="35">
        <v>1</v>
      </c>
      <c r="J614" s="35">
        <v>0</v>
      </c>
      <c r="K614" s="35">
        <v>1555</v>
      </c>
      <c r="L614" s="35">
        <v>0</v>
      </c>
      <c r="M614" s="35" t="s">
        <v>91</v>
      </c>
    </row>
    <row r="615" spans="4:13" x14ac:dyDescent="0.2">
      <c r="D615" s="34">
        <v>0</v>
      </c>
      <c r="E615" s="35">
        <v>3</v>
      </c>
      <c r="F615" s="35" t="s">
        <v>700</v>
      </c>
      <c r="G615" s="35" t="s">
        <v>90</v>
      </c>
      <c r="H615" s="35">
        <v>30</v>
      </c>
      <c r="I615" s="35">
        <v>0</v>
      </c>
      <c r="J615" s="35">
        <v>0</v>
      </c>
      <c r="K615" s="35">
        <v>78958</v>
      </c>
      <c r="L615" s="35">
        <v>0</v>
      </c>
      <c r="M615" s="35" t="s">
        <v>91</v>
      </c>
    </row>
    <row r="616" spans="4:13" x14ac:dyDescent="0.2">
      <c r="D616" s="34">
        <v>1</v>
      </c>
      <c r="E616" s="35">
        <v>1</v>
      </c>
      <c r="F616" s="35" t="s">
        <v>701</v>
      </c>
      <c r="G616" s="35" t="s">
        <v>90</v>
      </c>
      <c r="H616" s="35">
        <v>27</v>
      </c>
      <c r="I616" s="35">
        <v>0</v>
      </c>
      <c r="J616" s="35">
        <v>0</v>
      </c>
      <c r="K616" s="35">
        <v>305</v>
      </c>
      <c r="L616" s="35">
        <v>0</v>
      </c>
      <c r="M616" s="35" t="s">
        <v>91</v>
      </c>
    </row>
    <row r="617" spans="4:13" x14ac:dyDescent="0.2">
      <c r="D617" s="34">
        <v>1</v>
      </c>
      <c r="E617" s="35">
        <v>2</v>
      </c>
      <c r="F617" s="35" t="s">
        <v>702</v>
      </c>
      <c r="G617" s="35" t="s">
        <v>93</v>
      </c>
      <c r="H617" s="35">
        <v>22</v>
      </c>
      <c r="I617" s="35">
        <v>1</v>
      </c>
      <c r="J617" s="35">
        <v>2</v>
      </c>
      <c r="K617" s="35">
        <v>415792</v>
      </c>
      <c r="L617" s="35">
        <v>0</v>
      </c>
      <c r="M617" s="35" t="s">
        <v>94</v>
      </c>
    </row>
    <row r="618" spans="4:13" x14ac:dyDescent="0.2">
      <c r="D618" s="34">
        <v>1</v>
      </c>
      <c r="E618" s="35">
        <v>1</v>
      </c>
      <c r="F618" s="35" t="s">
        <v>703</v>
      </c>
      <c r="G618" s="35" t="s">
        <v>93</v>
      </c>
      <c r="H618" s="35">
        <v>40</v>
      </c>
      <c r="I618" s="35">
        <v>0</v>
      </c>
      <c r="J618" s="35">
        <v>0</v>
      </c>
      <c r="K618" s="35">
        <v>1534625</v>
      </c>
      <c r="L618" s="35">
        <v>1</v>
      </c>
      <c r="M618" s="35" t="s">
        <v>91</v>
      </c>
    </row>
    <row r="619" spans="4:13" x14ac:dyDescent="0.2">
      <c r="D619" s="34">
        <v>0</v>
      </c>
      <c r="E619" s="35">
        <v>3</v>
      </c>
      <c r="F619" s="35" t="s">
        <v>704</v>
      </c>
      <c r="G619" s="35" t="s">
        <v>93</v>
      </c>
      <c r="H619" s="35">
        <v>39</v>
      </c>
      <c r="I619" s="35">
        <v>1</v>
      </c>
      <c r="J619" s="35">
        <v>5</v>
      </c>
      <c r="K619" s="35">
        <v>31275</v>
      </c>
      <c r="L619" s="35">
        <v>0</v>
      </c>
      <c r="M619" s="35" t="s">
        <v>91</v>
      </c>
    </row>
    <row r="620" spans="4:13" x14ac:dyDescent="0.2">
      <c r="D620" s="34">
        <v>0</v>
      </c>
      <c r="E620" s="35">
        <v>3</v>
      </c>
      <c r="F620" s="35" t="s">
        <v>705</v>
      </c>
      <c r="G620" s="35" t="s">
        <v>90</v>
      </c>
      <c r="H620" s="36"/>
      <c r="I620" s="35">
        <v>0</v>
      </c>
      <c r="J620" s="35">
        <v>0</v>
      </c>
      <c r="K620" s="35">
        <v>705</v>
      </c>
      <c r="L620" s="35">
        <v>0</v>
      </c>
      <c r="M620" s="35" t="s">
        <v>91</v>
      </c>
    </row>
    <row r="621" spans="4:13" x14ac:dyDescent="0.2">
      <c r="D621" s="34">
        <v>1</v>
      </c>
      <c r="E621" s="35">
        <v>3</v>
      </c>
      <c r="F621" s="35" t="s">
        <v>706</v>
      </c>
      <c r="G621" s="35" t="s">
        <v>93</v>
      </c>
      <c r="H621" s="36"/>
      <c r="I621" s="35">
        <v>1</v>
      </c>
      <c r="J621" s="35">
        <v>0</v>
      </c>
      <c r="K621" s="35">
        <v>155</v>
      </c>
      <c r="L621" s="35">
        <v>0</v>
      </c>
      <c r="M621" s="35" t="s">
        <v>99</v>
      </c>
    </row>
    <row r="622" spans="4:13" x14ac:dyDescent="0.2">
      <c r="D622" s="34">
        <v>0</v>
      </c>
      <c r="E622" s="35">
        <v>3</v>
      </c>
      <c r="F622" s="35" t="s">
        <v>707</v>
      </c>
      <c r="G622" s="35" t="s">
        <v>90</v>
      </c>
      <c r="H622" s="36"/>
      <c r="I622" s="35">
        <v>0</v>
      </c>
      <c r="J622" s="35">
        <v>0</v>
      </c>
      <c r="K622" s="35">
        <v>775</v>
      </c>
      <c r="L622" s="35">
        <v>0</v>
      </c>
      <c r="M622" s="35" t="s">
        <v>99</v>
      </c>
    </row>
    <row r="623" spans="4:13" x14ac:dyDescent="0.2">
      <c r="D623" s="34">
        <v>0</v>
      </c>
      <c r="E623" s="35">
        <v>3</v>
      </c>
      <c r="F623" s="35" t="s">
        <v>708</v>
      </c>
      <c r="G623" s="35" t="s">
        <v>90</v>
      </c>
      <c r="H623" s="35">
        <v>35</v>
      </c>
      <c r="I623" s="35">
        <v>0</v>
      </c>
      <c r="J623" s="35">
        <v>0</v>
      </c>
      <c r="K623" s="35">
        <v>805</v>
      </c>
      <c r="L623" s="35">
        <v>0</v>
      </c>
      <c r="M623" s="35" t="s">
        <v>91</v>
      </c>
    </row>
    <row r="624" spans="4:13" x14ac:dyDescent="0.2">
      <c r="D624" s="34">
        <v>1</v>
      </c>
      <c r="E624" s="35">
        <v>2</v>
      </c>
      <c r="F624" s="35" t="s">
        <v>709</v>
      </c>
      <c r="G624" s="35" t="s">
        <v>93</v>
      </c>
      <c r="H624" s="35">
        <v>24</v>
      </c>
      <c r="I624" s="35">
        <v>1</v>
      </c>
      <c r="J624" s="35">
        <v>2</v>
      </c>
      <c r="K624" s="35">
        <v>65</v>
      </c>
      <c r="L624" s="35">
        <v>0</v>
      </c>
      <c r="M624" s="35" t="s">
        <v>91</v>
      </c>
    </row>
    <row r="625" spans="4:13" x14ac:dyDescent="0.2">
      <c r="D625" s="34">
        <v>0</v>
      </c>
      <c r="E625" s="35">
        <v>3</v>
      </c>
      <c r="F625" s="35" t="s">
        <v>710</v>
      </c>
      <c r="G625" s="35" t="s">
        <v>90</v>
      </c>
      <c r="H625" s="35">
        <v>34</v>
      </c>
      <c r="I625" s="35">
        <v>1</v>
      </c>
      <c r="J625" s="35">
        <v>1</v>
      </c>
      <c r="K625" s="35">
        <v>144</v>
      </c>
      <c r="L625" s="35">
        <v>0</v>
      </c>
      <c r="M625" s="35" t="s">
        <v>91</v>
      </c>
    </row>
    <row r="626" spans="4:13" x14ac:dyDescent="0.2">
      <c r="D626" s="34">
        <v>0</v>
      </c>
      <c r="E626" s="35">
        <v>3</v>
      </c>
      <c r="F626" s="35" t="s">
        <v>711</v>
      </c>
      <c r="G626" s="35" t="s">
        <v>93</v>
      </c>
      <c r="H626" s="35">
        <v>26</v>
      </c>
      <c r="I626" s="35">
        <v>1</v>
      </c>
      <c r="J626" s="35">
        <v>0</v>
      </c>
      <c r="K626" s="35">
        <v>161</v>
      </c>
      <c r="L626" s="35">
        <v>0</v>
      </c>
      <c r="M626" s="35" t="s">
        <v>91</v>
      </c>
    </row>
    <row r="627" spans="4:13" x14ac:dyDescent="0.2">
      <c r="D627" s="34">
        <v>1</v>
      </c>
      <c r="E627" s="35">
        <v>2</v>
      </c>
      <c r="F627" s="35" t="s">
        <v>712</v>
      </c>
      <c r="G627" s="35" t="s">
        <v>93</v>
      </c>
      <c r="H627" s="35">
        <v>4</v>
      </c>
      <c r="I627" s="35">
        <v>2</v>
      </c>
      <c r="J627" s="35">
        <v>1</v>
      </c>
      <c r="K627" s="35">
        <v>39</v>
      </c>
      <c r="L627" s="35">
        <v>1</v>
      </c>
      <c r="M627" s="35" t="s">
        <v>91</v>
      </c>
    </row>
    <row r="628" spans="4:13" x14ac:dyDescent="0.2">
      <c r="D628" s="34">
        <v>0</v>
      </c>
      <c r="E628" s="35">
        <v>2</v>
      </c>
      <c r="F628" s="35" t="s">
        <v>713</v>
      </c>
      <c r="G628" s="35" t="s">
        <v>90</v>
      </c>
      <c r="H628" s="35">
        <v>26</v>
      </c>
      <c r="I628" s="35">
        <v>0</v>
      </c>
      <c r="J628" s="35">
        <v>0</v>
      </c>
      <c r="K628" s="35">
        <v>105</v>
      </c>
      <c r="L628" s="35">
        <v>0</v>
      </c>
      <c r="M628" s="35" t="s">
        <v>91</v>
      </c>
    </row>
    <row r="629" spans="4:13" x14ac:dyDescent="0.2">
      <c r="D629" s="34">
        <v>0</v>
      </c>
      <c r="E629" s="35">
        <v>3</v>
      </c>
      <c r="F629" s="35" t="s">
        <v>714</v>
      </c>
      <c r="G629" s="35" t="s">
        <v>90</v>
      </c>
      <c r="H629" s="35">
        <v>27</v>
      </c>
      <c r="I629" s="35">
        <v>1</v>
      </c>
      <c r="J629" s="35">
        <v>0</v>
      </c>
      <c r="K629" s="35">
        <v>144542</v>
      </c>
      <c r="L629" s="35">
        <v>0</v>
      </c>
      <c r="M629" s="35" t="s">
        <v>94</v>
      </c>
    </row>
    <row r="630" spans="4:13" x14ac:dyDescent="0.2">
      <c r="D630" s="34">
        <v>1</v>
      </c>
      <c r="E630" s="35">
        <v>1</v>
      </c>
      <c r="F630" s="35" t="s">
        <v>715</v>
      </c>
      <c r="G630" s="35" t="s">
        <v>90</v>
      </c>
      <c r="H630" s="35">
        <v>42</v>
      </c>
      <c r="I630" s="35">
        <v>1</v>
      </c>
      <c r="J630" s="35">
        <v>0</v>
      </c>
      <c r="K630" s="35">
        <v>525542</v>
      </c>
      <c r="L630" s="35">
        <v>1</v>
      </c>
      <c r="M630" s="35" t="s">
        <v>91</v>
      </c>
    </row>
    <row r="631" spans="4:13" x14ac:dyDescent="0.2">
      <c r="D631" s="34">
        <v>1</v>
      </c>
      <c r="E631" s="35">
        <v>3</v>
      </c>
      <c r="F631" s="35" t="s">
        <v>716</v>
      </c>
      <c r="G631" s="35" t="s">
        <v>90</v>
      </c>
      <c r="H631" s="35">
        <v>20</v>
      </c>
      <c r="I631" s="35">
        <v>1</v>
      </c>
      <c r="J631" s="35">
        <v>1</v>
      </c>
      <c r="K631" s="35">
        <v>157417</v>
      </c>
      <c r="L631" s="35">
        <v>0</v>
      </c>
      <c r="M631" s="35" t="s">
        <v>94</v>
      </c>
    </row>
    <row r="632" spans="4:13" x14ac:dyDescent="0.2">
      <c r="D632" s="34">
        <v>0</v>
      </c>
      <c r="E632" s="35">
        <v>3</v>
      </c>
      <c r="F632" s="35" t="s">
        <v>717</v>
      </c>
      <c r="G632" s="35" t="s">
        <v>90</v>
      </c>
      <c r="H632" s="35">
        <v>21</v>
      </c>
      <c r="I632" s="35">
        <v>0</v>
      </c>
      <c r="J632" s="35">
        <v>0</v>
      </c>
      <c r="K632" s="35">
        <v>78542</v>
      </c>
      <c r="L632" s="35">
        <v>0</v>
      </c>
      <c r="M632" s="35" t="s">
        <v>91</v>
      </c>
    </row>
    <row r="633" spans="4:13" x14ac:dyDescent="0.2">
      <c r="D633" s="34">
        <v>0</v>
      </c>
      <c r="E633" s="35">
        <v>3</v>
      </c>
      <c r="F633" s="35" t="s">
        <v>718</v>
      </c>
      <c r="G633" s="35" t="s">
        <v>90</v>
      </c>
      <c r="H633" s="35">
        <v>21</v>
      </c>
      <c r="I633" s="35">
        <v>0</v>
      </c>
      <c r="J633" s="35">
        <v>0</v>
      </c>
      <c r="K633" s="35">
        <v>161</v>
      </c>
      <c r="L633" s="35">
        <v>0</v>
      </c>
      <c r="M633" s="35" t="s">
        <v>91</v>
      </c>
    </row>
    <row r="634" spans="4:13" x14ac:dyDescent="0.2">
      <c r="D634" s="34">
        <v>0</v>
      </c>
      <c r="E634" s="35">
        <v>1</v>
      </c>
      <c r="F634" s="35" t="s">
        <v>719</v>
      </c>
      <c r="G634" s="35" t="s">
        <v>90</v>
      </c>
      <c r="H634" s="35">
        <v>61</v>
      </c>
      <c r="I634" s="35">
        <v>0</v>
      </c>
      <c r="J634" s="35">
        <v>0</v>
      </c>
      <c r="K634" s="35">
        <v>323208</v>
      </c>
      <c r="L634" s="35">
        <v>1</v>
      </c>
      <c r="M634" s="35" t="s">
        <v>91</v>
      </c>
    </row>
    <row r="635" spans="4:13" x14ac:dyDescent="0.2">
      <c r="D635" s="34">
        <v>0</v>
      </c>
      <c r="E635" s="35">
        <v>2</v>
      </c>
      <c r="F635" s="35" t="s">
        <v>720</v>
      </c>
      <c r="G635" s="35" t="s">
        <v>90</v>
      </c>
      <c r="H635" s="35">
        <v>57</v>
      </c>
      <c r="I635" s="35">
        <v>0</v>
      </c>
      <c r="J635" s="35">
        <v>0</v>
      </c>
      <c r="K635" s="35">
        <v>1235</v>
      </c>
      <c r="L635" s="35">
        <v>0</v>
      </c>
      <c r="M635" s="35" t="s">
        <v>99</v>
      </c>
    </row>
    <row r="636" spans="4:13" x14ac:dyDescent="0.2">
      <c r="D636" s="34">
        <v>1</v>
      </c>
      <c r="E636" s="35">
        <v>1</v>
      </c>
      <c r="F636" s="35" t="s">
        <v>721</v>
      </c>
      <c r="G636" s="35" t="s">
        <v>93</v>
      </c>
      <c r="H636" s="35">
        <v>21</v>
      </c>
      <c r="I636" s="35">
        <v>0</v>
      </c>
      <c r="J636" s="35">
        <v>0</v>
      </c>
      <c r="K636" s="35">
        <v>779583</v>
      </c>
      <c r="L636" s="35">
        <v>1</v>
      </c>
      <c r="M636" s="35" t="s">
        <v>91</v>
      </c>
    </row>
    <row r="637" spans="4:13" x14ac:dyDescent="0.2">
      <c r="D637" s="34">
        <v>0</v>
      </c>
      <c r="E637" s="35">
        <v>3</v>
      </c>
      <c r="F637" s="35" t="s">
        <v>722</v>
      </c>
      <c r="G637" s="35" t="s">
        <v>90</v>
      </c>
      <c r="H637" s="35">
        <v>26</v>
      </c>
      <c r="I637" s="35">
        <v>0</v>
      </c>
      <c r="J637" s="35">
        <v>0</v>
      </c>
      <c r="K637" s="35">
        <v>78958</v>
      </c>
      <c r="L637" s="35">
        <v>0</v>
      </c>
      <c r="M637" s="35" t="s">
        <v>91</v>
      </c>
    </row>
    <row r="638" spans="4:13" x14ac:dyDescent="0.2">
      <c r="D638" s="34">
        <v>0</v>
      </c>
      <c r="E638" s="35">
        <v>3</v>
      </c>
      <c r="F638" s="35" t="s">
        <v>723</v>
      </c>
      <c r="G638" s="35" t="s">
        <v>90</v>
      </c>
      <c r="H638" s="36"/>
      <c r="I638" s="35">
        <v>0</v>
      </c>
      <c r="J638" s="35">
        <v>0</v>
      </c>
      <c r="K638" s="35">
        <v>77333</v>
      </c>
      <c r="L638" s="35">
        <v>0</v>
      </c>
      <c r="M638" s="35" t="s">
        <v>99</v>
      </c>
    </row>
    <row r="639" spans="4:13" x14ac:dyDescent="0.2">
      <c r="D639" s="34">
        <v>1</v>
      </c>
      <c r="E639" s="35">
        <v>1</v>
      </c>
      <c r="F639" s="35" t="s">
        <v>724</v>
      </c>
      <c r="G639" s="35" t="s">
        <v>90</v>
      </c>
      <c r="H639" s="35">
        <v>80</v>
      </c>
      <c r="I639" s="35">
        <v>0</v>
      </c>
      <c r="J639" s="35">
        <v>0</v>
      </c>
      <c r="K639" s="35">
        <v>30</v>
      </c>
      <c r="L639" s="35">
        <v>1</v>
      </c>
      <c r="M639" s="35" t="s">
        <v>91</v>
      </c>
    </row>
    <row r="640" spans="4:13" x14ac:dyDescent="0.2">
      <c r="D640" s="34">
        <v>0</v>
      </c>
      <c r="E640" s="35">
        <v>3</v>
      </c>
      <c r="F640" s="35" t="s">
        <v>725</v>
      </c>
      <c r="G640" s="35" t="s">
        <v>90</v>
      </c>
      <c r="H640" s="35">
        <v>51</v>
      </c>
      <c r="I640" s="35">
        <v>0</v>
      </c>
      <c r="J640" s="35">
        <v>0</v>
      </c>
      <c r="K640" s="35">
        <v>70542</v>
      </c>
      <c r="L640" s="35">
        <v>0</v>
      </c>
      <c r="M640" s="35" t="s">
        <v>91</v>
      </c>
    </row>
    <row r="641" spans="4:13" x14ac:dyDescent="0.2">
      <c r="D641" s="34">
        <v>1</v>
      </c>
      <c r="E641" s="35">
        <v>1</v>
      </c>
      <c r="F641" s="35" t="s">
        <v>726</v>
      </c>
      <c r="G641" s="35" t="s">
        <v>90</v>
      </c>
      <c r="H641" s="35">
        <v>32</v>
      </c>
      <c r="I641" s="35">
        <v>0</v>
      </c>
      <c r="J641" s="35">
        <v>0</v>
      </c>
      <c r="K641" s="35">
        <v>305</v>
      </c>
      <c r="L641" s="35">
        <v>1</v>
      </c>
      <c r="M641" s="35" t="s">
        <v>94</v>
      </c>
    </row>
    <row r="642" spans="4:13" x14ac:dyDescent="0.2">
      <c r="D642" s="34">
        <v>0</v>
      </c>
      <c r="E642" s="35">
        <v>1</v>
      </c>
      <c r="F642" s="35" t="s">
        <v>727</v>
      </c>
      <c r="G642" s="35" t="s">
        <v>90</v>
      </c>
      <c r="H642" s="36"/>
      <c r="I642" s="35">
        <v>0</v>
      </c>
      <c r="J642" s="35">
        <v>0</v>
      </c>
      <c r="K642" s="35">
        <v>0</v>
      </c>
      <c r="L642" s="35">
        <v>0</v>
      </c>
      <c r="M642" s="35" t="s">
        <v>91</v>
      </c>
    </row>
    <row r="643" spans="4:13" x14ac:dyDescent="0.2">
      <c r="D643" s="34">
        <v>0</v>
      </c>
      <c r="E643" s="35">
        <v>3</v>
      </c>
      <c r="F643" s="35" t="s">
        <v>728</v>
      </c>
      <c r="G643" s="35" t="s">
        <v>93</v>
      </c>
      <c r="H643" s="35">
        <v>9</v>
      </c>
      <c r="I643" s="35">
        <v>3</v>
      </c>
      <c r="J643" s="35">
        <v>2</v>
      </c>
      <c r="K643" s="35">
        <v>279</v>
      </c>
      <c r="L643" s="35">
        <v>0</v>
      </c>
      <c r="M643" s="35" t="s">
        <v>91</v>
      </c>
    </row>
    <row r="644" spans="4:13" x14ac:dyDescent="0.2">
      <c r="D644" s="34">
        <v>1</v>
      </c>
      <c r="E644" s="35">
        <v>2</v>
      </c>
      <c r="F644" s="35" t="s">
        <v>729</v>
      </c>
      <c r="G644" s="35" t="s">
        <v>93</v>
      </c>
      <c r="H644" s="35">
        <v>28</v>
      </c>
      <c r="I644" s="35">
        <v>0</v>
      </c>
      <c r="J644" s="35">
        <v>0</v>
      </c>
      <c r="K644" s="35">
        <v>13</v>
      </c>
      <c r="L644" s="35">
        <v>0</v>
      </c>
      <c r="M644" s="35" t="s">
        <v>91</v>
      </c>
    </row>
    <row r="645" spans="4:13" x14ac:dyDescent="0.2">
      <c r="D645" s="34">
        <v>0</v>
      </c>
      <c r="E645" s="35">
        <v>3</v>
      </c>
      <c r="F645" s="35" t="s">
        <v>730</v>
      </c>
      <c r="G645" s="35" t="s">
        <v>90</v>
      </c>
      <c r="H645" s="35">
        <v>32</v>
      </c>
      <c r="I645" s="35">
        <v>0</v>
      </c>
      <c r="J645" s="35">
        <v>0</v>
      </c>
      <c r="K645" s="35">
        <v>7925</v>
      </c>
      <c r="L645" s="35">
        <v>0</v>
      </c>
      <c r="M645" s="35" t="s">
        <v>91</v>
      </c>
    </row>
    <row r="646" spans="4:13" x14ac:dyDescent="0.2">
      <c r="D646" s="34">
        <v>0</v>
      </c>
      <c r="E646" s="35">
        <v>2</v>
      </c>
      <c r="F646" s="35" t="s">
        <v>731</v>
      </c>
      <c r="G646" s="35" t="s">
        <v>90</v>
      </c>
      <c r="H646" s="35">
        <v>31</v>
      </c>
      <c r="I646" s="35">
        <v>1</v>
      </c>
      <c r="J646" s="35">
        <v>1</v>
      </c>
      <c r="K646" s="35">
        <v>2625</v>
      </c>
      <c r="L646" s="35">
        <v>0</v>
      </c>
      <c r="M646" s="35" t="s">
        <v>91</v>
      </c>
    </row>
    <row r="647" spans="4:13" x14ac:dyDescent="0.2">
      <c r="D647" s="34">
        <v>0</v>
      </c>
      <c r="E647" s="35">
        <v>3</v>
      </c>
      <c r="F647" s="35" t="s">
        <v>732</v>
      </c>
      <c r="G647" s="35" t="s">
        <v>93</v>
      </c>
      <c r="H647" s="35">
        <v>41</v>
      </c>
      <c r="I647" s="35">
        <v>0</v>
      </c>
      <c r="J647" s="35">
        <v>5</v>
      </c>
      <c r="K647" s="35">
        <v>396875</v>
      </c>
      <c r="L647" s="35">
        <v>0</v>
      </c>
      <c r="M647" s="35" t="s">
        <v>91</v>
      </c>
    </row>
    <row r="648" spans="4:13" x14ac:dyDescent="0.2">
      <c r="D648" s="34">
        <v>0</v>
      </c>
      <c r="E648" s="35">
        <v>3</v>
      </c>
      <c r="F648" s="35" t="s">
        <v>733</v>
      </c>
      <c r="G648" s="35" t="s">
        <v>90</v>
      </c>
      <c r="H648" s="36"/>
      <c r="I648" s="35">
        <v>1</v>
      </c>
      <c r="J648" s="35">
        <v>0</v>
      </c>
      <c r="K648" s="35">
        <v>161</v>
      </c>
      <c r="L648" s="35">
        <v>0</v>
      </c>
      <c r="M648" s="35" t="s">
        <v>91</v>
      </c>
    </row>
    <row r="649" spans="4:13" x14ac:dyDescent="0.2">
      <c r="D649" s="34">
        <v>0</v>
      </c>
      <c r="E649" s="35">
        <v>3</v>
      </c>
      <c r="F649" s="35" t="s">
        <v>734</v>
      </c>
      <c r="G649" s="35" t="s">
        <v>90</v>
      </c>
      <c r="H649" s="35">
        <v>20</v>
      </c>
      <c r="I649" s="35">
        <v>0</v>
      </c>
      <c r="J649" s="35">
        <v>0</v>
      </c>
      <c r="K649" s="35">
        <v>78542</v>
      </c>
      <c r="L649" s="35">
        <v>0</v>
      </c>
      <c r="M649" s="35" t="s">
        <v>91</v>
      </c>
    </row>
    <row r="650" spans="4:13" x14ac:dyDescent="0.2">
      <c r="D650" s="34">
        <v>1</v>
      </c>
      <c r="E650" s="35">
        <v>1</v>
      </c>
      <c r="F650" s="35" t="s">
        <v>735</v>
      </c>
      <c r="G650" s="35" t="s">
        <v>93</v>
      </c>
      <c r="H650" s="35">
        <v>24</v>
      </c>
      <c r="I650" s="35">
        <v>0</v>
      </c>
      <c r="J650" s="35">
        <v>0</v>
      </c>
      <c r="K650" s="35">
        <v>693</v>
      </c>
      <c r="L650" s="35">
        <v>1</v>
      </c>
      <c r="M650" s="35" t="s">
        <v>94</v>
      </c>
    </row>
    <row r="651" spans="4:13" x14ac:dyDescent="0.2">
      <c r="D651" s="34">
        <v>0</v>
      </c>
      <c r="E651" s="35">
        <v>3</v>
      </c>
      <c r="F651" s="35" t="s">
        <v>736</v>
      </c>
      <c r="G651" s="35" t="s">
        <v>93</v>
      </c>
      <c r="H651" s="35">
        <v>2</v>
      </c>
      <c r="I651" s="35">
        <v>3</v>
      </c>
      <c r="J651" s="35">
        <v>2</v>
      </c>
      <c r="K651" s="35">
        <v>279</v>
      </c>
      <c r="L651" s="35">
        <v>0</v>
      </c>
      <c r="M651" s="35" t="s">
        <v>91</v>
      </c>
    </row>
    <row r="652" spans="4:13" x14ac:dyDescent="0.2">
      <c r="D652" s="34">
        <v>1</v>
      </c>
      <c r="E652" s="35">
        <v>3</v>
      </c>
      <c r="F652" s="35" t="s">
        <v>737</v>
      </c>
      <c r="G652" s="35" t="s">
        <v>90</v>
      </c>
      <c r="H652" s="36"/>
      <c r="I652" s="35">
        <v>0</v>
      </c>
      <c r="J652" s="35">
        <v>0</v>
      </c>
      <c r="K652" s="35">
        <v>564958</v>
      </c>
      <c r="L652" s="35">
        <v>0</v>
      </c>
      <c r="M652" s="35" t="s">
        <v>91</v>
      </c>
    </row>
    <row r="653" spans="4:13" x14ac:dyDescent="0.2">
      <c r="D653" s="34">
        <v>1</v>
      </c>
      <c r="E653" s="35">
        <v>3</v>
      </c>
      <c r="F653" s="35" t="s">
        <v>738</v>
      </c>
      <c r="G653" s="35" t="s">
        <v>93</v>
      </c>
      <c r="H653" s="35">
        <v>75</v>
      </c>
      <c r="I653" s="35">
        <v>2</v>
      </c>
      <c r="J653" s="35">
        <v>1</v>
      </c>
      <c r="K653" s="35">
        <v>192583</v>
      </c>
      <c r="L653" s="35">
        <v>0</v>
      </c>
      <c r="M653" s="35" t="s">
        <v>94</v>
      </c>
    </row>
    <row r="654" spans="4:13" x14ac:dyDescent="0.2">
      <c r="D654" s="34">
        <v>1</v>
      </c>
      <c r="E654" s="35">
        <v>1</v>
      </c>
      <c r="F654" s="35" t="s">
        <v>739</v>
      </c>
      <c r="G654" s="35" t="s">
        <v>90</v>
      </c>
      <c r="H654" s="35">
        <v>48</v>
      </c>
      <c r="I654" s="35">
        <v>1</v>
      </c>
      <c r="J654" s="35">
        <v>0</v>
      </c>
      <c r="K654" s="35">
        <v>767292</v>
      </c>
      <c r="L654" s="35">
        <v>1</v>
      </c>
      <c r="M654" s="35" t="s">
        <v>94</v>
      </c>
    </row>
    <row r="655" spans="4:13" x14ac:dyDescent="0.2">
      <c r="D655" s="34">
        <v>0</v>
      </c>
      <c r="E655" s="35">
        <v>3</v>
      </c>
      <c r="F655" s="35" t="s">
        <v>740</v>
      </c>
      <c r="G655" s="35" t="s">
        <v>90</v>
      </c>
      <c r="H655" s="35">
        <v>19</v>
      </c>
      <c r="I655" s="35">
        <v>0</v>
      </c>
      <c r="J655" s="35">
        <v>0</v>
      </c>
      <c r="K655" s="35">
        <v>78958</v>
      </c>
      <c r="L655" s="35">
        <v>0</v>
      </c>
      <c r="M655" s="35" t="s">
        <v>91</v>
      </c>
    </row>
    <row r="656" spans="4:13" x14ac:dyDescent="0.2">
      <c r="D656" s="34">
        <v>1</v>
      </c>
      <c r="E656" s="35">
        <v>1</v>
      </c>
      <c r="F656" s="35" t="s">
        <v>741</v>
      </c>
      <c r="G656" s="35" t="s">
        <v>90</v>
      </c>
      <c r="H656" s="35">
        <v>56</v>
      </c>
      <c r="I656" s="35">
        <v>0</v>
      </c>
      <c r="J656" s="35">
        <v>0</v>
      </c>
      <c r="K656" s="35">
        <v>355</v>
      </c>
      <c r="L656" s="35">
        <v>1</v>
      </c>
      <c r="M656" s="35" t="s">
        <v>94</v>
      </c>
    </row>
    <row r="657" spans="4:13" x14ac:dyDescent="0.2">
      <c r="D657" s="34">
        <v>0</v>
      </c>
      <c r="E657" s="35">
        <v>3</v>
      </c>
      <c r="F657" s="35" t="s">
        <v>742</v>
      </c>
      <c r="G657" s="35" t="s">
        <v>90</v>
      </c>
      <c r="H657" s="36"/>
      <c r="I657" s="35">
        <v>0</v>
      </c>
      <c r="J657" s="35">
        <v>0</v>
      </c>
      <c r="K657" s="35">
        <v>755</v>
      </c>
      <c r="L657" s="35">
        <v>0</v>
      </c>
      <c r="M657" s="35" t="s">
        <v>91</v>
      </c>
    </row>
    <row r="658" spans="4:13" x14ac:dyDescent="0.2">
      <c r="D658" s="34">
        <v>1</v>
      </c>
      <c r="E658" s="35">
        <v>3</v>
      </c>
      <c r="F658" s="35" t="s">
        <v>743</v>
      </c>
      <c r="G658" s="35" t="s">
        <v>93</v>
      </c>
      <c r="H658" s="35">
        <v>23</v>
      </c>
      <c r="I658" s="35">
        <v>0</v>
      </c>
      <c r="J658" s="35">
        <v>0</v>
      </c>
      <c r="K658" s="35">
        <v>755</v>
      </c>
      <c r="L658" s="35">
        <v>0</v>
      </c>
      <c r="M658" s="35" t="s">
        <v>91</v>
      </c>
    </row>
    <row r="659" spans="4:13" x14ac:dyDescent="0.2">
      <c r="D659" s="34">
        <v>0</v>
      </c>
      <c r="E659" s="35">
        <v>3</v>
      </c>
      <c r="F659" s="35" t="s">
        <v>744</v>
      </c>
      <c r="G659" s="35" t="s">
        <v>90</v>
      </c>
      <c r="H659" s="36"/>
      <c r="I659" s="35">
        <v>0</v>
      </c>
      <c r="J659" s="35">
        <v>0</v>
      </c>
      <c r="K659" s="35">
        <v>78958</v>
      </c>
      <c r="L659" s="35">
        <v>0</v>
      </c>
      <c r="M659" s="35" t="s">
        <v>91</v>
      </c>
    </row>
    <row r="660" spans="4:13" x14ac:dyDescent="0.2">
      <c r="D660" s="34">
        <v>1</v>
      </c>
      <c r="E660" s="35">
        <v>2</v>
      </c>
      <c r="F660" s="35" t="s">
        <v>745</v>
      </c>
      <c r="G660" s="35" t="s">
        <v>93</v>
      </c>
      <c r="H660" s="35">
        <v>18</v>
      </c>
      <c r="I660" s="35">
        <v>0</v>
      </c>
      <c r="J660" s="35">
        <v>1</v>
      </c>
      <c r="K660" s="35">
        <v>23</v>
      </c>
      <c r="L660" s="35">
        <v>0</v>
      </c>
      <c r="M660" s="35" t="s">
        <v>91</v>
      </c>
    </row>
    <row r="661" spans="4:13" x14ac:dyDescent="0.2">
      <c r="D661" s="34">
        <v>0</v>
      </c>
      <c r="E661" s="35">
        <v>3</v>
      </c>
      <c r="F661" s="35" t="s">
        <v>746</v>
      </c>
      <c r="G661" s="35" t="s">
        <v>90</v>
      </c>
      <c r="H661" s="35">
        <v>21</v>
      </c>
      <c r="I661" s="35">
        <v>0</v>
      </c>
      <c r="J661" s="35">
        <v>0</v>
      </c>
      <c r="K661" s="35">
        <v>84333</v>
      </c>
      <c r="L661" s="35">
        <v>0</v>
      </c>
      <c r="M661" s="35" t="s">
        <v>91</v>
      </c>
    </row>
    <row r="662" spans="4:13" x14ac:dyDescent="0.2">
      <c r="D662" s="34">
        <v>1</v>
      </c>
      <c r="E662" s="35">
        <v>3</v>
      </c>
      <c r="F662" s="35" t="s">
        <v>747</v>
      </c>
      <c r="G662" s="35" t="s">
        <v>93</v>
      </c>
      <c r="H662" s="36"/>
      <c r="I662" s="35">
        <v>0</v>
      </c>
      <c r="J662" s="35">
        <v>0</v>
      </c>
      <c r="K662" s="35">
        <v>78292</v>
      </c>
      <c r="L662" s="35">
        <v>0</v>
      </c>
      <c r="M662" s="35" t="s">
        <v>99</v>
      </c>
    </row>
    <row r="663" spans="4:13" x14ac:dyDescent="0.2">
      <c r="D663" s="34">
        <v>0</v>
      </c>
      <c r="E663" s="35">
        <v>3</v>
      </c>
      <c r="F663" s="35" t="s">
        <v>748</v>
      </c>
      <c r="G663" s="35" t="s">
        <v>93</v>
      </c>
      <c r="H663" s="35">
        <v>18</v>
      </c>
      <c r="I663" s="35">
        <v>0</v>
      </c>
      <c r="J663" s="35">
        <v>0</v>
      </c>
      <c r="K663" s="35">
        <v>675</v>
      </c>
      <c r="L663" s="35">
        <v>0</v>
      </c>
      <c r="M663" s="35" t="s">
        <v>99</v>
      </c>
    </row>
    <row r="664" spans="4:13" x14ac:dyDescent="0.2">
      <c r="D664" s="34">
        <v>0</v>
      </c>
      <c r="E664" s="35">
        <v>2</v>
      </c>
      <c r="F664" s="35" t="s">
        <v>749</v>
      </c>
      <c r="G664" s="35" t="s">
        <v>90</v>
      </c>
      <c r="H664" s="35">
        <v>24</v>
      </c>
      <c r="I664" s="35">
        <v>2</v>
      </c>
      <c r="J664" s="35">
        <v>0</v>
      </c>
      <c r="K664" s="35">
        <v>735</v>
      </c>
      <c r="L664" s="35">
        <v>0</v>
      </c>
      <c r="M664" s="35" t="s">
        <v>91</v>
      </c>
    </row>
    <row r="665" spans="4:13" x14ac:dyDescent="0.2">
      <c r="D665" s="34">
        <v>0</v>
      </c>
      <c r="E665" s="35">
        <v>3</v>
      </c>
      <c r="F665" s="35" t="s">
        <v>750</v>
      </c>
      <c r="G665" s="35" t="s">
        <v>90</v>
      </c>
      <c r="H665" s="36"/>
      <c r="I665" s="35">
        <v>0</v>
      </c>
      <c r="J665" s="35">
        <v>0</v>
      </c>
      <c r="K665" s="35">
        <v>78958</v>
      </c>
      <c r="L665" s="35">
        <v>0</v>
      </c>
      <c r="M665" s="35" t="s">
        <v>91</v>
      </c>
    </row>
    <row r="666" spans="4:13" x14ac:dyDescent="0.2">
      <c r="D666" s="34">
        <v>0</v>
      </c>
      <c r="E666" s="35">
        <v>3</v>
      </c>
      <c r="F666" s="35" t="s">
        <v>751</v>
      </c>
      <c r="G666" s="35" t="s">
        <v>93</v>
      </c>
      <c r="H666" s="35">
        <v>32</v>
      </c>
      <c r="I666" s="35">
        <v>1</v>
      </c>
      <c r="J666" s="35">
        <v>1</v>
      </c>
      <c r="K666" s="35">
        <v>155</v>
      </c>
      <c r="L666" s="35">
        <v>0</v>
      </c>
      <c r="M666" s="35" t="s">
        <v>99</v>
      </c>
    </row>
    <row r="667" spans="4:13" x14ac:dyDescent="0.2">
      <c r="D667" s="34">
        <v>0</v>
      </c>
      <c r="E667" s="35">
        <v>2</v>
      </c>
      <c r="F667" s="35" t="s">
        <v>752</v>
      </c>
      <c r="G667" s="35" t="s">
        <v>90</v>
      </c>
      <c r="H667" s="35">
        <v>23</v>
      </c>
      <c r="I667" s="35">
        <v>0</v>
      </c>
      <c r="J667" s="35">
        <v>0</v>
      </c>
      <c r="K667" s="35">
        <v>13</v>
      </c>
      <c r="L667" s="35">
        <v>0</v>
      </c>
      <c r="M667" s="35" t="s">
        <v>91</v>
      </c>
    </row>
    <row r="668" spans="4:13" x14ac:dyDescent="0.2">
      <c r="D668" s="34">
        <v>0</v>
      </c>
      <c r="E668" s="35">
        <v>1</v>
      </c>
      <c r="F668" s="35" t="s">
        <v>753</v>
      </c>
      <c r="G668" s="35" t="s">
        <v>90</v>
      </c>
      <c r="H668" s="35">
        <v>58</v>
      </c>
      <c r="I668" s="35">
        <v>0</v>
      </c>
      <c r="J668" s="35">
        <v>2</v>
      </c>
      <c r="K668" s="35">
        <v>113275</v>
      </c>
      <c r="L668" s="35">
        <v>1</v>
      </c>
      <c r="M668" s="35" t="s">
        <v>94</v>
      </c>
    </row>
    <row r="669" spans="4:13" x14ac:dyDescent="0.2">
      <c r="D669" s="34">
        <v>1</v>
      </c>
      <c r="E669" s="35">
        <v>1</v>
      </c>
      <c r="F669" s="35" t="s">
        <v>754</v>
      </c>
      <c r="G669" s="35" t="s">
        <v>90</v>
      </c>
      <c r="H669" s="35">
        <v>50</v>
      </c>
      <c r="I669" s="35">
        <v>2</v>
      </c>
      <c r="J669" s="35">
        <v>0</v>
      </c>
      <c r="K669" s="35">
        <v>13365</v>
      </c>
      <c r="L669" s="35">
        <v>0</v>
      </c>
      <c r="M669" s="35" t="s">
        <v>91</v>
      </c>
    </row>
    <row r="670" spans="4:13" x14ac:dyDescent="0.2">
      <c r="D670" s="34">
        <v>0</v>
      </c>
      <c r="E670" s="35">
        <v>3</v>
      </c>
      <c r="F670" s="35" t="s">
        <v>755</v>
      </c>
      <c r="G670" s="35" t="s">
        <v>90</v>
      </c>
      <c r="H670" s="35">
        <v>40</v>
      </c>
      <c r="I670" s="35">
        <v>0</v>
      </c>
      <c r="J670" s="35">
        <v>0</v>
      </c>
      <c r="K670" s="35">
        <v>7225</v>
      </c>
      <c r="L670" s="35">
        <v>0</v>
      </c>
      <c r="M670" s="35" t="s">
        <v>94</v>
      </c>
    </row>
    <row r="671" spans="4:13" x14ac:dyDescent="0.2">
      <c r="D671" s="34">
        <v>0</v>
      </c>
      <c r="E671" s="35">
        <v>1</v>
      </c>
      <c r="F671" s="35" t="s">
        <v>756</v>
      </c>
      <c r="G671" s="35" t="s">
        <v>90</v>
      </c>
      <c r="H671" s="35">
        <v>47</v>
      </c>
      <c r="I671" s="35">
        <v>0</v>
      </c>
      <c r="J671" s="35">
        <v>0</v>
      </c>
      <c r="K671" s="35">
        <v>255875</v>
      </c>
      <c r="L671" s="35">
        <v>1</v>
      </c>
      <c r="M671" s="35" t="s">
        <v>91</v>
      </c>
    </row>
    <row r="672" spans="4:13" x14ac:dyDescent="0.2">
      <c r="D672" s="34">
        <v>0</v>
      </c>
      <c r="E672" s="35">
        <v>3</v>
      </c>
      <c r="F672" s="35" t="s">
        <v>757</v>
      </c>
      <c r="G672" s="35" t="s">
        <v>90</v>
      </c>
      <c r="H672" s="35">
        <v>36</v>
      </c>
      <c r="I672" s="35">
        <v>0</v>
      </c>
      <c r="J672" s="35">
        <v>0</v>
      </c>
      <c r="K672" s="35">
        <v>74958</v>
      </c>
      <c r="L672" s="35">
        <v>0</v>
      </c>
      <c r="M672" s="35" t="s">
        <v>91</v>
      </c>
    </row>
    <row r="673" spans="4:13" x14ac:dyDescent="0.2">
      <c r="D673" s="34">
        <v>1</v>
      </c>
      <c r="E673" s="35">
        <v>3</v>
      </c>
      <c r="F673" s="35" t="s">
        <v>758</v>
      </c>
      <c r="G673" s="35" t="s">
        <v>90</v>
      </c>
      <c r="H673" s="35">
        <v>20</v>
      </c>
      <c r="I673" s="35">
        <v>1</v>
      </c>
      <c r="J673" s="35">
        <v>0</v>
      </c>
      <c r="K673" s="35">
        <v>7925</v>
      </c>
      <c r="L673" s="35">
        <v>0</v>
      </c>
      <c r="M673" s="35" t="s">
        <v>91</v>
      </c>
    </row>
    <row r="674" spans="4:13" x14ac:dyDescent="0.2">
      <c r="D674" s="34">
        <v>0</v>
      </c>
      <c r="E674" s="35">
        <v>2</v>
      </c>
      <c r="F674" s="35" t="s">
        <v>759</v>
      </c>
      <c r="G674" s="35" t="s">
        <v>90</v>
      </c>
      <c r="H674" s="35">
        <v>32</v>
      </c>
      <c r="I674" s="35">
        <v>2</v>
      </c>
      <c r="J674" s="35">
        <v>0</v>
      </c>
      <c r="K674" s="35">
        <v>735</v>
      </c>
      <c r="L674" s="35">
        <v>0</v>
      </c>
      <c r="M674" s="35" t="s">
        <v>91</v>
      </c>
    </row>
    <row r="675" spans="4:13" x14ac:dyDescent="0.2">
      <c r="D675" s="34">
        <v>0</v>
      </c>
      <c r="E675" s="35">
        <v>2</v>
      </c>
      <c r="F675" s="35" t="s">
        <v>760</v>
      </c>
      <c r="G675" s="35" t="s">
        <v>90</v>
      </c>
      <c r="H675" s="35">
        <v>25</v>
      </c>
      <c r="I675" s="35">
        <v>0</v>
      </c>
      <c r="J675" s="35">
        <v>0</v>
      </c>
      <c r="K675" s="35">
        <v>13</v>
      </c>
      <c r="L675" s="35">
        <v>0</v>
      </c>
      <c r="M675" s="35" t="s">
        <v>91</v>
      </c>
    </row>
    <row r="676" spans="4:13" x14ac:dyDescent="0.2">
      <c r="D676" s="34">
        <v>0</v>
      </c>
      <c r="E676" s="35">
        <v>3</v>
      </c>
      <c r="F676" s="35" t="s">
        <v>761</v>
      </c>
      <c r="G676" s="35" t="s">
        <v>90</v>
      </c>
      <c r="H676" s="36"/>
      <c r="I676" s="35">
        <v>0</v>
      </c>
      <c r="J676" s="35">
        <v>0</v>
      </c>
      <c r="K676" s="35">
        <v>7775</v>
      </c>
      <c r="L676" s="35">
        <v>0</v>
      </c>
      <c r="M676" s="35" t="s">
        <v>91</v>
      </c>
    </row>
    <row r="677" spans="4:13" x14ac:dyDescent="0.2">
      <c r="D677" s="34">
        <v>0</v>
      </c>
      <c r="E677" s="35">
        <v>3</v>
      </c>
      <c r="F677" s="35" t="s">
        <v>762</v>
      </c>
      <c r="G677" s="35" t="s">
        <v>90</v>
      </c>
      <c r="H677" s="35">
        <v>43</v>
      </c>
      <c r="I677" s="35">
        <v>0</v>
      </c>
      <c r="J677" s="35">
        <v>0</v>
      </c>
      <c r="K677" s="35">
        <v>805</v>
      </c>
      <c r="L677" s="35">
        <v>0</v>
      </c>
      <c r="M677" s="35" t="s">
        <v>91</v>
      </c>
    </row>
    <row r="678" spans="4:13" x14ac:dyDescent="0.2">
      <c r="D678" s="34">
        <v>1</v>
      </c>
      <c r="E678" s="35">
        <v>1</v>
      </c>
      <c r="F678" s="35" t="s">
        <v>763</v>
      </c>
      <c r="G678" s="35" t="s">
        <v>93</v>
      </c>
      <c r="H678" s="36"/>
      <c r="I678" s="35">
        <v>1</v>
      </c>
      <c r="J678" s="35">
        <v>0</v>
      </c>
      <c r="K678" s="35">
        <v>52</v>
      </c>
      <c r="L678" s="35">
        <v>1</v>
      </c>
      <c r="M678" s="35" t="s">
        <v>91</v>
      </c>
    </row>
    <row r="679" spans="4:13" x14ac:dyDescent="0.2">
      <c r="D679" s="34">
        <v>1</v>
      </c>
      <c r="E679" s="35">
        <v>2</v>
      </c>
      <c r="F679" s="35" t="s">
        <v>764</v>
      </c>
      <c r="G679" s="35" t="s">
        <v>93</v>
      </c>
      <c r="H679" s="35">
        <v>40</v>
      </c>
      <c r="I679" s="35">
        <v>1</v>
      </c>
      <c r="J679" s="35">
        <v>1</v>
      </c>
      <c r="K679" s="35">
        <v>39</v>
      </c>
      <c r="L679" s="35">
        <v>0</v>
      </c>
      <c r="M679" s="35" t="s">
        <v>91</v>
      </c>
    </row>
    <row r="680" spans="4:13" x14ac:dyDescent="0.2">
      <c r="D680" s="34">
        <v>0</v>
      </c>
      <c r="E680" s="35">
        <v>1</v>
      </c>
      <c r="F680" s="35" t="s">
        <v>765</v>
      </c>
      <c r="G680" s="35" t="s">
        <v>90</v>
      </c>
      <c r="H680" s="35">
        <v>31</v>
      </c>
      <c r="I680" s="35">
        <v>1</v>
      </c>
      <c r="J680" s="35">
        <v>0</v>
      </c>
      <c r="K680" s="35">
        <v>52</v>
      </c>
      <c r="L680" s="35">
        <v>1</v>
      </c>
      <c r="M680" s="35" t="s">
        <v>91</v>
      </c>
    </row>
    <row r="681" spans="4:13" x14ac:dyDescent="0.2">
      <c r="D681" s="34">
        <v>0</v>
      </c>
      <c r="E681" s="35">
        <v>2</v>
      </c>
      <c r="F681" s="35" t="s">
        <v>766</v>
      </c>
      <c r="G681" s="35" t="s">
        <v>90</v>
      </c>
      <c r="H681" s="35">
        <v>70</v>
      </c>
      <c r="I681" s="35">
        <v>0</v>
      </c>
      <c r="J681" s="35">
        <v>0</v>
      </c>
      <c r="K681" s="35">
        <v>105</v>
      </c>
      <c r="L681" s="35">
        <v>0</v>
      </c>
      <c r="M681" s="35" t="s">
        <v>91</v>
      </c>
    </row>
    <row r="682" spans="4:13" x14ac:dyDescent="0.2">
      <c r="D682" s="34">
        <v>1</v>
      </c>
      <c r="E682" s="35">
        <v>2</v>
      </c>
      <c r="F682" s="35" t="s">
        <v>767</v>
      </c>
      <c r="G682" s="35" t="s">
        <v>90</v>
      </c>
      <c r="H682" s="35">
        <v>31</v>
      </c>
      <c r="I682" s="35">
        <v>0</v>
      </c>
      <c r="J682" s="35">
        <v>0</v>
      </c>
      <c r="K682" s="35">
        <v>13</v>
      </c>
      <c r="L682" s="35">
        <v>0</v>
      </c>
      <c r="M682" s="35" t="s">
        <v>91</v>
      </c>
    </row>
    <row r="683" spans="4:13" x14ac:dyDescent="0.2">
      <c r="D683" s="34">
        <v>0</v>
      </c>
      <c r="E683" s="35">
        <v>2</v>
      </c>
      <c r="F683" s="35" t="s">
        <v>768</v>
      </c>
      <c r="G683" s="35" t="s">
        <v>90</v>
      </c>
      <c r="H683" s="36"/>
      <c r="I683" s="35">
        <v>0</v>
      </c>
      <c r="J683" s="35">
        <v>0</v>
      </c>
      <c r="K683" s="35">
        <v>0</v>
      </c>
      <c r="L683" s="35">
        <v>0</v>
      </c>
      <c r="M683" s="35" t="s">
        <v>91</v>
      </c>
    </row>
    <row r="684" spans="4:13" x14ac:dyDescent="0.2">
      <c r="D684" s="34">
        <v>0</v>
      </c>
      <c r="E684" s="35">
        <v>3</v>
      </c>
      <c r="F684" s="35" t="s">
        <v>769</v>
      </c>
      <c r="G684" s="35" t="s">
        <v>90</v>
      </c>
      <c r="H684" s="35">
        <v>18</v>
      </c>
      <c r="I684" s="35">
        <v>0</v>
      </c>
      <c r="J684" s="35">
        <v>0</v>
      </c>
      <c r="K684" s="35">
        <v>7775</v>
      </c>
      <c r="L684" s="35">
        <v>0</v>
      </c>
      <c r="M684" s="35" t="s">
        <v>91</v>
      </c>
    </row>
    <row r="685" spans="4:13" x14ac:dyDescent="0.2">
      <c r="D685" s="34">
        <v>0</v>
      </c>
      <c r="E685" s="35">
        <v>3</v>
      </c>
      <c r="F685" s="35" t="s">
        <v>770</v>
      </c>
      <c r="G685" s="35" t="s">
        <v>90</v>
      </c>
      <c r="H685" s="35">
        <v>245</v>
      </c>
      <c r="I685" s="35">
        <v>0</v>
      </c>
      <c r="J685" s="35">
        <v>0</v>
      </c>
      <c r="K685" s="35">
        <v>805</v>
      </c>
      <c r="L685" s="35">
        <v>0</v>
      </c>
      <c r="M685" s="35" t="s">
        <v>91</v>
      </c>
    </row>
    <row r="686" spans="4:13" x14ac:dyDescent="0.2">
      <c r="D686" s="34">
        <v>1</v>
      </c>
      <c r="E686" s="35">
        <v>3</v>
      </c>
      <c r="F686" s="35" t="s">
        <v>771</v>
      </c>
      <c r="G686" s="35" t="s">
        <v>93</v>
      </c>
      <c r="H686" s="35">
        <v>18</v>
      </c>
      <c r="I686" s="35">
        <v>0</v>
      </c>
      <c r="J686" s="35">
        <v>0</v>
      </c>
      <c r="K686" s="35">
        <v>98417</v>
      </c>
      <c r="L686" s="35">
        <v>0</v>
      </c>
      <c r="M686" s="35" t="s">
        <v>91</v>
      </c>
    </row>
    <row r="687" spans="4:13" x14ac:dyDescent="0.2">
      <c r="D687" s="34">
        <v>0</v>
      </c>
      <c r="E687" s="35">
        <v>3</v>
      </c>
      <c r="F687" s="35" t="s">
        <v>772</v>
      </c>
      <c r="G687" s="35" t="s">
        <v>93</v>
      </c>
      <c r="H687" s="35">
        <v>43</v>
      </c>
      <c r="I687" s="35">
        <v>1</v>
      </c>
      <c r="J687" s="35">
        <v>6</v>
      </c>
      <c r="K687" s="35">
        <v>469</v>
      </c>
      <c r="L687" s="35">
        <v>0</v>
      </c>
      <c r="M687" s="35" t="s">
        <v>91</v>
      </c>
    </row>
    <row r="688" spans="4:13" x14ac:dyDescent="0.2">
      <c r="D688" s="34">
        <v>1</v>
      </c>
      <c r="E688" s="35">
        <v>1</v>
      </c>
      <c r="F688" s="35" t="s">
        <v>773</v>
      </c>
      <c r="G688" s="35" t="s">
        <v>90</v>
      </c>
      <c r="H688" s="35">
        <v>36</v>
      </c>
      <c r="I688" s="35">
        <v>0</v>
      </c>
      <c r="J688" s="35">
        <v>1</v>
      </c>
      <c r="K688" s="35">
        <v>5123292</v>
      </c>
      <c r="L688" s="35">
        <v>1</v>
      </c>
      <c r="M688" s="35" t="s">
        <v>94</v>
      </c>
    </row>
    <row r="689" spans="4:13" x14ac:dyDescent="0.2">
      <c r="D689" s="34">
        <v>0</v>
      </c>
      <c r="E689" s="35">
        <v>3</v>
      </c>
      <c r="F689" s="35" t="s">
        <v>774</v>
      </c>
      <c r="G689" s="35" t="s">
        <v>93</v>
      </c>
      <c r="H689" s="36"/>
      <c r="I689" s="35">
        <v>0</v>
      </c>
      <c r="J689" s="35">
        <v>0</v>
      </c>
      <c r="K689" s="35">
        <v>81375</v>
      </c>
      <c r="L689" s="35">
        <v>0</v>
      </c>
      <c r="M689" s="35" t="s">
        <v>99</v>
      </c>
    </row>
    <row r="690" spans="4:13" x14ac:dyDescent="0.2">
      <c r="D690" s="34">
        <v>1</v>
      </c>
      <c r="E690" s="35">
        <v>1</v>
      </c>
      <c r="F690" s="35" t="s">
        <v>775</v>
      </c>
      <c r="G690" s="35" t="s">
        <v>90</v>
      </c>
      <c r="H690" s="35">
        <v>27</v>
      </c>
      <c r="I690" s="35">
        <v>0</v>
      </c>
      <c r="J690" s="35">
        <v>0</v>
      </c>
      <c r="K690" s="35">
        <v>767292</v>
      </c>
      <c r="L690" s="35">
        <v>1</v>
      </c>
      <c r="M690" s="35" t="s">
        <v>94</v>
      </c>
    </row>
    <row r="691" spans="4:13" x14ac:dyDescent="0.2">
      <c r="D691" s="34">
        <v>0</v>
      </c>
      <c r="E691" s="35">
        <v>3</v>
      </c>
      <c r="F691" s="35" t="s">
        <v>776</v>
      </c>
      <c r="G691" s="35" t="s">
        <v>90</v>
      </c>
      <c r="H691" s="35">
        <v>20</v>
      </c>
      <c r="I691" s="35">
        <v>0</v>
      </c>
      <c r="J691" s="35">
        <v>0</v>
      </c>
      <c r="K691" s="35">
        <v>9225</v>
      </c>
      <c r="L691" s="35">
        <v>0</v>
      </c>
      <c r="M691" s="35" t="s">
        <v>91</v>
      </c>
    </row>
    <row r="692" spans="4:13" x14ac:dyDescent="0.2">
      <c r="D692" s="34">
        <v>0</v>
      </c>
      <c r="E692" s="35">
        <v>3</v>
      </c>
      <c r="F692" s="35" t="s">
        <v>777</v>
      </c>
      <c r="G692" s="35" t="s">
        <v>90</v>
      </c>
      <c r="H692" s="35">
        <v>14</v>
      </c>
      <c r="I692" s="35">
        <v>5</v>
      </c>
      <c r="J692" s="35">
        <v>2</v>
      </c>
      <c r="K692" s="35">
        <v>469</v>
      </c>
      <c r="L692" s="35">
        <v>0</v>
      </c>
      <c r="M692" s="35" t="s">
        <v>91</v>
      </c>
    </row>
    <row r="693" spans="4:13" x14ac:dyDescent="0.2">
      <c r="D693" s="34">
        <v>0</v>
      </c>
      <c r="E693" s="35">
        <v>2</v>
      </c>
      <c r="F693" s="35" t="s">
        <v>778</v>
      </c>
      <c r="G693" s="35" t="s">
        <v>90</v>
      </c>
      <c r="H693" s="35">
        <v>60</v>
      </c>
      <c r="I693" s="35">
        <v>1</v>
      </c>
      <c r="J693" s="35">
        <v>1</v>
      </c>
      <c r="K693" s="35">
        <v>39</v>
      </c>
      <c r="L693" s="35">
        <v>0</v>
      </c>
      <c r="M693" s="35" t="s">
        <v>91</v>
      </c>
    </row>
    <row r="694" spans="4:13" x14ac:dyDescent="0.2">
      <c r="D694" s="34">
        <v>0</v>
      </c>
      <c r="E694" s="35">
        <v>2</v>
      </c>
      <c r="F694" s="35" t="s">
        <v>779</v>
      </c>
      <c r="G694" s="35" t="s">
        <v>90</v>
      </c>
      <c r="H694" s="35">
        <v>25</v>
      </c>
      <c r="I694" s="35">
        <v>1</v>
      </c>
      <c r="J694" s="35">
        <v>2</v>
      </c>
      <c r="K694" s="35">
        <v>415792</v>
      </c>
      <c r="L694" s="35">
        <v>0</v>
      </c>
      <c r="M694" s="35" t="s">
        <v>94</v>
      </c>
    </row>
    <row r="695" spans="4:13" x14ac:dyDescent="0.2">
      <c r="D695" s="34">
        <v>0</v>
      </c>
      <c r="E695" s="35">
        <v>3</v>
      </c>
      <c r="F695" s="35" t="s">
        <v>780</v>
      </c>
      <c r="G695" s="35" t="s">
        <v>90</v>
      </c>
      <c r="H695" s="35">
        <v>14</v>
      </c>
      <c r="I695" s="35">
        <v>4</v>
      </c>
      <c r="J695" s="35">
        <v>1</v>
      </c>
      <c r="K695" s="35">
        <v>396875</v>
      </c>
      <c r="L695" s="35">
        <v>0</v>
      </c>
      <c r="M695" s="35" t="s">
        <v>91</v>
      </c>
    </row>
    <row r="696" spans="4:13" x14ac:dyDescent="0.2">
      <c r="D696" s="34">
        <v>0</v>
      </c>
      <c r="E696" s="35">
        <v>3</v>
      </c>
      <c r="F696" s="35" t="s">
        <v>781</v>
      </c>
      <c r="G696" s="35" t="s">
        <v>90</v>
      </c>
      <c r="H696" s="35">
        <v>19</v>
      </c>
      <c r="I696" s="35">
        <v>0</v>
      </c>
      <c r="J696" s="35">
        <v>0</v>
      </c>
      <c r="K696" s="35">
        <v>101708</v>
      </c>
      <c r="L696" s="35">
        <v>0</v>
      </c>
      <c r="M696" s="35" t="s">
        <v>91</v>
      </c>
    </row>
    <row r="697" spans="4:13" x14ac:dyDescent="0.2">
      <c r="D697" s="34">
        <v>0</v>
      </c>
      <c r="E697" s="35">
        <v>3</v>
      </c>
      <c r="F697" s="35" t="s">
        <v>782</v>
      </c>
      <c r="G697" s="35" t="s">
        <v>90</v>
      </c>
      <c r="H697" s="35">
        <v>18</v>
      </c>
      <c r="I697" s="35">
        <v>0</v>
      </c>
      <c r="J697" s="35">
        <v>0</v>
      </c>
      <c r="K697" s="35">
        <v>77958</v>
      </c>
      <c r="L697" s="35">
        <v>0</v>
      </c>
      <c r="M697" s="35" t="s">
        <v>91</v>
      </c>
    </row>
    <row r="698" spans="4:13" x14ac:dyDescent="0.2">
      <c r="D698" s="34">
        <v>1</v>
      </c>
      <c r="E698" s="35">
        <v>1</v>
      </c>
      <c r="F698" s="35" t="s">
        <v>783</v>
      </c>
      <c r="G698" s="35" t="s">
        <v>93</v>
      </c>
      <c r="H698" s="35">
        <v>15</v>
      </c>
      <c r="I698" s="35">
        <v>0</v>
      </c>
      <c r="J698" s="35">
        <v>1</v>
      </c>
      <c r="K698" s="35">
        <v>2113375</v>
      </c>
      <c r="L698" s="35">
        <v>1</v>
      </c>
      <c r="M698" s="35" t="s">
        <v>91</v>
      </c>
    </row>
    <row r="699" spans="4:13" x14ac:dyDescent="0.2">
      <c r="D699" s="34">
        <v>1</v>
      </c>
      <c r="E699" s="35">
        <v>1</v>
      </c>
      <c r="F699" s="35" t="s">
        <v>784</v>
      </c>
      <c r="G699" s="35" t="s">
        <v>90</v>
      </c>
      <c r="H699" s="35">
        <v>31</v>
      </c>
      <c r="I699" s="35">
        <v>1</v>
      </c>
      <c r="J699" s="35">
        <v>0</v>
      </c>
      <c r="K699" s="35">
        <v>57</v>
      </c>
      <c r="L699" s="35">
        <v>1</v>
      </c>
      <c r="M699" s="35" t="s">
        <v>91</v>
      </c>
    </row>
    <row r="700" spans="4:13" x14ac:dyDescent="0.2">
      <c r="D700" s="34">
        <v>1</v>
      </c>
      <c r="E700" s="35">
        <v>3</v>
      </c>
      <c r="F700" s="35" t="s">
        <v>785</v>
      </c>
      <c r="G700" s="35" t="s">
        <v>93</v>
      </c>
      <c r="H700" s="35">
        <v>4</v>
      </c>
      <c r="I700" s="35">
        <v>0</v>
      </c>
      <c r="J700" s="35">
        <v>1</v>
      </c>
      <c r="K700" s="35">
        <v>134167</v>
      </c>
      <c r="L700" s="35">
        <v>0</v>
      </c>
      <c r="M700" s="35" t="s">
        <v>94</v>
      </c>
    </row>
    <row r="701" spans="4:13" x14ac:dyDescent="0.2">
      <c r="D701" s="34">
        <v>1</v>
      </c>
      <c r="E701" s="35">
        <v>3</v>
      </c>
      <c r="F701" s="35" t="s">
        <v>786</v>
      </c>
      <c r="G701" s="35" t="s">
        <v>90</v>
      </c>
      <c r="H701" s="36"/>
      <c r="I701" s="35">
        <v>0</v>
      </c>
      <c r="J701" s="35">
        <v>0</v>
      </c>
      <c r="K701" s="35">
        <v>564958</v>
      </c>
      <c r="L701" s="35">
        <v>0</v>
      </c>
      <c r="M701" s="35" t="s">
        <v>91</v>
      </c>
    </row>
    <row r="702" spans="4:13" x14ac:dyDescent="0.2">
      <c r="D702" s="34">
        <v>0</v>
      </c>
      <c r="E702" s="35">
        <v>3</v>
      </c>
      <c r="F702" s="35" t="s">
        <v>787</v>
      </c>
      <c r="G702" s="35" t="s">
        <v>90</v>
      </c>
      <c r="H702" s="35">
        <v>25</v>
      </c>
      <c r="I702" s="35">
        <v>0</v>
      </c>
      <c r="J702" s="35">
        <v>0</v>
      </c>
      <c r="K702" s="35">
        <v>7225</v>
      </c>
      <c r="L702" s="35">
        <v>0</v>
      </c>
      <c r="M702" s="35" t="s">
        <v>94</v>
      </c>
    </row>
    <row r="703" spans="4:13" x14ac:dyDescent="0.2">
      <c r="D703" s="34">
        <v>0</v>
      </c>
      <c r="E703" s="35">
        <v>1</v>
      </c>
      <c r="F703" s="35" t="s">
        <v>788</v>
      </c>
      <c r="G703" s="35" t="s">
        <v>90</v>
      </c>
      <c r="H703" s="35">
        <v>60</v>
      </c>
      <c r="I703" s="35">
        <v>0</v>
      </c>
      <c r="J703" s="35">
        <v>0</v>
      </c>
      <c r="K703" s="35">
        <v>2655</v>
      </c>
      <c r="L703" s="35">
        <v>0</v>
      </c>
      <c r="M703" s="35" t="s">
        <v>91</v>
      </c>
    </row>
    <row r="704" spans="4:13" x14ac:dyDescent="0.2">
      <c r="D704" s="34">
        <v>0</v>
      </c>
      <c r="E704" s="35">
        <v>2</v>
      </c>
      <c r="F704" s="35" t="s">
        <v>789</v>
      </c>
      <c r="G704" s="35" t="s">
        <v>90</v>
      </c>
      <c r="H704" s="35">
        <v>52</v>
      </c>
      <c r="I704" s="35">
        <v>0</v>
      </c>
      <c r="J704" s="35">
        <v>0</v>
      </c>
      <c r="K704" s="35">
        <v>135</v>
      </c>
      <c r="L704" s="35">
        <v>0</v>
      </c>
      <c r="M704" s="35" t="s">
        <v>91</v>
      </c>
    </row>
    <row r="705" spans="4:13" x14ac:dyDescent="0.2">
      <c r="D705" s="34">
        <v>0</v>
      </c>
      <c r="E705" s="35">
        <v>3</v>
      </c>
      <c r="F705" s="35" t="s">
        <v>790</v>
      </c>
      <c r="G705" s="35" t="s">
        <v>90</v>
      </c>
      <c r="H705" s="35">
        <v>44</v>
      </c>
      <c r="I705" s="35">
        <v>0</v>
      </c>
      <c r="J705" s="35">
        <v>0</v>
      </c>
      <c r="K705" s="35">
        <v>805</v>
      </c>
      <c r="L705" s="35">
        <v>0</v>
      </c>
      <c r="M705" s="35" t="s">
        <v>91</v>
      </c>
    </row>
    <row r="706" spans="4:13" x14ac:dyDescent="0.2">
      <c r="D706" s="34">
        <v>1</v>
      </c>
      <c r="E706" s="35">
        <v>3</v>
      </c>
      <c r="F706" s="35" t="s">
        <v>791</v>
      </c>
      <c r="G706" s="35" t="s">
        <v>93</v>
      </c>
      <c r="H706" s="36"/>
      <c r="I706" s="35">
        <v>0</v>
      </c>
      <c r="J706" s="35">
        <v>0</v>
      </c>
      <c r="K706" s="35">
        <v>77333</v>
      </c>
      <c r="L706" s="35">
        <v>0</v>
      </c>
      <c r="M706" s="35" t="s">
        <v>99</v>
      </c>
    </row>
    <row r="707" spans="4:13" x14ac:dyDescent="0.2">
      <c r="D707" s="34">
        <v>0</v>
      </c>
      <c r="E707" s="35">
        <v>1</v>
      </c>
      <c r="F707" s="35" t="s">
        <v>792</v>
      </c>
      <c r="G707" s="35" t="s">
        <v>90</v>
      </c>
      <c r="H707" s="35">
        <v>49</v>
      </c>
      <c r="I707" s="35">
        <v>1</v>
      </c>
      <c r="J707" s="35">
        <v>1</v>
      </c>
      <c r="K707" s="35">
        <v>1108833</v>
      </c>
      <c r="L707" s="35">
        <v>1</v>
      </c>
      <c r="M707" s="35" t="s">
        <v>94</v>
      </c>
    </row>
    <row r="708" spans="4:13" x14ac:dyDescent="0.2">
      <c r="D708" s="34">
        <v>0</v>
      </c>
      <c r="E708" s="35">
        <v>3</v>
      </c>
      <c r="F708" s="35" t="s">
        <v>793</v>
      </c>
      <c r="G708" s="35" t="s">
        <v>90</v>
      </c>
      <c r="H708" s="35">
        <v>42</v>
      </c>
      <c r="I708" s="35">
        <v>0</v>
      </c>
      <c r="J708" s="35">
        <v>0</v>
      </c>
      <c r="K708" s="35">
        <v>765</v>
      </c>
      <c r="L708" s="35">
        <v>1</v>
      </c>
      <c r="M708" s="35" t="s">
        <v>91</v>
      </c>
    </row>
    <row r="709" spans="4:13" x14ac:dyDescent="0.2">
      <c r="D709" s="34">
        <v>1</v>
      </c>
      <c r="E709" s="35">
        <v>1</v>
      </c>
      <c r="F709" s="35" t="s">
        <v>794</v>
      </c>
      <c r="G709" s="35" t="s">
        <v>93</v>
      </c>
      <c r="H709" s="35">
        <v>18</v>
      </c>
      <c r="I709" s="35">
        <v>1</v>
      </c>
      <c r="J709" s="35">
        <v>0</v>
      </c>
      <c r="K709" s="35">
        <v>227525</v>
      </c>
      <c r="L709" s="35">
        <v>1</v>
      </c>
      <c r="M709" s="35" t="s">
        <v>94</v>
      </c>
    </row>
    <row r="710" spans="4:13" x14ac:dyDescent="0.2">
      <c r="D710" s="34">
        <v>1</v>
      </c>
      <c r="E710" s="35">
        <v>1</v>
      </c>
      <c r="F710" s="35" t="s">
        <v>795</v>
      </c>
      <c r="G710" s="35" t="s">
        <v>90</v>
      </c>
      <c r="H710" s="35">
        <v>35</v>
      </c>
      <c r="I710" s="35">
        <v>0</v>
      </c>
      <c r="J710" s="35">
        <v>0</v>
      </c>
      <c r="K710" s="35">
        <v>262875</v>
      </c>
      <c r="L710" s="35">
        <v>1</v>
      </c>
      <c r="M710" s="35" t="s">
        <v>91</v>
      </c>
    </row>
    <row r="711" spans="4:13" x14ac:dyDescent="0.2">
      <c r="D711" s="34">
        <v>0</v>
      </c>
      <c r="E711" s="35">
        <v>3</v>
      </c>
      <c r="F711" s="35" t="s">
        <v>796</v>
      </c>
      <c r="G711" s="35" t="s">
        <v>93</v>
      </c>
      <c r="H711" s="35">
        <v>18</v>
      </c>
      <c r="I711" s="35">
        <v>0</v>
      </c>
      <c r="J711" s="35">
        <v>1</v>
      </c>
      <c r="K711" s="35">
        <v>144542</v>
      </c>
      <c r="L711" s="35">
        <v>0</v>
      </c>
      <c r="M711" s="35" t="s">
        <v>94</v>
      </c>
    </row>
    <row r="712" spans="4:13" x14ac:dyDescent="0.2">
      <c r="D712" s="34">
        <v>0</v>
      </c>
      <c r="E712" s="35">
        <v>3</v>
      </c>
      <c r="F712" s="35" t="s">
        <v>797</v>
      </c>
      <c r="G712" s="35" t="s">
        <v>90</v>
      </c>
      <c r="H712" s="35">
        <v>25</v>
      </c>
      <c r="I712" s="35">
        <v>0</v>
      </c>
      <c r="J712" s="35">
        <v>0</v>
      </c>
      <c r="K712" s="35">
        <v>77417</v>
      </c>
      <c r="L712" s="35">
        <v>0</v>
      </c>
      <c r="M712" s="35" t="s">
        <v>99</v>
      </c>
    </row>
    <row r="713" spans="4:13" x14ac:dyDescent="0.2">
      <c r="D713" s="34">
        <v>0</v>
      </c>
      <c r="E713" s="35">
        <v>3</v>
      </c>
      <c r="F713" s="35" t="s">
        <v>798</v>
      </c>
      <c r="G713" s="35" t="s">
        <v>90</v>
      </c>
      <c r="H713" s="35">
        <v>26</v>
      </c>
      <c r="I713" s="35">
        <v>1</v>
      </c>
      <c r="J713" s="35">
        <v>0</v>
      </c>
      <c r="K713" s="35">
        <v>78542</v>
      </c>
      <c r="L713" s="35">
        <v>0</v>
      </c>
      <c r="M713" s="35" t="s">
        <v>91</v>
      </c>
    </row>
    <row r="714" spans="4:13" x14ac:dyDescent="0.2">
      <c r="D714" s="34">
        <v>0</v>
      </c>
      <c r="E714" s="35">
        <v>2</v>
      </c>
      <c r="F714" s="35" t="s">
        <v>799</v>
      </c>
      <c r="G714" s="35" t="s">
        <v>90</v>
      </c>
      <c r="H714" s="35">
        <v>39</v>
      </c>
      <c r="I714" s="35">
        <v>0</v>
      </c>
      <c r="J714" s="35">
        <v>0</v>
      </c>
      <c r="K714" s="35">
        <v>26</v>
      </c>
      <c r="L714" s="35">
        <v>0</v>
      </c>
      <c r="M714" s="35" t="s">
        <v>91</v>
      </c>
    </row>
    <row r="715" spans="4:13" x14ac:dyDescent="0.2">
      <c r="D715" s="34">
        <v>1</v>
      </c>
      <c r="E715" s="35">
        <v>2</v>
      </c>
      <c r="F715" s="35" t="s">
        <v>800</v>
      </c>
      <c r="G715" s="35" t="s">
        <v>93</v>
      </c>
      <c r="H715" s="35">
        <v>45</v>
      </c>
      <c r="I715" s="35">
        <v>0</v>
      </c>
      <c r="J715" s="35">
        <v>0</v>
      </c>
      <c r="K715" s="35">
        <v>135</v>
      </c>
      <c r="L715" s="35">
        <v>0</v>
      </c>
      <c r="M715" s="35" t="s">
        <v>91</v>
      </c>
    </row>
    <row r="716" spans="4:13" x14ac:dyDescent="0.2">
      <c r="D716" s="34">
        <v>1</v>
      </c>
      <c r="E716" s="35">
        <v>1</v>
      </c>
      <c r="F716" s="35" t="s">
        <v>801</v>
      </c>
      <c r="G716" s="35" t="s">
        <v>90</v>
      </c>
      <c r="H716" s="35">
        <v>42</v>
      </c>
      <c r="I716" s="35">
        <v>0</v>
      </c>
      <c r="J716" s="35">
        <v>0</v>
      </c>
      <c r="K716" s="35">
        <v>262875</v>
      </c>
      <c r="L716" s="35">
        <v>1</v>
      </c>
      <c r="M716" s="35" t="s">
        <v>91</v>
      </c>
    </row>
    <row r="717" spans="4:13" x14ac:dyDescent="0.2">
      <c r="D717" s="34">
        <v>1</v>
      </c>
      <c r="E717" s="35">
        <v>1</v>
      </c>
      <c r="F717" s="35" t="s">
        <v>802</v>
      </c>
      <c r="G717" s="35" t="s">
        <v>93</v>
      </c>
      <c r="H717" s="35">
        <v>22</v>
      </c>
      <c r="I717" s="35">
        <v>0</v>
      </c>
      <c r="J717" s="35">
        <v>0</v>
      </c>
      <c r="K717" s="35">
        <v>15155</v>
      </c>
      <c r="L717" s="35">
        <v>0</v>
      </c>
      <c r="M717" s="35" t="s">
        <v>91</v>
      </c>
    </row>
    <row r="718" spans="4:13" x14ac:dyDescent="0.2">
      <c r="D718" s="34">
        <v>1</v>
      </c>
      <c r="E718" s="35">
        <v>3</v>
      </c>
      <c r="F718" s="35" t="s">
        <v>803</v>
      </c>
      <c r="G718" s="35" t="s">
        <v>90</v>
      </c>
      <c r="H718" s="36"/>
      <c r="I718" s="35">
        <v>1</v>
      </c>
      <c r="J718" s="35">
        <v>1</v>
      </c>
      <c r="K718" s="35">
        <v>152458</v>
      </c>
      <c r="L718" s="35">
        <v>0</v>
      </c>
      <c r="M718" s="35" t="s">
        <v>94</v>
      </c>
    </row>
    <row r="719" spans="4:13" x14ac:dyDescent="0.2">
      <c r="D719" s="34">
        <v>1</v>
      </c>
      <c r="E719" s="35">
        <v>1</v>
      </c>
      <c r="F719" s="35" t="s">
        <v>804</v>
      </c>
      <c r="G719" s="35" t="s">
        <v>93</v>
      </c>
      <c r="H719" s="35">
        <v>24</v>
      </c>
      <c r="I719" s="35">
        <v>0</v>
      </c>
      <c r="J719" s="35">
        <v>0</v>
      </c>
      <c r="K719" s="35">
        <v>495042</v>
      </c>
      <c r="L719" s="35">
        <v>1</v>
      </c>
      <c r="M719" s="35" t="s">
        <v>94</v>
      </c>
    </row>
    <row r="720" spans="4:13" x14ac:dyDescent="0.2">
      <c r="D720" s="34">
        <v>0</v>
      </c>
      <c r="E720" s="35">
        <v>1</v>
      </c>
      <c r="F720" s="35" t="s">
        <v>805</v>
      </c>
      <c r="G720" s="35" t="s">
        <v>90</v>
      </c>
      <c r="H720" s="36"/>
      <c r="I720" s="35">
        <v>0</v>
      </c>
      <c r="J720" s="35">
        <v>0</v>
      </c>
      <c r="K720" s="35">
        <v>2655</v>
      </c>
      <c r="L720" s="35">
        <v>1</v>
      </c>
      <c r="M720" s="35" t="s">
        <v>91</v>
      </c>
    </row>
    <row r="721" spans="4:13" x14ac:dyDescent="0.2">
      <c r="D721" s="34">
        <v>1</v>
      </c>
      <c r="E721" s="35">
        <v>1</v>
      </c>
      <c r="F721" s="35" t="s">
        <v>806</v>
      </c>
      <c r="G721" s="35" t="s">
        <v>90</v>
      </c>
      <c r="H721" s="35">
        <v>48</v>
      </c>
      <c r="I721" s="35">
        <v>1</v>
      </c>
      <c r="J721" s="35">
        <v>0</v>
      </c>
      <c r="K721" s="35">
        <v>52</v>
      </c>
      <c r="L721" s="35">
        <v>1</v>
      </c>
      <c r="M721" s="35" t="s">
        <v>91</v>
      </c>
    </row>
    <row r="722" spans="4:13" x14ac:dyDescent="0.2">
      <c r="D722" s="34">
        <v>0</v>
      </c>
      <c r="E722" s="35">
        <v>3</v>
      </c>
      <c r="F722" s="35" t="s">
        <v>807</v>
      </c>
      <c r="G722" s="35" t="s">
        <v>90</v>
      </c>
      <c r="H722" s="35">
        <v>29</v>
      </c>
      <c r="I722" s="35">
        <v>0</v>
      </c>
      <c r="J722" s="35">
        <v>0</v>
      </c>
      <c r="K722" s="35">
        <v>94833</v>
      </c>
      <c r="L722" s="35">
        <v>0</v>
      </c>
      <c r="M722" s="35" t="s">
        <v>91</v>
      </c>
    </row>
    <row r="723" spans="4:13" x14ac:dyDescent="0.2">
      <c r="D723" s="34">
        <v>0</v>
      </c>
      <c r="E723" s="35">
        <v>2</v>
      </c>
      <c r="F723" s="35" t="s">
        <v>808</v>
      </c>
      <c r="G723" s="35" t="s">
        <v>90</v>
      </c>
      <c r="H723" s="35">
        <v>52</v>
      </c>
      <c r="I723" s="35">
        <v>0</v>
      </c>
      <c r="J723" s="35">
        <v>0</v>
      </c>
      <c r="K723" s="35">
        <v>13</v>
      </c>
      <c r="L723" s="35">
        <v>0</v>
      </c>
      <c r="M723" s="35" t="s">
        <v>91</v>
      </c>
    </row>
    <row r="724" spans="4:13" x14ac:dyDescent="0.2">
      <c r="D724" s="34">
        <v>0</v>
      </c>
      <c r="E724" s="35">
        <v>3</v>
      </c>
      <c r="F724" s="35" t="s">
        <v>809</v>
      </c>
      <c r="G724" s="35" t="s">
        <v>90</v>
      </c>
      <c r="H724" s="35">
        <v>19</v>
      </c>
      <c r="I724" s="35">
        <v>0</v>
      </c>
      <c r="J724" s="35">
        <v>0</v>
      </c>
      <c r="K724" s="35">
        <v>765</v>
      </c>
      <c r="L724" s="35">
        <v>1</v>
      </c>
      <c r="M724" s="35" t="s">
        <v>91</v>
      </c>
    </row>
    <row r="725" spans="4:13" x14ac:dyDescent="0.2">
      <c r="D725" s="34">
        <v>1</v>
      </c>
      <c r="E725" s="35">
        <v>1</v>
      </c>
      <c r="F725" s="35" t="s">
        <v>810</v>
      </c>
      <c r="G725" s="35" t="s">
        <v>93</v>
      </c>
      <c r="H725" s="35">
        <v>38</v>
      </c>
      <c r="I725" s="35">
        <v>0</v>
      </c>
      <c r="J725" s="35">
        <v>0</v>
      </c>
      <c r="K725" s="35">
        <v>227525</v>
      </c>
      <c r="L725" s="35">
        <v>1</v>
      </c>
      <c r="M725" s="35" t="s">
        <v>94</v>
      </c>
    </row>
    <row r="726" spans="4:13" x14ac:dyDescent="0.2">
      <c r="D726" s="34">
        <v>1</v>
      </c>
      <c r="E726" s="35">
        <v>2</v>
      </c>
      <c r="F726" s="35" t="s">
        <v>811</v>
      </c>
      <c r="G726" s="35" t="s">
        <v>93</v>
      </c>
      <c r="H726" s="35">
        <v>27</v>
      </c>
      <c r="I726" s="35">
        <v>0</v>
      </c>
      <c r="J726" s="35">
        <v>0</v>
      </c>
      <c r="K726" s="35">
        <v>105</v>
      </c>
      <c r="L726" s="35">
        <v>1</v>
      </c>
      <c r="M726" s="35" t="s">
        <v>91</v>
      </c>
    </row>
    <row r="727" spans="4:13" x14ac:dyDescent="0.2">
      <c r="D727" s="34">
        <v>0</v>
      </c>
      <c r="E727" s="35">
        <v>3</v>
      </c>
      <c r="F727" s="35" t="s">
        <v>812</v>
      </c>
      <c r="G727" s="35" t="s">
        <v>90</v>
      </c>
      <c r="H727" s="36"/>
      <c r="I727" s="35">
        <v>0</v>
      </c>
      <c r="J727" s="35">
        <v>0</v>
      </c>
      <c r="K727" s="35">
        <v>155</v>
      </c>
      <c r="L727" s="35">
        <v>0</v>
      </c>
      <c r="M727" s="35" t="s">
        <v>99</v>
      </c>
    </row>
    <row r="728" spans="4:13" x14ac:dyDescent="0.2">
      <c r="D728" s="34">
        <v>0</v>
      </c>
      <c r="E728" s="35">
        <v>3</v>
      </c>
      <c r="F728" s="35" t="s">
        <v>813</v>
      </c>
      <c r="G728" s="35" t="s">
        <v>90</v>
      </c>
      <c r="H728" s="35">
        <v>33</v>
      </c>
      <c r="I728" s="35">
        <v>0</v>
      </c>
      <c r="J728" s="35">
        <v>0</v>
      </c>
      <c r="K728" s="35">
        <v>7775</v>
      </c>
      <c r="L728" s="35">
        <v>0</v>
      </c>
      <c r="M728" s="35" t="s">
        <v>91</v>
      </c>
    </row>
    <row r="729" spans="4:13" x14ac:dyDescent="0.2">
      <c r="D729" s="34">
        <v>1</v>
      </c>
      <c r="E729" s="35">
        <v>2</v>
      </c>
      <c r="F729" s="35" t="s">
        <v>814</v>
      </c>
      <c r="G729" s="35" t="s">
        <v>93</v>
      </c>
      <c r="H729" s="35">
        <v>6</v>
      </c>
      <c r="I729" s="35">
        <v>0</v>
      </c>
      <c r="J729" s="35">
        <v>1</v>
      </c>
      <c r="K729" s="35">
        <v>33</v>
      </c>
      <c r="L729" s="35">
        <v>0</v>
      </c>
      <c r="M729" s="35" t="s">
        <v>91</v>
      </c>
    </row>
    <row r="730" spans="4:13" x14ac:dyDescent="0.2">
      <c r="D730" s="34">
        <v>0</v>
      </c>
      <c r="E730" s="35">
        <v>3</v>
      </c>
      <c r="F730" s="35" t="s">
        <v>815</v>
      </c>
      <c r="G730" s="35" t="s">
        <v>90</v>
      </c>
      <c r="H730" s="35">
        <v>17</v>
      </c>
      <c r="I730" s="35">
        <v>1</v>
      </c>
      <c r="J730" s="35">
        <v>0</v>
      </c>
      <c r="K730" s="35">
        <v>70542</v>
      </c>
      <c r="L730" s="35">
        <v>0</v>
      </c>
      <c r="M730" s="35" t="s">
        <v>91</v>
      </c>
    </row>
    <row r="731" spans="4:13" x14ac:dyDescent="0.2">
      <c r="D731" s="34">
        <v>0</v>
      </c>
      <c r="E731" s="35">
        <v>2</v>
      </c>
      <c r="F731" s="35" t="s">
        <v>816</v>
      </c>
      <c r="G731" s="35" t="s">
        <v>90</v>
      </c>
      <c r="H731" s="35">
        <v>34</v>
      </c>
      <c r="I731" s="35">
        <v>0</v>
      </c>
      <c r="J731" s="35">
        <v>0</v>
      </c>
      <c r="K731" s="35">
        <v>13</v>
      </c>
      <c r="L731" s="35">
        <v>0</v>
      </c>
      <c r="M731" s="35" t="s">
        <v>91</v>
      </c>
    </row>
    <row r="732" spans="4:13" x14ac:dyDescent="0.2">
      <c r="D732" s="34">
        <v>0</v>
      </c>
      <c r="E732" s="35">
        <v>2</v>
      </c>
      <c r="F732" s="35" t="s">
        <v>817</v>
      </c>
      <c r="G732" s="35" t="s">
        <v>90</v>
      </c>
      <c r="H732" s="35">
        <v>50</v>
      </c>
      <c r="I732" s="35">
        <v>0</v>
      </c>
      <c r="J732" s="35">
        <v>0</v>
      </c>
      <c r="K732" s="35">
        <v>13</v>
      </c>
      <c r="L732" s="35">
        <v>0</v>
      </c>
      <c r="M732" s="35" t="s">
        <v>91</v>
      </c>
    </row>
    <row r="733" spans="4:13" x14ac:dyDescent="0.2">
      <c r="D733" s="34">
        <v>1</v>
      </c>
      <c r="E733" s="35">
        <v>1</v>
      </c>
      <c r="F733" s="35" t="s">
        <v>818</v>
      </c>
      <c r="G733" s="35" t="s">
        <v>90</v>
      </c>
      <c r="H733" s="35">
        <v>27</v>
      </c>
      <c r="I733" s="35">
        <v>1</v>
      </c>
      <c r="J733" s="35">
        <v>0</v>
      </c>
      <c r="K733" s="35">
        <v>531</v>
      </c>
      <c r="L733" s="35">
        <v>1</v>
      </c>
      <c r="M733" s="35" t="s">
        <v>91</v>
      </c>
    </row>
    <row r="734" spans="4:13" x14ac:dyDescent="0.2">
      <c r="D734" s="34">
        <v>0</v>
      </c>
      <c r="E734" s="35">
        <v>3</v>
      </c>
      <c r="F734" s="35" t="s">
        <v>819</v>
      </c>
      <c r="G734" s="35" t="s">
        <v>90</v>
      </c>
      <c r="H734" s="35">
        <v>20</v>
      </c>
      <c r="I734" s="35">
        <v>0</v>
      </c>
      <c r="J734" s="35">
        <v>0</v>
      </c>
      <c r="K734" s="35">
        <v>86625</v>
      </c>
      <c r="L734" s="35">
        <v>0</v>
      </c>
      <c r="M734" s="35" t="s">
        <v>91</v>
      </c>
    </row>
    <row r="735" spans="4:13" x14ac:dyDescent="0.2">
      <c r="D735" s="34">
        <v>1</v>
      </c>
      <c r="E735" s="35">
        <v>2</v>
      </c>
      <c r="F735" s="35" t="s">
        <v>820</v>
      </c>
      <c r="G735" s="35" t="s">
        <v>93</v>
      </c>
      <c r="H735" s="35">
        <v>30</v>
      </c>
      <c r="I735" s="35">
        <v>3</v>
      </c>
      <c r="J735" s="35">
        <v>0</v>
      </c>
      <c r="K735" s="35">
        <v>21</v>
      </c>
      <c r="L735" s="35">
        <v>0</v>
      </c>
      <c r="M735" s="35" t="s">
        <v>91</v>
      </c>
    </row>
    <row r="736" spans="4:13" x14ac:dyDescent="0.2">
      <c r="D736" s="34">
        <v>1</v>
      </c>
      <c r="E736" s="35">
        <v>3</v>
      </c>
      <c r="F736" s="35" t="s">
        <v>821</v>
      </c>
      <c r="G736" s="35" t="s">
        <v>93</v>
      </c>
      <c r="H736" s="36"/>
      <c r="I736" s="35">
        <v>0</v>
      </c>
      <c r="J736" s="35">
        <v>0</v>
      </c>
      <c r="K736" s="35">
        <v>77375</v>
      </c>
      <c r="L736" s="35">
        <v>0</v>
      </c>
      <c r="M736" s="35" t="s">
        <v>99</v>
      </c>
    </row>
    <row r="737" spans="4:13" x14ac:dyDescent="0.2">
      <c r="D737" s="34">
        <v>0</v>
      </c>
      <c r="E737" s="35">
        <v>2</v>
      </c>
      <c r="F737" s="35" t="s">
        <v>822</v>
      </c>
      <c r="G737" s="35" t="s">
        <v>90</v>
      </c>
      <c r="H737" s="35">
        <v>25</v>
      </c>
      <c r="I737" s="35">
        <v>1</v>
      </c>
      <c r="J737" s="35">
        <v>0</v>
      </c>
      <c r="K737" s="35">
        <v>26</v>
      </c>
      <c r="L737" s="35">
        <v>0</v>
      </c>
      <c r="M737" s="35" t="s">
        <v>91</v>
      </c>
    </row>
    <row r="738" spans="4:13" x14ac:dyDescent="0.2">
      <c r="D738" s="34">
        <v>0</v>
      </c>
      <c r="E738" s="35">
        <v>3</v>
      </c>
      <c r="F738" s="35" t="s">
        <v>823</v>
      </c>
      <c r="G738" s="35" t="s">
        <v>93</v>
      </c>
      <c r="H738" s="35">
        <v>25</v>
      </c>
      <c r="I738" s="35">
        <v>1</v>
      </c>
      <c r="J738" s="35">
        <v>0</v>
      </c>
      <c r="K738" s="35">
        <v>7925</v>
      </c>
      <c r="L738" s="35">
        <v>0</v>
      </c>
      <c r="M738" s="35" t="s">
        <v>91</v>
      </c>
    </row>
    <row r="739" spans="4:13" x14ac:dyDescent="0.2">
      <c r="D739" s="34">
        <v>1</v>
      </c>
      <c r="E739" s="35">
        <v>1</v>
      </c>
      <c r="F739" s="35" t="s">
        <v>824</v>
      </c>
      <c r="G739" s="35" t="s">
        <v>93</v>
      </c>
      <c r="H739" s="35">
        <v>29</v>
      </c>
      <c r="I739" s="35">
        <v>0</v>
      </c>
      <c r="J739" s="35">
        <v>0</v>
      </c>
      <c r="K739" s="35">
        <v>2113375</v>
      </c>
      <c r="L739" s="35">
        <v>1</v>
      </c>
      <c r="M739" s="35" t="s">
        <v>91</v>
      </c>
    </row>
    <row r="740" spans="4:13" x14ac:dyDescent="0.2">
      <c r="D740" s="34">
        <v>0</v>
      </c>
      <c r="E740" s="35">
        <v>3</v>
      </c>
      <c r="F740" s="35" t="s">
        <v>825</v>
      </c>
      <c r="G740" s="35" t="s">
        <v>90</v>
      </c>
      <c r="H740" s="35">
        <v>11</v>
      </c>
      <c r="I740" s="35">
        <v>0</v>
      </c>
      <c r="J740" s="35">
        <v>0</v>
      </c>
      <c r="K740" s="35">
        <v>187875</v>
      </c>
      <c r="L740" s="35">
        <v>0</v>
      </c>
      <c r="M740" s="35" t="s">
        <v>94</v>
      </c>
    </row>
    <row r="741" spans="4:13" x14ac:dyDescent="0.2">
      <c r="D741" s="34">
        <v>0</v>
      </c>
      <c r="E741" s="35">
        <v>2</v>
      </c>
      <c r="F741" s="35" t="s">
        <v>826</v>
      </c>
      <c r="G741" s="35" t="s">
        <v>90</v>
      </c>
      <c r="H741" s="36"/>
      <c r="I741" s="35">
        <v>0</v>
      </c>
      <c r="J741" s="35">
        <v>0</v>
      </c>
      <c r="K741" s="35">
        <v>0</v>
      </c>
      <c r="L741" s="35">
        <v>0</v>
      </c>
      <c r="M741" s="35" t="s">
        <v>91</v>
      </c>
    </row>
    <row r="742" spans="4:13" x14ac:dyDescent="0.2">
      <c r="D742" s="34">
        <v>0</v>
      </c>
      <c r="E742" s="35">
        <v>2</v>
      </c>
      <c r="F742" s="35" t="s">
        <v>827</v>
      </c>
      <c r="G742" s="35" t="s">
        <v>90</v>
      </c>
      <c r="H742" s="35">
        <v>23</v>
      </c>
      <c r="I742" s="35">
        <v>0</v>
      </c>
      <c r="J742" s="35">
        <v>0</v>
      </c>
      <c r="K742" s="35">
        <v>13</v>
      </c>
      <c r="L742" s="35">
        <v>0</v>
      </c>
      <c r="M742" s="35" t="s">
        <v>91</v>
      </c>
    </row>
    <row r="743" spans="4:13" x14ac:dyDescent="0.2">
      <c r="D743" s="34">
        <v>0</v>
      </c>
      <c r="E743" s="35">
        <v>2</v>
      </c>
      <c r="F743" s="35" t="s">
        <v>828</v>
      </c>
      <c r="G743" s="35" t="s">
        <v>90</v>
      </c>
      <c r="H743" s="35">
        <v>23</v>
      </c>
      <c r="I743" s="35">
        <v>0</v>
      </c>
      <c r="J743" s="35">
        <v>0</v>
      </c>
      <c r="K743" s="35">
        <v>13</v>
      </c>
      <c r="L743" s="35">
        <v>0</v>
      </c>
      <c r="M743" s="35" t="s">
        <v>91</v>
      </c>
    </row>
    <row r="744" spans="4:13" x14ac:dyDescent="0.2">
      <c r="D744" s="34">
        <v>0</v>
      </c>
      <c r="E744" s="35">
        <v>3</v>
      </c>
      <c r="F744" s="35" t="s">
        <v>829</v>
      </c>
      <c r="G744" s="35" t="s">
        <v>90</v>
      </c>
      <c r="H744" s="35">
        <v>285</v>
      </c>
      <c r="I744" s="35">
        <v>0</v>
      </c>
      <c r="J744" s="35">
        <v>0</v>
      </c>
      <c r="K744" s="35">
        <v>161</v>
      </c>
      <c r="L744" s="35">
        <v>0</v>
      </c>
      <c r="M744" s="35" t="s">
        <v>91</v>
      </c>
    </row>
    <row r="745" spans="4:13" x14ac:dyDescent="0.2">
      <c r="D745" s="34">
        <v>0</v>
      </c>
      <c r="E745" s="35">
        <v>3</v>
      </c>
      <c r="F745" s="35" t="s">
        <v>830</v>
      </c>
      <c r="G745" s="35" t="s">
        <v>93</v>
      </c>
      <c r="H745" s="35">
        <v>48</v>
      </c>
      <c r="I745" s="35">
        <v>1</v>
      </c>
      <c r="J745" s="35">
        <v>3</v>
      </c>
      <c r="K745" s="35">
        <v>34375</v>
      </c>
      <c r="L745" s="35">
        <v>0</v>
      </c>
      <c r="M745" s="35" t="s">
        <v>91</v>
      </c>
    </row>
    <row r="746" spans="4:13" x14ac:dyDescent="0.2">
      <c r="D746" s="34">
        <v>1</v>
      </c>
      <c r="E746" s="35">
        <v>1</v>
      </c>
      <c r="F746" s="35" t="s">
        <v>831</v>
      </c>
      <c r="G746" s="35" t="s">
        <v>90</v>
      </c>
      <c r="H746" s="35">
        <v>35</v>
      </c>
      <c r="I746" s="35">
        <v>0</v>
      </c>
      <c r="J746" s="35">
        <v>0</v>
      </c>
      <c r="K746" s="35">
        <v>5123292</v>
      </c>
      <c r="L746" s="35">
        <v>1</v>
      </c>
      <c r="M746" s="35" t="s">
        <v>94</v>
      </c>
    </row>
    <row r="747" spans="4:13" x14ac:dyDescent="0.2">
      <c r="D747" s="34">
        <v>0</v>
      </c>
      <c r="E747" s="35">
        <v>3</v>
      </c>
      <c r="F747" s="35" t="s">
        <v>832</v>
      </c>
      <c r="G747" s="35" t="s">
        <v>90</v>
      </c>
      <c r="H747" s="36"/>
      <c r="I747" s="35">
        <v>0</v>
      </c>
      <c r="J747" s="35">
        <v>0</v>
      </c>
      <c r="K747" s="35">
        <v>78958</v>
      </c>
      <c r="L747" s="35">
        <v>0</v>
      </c>
      <c r="M747" s="35" t="s">
        <v>91</v>
      </c>
    </row>
    <row r="748" spans="4:13" x14ac:dyDescent="0.2">
      <c r="D748" s="34">
        <v>0</v>
      </c>
      <c r="E748" s="35">
        <v>3</v>
      </c>
      <c r="F748" s="35" t="s">
        <v>833</v>
      </c>
      <c r="G748" s="35" t="s">
        <v>90</v>
      </c>
      <c r="H748" s="36"/>
      <c r="I748" s="35">
        <v>0</v>
      </c>
      <c r="J748" s="35">
        <v>0</v>
      </c>
      <c r="K748" s="35">
        <v>78958</v>
      </c>
      <c r="L748" s="35">
        <v>0</v>
      </c>
      <c r="M748" s="35" t="s">
        <v>91</v>
      </c>
    </row>
    <row r="749" spans="4:13" x14ac:dyDescent="0.2">
      <c r="D749" s="34">
        <v>1</v>
      </c>
      <c r="E749" s="35">
        <v>1</v>
      </c>
      <c r="F749" s="35" t="s">
        <v>834</v>
      </c>
      <c r="G749" s="35" t="s">
        <v>90</v>
      </c>
      <c r="H749" s="36"/>
      <c r="I749" s="35">
        <v>0</v>
      </c>
      <c r="J749" s="35">
        <v>0</v>
      </c>
      <c r="K749" s="35">
        <v>30</v>
      </c>
      <c r="L749" s="35">
        <v>1</v>
      </c>
      <c r="M749" s="35" t="s">
        <v>91</v>
      </c>
    </row>
    <row r="750" spans="4:13" x14ac:dyDescent="0.2">
      <c r="D750" s="34">
        <v>0</v>
      </c>
      <c r="E750" s="35">
        <v>1</v>
      </c>
      <c r="F750" s="35" t="s">
        <v>835</v>
      </c>
      <c r="G750" s="35" t="s">
        <v>90</v>
      </c>
      <c r="H750" s="35">
        <v>36</v>
      </c>
      <c r="I750" s="35">
        <v>1</v>
      </c>
      <c r="J750" s="35">
        <v>0</v>
      </c>
      <c r="K750" s="35">
        <v>7885</v>
      </c>
      <c r="L750" s="35">
        <v>1</v>
      </c>
      <c r="M750" s="35" t="s">
        <v>91</v>
      </c>
    </row>
    <row r="751" spans="4:13" x14ac:dyDescent="0.2">
      <c r="D751" s="34">
        <v>1</v>
      </c>
      <c r="E751" s="35">
        <v>1</v>
      </c>
      <c r="F751" s="35" t="s">
        <v>836</v>
      </c>
      <c r="G751" s="35" t="s">
        <v>93</v>
      </c>
      <c r="H751" s="35">
        <v>21</v>
      </c>
      <c r="I751" s="35">
        <v>2</v>
      </c>
      <c r="J751" s="35">
        <v>2</v>
      </c>
      <c r="K751" s="35">
        <v>262375</v>
      </c>
      <c r="L751" s="35">
        <v>1</v>
      </c>
      <c r="M751" s="35" t="s">
        <v>94</v>
      </c>
    </row>
    <row r="752" spans="4:13" x14ac:dyDescent="0.2">
      <c r="D752" s="34">
        <v>0</v>
      </c>
      <c r="E752" s="35">
        <v>3</v>
      </c>
      <c r="F752" s="35" t="s">
        <v>837</v>
      </c>
      <c r="G752" s="35" t="s">
        <v>90</v>
      </c>
      <c r="H752" s="35">
        <v>24</v>
      </c>
      <c r="I752" s="35">
        <v>1</v>
      </c>
      <c r="J752" s="35">
        <v>0</v>
      </c>
      <c r="K752" s="35">
        <v>161</v>
      </c>
      <c r="L752" s="35">
        <v>0</v>
      </c>
      <c r="M752" s="35" t="s">
        <v>91</v>
      </c>
    </row>
    <row r="753" spans="4:13" x14ac:dyDescent="0.2">
      <c r="D753" s="34">
        <v>1</v>
      </c>
      <c r="E753" s="35">
        <v>3</v>
      </c>
      <c r="F753" s="35" t="s">
        <v>838</v>
      </c>
      <c r="G753" s="35" t="s">
        <v>90</v>
      </c>
      <c r="H753" s="35">
        <v>31</v>
      </c>
      <c r="I753" s="35">
        <v>0</v>
      </c>
      <c r="J753" s="35">
        <v>0</v>
      </c>
      <c r="K753" s="35">
        <v>7925</v>
      </c>
      <c r="L753" s="35">
        <v>0</v>
      </c>
      <c r="M753" s="35" t="s">
        <v>91</v>
      </c>
    </row>
    <row r="754" spans="4:13" x14ac:dyDescent="0.2">
      <c r="D754" s="34">
        <v>0</v>
      </c>
      <c r="E754" s="35">
        <v>1</v>
      </c>
      <c r="F754" s="35" t="s">
        <v>839</v>
      </c>
      <c r="G754" s="35" t="s">
        <v>90</v>
      </c>
      <c r="H754" s="35">
        <v>70</v>
      </c>
      <c r="I754" s="35">
        <v>1</v>
      </c>
      <c r="J754" s="35">
        <v>1</v>
      </c>
      <c r="K754" s="35">
        <v>71</v>
      </c>
      <c r="L754" s="35">
        <v>1</v>
      </c>
      <c r="M754" s="35" t="s">
        <v>91</v>
      </c>
    </row>
    <row r="755" spans="4:13" x14ac:dyDescent="0.2">
      <c r="D755" s="34">
        <v>0</v>
      </c>
      <c r="E755" s="35">
        <v>3</v>
      </c>
      <c r="F755" s="35" t="s">
        <v>840</v>
      </c>
      <c r="G755" s="35" t="s">
        <v>90</v>
      </c>
      <c r="H755" s="35">
        <v>16</v>
      </c>
      <c r="I755" s="35">
        <v>1</v>
      </c>
      <c r="J755" s="35">
        <v>1</v>
      </c>
      <c r="K755" s="35">
        <v>2025</v>
      </c>
      <c r="L755" s="35">
        <v>0</v>
      </c>
      <c r="M755" s="35" t="s">
        <v>91</v>
      </c>
    </row>
    <row r="756" spans="4:13" x14ac:dyDescent="0.2">
      <c r="D756" s="34">
        <v>1</v>
      </c>
      <c r="E756" s="35">
        <v>2</v>
      </c>
      <c r="F756" s="35" t="s">
        <v>841</v>
      </c>
      <c r="G756" s="35" t="s">
        <v>93</v>
      </c>
      <c r="H756" s="35">
        <v>30</v>
      </c>
      <c r="I756" s="35">
        <v>0</v>
      </c>
      <c r="J756" s="35">
        <v>0</v>
      </c>
      <c r="K756" s="35">
        <v>13</v>
      </c>
      <c r="L756" s="35">
        <v>0</v>
      </c>
      <c r="M756" s="35" t="s">
        <v>91</v>
      </c>
    </row>
    <row r="757" spans="4:13" x14ac:dyDescent="0.2">
      <c r="D757" s="34">
        <v>0</v>
      </c>
      <c r="E757" s="35">
        <v>1</v>
      </c>
      <c r="F757" s="35" t="s">
        <v>842</v>
      </c>
      <c r="G757" s="35" t="s">
        <v>90</v>
      </c>
      <c r="H757" s="35">
        <v>19</v>
      </c>
      <c r="I757" s="35">
        <v>1</v>
      </c>
      <c r="J757" s="35">
        <v>0</v>
      </c>
      <c r="K757" s="35">
        <v>531</v>
      </c>
      <c r="L757" s="35">
        <v>1</v>
      </c>
      <c r="M757" s="35" t="s">
        <v>91</v>
      </c>
    </row>
    <row r="758" spans="4:13" x14ac:dyDescent="0.2">
      <c r="D758" s="34">
        <v>0</v>
      </c>
      <c r="E758" s="35">
        <v>3</v>
      </c>
      <c r="F758" s="35" t="s">
        <v>843</v>
      </c>
      <c r="G758" s="35" t="s">
        <v>90</v>
      </c>
      <c r="H758" s="35">
        <v>31</v>
      </c>
      <c r="I758" s="35">
        <v>0</v>
      </c>
      <c r="J758" s="35">
        <v>0</v>
      </c>
      <c r="K758" s="35">
        <v>775</v>
      </c>
      <c r="L758" s="35">
        <v>0</v>
      </c>
      <c r="M758" s="35" t="s">
        <v>99</v>
      </c>
    </row>
    <row r="759" spans="4:13" x14ac:dyDescent="0.2">
      <c r="D759" s="34">
        <v>1</v>
      </c>
      <c r="E759" s="35">
        <v>2</v>
      </c>
      <c r="F759" s="35" t="s">
        <v>844</v>
      </c>
      <c r="G759" s="35" t="s">
        <v>93</v>
      </c>
      <c r="H759" s="35">
        <v>4</v>
      </c>
      <c r="I759" s="35">
        <v>1</v>
      </c>
      <c r="J759" s="35">
        <v>1</v>
      </c>
      <c r="K759" s="35">
        <v>23</v>
      </c>
      <c r="L759" s="35">
        <v>0</v>
      </c>
      <c r="M759" s="35" t="s">
        <v>91</v>
      </c>
    </row>
    <row r="760" spans="4:13" x14ac:dyDescent="0.2">
      <c r="D760" s="34">
        <v>1</v>
      </c>
      <c r="E760" s="35">
        <v>3</v>
      </c>
      <c r="F760" s="35" t="s">
        <v>845</v>
      </c>
      <c r="G760" s="35" t="s">
        <v>90</v>
      </c>
      <c r="H760" s="35">
        <v>6</v>
      </c>
      <c r="I760" s="35">
        <v>0</v>
      </c>
      <c r="J760" s="35">
        <v>1</v>
      </c>
      <c r="K760" s="35">
        <v>12475</v>
      </c>
      <c r="L760" s="35">
        <v>1</v>
      </c>
      <c r="M760" s="35" t="s">
        <v>91</v>
      </c>
    </row>
    <row r="761" spans="4:13" x14ac:dyDescent="0.2">
      <c r="D761" s="34">
        <v>0</v>
      </c>
      <c r="E761" s="35">
        <v>3</v>
      </c>
      <c r="F761" s="35" t="s">
        <v>846</v>
      </c>
      <c r="G761" s="35" t="s">
        <v>90</v>
      </c>
      <c r="H761" s="35">
        <v>33</v>
      </c>
      <c r="I761" s="35">
        <v>0</v>
      </c>
      <c r="J761" s="35">
        <v>0</v>
      </c>
      <c r="K761" s="35">
        <v>95</v>
      </c>
      <c r="L761" s="35">
        <v>0</v>
      </c>
      <c r="M761" s="35" t="s">
        <v>91</v>
      </c>
    </row>
    <row r="762" spans="4:13" x14ac:dyDescent="0.2">
      <c r="D762" s="34">
        <v>0</v>
      </c>
      <c r="E762" s="35">
        <v>3</v>
      </c>
      <c r="F762" s="35" t="s">
        <v>847</v>
      </c>
      <c r="G762" s="35" t="s">
        <v>90</v>
      </c>
      <c r="H762" s="35">
        <v>23</v>
      </c>
      <c r="I762" s="35">
        <v>0</v>
      </c>
      <c r="J762" s="35">
        <v>0</v>
      </c>
      <c r="K762" s="35">
        <v>78958</v>
      </c>
      <c r="L762" s="35">
        <v>0</v>
      </c>
      <c r="M762" s="35" t="s">
        <v>91</v>
      </c>
    </row>
    <row r="763" spans="4:13" x14ac:dyDescent="0.2">
      <c r="D763" s="34">
        <v>1</v>
      </c>
      <c r="E763" s="35">
        <v>2</v>
      </c>
      <c r="F763" s="35" t="s">
        <v>848</v>
      </c>
      <c r="G763" s="35" t="s">
        <v>93</v>
      </c>
      <c r="H763" s="35">
        <v>48</v>
      </c>
      <c r="I763" s="35">
        <v>1</v>
      </c>
      <c r="J763" s="35">
        <v>2</v>
      </c>
      <c r="K763" s="35">
        <v>65</v>
      </c>
      <c r="L763" s="35">
        <v>0</v>
      </c>
      <c r="M763" s="35" t="s">
        <v>91</v>
      </c>
    </row>
    <row r="764" spans="4:13" x14ac:dyDescent="0.2">
      <c r="D764" s="34">
        <v>1</v>
      </c>
      <c r="E764" s="35">
        <v>2</v>
      </c>
      <c r="F764" s="35" t="s">
        <v>849</v>
      </c>
      <c r="G764" s="35" t="s">
        <v>90</v>
      </c>
      <c r="H764" s="35">
        <v>67</v>
      </c>
      <c r="I764" s="35">
        <v>1</v>
      </c>
      <c r="J764" s="35">
        <v>1</v>
      </c>
      <c r="K764" s="35">
        <v>145</v>
      </c>
      <c r="L764" s="35">
        <v>0</v>
      </c>
      <c r="M764" s="35" t="s">
        <v>91</v>
      </c>
    </row>
    <row r="765" spans="4:13" x14ac:dyDescent="0.2">
      <c r="D765" s="34">
        <v>0</v>
      </c>
      <c r="E765" s="35">
        <v>3</v>
      </c>
      <c r="F765" s="35" t="s">
        <v>850</v>
      </c>
      <c r="G765" s="35" t="s">
        <v>90</v>
      </c>
      <c r="H765" s="35">
        <v>28</v>
      </c>
      <c r="I765" s="35">
        <v>0</v>
      </c>
      <c r="J765" s="35">
        <v>0</v>
      </c>
      <c r="K765" s="35">
        <v>77958</v>
      </c>
      <c r="L765" s="35">
        <v>0</v>
      </c>
      <c r="M765" s="35" t="s">
        <v>91</v>
      </c>
    </row>
    <row r="766" spans="4:13" x14ac:dyDescent="0.2">
      <c r="D766" s="34">
        <v>0</v>
      </c>
      <c r="E766" s="35">
        <v>2</v>
      </c>
      <c r="F766" s="35" t="s">
        <v>851</v>
      </c>
      <c r="G766" s="35" t="s">
        <v>90</v>
      </c>
      <c r="H766" s="35">
        <v>18</v>
      </c>
      <c r="I766" s="35">
        <v>0</v>
      </c>
      <c r="J766" s="35">
        <v>0</v>
      </c>
      <c r="K766" s="35">
        <v>115</v>
      </c>
      <c r="L766" s="35">
        <v>0</v>
      </c>
      <c r="M766" s="35" t="s">
        <v>91</v>
      </c>
    </row>
    <row r="767" spans="4:13" x14ac:dyDescent="0.2">
      <c r="D767" s="34">
        <v>0</v>
      </c>
      <c r="E767" s="35">
        <v>3</v>
      </c>
      <c r="F767" s="35" t="s">
        <v>852</v>
      </c>
      <c r="G767" s="35" t="s">
        <v>90</v>
      </c>
      <c r="H767" s="35">
        <v>34</v>
      </c>
      <c r="I767" s="35">
        <v>0</v>
      </c>
      <c r="J767" s="35">
        <v>0</v>
      </c>
      <c r="K767" s="35">
        <v>805</v>
      </c>
      <c r="L767" s="35">
        <v>0</v>
      </c>
      <c r="M767" s="35" t="s">
        <v>91</v>
      </c>
    </row>
    <row r="768" spans="4:13" x14ac:dyDescent="0.2">
      <c r="D768" s="34">
        <v>1</v>
      </c>
      <c r="E768" s="35">
        <v>1</v>
      </c>
      <c r="F768" s="35" t="s">
        <v>853</v>
      </c>
      <c r="G768" s="35" t="s">
        <v>93</v>
      </c>
      <c r="H768" s="35">
        <v>33</v>
      </c>
      <c r="I768" s="35">
        <v>0</v>
      </c>
      <c r="J768" s="35">
        <v>0</v>
      </c>
      <c r="K768" s="35">
        <v>865</v>
      </c>
      <c r="L768" s="35">
        <v>1</v>
      </c>
      <c r="M768" s="35" t="s">
        <v>91</v>
      </c>
    </row>
    <row r="769" spans="4:13" x14ac:dyDescent="0.2">
      <c r="D769" s="34">
        <v>0</v>
      </c>
      <c r="E769" s="35">
        <v>3</v>
      </c>
      <c r="F769" s="35" t="s">
        <v>854</v>
      </c>
      <c r="G769" s="35" t="s">
        <v>90</v>
      </c>
      <c r="H769" s="36"/>
      <c r="I769" s="35">
        <v>0</v>
      </c>
      <c r="J769" s="35">
        <v>0</v>
      </c>
      <c r="K769" s="35">
        <v>145</v>
      </c>
      <c r="L769" s="35">
        <v>0</v>
      </c>
      <c r="M769" s="35" t="s">
        <v>91</v>
      </c>
    </row>
    <row r="770" spans="4:13" x14ac:dyDescent="0.2">
      <c r="D770" s="34">
        <v>0</v>
      </c>
      <c r="E770" s="35">
        <v>3</v>
      </c>
      <c r="F770" s="35" t="s">
        <v>855</v>
      </c>
      <c r="G770" s="35" t="s">
        <v>90</v>
      </c>
      <c r="H770" s="35">
        <v>41</v>
      </c>
      <c r="I770" s="35">
        <v>0</v>
      </c>
      <c r="J770" s="35">
        <v>0</v>
      </c>
      <c r="K770" s="35">
        <v>7125</v>
      </c>
      <c r="L770" s="35">
        <v>0</v>
      </c>
      <c r="M770" s="35" t="s">
        <v>91</v>
      </c>
    </row>
    <row r="771" spans="4:13" x14ac:dyDescent="0.2">
      <c r="D771" s="34">
        <v>1</v>
      </c>
      <c r="E771" s="35">
        <v>3</v>
      </c>
      <c r="F771" s="35" t="s">
        <v>856</v>
      </c>
      <c r="G771" s="35" t="s">
        <v>90</v>
      </c>
      <c r="H771" s="35">
        <v>20</v>
      </c>
      <c r="I771" s="35">
        <v>0</v>
      </c>
      <c r="J771" s="35">
        <v>0</v>
      </c>
      <c r="K771" s="35">
        <v>72292</v>
      </c>
      <c r="L771" s="35">
        <v>0</v>
      </c>
      <c r="M771" s="35" t="s">
        <v>94</v>
      </c>
    </row>
    <row r="772" spans="4:13" x14ac:dyDescent="0.2">
      <c r="D772" s="34">
        <v>1</v>
      </c>
      <c r="E772" s="35">
        <v>1</v>
      </c>
      <c r="F772" s="35" t="s">
        <v>857</v>
      </c>
      <c r="G772" s="35" t="s">
        <v>93</v>
      </c>
      <c r="H772" s="35">
        <v>36</v>
      </c>
      <c r="I772" s="35">
        <v>1</v>
      </c>
      <c r="J772" s="35">
        <v>2</v>
      </c>
      <c r="K772" s="35">
        <v>120</v>
      </c>
      <c r="L772" s="35">
        <v>1</v>
      </c>
      <c r="M772" s="35" t="s">
        <v>91</v>
      </c>
    </row>
    <row r="773" spans="4:13" x14ac:dyDescent="0.2">
      <c r="D773" s="34">
        <v>0</v>
      </c>
      <c r="E773" s="35">
        <v>3</v>
      </c>
      <c r="F773" s="35" t="s">
        <v>858</v>
      </c>
      <c r="G773" s="35" t="s">
        <v>90</v>
      </c>
      <c r="H773" s="35">
        <v>16</v>
      </c>
      <c r="I773" s="35">
        <v>0</v>
      </c>
      <c r="J773" s="35">
        <v>0</v>
      </c>
      <c r="K773" s="35">
        <v>7775</v>
      </c>
      <c r="L773" s="35">
        <v>0</v>
      </c>
      <c r="M773" s="35" t="s">
        <v>91</v>
      </c>
    </row>
    <row r="774" spans="4:13" x14ac:dyDescent="0.2">
      <c r="D774" s="34">
        <v>1</v>
      </c>
      <c r="E774" s="35">
        <v>1</v>
      </c>
      <c r="F774" s="35" t="s">
        <v>859</v>
      </c>
      <c r="G774" s="35" t="s">
        <v>93</v>
      </c>
      <c r="H774" s="35">
        <v>51</v>
      </c>
      <c r="I774" s="35">
        <v>1</v>
      </c>
      <c r="J774" s="35">
        <v>0</v>
      </c>
      <c r="K774" s="35">
        <v>779583</v>
      </c>
      <c r="L774" s="35">
        <v>1</v>
      </c>
      <c r="M774" s="35" t="s">
        <v>91</v>
      </c>
    </row>
    <row r="775" spans="4:13" x14ac:dyDescent="0.2">
      <c r="D775" s="34">
        <v>0</v>
      </c>
      <c r="E775" s="35">
        <v>1</v>
      </c>
      <c r="F775" s="35" t="s">
        <v>860</v>
      </c>
      <c r="G775" s="35" t="s">
        <v>90</v>
      </c>
      <c r="H775" s="36"/>
      <c r="I775" s="35">
        <v>0</v>
      </c>
      <c r="J775" s="35">
        <v>0</v>
      </c>
      <c r="K775" s="35">
        <v>396</v>
      </c>
      <c r="L775" s="35">
        <v>0</v>
      </c>
      <c r="M775" s="35" t="s">
        <v>94</v>
      </c>
    </row>
    <row r="776" spans="4:13" x14ac:dyDescent="0.2">
      <c r="D776" s="34">
        <v>0</v>
      </c>
      <c r="E776" s="35">
        <v>3</v>
      </c>
      <c r="F776" s="35" t="s">
        <v>861</v>
      </c>
      <c r="G776" s="35" t="s">
        <v>93</v>
      </c>
      <c r="H776" s="35">
        <v>305</v>
      </c>
      <c r="I776" s="35">
        <v>0</v>
      </c>
      <c r="J776" s="35">
        <v>0</v>
      </c>
      <c r="K776" s="35">
        <v>775</v>
      </c>
      <c r="L776" s="35">
        <v>0</v>
      </c>
      <c r="M776" s="35" t="s">
        <v>99</v>
      </c>
    </row>
    <row r="777" spans="4:13" x14ac:dyDescent="0.2">
      <c r="D777" s="34">
        <v>0</v>
      </c>
      <c r="E777" s="35">
        <v>3</v>
      </c>
      <c r="F777" s="35" t="s">
        <v>862</v>
      </c>
      <c r="G777" s="35" t="s">
        <v>90</v>
      </c>
      <c r="H777" s="36"/>
      <c r="I777" s="35">
        <v>1</v>
      </c>
      <c r="J777" s="35">
        <v>0</v>
      </c>
      <c r="K777" s="35">
        <v>2415</v>
      </c>
      <c r="L777" s="35">
        <v>0</v>
      </c>
      <c r="M777" s="35" t="s">
        <v>99</v>
      </c>
    </row>
    <row r="778" spans="4:13" x14ac:dyDescent="0.2">
      <c r="D778" s="34">
        <v>0</v>
      </c>
      <c r="E778" s="35">
        <v>3</v>
      </c>
      <c r="F778" s="35" t="s">
        <v>863</v>
      </c>
      <c r="G778" s="35" t="s">
        <v>90</v>
      </c>
      <c r="H778" s="35">
        <v>32</v>
      </c>
      <c r="I778" s="35">
        <v>0</v>
      </c>
      <c r="J778" s="35">
        <v>0</v>
      </c>
      <c r="K778" s="35">
        <v>83625</v>
      </c>
      <c r="L778" s="35">
        <v>0</v>
      </c>
      <c r="M778" s="35" t="s">
        <v>91</v>
      </c>
    </row>
    <row r="779" spans="4:13" x14ac:dyDescent="0.2">
      <c r="D779" s="34">
        <v>0</v>
      </c>
      <c r="E779" s="35">
        <v>3</v>
      </c>
      <c r="F779" s="35" t="s">
        <v>864</v>
      </c>
      <c r="G779" s="35" t="s">
        <v>90</v>
      </c>
      <c r="H779" s="35">
        <v>24</v>
      </c>
      <c r="I779" s="35">
        <v>0</v>
      </c>
      <c r="J779" s="35">
        <v>0</v>
      </c>
      <c r="K779" s="35">
        <v>95</v>
      </c>
      <c r="L779" s="35">
        <v>0</v>
      </c>
      <c r="M779" s="35" t="s">
        <v>91</v>
      </c>
    </row>
    <row r="780" spans="4:13" x14ac:dyDescent="0.2">
      <c r="D780" s="34">
        <v>0</v>
      </c>
      <c r="E780" s="35">
        <v>3</v>
      </c>
      <c r="F780" s="35" t="s">
        <v>865</v>
      </c>
      <c r="G780" s="35" t="s">
        <v>90</v>
      </c>
      <c r="H780" s="35">
        <v>48</v>
      </c>
      <c r="I780" s="35">
        <v>0</v>
      </c>
      <c r="J780" s="35">
        <v>0</v>
      </c>
      <c r="K780" s="35">
        <v>78542</v>
      </c>
      <c r="L780" s="35">
        <v>0</v>
      </c>
      <c r="M780" s="35" t="s">
        <v>91</v>
      </c>
    </row>
    <row r="781" spans="4:13" x14ac:dyDescent="0.2">
      <c r="D781" s="34">
        <v>0</v>
      </c>
      <c r="E781" s="35">
        <v>2</v>
      </c>
      <c r="F781" s="35" t="s">
        <v>866</v>
      </c>
      <c r="G781" s="35" t="s">
        <v>93</v>
      </c>
      <c r="H781" s="35">
        <v>57</v>
      </c>
      <c r="I781" s="35">
        <v>0</v>
      </c>
      <c r="J781" s="35">
        <v>0</v>
      </c>
      <c r="K781" s="35">
        <v>105</v>
      </c>
      <c r="L781" s="35">
        <v>1</v>
      </c>
      <c r="M781" s="35" t="s">
        <v>91</v>
      </c>
    </row>
    <row r="782" spans="4:13" x14ac:dyDescent="0.2">
      <c r="D782" s="34">
        <v>0</v>
      </c>
      <c r="E782" s="35">
        <v>3</v>
      </c>
      <c r="F782" s="35" t="s">
        <v>867</v>
      </c>
      <c r="G782" s="35" t="s">
        <v>90</v>
      </c>
      <c r="H782" s="36"/>
      <c r="I782" s="35">
        <v>0</v>
      </c>
      <c r="J782" s="35">
        <v>0</v>
      </c>
      <c r="K782" s="35">
        <v>7225</v>
      </c>
      <c r="L782" s="35">
        <v>0</v>
      </c>
      <c r="M782" s="35" t="s">
        <v>94</v>
      </c>
    </row>
    <row r="783" spans="4:13" x14ac:dyDescent="0.2">
      <c r="D783" s="34">
        <v>1</v>
      </c>
      <c r="E783" s="35">
        <v>2</v>
      </c>
      <c r="F783" s="35" t="s">
        <v>868</v>
      </c>
      <c r="G783" s="35" t="s">
        <v>93</v>
      </c>
      <c r="H783" s="35">
        <v>54</v>
      </c>
      <c r="I783" s="35">
        <v>1</v>
      </c>
      <c r="J783" s="35">
        <v>3</v>
      </c>
      <c r="K783" s="35">
        <v>23</v>
      </c>
      <c r="L783" s="35">
        <v>0</v>
      </c>
      <c r="M783" s="35" t="s">
        <v>91</v>
      </c>
    </row>
    <row r="784" spans="4:13" x14ac:dyDescent="0.2">
      <c r="D784" s="34">
        <v>0</v>
      </c>
      <c r="E784" s="35">
        <v>3</v>
      </c>
      <c r="F784" s="35" t="s">
        <v>869</v>
      </c>
      <c r="G784" s="35" t="s">
        <v>90</v>
      </c>
      <c r="H784" s="35">
        <v>18</v>
      </c>
      <c r="I784" s="35">
        <v>0</v>
      </c>
      <c r="J784" s="35">
        <v>0</v>
      </c>
      <c r="K784" s="35">
        <v>775</v>
      </c>
      <c r="L784" s="35">
        <v>0</v>
      </c>
      <c r="M784" s="35" t="s">
        <v>91</v>
      </c>
    </row>
    <row r="785" spans="4:13" x14ac:dyDescent="0.2">
      <c r="D785" s="34">
        <v>0</v>
      </c>
      <c r="E785" s="35">
        <v>3</v>
      </c>
      <c r="F785" s="35" t="s">
        <v>870</v>
      </c>
      <c r="G785" s="35" t="s">
        <v>90</v>
      </c>
      <c r="H785" s="36"/>
      <c r="I785" s="35">
        <v>0</v>
      </c>
      <c r="J785" s="35">
        <v>0</v>
      </c>
      <c r="K785" s="35">
        <v>775</v>
      </c>
      <c r="L785" s="35">
        <v>1</v>
      </c>
      <c r="M785" s="35" t="s">
        <v>99</v>
      </c>
    </row>
    <row r="786" spans="4:13" x14ac:dyDescent="0.2">
      <c r="D786" s="34">
        <v>1</v>
      </c>
      <c r="E786" s="35">
        <v>3</v>
      </c>
      <c r="F786" s="35" t="s">
        <v>871</v>
      </c>
      <c r="G786" s="35" t="s">
        <v>93</v>
      </c>
      <c r="H786" s="35">
        <v>5</v>
      </c>
      <c r="I786" s="35">
        <v>0</v>
      </c>
      <c r="J786" s="35">
        <v>0</v>
      </c>
      <c r="K786" s="35">
        <v>12475</v>
      </c>
      <c r="L786" s="35">
        <v>0</v>
      </c>
      <c r="M786" s="35" t="s">
        <v>91</v>
      </c>
    </row>
    <row r="787" spans="4:13" x14ac:dyDescent="0.2">
      <c r="D787" s="34">
        <v>0</v>
      </c>
      <c r="E787" s="35">
        <v>3</v>
      </c>
      <c r="F787" s="35" t="s">
        <v>872</v>
      </c>
      <c r="G787" s="35" t="s">
        <v>90</v>
      </c>
      <c r="H787" s="36"/>
      <c r="I787" s="35">
        <v>0</v>
      </c>
      <c r="J787" s="35">
        <v>0</v>
      </c>
      <c r="K787" s="35">
        <v>77375</v>
      </c>
      <c r="L787" s="35">
        <v>0</v>
      </c>
      <c r="M787" s="35" t="s">
        <v>99</v>
      </c>
    </row>
    <row r="788" spans="4:13" x14ac:dyDescent="0.2">
      <c r="D788" s="34">
        <v>1</v>
      </c>
      <c r="E788" s="35">
        <v>1</v>
      </c>
      <c r="F788" s="35" t="s">
        <v>873</v>
      </c>
      <c r="G788" s="35" t="s">
        <v>93</v>
      </c>
      <c r="H788" s="35">
        <v>43</v>
      </c>
      <c r="I788" s="35">
        <v>0</v>
      </c>
      <c r="J788" s="35">
        <v>1</v>
      </c>
      <c r="K788" s="35">
        <v>2113375</v>
      </c>
      <c r="L788" s="35">
        <v>1</v>
      </c>
      <c r="M788" s="35" t="s">
        <v>91</v>
      </c>
    </row>
    <row r="789" spans="4:13" x14ac:dyDescent="0.2">
      <c r="D789" s="34">
        <v>1</v>
      </c>
      <c r="E789" s="35">
        <v>3</v>
      </c>
      <c r="F789" s="35" t="s">
        <v>874</v>
      </c>
      <c r="G789" s="35" t="s">
        <v>93</v>
      </c>
      <c r="H789" s="35">
        <v>13</v>
      </c>
      <c r="I789" s="35">
        <v>0</v>
      </c>
      <c r="J789" s="35">
        <v>0</v>
      </c>
      <c r="K789" s="35">
        <v>72292</v>
      </c>
      <c r="L789" s="35">
        <v>0</v>
      </c>
      <c r="M789" s="35" t="s">
        <v>94</v>
      </c>
    </row>
    <row r="790" spans="4:13" x14ac:dyDescent="0.2">
      <c r="D790" s="34">
        <v>1</v>
      </c>
      <c r="E790" s="35">
        <v>1</v>
      </c>
      <c r="F790" s="35" t="s">
        <v>875</v>
      </c>
      <c r="G790" s="35" t="s">
        <v>93</v>
      </c>
      <c r="H790" s="35">
        <v>17</v>
      </c>
      <c r="I790" s="35">
        <v>1</v>
      </c>
      <c r="J790" s="35">
        <v>0</v>
      </c>
      <c r="K790" s="35">
        <v>57</v>
      </c>
      <c r="L790" s="35">
        <v>1</v>
      </c>
      <c r="M790" s="35" t="s">
        <v>91</v>
      </c>
    </row>
    <row r="791" spans="4:13" x14ac:dyDescent="0.2">
      <c r="D791" s="34">
        <v>0</v>
      </c>
      <c r="E791" s="35">
        <v>1</v>
      </c>
      <c r="F791" s="35" t="s">
        <v>876</v>
      </c>
      <c r="G791" s="35" t="s">
        <v>90</v>
      </c>
      <c r="H791" s="35">
        <v>29</v>
      </c>
      <c r="I791" s="35">
        <v>0</v>
      </c>
      <c r="J791" s="35">
        <v>0</v>
      </c>
      <c r="K791" s="35">
        <v>30</v>
      </c>
      <c r="L791" s="35">
        <v>1</v>
      </c>
      <c r="M791" s="35" t="s">
        <v>91</v>
      </c>
    </row>
    <row r="792" spans="4:13" x14ac:dyDescent="0.2">
      <c r="D792" s="34">
        <v>0</v>
      </c>
      <c r="E792" s="35">
        <v>3</v>
      </c>
      <c r="F792" s="35" t="s">
        <v>877</v>
      </c>
      <c r="G792" s="35" t="s">
        <v>90</v>
      </c>
      <c r="H792" s="36"/>
      <c r="I792" s="35">
        <v>1</v>
      </c>
      <c r="J792" s="35">
        <v>2</v>
      </c>
      <c r="K792" s="35">
        <v>2345</v>
      </c>
      <c r="L792" s="35">
        <v>0</v>
      </c>
      <c r="M792" s="35" t="s">
        <v>91</v>
      </c>
    </row>
    <row r="793" spans="4:13" x14ac:dyDescent="0.2">
      <c r="D793" s="34">
        <v>0</v>
      </c>
      <c r="E793" s="35">
        <v>3</v>
      </c>
      <c r="F793" s="35" t="s">
        <v>878</v>
      </c>
      <c r="G793" s="35" t="s">
        <v>90</v>
      </c>
      <c r="H793" s="35">
        <v>25</v>
      </c>
      <c r="I793" s="35">
        <v>0</v>
      </c>
      <c r="J793" s="35">
        <v>0</v>
      </c>
      <c r="K793" s="35">
        <v>705</v>
      </c>
      <c r="L793" s="35">
        <v>0</v>
      </c>
      <c r="M793" s="35" t="s">
        <v>91</v>
      </c>
    </row>
    <row r="794" spans="4:13" x14ac:dyDescent="0.2">
      <c r="D794" s="34">
        <v>0</v>
      </c>
      <c r="E794" s="35">
        <v>3</v>
      </c>
      <c r="F794" s="35" t="s">
        <v>879</v>
      </c>
      <c r="G794" s="35" t="s">
        <v>90</v>
      </c>
      <c r="H794" s="35">
        <v>25</v>
      </c>
      <c r="I794" s="35">
        <v>0</v>
      </c>
      <c r="J794" s="35">
        <v>0</v>
      </c>
      <c r="K794" s="35">
        <v>725</v>
      </c>
      <c r="L794" s="35">
        <v>0</v>
      </c>
      <c r="M794" s="35" t="s">
        <v>91</v>
      </c>
    </row>
    <row r="795" spans="4:13" x14ac:dyDescent="0.2">
      <c r="D795" s="34">
        <v>1</v>
      </c>
      <c r="E795" s="35">
        <v>3</v>
      </c>
      <c r="F795" s="35" t="s">
        <v>880</v>
      </c>
      <c r="G795" s="35" t="s">
        <v>93</v>
      </c>
      <c r="H795" s="35">
        <v>18</v>
      </c>
      <c r="I795" s="35">
        <v>0</v>
      </c>
      <c r="J795" s="35">
        <v>0</v>
      </c>
      <c r="K795" s="35">
        <v>74958</v>
      </c>
      <c r="L795" s="35">
        <v>0</v>
      </c>
      <c r="M795" s="35" t="s">
        <v>91</v>
      </c>
    </row>
    <row r="796" spans="4:13" x14ac:dyDescent="0.2">
      <c r="D796" s="34">
        <v>0</v>
      </c>
      <c r="E796" s="35">
        <v>3</v>
      </c>
      <c r="F796" s="35" t="s">
        <v>881</v>
      </c>
      <c r="G796" s="35" t="s">
        <v>90</v>
      </c>
      <c r="H796" s="35">
        <v>8</v>
      </c>
      <c r="I796" s="35">
        <v>4</v>
      </c>
      <c r="J796" s="35">
        <v>1</v>
      </c>
      <c r="K796" s="35">
        <v>29125</v>
      </c>
      <c r="L796" s="35">
        <v>0</v>
      </c>
      <c r="M796" s="35" t="s">
        <v>99</v>
      </c>
    </row>
    <row r="797" spans="4:13" x14ac:dyDescent="0.2">
      <c r="D797" s="34">
        <v>1</v>
      </c>
      <c r="E797" s="35">
        <v>3</v>
      </c>
      <c r="F797" s="35" t="s">
        <v>882</v>
      </c>
      <c r="G797" s="35" t="s">
        <v>90</v>
      </c>
      <c r="H797" s="35">
        <v>1</v>
      </c>
      <c r="I797" s="35">
        <v>1</v>
      </c>
      <c r="J797" s="35">
        <v>2</v>
      </c>
      <c r="K797" s="35">
        <v>20575</v>
      </c>
      <c r="L797" s="35">
        <v>0</v>
      </c>
      <c r="M797" s="35" t="s">
        <v>91</v>
      </c>
    </row>
    <row r="798" spans="4:13" x14ac:dyDescent="0.2">
      <c r="D798" s="34">
        <v>0</v>
      </c>
      <c r="E798" s="35">
        <v>1</v>
      </c>
      <c r="F798" s="35" t="s">
        <v>883</v>
      </c>
      <c r="G798" s="35" t="s">
        <v>90</v>
      </c>
      <c r="H798" s="35">
        <v>46</v>
      </c>
      <c r="I798" s="35">
        <v>0</v>
      </c>
      <c r="J798" s="35">
        <v>0</v>
      </c>
      <c r="K798" s="35">
        <v>792</v>
      </c>
      <c r="L798" s="35">
        <v>1</v>
      </c>
      <c r="M798" s="35" t="s">
        <v>94</v>
      </c>
    </row>
    <row r="799" spans="4:13" x14ac:dyDescent="0.2">
      <c r="D799" s="34">
        <v>0</v>
      </c>
      <c r="E799" s="35">
        <v>3</v>
      </c>
      <c r="F799" s="35" t="s">
        <v>884</v>
      </c>
      <c r="G799" s="35" t="s">
        <v>90</v>
      </c>
      <c r="H799" s="36"/>
      <c r="I799" s="35">
        <v>0</v>
      </c>
      <c r="J799" s="35">
        <v>0</v>
      </c>
      <c r="K799" s="35">
        <v>775</v>
      </c>
      <c r="L799" s="35">
        <v>0</v>
      </c>
      <c r="M799" s="35" t="s">
        <v>99</v>
      </c>
    </row>
    <row r="800" spans="4:13" x14ac:dyDescent="0.2">
      <c r="D800" s="34">
        <v>0</v>
      </c>
      <c r="E800" s="35">
        <v>2</v>
      </c>
      <c r="F800" s="35" t="s">
        <v>885</v>
      </c>
      <c r="G800" s="35" t="s">
        <v>90</v>
      </c>
      <c r="H800" s="35">
        <v>16</v>
      </c>
      <c r="I800" s="35">
        <v>0</v>
      </c>
      <c r="J800" s="35">
        <v>0</v>
      </c>
      <c r="K800" s="35">
        <v>26</v>
      </c>
      <c r="L800" s="35">
        <v>0</v>
      </c>
      <c r="M800" s="35" t="s">
        <v>91</v>
      </c>
    </row>
    <row r="801" spans="4:13" x14ac:dyDescent="0.2">
      <c r="D801" s="34">
        <v>0</v>
      </c>
      <c r="E801" s="35">
        <v>3</v>
      </c>
      <c r="F801" s="35" t="s">
        <v>886</v>
      </c>
      <c r="G801" s="35" t="s">
        <v>93</v>
      </c>
      <c r="H801" s="36"/>
      <c r="I801" s="35">
        <v>8</v>
      </c>
      <c r="J801" s="35">
        <v>2</v>
      </c>
      <c r="K801" s="35">
        <v>6955</v>
      </c>
      <c r="L801" s="35">
        <v>0</v>
      </c>
      <c r="M801" s="35" t="s">
        <v>91</v>
      </c>
    </row>
    <row r="802" spans="4:13" x14ac:dyDescent="0.2">
      <c r="D802" s="34">
        <v>0</v>
      </c>
      <c r="E802" s="35">
        <v>1</v>
      </c>
      <c r="F802" s="35" t="s">
        <v>887</v>
      </c>
      <c r="G802" s="35" t="s">
        <v>90</v>
      </c>
      <c r="H802" s="36"/>
      <c r="I802" s="35">
        <v>0</v>
      </c>
      <c r="J802" s="35">
        <v>0</v>
      </c>
      <c r="K802" s="35">
        <v>306958</v>
      </c>
      <c r="L802" s="35">
        <v>0</v>
      </c>
      <c r="M802" s="35" t="s">
        <v>94</v>
      </c>
    </row>
    <row r="803" spans="4:13" x14ac:dyDescent="0.2">
      <c r="D803" s="34">
        <v>0</v>
      </c>
      <c r="E803" s="35">
        <v>3</v>
      </c>
      <c r="F803" s="35" t="s">
        <v>888</v>
      </c>
      <c r="G803" s="35" t="s">
        <v>90</v>
      </c>
      <c r="H803" s="35">
        <v>25</v>
      </c>
      <c r="I803" s="35">
        <v>0</v>
      </c>
      <c r="J803" s="35">
        <v>0</v>
      </c>
      <c r="K803" s="35">
        <v>78958</v>
      </c>
      <c r="L803" s="35">
        <v>0</v>
      </c>
      <c r="M803" s="35" t="s">
        <v>91</v>
      </c>
    </row>
    <row r="804" spans="4:13" x14ac:dyDescent="0.2">
      <c r="D804" s="34">
        <v>0</v>
      </c>
      <c r="E804" s="35">
        <v>2</v>
      </c>
      <c r="F804" s="35" t="s">
        <v>889</v>
      </c>
      <c r="G804" s="35" t="s">
        <v>90</v>
      </c>
      <c r="H804" s="35">
        <v>39</v>
      </c>
      <c r="I804" s="35">
        <v>0</v>
      </c>
      <c r="J804" s="35">
        <v>0</v>
      </c>
      <c r="K804" s="35">
        <v>13</v>
      </c>
      <c r="L804" s="35">
        <v>0</v>
      </c>
      <c r="M804" s="35" t="s">
        <v>91</v>
      </c>
    </row>
    <row r="805" spans="4:13" x14ac:dyDescent="0.2">
      <c r="D805" s="34">
        <v>1</v>
      </c>
      <c r="E805" s="35">
        <v>1</v>
      </c>
      <c r="F805" s="35" t="s">
        <v>890</v>
      </c>
      <c r="G805" s="35" t="s">
        <v>93</v>
      </c>
      <c r="H805" s="35">
        <v>49</v>
      </c>
      <c r="I805" s="35">
        <v>0</v>
      </c>
      <c r="J805" s="35">
        <v>0</v>
      </c>
      <c r="K805" s="35">
        <v>259292</v>
      </c>
      <c r="L805" s="35">
        <v>1</v>
      </c>
      <c r="M805" s="35" t="s">
        <v>91</v>
      </c>
    </row>
    <row r="806" spans="4:13" x14ac:dyDescent="0.2">
      <c r="D806" s="34">
        <v>1</v>
      </c>
      <c r="E806" s="35">
        <v>3</v>
      </c>
      <c r="F806" s="35" t="s">
        <v>891</v>
      </c>
      <c r="G806" s="35" t="s">
        <v>93</v>
      </c>
      <c r="H806" s="35">
        <v>31</v>
      </c>
      <c r="I806" s="35">
        <v>0</v>
      </c>
      <c r="J806" s="35">
        <v>0</v>
      </c>
      <c r="K806" s="35">
        <v>86833</v>
      </c>
      <c r="L806" s="35">
        <v>0</v>
      </c>
      <c r="M806" s="35" t="s">
        <v>91</v>
      </c>
    </row>
    <row r="807" spans="4:13" x14ac:dyDescent="0.2">
      <c r="D807" s="34">
        <v>0</v>
      </c>
      <c r="E807" s="35">
        <v>3</v>
      </c>
      <c r="F807" s="35" t="s">
        <v>892</v>
      </c>
      <c r="G807" s="35" t="s">
        <v>90</v>
      </c>
      <c r="H807" s="35">
        <v>30</v>
      </c>
      <c r="I807" s="35">
        <v>0</v>
      </c>
      <c r="J807" s="35">
        <v>0</v>
      </c>
      <c r="K807" s="35">
        <v>72292</v>
      </c>
      <c r="L807" s="35">
        <v>0</v>
      </c>
      <c r="M807" s="35" t="s">
        <v>94</v>
      </c>
    </row>
    <row r="808" spans="4:13" x14ac:dyDescent="0.2">
      <c r="D808" s="34">
        <v>0</v>
      </c>
      <c r="E808" s="35">
        <v>3</v>
      </c>
      <c r="F808" s="35" t="s">
        <v>893</v>
      </c>
      <c r="G808" s="35" t="s">
        <v>93</v>
      </c>
      <c r="H808" s="35">
        <v>30</v>
      </c>
      <c r="I808" s="35">
        <v>1</v>
      </c>
      <c r="J808" s="35">
        <v>1</v>
      </c>
      <c r="K808" s="35">
        <v>2415</v>
      </c>
      <c r="L808" s="35">
        <v>0</v>
      </c>
      <c r="M808" s="35" t="s">
        <v>91</v>
      </c>
    </row>
    <row r="809" spans="4:13" x14ac:dyDescent="0.2">
      <c r="D809" s="34">
        <v>0</v>
      </c>
      <c r="E809" s="35">
        <v>2</v>
      </c>
      <c r="F809" s="35" t="s">
        <v>894</v>
      </c>
      <c r="G809" s="35" t="s">
        <v>90</v>
      </c>
      <c r="H809" s="35">
        <v>34</v>
      </c>
      <c r="I809" s="35">
        <v>0</v>
      </c>
      <c r="J809" s="35">
        <v>0</v>
      </c>
      <c r="K809" s="35">
        <v>13</v>
      </c>
      <c r="L809" s="35">
        <v>0</v>
      </c>
      <c r="M809" s="35" t="s">
        <v>91</v>
      </c>
    </row>
    <row r="810" spans="4:13" x14ac:dyDescent="0.2">
      <c r="D810" s="34">
        <v>1</v>
      </c>
      <c r="E810" s="35">
        <v>2</v>
      </c>
      <c r="F810" s="35" t="s">
        <v>895</v>
      </c>
      <c r="G810" s="35" t="s">
        <v>93</v>
      </c>
      <c r="H810" s="35">
        <v>31</v>
      </c>
      <c r="I810" s="35">
        <v>1</v>
      </c>
      <c r="J810" s="35">
        <v>1</v>
      </c>
      <c r="K810" s="35">
        <v>2625</v>
      </c>
      <c r="L810" s="35">
        <v>0</v>
      </c>
      <c r="M810" s="35" t="s">
        <v>91</v>
      </c>
    </row>
    <row r="811" spans="4:13" x14ac:dyDescent="0.2">
      <c r="D811" s="34">
        <v>1</v>
      </c>
      <c r="E811" s="35">
        <v>1</v>
      </c>
      <c r="F811" s="35" t="s">
        <v>896</v>
      </c>
      <c r="G811" s="35" t="s">
        <v>90</v>
      </c>
      <c r="H811" s="35">
        <v>11</v>
      </c>
      <c r="I811" s="35">
        <v>1</v>
      </c>
      <c r="J811" s="35">
        <v>2</v>
      </c>
      <c r="K811" s="35">
        <v>120</v>
      </c>
      <c r="L811" s="35">
        <v>1</v>
      </c>
      <c r="M811" s="35" t="s">
        <v>91</v>
      </c>
    </row>
    <row r="812" spans="4:13" x14ac:dyDescent="0.2">
      <c r="D812" s="34">
        <v>1</v>
      </c>
      <c r="E812" s="35">
        <v>3</v>
      </c>
      <c r="F812" s="35" t="s">
        <v>897</v>
      </c>
      <c r="G812" s="35" t="s">
        <v>90</v>
      </c>
      <c r="H812" s="35">
        <v>42</v>
      </c>
      <c r="I812" s="35">
        <v>0</v>
      </c>
      <c r="J812" s="35">
        <v>1</v>
      </c>
      <c r="K812" s="35">
        <v>85167</v>
      </c>
      <c r="L812" s="35">
        <v>0</v>
      </c>
      <c r="M812" s="35" t="s">
        <v>94</v>
      </c>
    </row>
    <row r="813" spans="4:13" x14ac:dyDescent="0.2">
      <c r="D813" s="34">
        <v>1</v>
      </c>
      <c r="E813" s="35">
        <v>3</v>
      </c>
      <c r="F813" s="35" t="s">
        <v>898</v>
      </c>
      <c r="G813" s="35" t="s">
        <v>90</v>
      </c>
      <c r="H813" s="35">
        <v>27</v>
      </c>
      <c r="I813" s="35">
        <v>0</v>
      </c>
      <c r="J813" s="35">
        <v>0</v>
      </c>
      <c r="K813" s="35">
        <v>6975</v>
      </c>
      <c r="L813" s="35">
        <v>0</v>
      </c>
      <c r="M813" s="35" t="s">
        <v>91</v>
      </c>
    </row>
    <row r="814" spans="4:13" x14ac:dyDescent="0.2">
      <c r="D814" s="34">
        <v>0</v>
      </c>
      <c r="E814" s="35">
        <v>3</v>
      </c>
      <c r="F814" s="35" t="s">
        <v>899</v>
      </c>
      <c r="G814" s="35" t="s">
        <v>90</v>
      </c>
      <c r="H814" s="35">
        <v>31</v>
      </c>
      <c r="I814" s="35">
        <v>0</v>
      </c>
      <c r="J814" s="35">
        <v>0</v>
      </c>
      <c r="K814" s="35">
        <v>7775</v>
      </c>
      <c r="L814" s="35">
        <v>0</v>
      </c>
      <c r="M814" s="35" t="s">
        <v>91</v>
      </c>
    </row>
    <row r="815" spans="4:13" x14ac:dyDescent="0.2">
      <c r="D815" s="34">
        <v>0</v>
      </c>
      <c r="E815" s="35">
        <v>1</v>
      </c>
      <c r="F815" s="35" t="s">
        <v>900</v>
      </c>
      <c r="G815" s="35" t="s">
        <v>90</v>
      </c>
      <c r="H815" s="35">
        <v>39</v>
      </c>
      <c r="I815" s="35">
        <v>0</v>
      </c>
      <c r="J815" s="35">
        <v>0</v>
      </c>
      <c r="K815" s="35">
        <v>0</v>
      </c>
      <c r="L815" s="35">
        <v>1</v>
      </c>
      <c r="M815" s="35" t="s">
        <v>91</v>
      </c>
    </row>
    <row r="816" spans="4:13" x14ac:dyDescent="0.2">
      <c r="D816" s="34">
        <v>0</v>
      </c>
      <c r="E816" s="35">
        <v>3</v>
      </c>
      <c r="F816" s="35" t="s">
        <v>901</v>
      </c>
      <c r="G816" s="35" t="s">
        <v>93</v>
      </c>
      <c r="H816" s="35">
        <v>18</v>
      </c>
      <c r="I816" s="35">
        <v>0</v>
      </c>
      <c r="J816" s="35">
        <v>0</v>
      </c>
      <c r="K816" s="35">
        <v>7775</v>
      </c>
      <c r="L816" s="35">
        <v>0</v>
      </c>
      <c r="M816" s="35" t="s">
        <v>91</v>
      </c>
    </row>
    <row r="817" spans="4:13" x14ac:dyDescent="0.2">
      <c r="D817" s="34">
        <v>0</v>
      </c>
      <c r="E817" s="35">
        <v>2</v>
      </c>
      <c r="F817" s="35" t="s">
        <v>902</v>
      </c>
      <c r="G817" s="35" t="s">
        <v>90</v>
      </c>
      <c r="H817" s="35">
        <v>39</v>
      </c>
      <c r="I817" s="35">
        <v>0</v>
      </c>
      <c r="J817" s="35">
        <v>0</v>
      </c>
      <c r="K817" s="35">
        <v>13</v>
      </c>
      <c r="L817" s="35">
        <v>0</v>
      </c>
      <c r="M817" s="35" t="s">
        <v>91</v>
      </c>
    </row>
    <row r="818" spans="4:13" x14ac:dyDescent="0.2">
      <c r="D818" s="34">
        <v>1</v>
      </c>
      <c r="E818" s="35">
        <v>1</v>
      </c>
      <c r="F818" s="35" t="s">
        <v>903</v>
      </c>
      <c r="G818" s="35" t="s">
        <v>93</v>
      </c>
      <c r="H818" s="35">
        <v>33</v>
      </c>
      <c r="I818" s="35">
        <v>1</v>
      </c>
      <c r="J818" s="35">
        <v>0</v>
      </c>
      <c r="K818" s="35">
        <v>531</v>
      </c>
      <c r="L818" s="35">
        <v>1</v>
      </c>
      <c r="M818" s="35" t="s">
        <v>91</v>
      </c>
    </row>
    <row r="819" spans="4:13" x14ac:dyDescent="0.2">
      <c r="D819" s="34">
        <v>0</v>
      </c>
      <c r="E819" s="35">
        <v>3</v>
      </c>
      <c r="F819" s="35" t="s">
        <v>904</v>
      </c>
      <c r="G819" s="35" t="s">
        <v>90</v>
      </c>
      <c r="H819" s="35">
        <v>26</v>
      </c>
      <c r="I819" s="35">
        <v>0</v>
      </c>
      <c r="J819" s="35">
        <v>0</v>
      </c>
      <c r="K819" s="35">
        <v>78875</v>
      </c>
      <c r="L819" s="35">
        <v>0</v>
      </c>
      <c r="M819" s="35" t="s">
        <v>91</v>
      </c>
    </row>
    <row r="820" spans="4:13" x14ac:dyDescent="0.2">
      <c r="D820" s="34">
        <v>0</v>
      </c>
      <c r="E820" s="35">
        <v>3</v>
      </c>
      <c r="F820" s="35" t="s">
        <v>905</v>
      </c>
      <c r="G820" s="35" t="s">
        <v>90</v>
      </c>
      <c r="H820" s="35">
        <v>39</v>
      </c>
      <c r="I820" s="35">
        <v>0</v>
      </c>
      <c r="J820" s="35">
        <v>0</v>
      </c>
      <c r="K820" s="35">
        <v>2415</v>
      </c>
      <c r="L820" s="35">
        <v>0</v>
      </c>
      <c r="M820" s="35" t="s">
        <v>91</v>
      </c>
    </row>
    <row r="821" spans="4:13" x14ac:dyDescent="0.2">
      <c r="D821" s="34">
        <v>0</v>
      </c>
      <c r="E821" s="35">
        <v>2</v>
      </c>
      <c r="F821" s="35" t="s">
        <v>906</v>
      </c>
      <c r="G821" s="35" t="s">
        <v>90</v>
      </c>
      <c r="H821" s="35">
        <v>35</v>
      </c>
      <c r="I821" s="35">
        <v>0</v>
      </c>
      <c r="J821" s="35">
        <v>0</v>
      </c>
      <c r="K821" s="35">
        <v>105</v>
      </c>
      <c r="L821" s="35">
        <v>0</v>
      </c>
      <c r="M821" s="35" t="s">
        <v>91</v>
      </c>
    </row>
    <row r="822" spans="4:13" x14ac:dyDescent="0.2">
      <c r="D822" s="34">
        <v>0</v>
      </c>
      <c r="E822" s="35">
        <v>3</v>
      </c>
      <c r="F822" s="35" t="s">
        <v>907</v>
      </c>
      <c r="G822" s="35" t="s">
        <v>93</v>
      </c>
      <c r="H822" s="35">
        <v>6</v>
      </c>
      <c r="I822" s="35">
        <v>4</v>
      </c>
      <c r="J822" s="35">
        <v>2</v>
      </c>
      <c r="K822" s="35">
        <v>31275</v>
      </c>
      <c r="L822" s="35">
        <v>0</v>
      </c>
      <c r="M822" s="35" t="s">
        <v>91</v>
      </c>
    </row>
    <row r="823" spans="4:13" x14ac:dyDescent="0.2">
      <c r="D823" s="34">
        <v>0</v>
      </c>
      <c r="E823" s="35">
        <v>3</v>
      </c>
      <c r="F823" s="35" t="s">
        <v>908</v>
      </c>
      <c r="G823" s="35" t="s">
        <v>90</v>
      </c>
      <c r="H823" s="35">
        <v>305</v>
      </c>
      <c r="I823" s="35">
        <v>0</v>
      </c>
      <c r="J823" s="35">
        <v>0</v>
      </c>
      <c r="K823" s="35">
        <v>805</v>
      </c>
      <c r="L823" s="35">
        <v>0</v>
      </c>
      <c r="M823" s="35" t="s">
        <v>91</v>
      </c>
    </row>
    <row r="824" spans="4:13" x14ac:dyDescent="0.2">
      <c r="D824" s="34">
        <v>0</v>
      </c>
      <c r="E824" s="35">
        <v>1</v>
      </c>
      <c r="F824" s="35" t="s">
        <v>909</v>
      </c>
      <c r="G824" s="35" t="s">
        <v>90</v>
      </c>
      <c r="H824" s="36"/>
      <c r="I824" s="35">
        <v>0</v>
      </c>
      <c r="J824" s="35">
        <v>0</v>
      </c>
      <c r="K824" s="35">
        <v>0</v>
      </c>
      <c r="L824" s="35">
        <v>1</v>
      </c>
      <c r="M824" s="35" t="s">
        <v>91</v>
      </c>
    </row>
    <row r="825" spans="4:13" x14ac:dyDescent="0.2">
      <c r="D825" s="34">
        <v>0</v>
      </c>
      <c r="E825" s="35">
        <v>3</v>
      </c>
      <c r="F825" s="35" t="s">
        <v>910</v>
      </c>
      <c r="G825" s="35" t="s">
        <v>93</v>
      </c>
      <c r="H825" s="35">
        <v>23</v>
      </c>
      <c r="I825" s="35">
        <v>0</v>
      </c>
      <c r="J825" s="35">
        <v>0</v>
      </c>
      <c r="K825" s="35">
        <v>7925</v>
      </c>
      <c r="L825" s="35">
        <v>0</v>
      </c>
      <c r="M825" s="35" t="s">
        <v>91</v>
      </c>
    </row>
    <row r="826" spans="4:13" x14ac:dyDescent="0.2">
      <c r="D826" s="34">
        <v>0</v>
      </c>
      <c r="E826" s="35">
        <v>2</v>
      </c>
      <c r="F826" s="35" t="s">
        <v>911</v>
      </c>
      <c r="G826" s="35" t="s">
        <v>90</v>
      </c>
      <c r="H826" s="35">
        <v>31</v>
      </c>
      <c r="I826" s="35">
        <v>1</v>
      </c>
      <c r="J826" s="35">
        <v>1</v>
      </c>
      <c r="K826" s="35">
        <v>370042</v>
      </c>
      <c r="L826" s="35">
        <v>0</v>
      </c>
      <c r="M826" s="35" t="s">
        <v>94</v>
      </c>
    </row>
    <row r="827" spans="4:13" x14ac:dyDescent="0.2">
      <c r="D827" s="34">
        <v>0</v>
      </c>
      <c r="E827" s="35">
        <v>3</v>
      </c>
      <c r="F827" s="35" t="s">
        <v>912</v>
      </c>
      <c r="G827" s="35" t="s">
        <v>90</v>
      </c>
      <c r="H827" s="35">
        <v>43</v>
      </c>
      <c r="I827" s="35">
        <v>0</v>
      </c>
      <c r="J827" s="35">
        <v>0</v>
      </c>
      <c r="K827" s="35">
        <v>645</v>
      </c>
      <c r="L827" s="35">
        <v>0</v>
      </c>
      <c r="M827" s="35" t="s">
        <v>91</v>
      </c>
    </row>
    <row r="828" spans="4:13" x14ac:dyDescent="0.2">
      <c r="D828" s="34">
        <v>0</v>
      </c>
      <c r="E828" s="35">
        <v>3</v>
      </c>
      <c r="F828" s="35" t="s">
        <v>913</v>
      </c>
      <c r="G828" s="35" t="s">
        <v>90</v>
      </c>
      <c r="H828" s="35">
        <v>10</v>
      </c>
      <c r="I828" s="35">
        <v>3</v>
      </c>
      <c r="J828" s="35">
        <v>2</v>
      </c>
      <c r="K828" s="35">
        <v>279</v>
      </c>
      <c r="L828" s="35">
        <v>0</v>
      </c>
      <c r="M828" s="35" t="s">
        <v>91</v>
      </c>
    </row>
    <row r="829" spans="4:13" x14ac:dyDescent="0.2">
      <c r="D829" s="34">
        <v>1</v>
      </c>
      <c r="E829" s="35">
        <v>1</v>
      </c>
      <c r="F829" s="35" t="s">
        <v>914</v>
      </c>
      <c r="G829" s="35" t="s">
        <v>93</v>
      </c>
      <c r="H829" s="35">
        <v>52</v>
      </c>
      <c r="I829" s="35">
        <v>1</v>
      </c>
      <c r="J829" s="35">
        <v>1</v>
      </c>
      <c r="K829" s="35">
        <v>935</v>
      </c>
      <c r="L829" s="35">
        <v>1</v>
      </c>
      <c r="M829" s="35" t="s">
        <v>91</v>
      </c>
    </row>
    <row r="830" spans="4:13" x14ac:dyDescent="0.2">
      <c r="D830" s="34">
        <v>1</v>
      </c>
      <c r="E830" s="35">
        <v>3</v>
      </c>
      <c r="F830" s="35" t="s">
        <v>915</v>
      </c>
      <c r="G830" s="35" t="s">
        <v>90</v>
      </c>
      <c r="H830" s="35">
        <v>27</v>
      </c>
      <c r="I830" s="35">
        <v>0</v>
      </c>
      <c r="J830" s="35">
        <v>0</v>
      </c>
      <c r="K830" s="35">
        <v>86625</v>
      </c>
      <c r="L830" s="35">
        <v>0</v>
      </c>
      <c r="M830" s="35" t="s">
        <v>91</v>
      </c>
    </row>
    <row r="831" spans="4:13" x14ac:dyDescent="0.2">
      <c r="D831" s="34">
        <v>0</v>
      </c>
      <c r="E831" s="35">
        <v>1</v>
      </c>
      <c r="F831" s="35" t="s">
        <v>916</v>
      </c>
      <c r="G831" s="35" t="s">
        <v>90</v>
      </c>
      <c r="H831" s="35">
        <v>38</v>
      </c>
      <c r="I831" s="35">
        <v>0</v>
      </c>
      <c r="J831" s="35">
        <v>0</v>
      </c>
      <c r="K831" s="35">
        <v>0</v>
      </c>
      <c r="L831" s="35">
        <v>0</v>
      </c>
      <c r="M831" s="35" t="s">
        <v>91</v>
      </c>
    </row>
    <row r="832" spans="4:13" x14ac:dyDescent="0.2">
      <c r="D832" s="34">
        <v>1</v>
      </c>
      <c r="E832" s="35">
        <v>3</v>
      </c>
      <c r="F832" s="35" t="s">
        <v>917</v>
      </c>
      <c r="G832" s="35" t="s">
        <v>93</v>
      </c>
      <c r="H832" s="35">
        <v>27</v>
      </c>
      <c r="I832" s="35">
        <v>0</v>
      </c>
      <c r="J832" s="35">
        <v>1</v>
      </c>
      <c r="K832" s="35">
        <v>12475</v>
      </c>
      <c r="L832" s="35">
        <v>1</v>
      </c>
      <c r="M832" s="35" t="s">
        <v>91</v>
      </c>
    </row>
    <row r="833" spans="4:13" x14ac:dyDescent="0.2">
      <c r="D833" s="34">
        <v>0</v>
      </c>
      <c r="E833" s="35">
        <v>3</v>
      </c>
      <c r="F833" s="35" t="s">
        <v>918</v>
      </c>
      <c r="G833" s="35" t="s">
        <v>90</v>
      </c>
      <c r="H833" s="35">
        <v>2</v>
      </c>
      <c r="I833" s="35">
        <v>4</v>
      </c>
      <c r="J833" s="35">
        <v>1</v>
      </c>
      <c r="K833" s="35">
        <v>396875</v>
      </c>
      <c r="L833" s="35">
        <v>0</v>
      </c>
      <c r="M833" s="35" t="s">
        <v>91</v>
      </c>
    </row>
    <row r="834" spans="4:13" x14ac:dyDescent="0.2">
      <c r="D834" s="34">
        <v>0</v>
      </c>
      <c r="E834" s="35">
        <v>3</v>
      </c>
      <c r="F834" s="35" t="s">
        <v>919</v>
      </c>
      <c r="G834" s="35" t="s">
        <v>90</v>
      </c>
      <c r="H834" s="36"/>
      <c r="I834" s="35">
        <v>0</v>
      </c>
      <c r="J834" s="35">
        <v>0</v>
      </c>
      <c r="K834" s="35">
        <v>695</v>
      </c>
      <c r="L834" s="35">
        <v>0</v>
      </c>
      <c r="M834" s="35" t="s">
        <v>99</v>
      </c>
    </row>
    <row r="835" spans="4:13" x14ac:dyDescent="0.2">
      <c r="D835" s="34">
        <v>0</v>
      </c>
      <c r="E835" s="35">
        <v>3</v>
      </c>
      <c r="F835" s="35" t="s">
        <v>920</v>
      </c>
      <c r="G835" s="35" t="s">
        <v>90</v>
      </c>
      <c r="H835" s="36"/>
      <c r="I835" s="35">
        <v>0</v>
      </c>
      <c r="J835" s="35">
        <v>0</v>
      </c>
      <c r="K835" s="35">
        <v>564958</v>
      </c>
      <c r="L835" s="35">
        <v>0</v>
      </c>
      <c r="M835" s="35" t="s">
        <v>91</v>
      </c>
    </row>
    <row r="836" spans="4:13" x14ac:dyDescent="0.2">
      <c r="D836" s="34">
        <v>1</v>
      </c>
      <c r="E836" s="35">
        <v>2</v>
      </c>
      <c r="F836" s="35" t="s">
        <v>921</v>
      </c>
      <c r="G836" s="35" t="s">
        <v>90</v>
      </c>
      <c r="H836" s="35">
        <v>1</v>
      </c>
      <c r="I836" s="35">
        <v>0</v>
      </c>
      <c r="J836" s="35">
        <v>2</v>
      </c>
      <c r="K836" s="35">
        <v>370042</v>
      </c>
      <c r="L836" s="35">
        <v>0</v>
      </c>
      <c r="M836" s="35" t="s">
        <v>94</v>
      </c>
    </row>
    <row r="837" spans="4:13" x14ac:dyDescent="0.2">
      <c r="D837" s="34">
        <v>1</v>
      </c>
      <c r="E837" s="35">
        <v>3</v>
      </c>
      <c r="F837" s="35" t="s">
        <v>922</v>
      </c>
      <c r="G837" s="35" t="s">
        <v>90</v>
      </c>
      <c r="H837" s="36"/>
      <c r="I837" s="35">
        <v>0</v>
      </c>
      <c r="J837" s="35">
        <v>0</v>
      </c>
      <c r="K837" s="35">
        <v>775</v>
      </c>
      <c r="L837" s="35">
        <v>0</v>
      </c>
      <c r="M837" s="35" t="s">
        <v>99</v>
      </c>
    </row>
    <row r="838" spans="4:13" x14ac:dyDescent="0.2">
      <c r="D838" s="34">
        <v>1</v>
      </c>
      <c r="E838" s="35">
        <v>1</v>
      </c>
      <c r="F838" s="35" t="s">
        <v>923</v>
      </c>
      <c r="G838" s="35" t="s">
        <v>93</v>
      </c>
      <c r="H838" s="35">
        <v>62</v>
      </c>
      <c r="I838" s="35">
        <v>0</v>
      </c>
      <c r="J838" s="35">
        <v>0</v>
      </c>
      <c r="K838" s="35">
        <v>80</v>
      </c>
      <c r="L838" s="35">
        <v>1</v>
      </c>
      <c r="M838" s="36"/>
    </row>
    <row r="839" spans="4:13" x14ac:dyDescent="0.2">
      <c r="D839" s="34">
        <v>1</v>
      </c>
      <c r="E839" s="35">
        <v>3</v>
      </c>
      <c r="F839" s="35" t="s">
        <v>924</v>
      </c>
      <c r="G839" s="35" t="s">
        <v>93</v>
      </c>
      <c r="H839" s="35">
        <v>15</v>
      </c>
      <c r="I839" s="35">
        <v>1</v>
      </c>
      <c r="J839" s="35">
        <v>0</v>
      </c>
      <c r="K839" s="35">
        <v>144542</v>
      </c>
      <c r="L839" s="35">
        <v>0</v>
      </c>
      <c r="M839" s="35" t="s">
        <v>94</v>
      </c>
    </row>
    <row r="840" spans="4:13" x14ac:dyDescent="0.2">
      <c r="D840" s="34">
        <v>1</v>
      </c>
      <c r="E840" s="35">
        <v>2</v>
      </c>
      <c r="F840" s="35" t="s">
        <v>925</v>
      </c>
      <c r="G840" s="35" t="s">
        <v>90</v>
      </c>
      <c r="H840" s="35">
        <v>83</v>
      </c>
      <c r="I840" s="35">
        <v>1</v>
      </c>
      <c r="J840" s="35">
        <v>1</v>
      </c>
      <c r="K840" s="35">
        <v>1875</v>
      </c>
      <c r="L840" s="35">
        <v>0</v>
      </c>
      <c r="M840" s="35" t="s">
        <v>91</v>
      </c>
    </row>
    <row r="841" spans="4:13" x14ac:dyDescent="0.2">
      <c r="D841" s="34">
        <v>0</v>
      </c>
      <c r="E841" s="35">
        <v>3</v>
      </c>
      <c r="F841" s="35" t="s">
        <v>926</v>
      </c>
      <c r="G841" s="35" t="s">
        <v>90</v>
      </c>
      <c r="H841" s="36"/>
      <c r="I841" s="35">
        <v>0</v>
      </c>
      <c r="J841" s="35">
        <v>0</v>
      </c>
      <c r="K841" s="35">
        <v>72292</v>
      </c>
      <c r="L841" s="35">
        <v>0</v>
      </c>
      <c r="M841" s="35" t="s">
        <v>94</v>
      </c>
    </row>
    <row r="842" spans="4:13" x14ac:dyDescent="0.2">
      <c r="D842" s="34">
        <v>0</v>
      </c>
      <c r="E842" s="35">
        <v>3</v>
      </c>
      <c r="F842" s="35" t="s">
        <v>927</v>
      </c>
      <c r="G842" s="35" t="s">
        <v>90</v>
      </c>
      <c r="H842" s="35">
        <v>23</v>
      </c>
      <c r="I842" s="35">
        <v>0</v>
      </c>
      <c r="J842" s="35">
        <v>0</v>
      </c>
      <c r="K842" s="35">
        <v>78542</v>
      </c>
      <c r="L842" s="35">
        <v>0</v>
      </c>
      <c r="M842" s="35" t="s">
        <v>91</v>
      </c>
    </row>
    <row r="843" spans="4:13" x14ac:dyDescent="0.2">
      <c r="D843" s="34">
        <v>0</v>
      </c>
      <c r="E843" s="35">
        <v>3</v>
      </c>
      <c r="F843" s="35" t="s">
        <v>928</v>
      </c>
      <c r="G843" s="35" t="s">
        <v>90</v>
      </c>
      <c r="H843" s="35">
        <v>18</v>
      </c>
      <c r="I843" s="35">
        <v>0</v>
      </c>
      <c r="J843" s="35">
        <v>0</v>
      </c>
      <c r="K843" s="35">
        <v>83</v>
      </c>
      <c r="L843" s="35">
        <v>0</v>
      </c>
      <c r="M843" s="35" t="s">
        <v>91</v>
      </c>
    </row>
    <row r="844" spans="4:13" x14ac:dyDescent="0.2">
      <c r="D844" s="34">
        <v>1</v>
      </c>
      <c r="E844" s="35">
        <v>1</v>
      </c>
      <c r="F844" s="35" t="s">
        <v>929</v>
      </c>
      <c r="G844" s="35" t="s">
        <v>93</v>
      </c>
      <c r="H844" s="35">
        <v>39</v>
      </c>
      <c r="I844" s="35">
        <v>1</v>
      </c>
      <c r="J844" s="35">
        <v>1</v>
      </c>
      <c r="K844" s="35">
        <v>831583</v>
      </c>
      <c r="L844" s="35">
        <v>1</v>
      </c>
      <c r="M844" s="35" t="s">
        <v>94</v>
      </c>
    </row>
    <row r="845" spans="4:13" x14ac:dyDescent="0.2">
      <c r="D845" s="34">
        <v>0</v>
      </c>
      <c r="E845" s="35">
        <v>3</v>
      </c>
      <c r="F845" s="35" t="s">
        <v>930</v>
      </c>
      <c r="G845" s="35" t="s">
        <v>90</v>
      </c>
      <c r="H845" s="35">
        <v>21</v>
      </c>
      <c r="I845" s="35">
        <v>0</v>
      </c>
      <c r="J845" s="35">
        <v>0</v>
      </c>
      <c r="K845" s="35">
        <v>86625</v>
      </c>
      <c r="L845" s="35">
        <v>0</v>
      </c>
      <c r="M845" s="35" t="s">
        <v>91</v>
      </c>
    </row>
    <row r="846" spans="4:13" x14ac:dyDescent="0.2">
      <c r="D846" s="34">
        <v>0</v>
      </c>
      <c r="E846" s="35">
        <v>3</v>
      </c>
      <c r="F846" s="35" t="s">
        <v>931</v>
      </c>
      <c r="G846" s="35" t="s">
        <v>90</v>
      </c>
      <c r="H846" s="36"/>
      <c r="I846" s="35">
        <v>0</v>
      </c>
      <c r="J846" s="35">
        <v>0</v>
      </c>
      <c r="K846" s="35">
        <v>805</v>
      </c>
      <c r="L846" s="35">
        <v>0</v>
      </c>
      <c r="M846" s="35" t="s">
        <v>91</v>
      </c>
    </row>
    <row r="847" spans="4:13" x14ac:dyDescent="0.2">
      <c r="D847" s="34">
        <v>1</v>
      </c>
      <c r="E847" s="35">
        <v>3</v>
      </c>
      <c r="F847" s="35" t="s">
        <v>932</v>
      </c>
      <c r="G847" s="35" t="s">
        <v>90</v>
      </c>
      <c r="H847" s="35">
        <v>32</v>
      </c>
      <c r="I847" s="35">
        <v>0</v>
      </c>
      <c r="J847" s="35">
        <v>0</v>
      </c>
      <c r="K847" s="35">
        <v>564958</v>
      </c>
      <c r="L847" s="35">
        <v>0</v>
      </c>
      <c r="M847" s="35" t="s">
        <v>91</v>
      </c>
    </row>
    <row r="848" spans="4:13" x14ac:dyDescent="0.2">
      <c r="D848" s="34">
        <v>1</v>
      </c>
      <c r="E848" s="35">
        <v>1</v>
      </c>
      <c r="F848" s="35" t="s">
        <v>933</v>
      </c>
      <c r="G848" s="35" t="s">
        <v>90</v>
      </c>
      <c r="H848" s="36"/>
      <c r="I848" s="35">
        <v>0</v>
      </c>
      <c r="J848" s="35">
        <v>0</v>
      </c>
      <c r="K848" s="35">
        <v>297</v>
      </c>
      <c r="L848" s="35">
        <v>1</v>
      </c>
      <c r="M848" s="35" t="s">
        <v>94</v>
      </c>
    </row>
    <row r="849" spans="4:13" x14ac:dyDescent="0.2">
      <c r="D849" s="34">
        <v>0</v>
      </c>
      <c r="E849" s="35">
        <v>3</v>
      </c>
      <c r="F849" s="35" t="s">
        <v>934</v>
      </c>
      <c r="G849" s="35" t="s">
        <v>90</v>
      </c>
      <c r="H849" s="35">
        <v>20</v>
      </c>
      <c r="I849" s="35">
        <v>0</v>
      </c>
      <c r="J849" s="35">
        <v>0</v>
      </c>
      <c r="K849" s="35">
        <v>7925</v>
      </c>
      <c r="L849" s="35">
        <v>0</v>
      </c>
      <c r="M849" s="35" t="s">
        <v>91</v>
      </c>
    </row>
    <row r="850" spans="4:13" x14ac:dyDescent="0.2">
      <c r="D850" s="34">
        <v>0</v>
      </c>
      <c r="E850" s="35">
        <v>2</v>
      </c>
      <c r="F850" s="35" t="s">
        <v>935</v>
      </c>
      <c r="G850" s="35" t="s">
        <v>90</v>
      </c>
      <c r="H850" s="35">
        <v>16</v>
      </c>
      <c r="I850" s="35">
        <v>0</v>
      </c>
      <c r="J850" s="35">
        <v>0</v>
      </c>
      <c r="K850" s="35">
        <v>105</v>
      </c>
      <c r="L850" s="35">
        <v>0</v>
      </c>
      <c r="M850" s="35" t="s">
        <v>91</v>
      </c>
    </row>
    <row r="851" spans="4:13" x14ac:dyDescent="0.2">
      <c r="D851" s="34">
        <v>1</v>
      </c>
      <c r="E851" s="35">
        <v>1</v>
      </c>
      <c r="F851" s="35" t="s">
        <v>936</v>
      </c>
      <c r="G851" s="35" t="s">
        <v>93</v>
      </c>
      <c r="H851" s="35">
        <v>30</v>
      </c>
      <c r="I851" s="35">
        <v>0</v>
      </c>
      <c r="J851" s="35">
        <v>0</v>
      </c>
      <c r="K851" s="35">
        <v>31</v>
      </c>
      <c r="L851" s="35">
        <v>0</v>
      </c>
      <c r="M851" s="35" t="s">
        <v>94</v>
      </c>
    </row>
    <row r="852" spans="4:13" x14ac:dyDescent="0.2">
      <c r="D852" s="34">
        <v>0</v>
      </c>
      <c r="E852" s="35">
        <v>3</v>
      </c>
      <c r="F852" s="35" t="s">
        <v>937</v>
      </c>
      <c r="G852" s="35" t="s">
        <v>90</v>
      </c>
      <c r="H852" s="35">
        <v>345</v>
      </c>
      <c r="I852" s="35">
        <v>0</v>
      </c>
      <c r="J852" s="35">
        <v>0</v>
      </c>
      <c r="K852" s="35">
        <v>64375</v>
      </c>
      <c r="L852" s="35">
        <v>0</v>
      </c>
      <c r="M852" s="35" t="s">
        <v>94</v>
      </c>
    </row>
    <row r="853" spans="4:13" x14ac:dyDescent="0.2">
      <c r="D853" s="34">
        <v>0</v>
      </c>
      <c r="E853" s="35">
        <v>3</v>
      </c>
      <c r="F853" s="35" t="s">
        <v>938</v>
      </c>
      <c r="G853" s="35" t="s">
        <v>90</v>
      </c>
      <c r="H853" s="35">
        <v>17</v>
      </c>
      <c r="I853" s="35">
        <v>0</v>
      </c>
      <c r="J853" s="35">
        <v>0</v>
      </c>
      <c r="K853" s="35">
        <v>86625</v>
      </c>
      <c r="L853" s="35">
        <v>0</v>
      </c>
      <c r="M853" s="35" t="s">
        <v>91</v>
      </c>
    </row>
    <row r="854" spans="4:13" x14ac:dyDescent="0.2">
      <c r="D854" s="34">
        <v>0</v>
      </c>
      <c r="E854" s="35">
        <v>3</v>
      </c>
      <c r="F854" s="35" t="s">
        <v>939</v>
      </c>
      <c r="G854" s="35" t="s">
        <v>90</v>
      </c>
      <c r="H854" s="35">
        <v>42</v>
      </c>
      <c r="I854" s="35">
        <v>0</v>
      </c>
      <c r="J854" s="35">
        <v>0</v>
      </c>
      <c r="K854" s="35">
        <v>755</v>
      </c>
      <c r="L854" s="35">
        <v>0</v>
      </c>
      <c r="M854" s="35" t="s">
        <v>91</v>
      </c>
    </row>
    <row r="855" spans="4:13" x14ac:dyDescent="0.2">
      <c r="D855" s="34">
        <v>0</v>
      </c>
      <c r="E855" s="35">
        <v>3</v>
      </c>
      <c r="F855" s="35" t="s">
        <v>940</v>
      </c>
      <c r="G855" s="35" t="s">
        <v>90</v>
      </c>
      <c r="H855" s="36"/>
      <c r="I855" s="35">
        <v>8</v>
      </c>
      <c r="J855" s="35">
        <v>2</v>
      </c>
      <c r="K855" s="35">
        <v>6955</v>
      </c>
      <c r="L855" s="35">
        <v>0</v>
      </c>
      <c r="M855" s="35" t="s">
        <v>91</v>
      </c>
    </row>
    <row r="856" spans="4:13" x14ac:dyDescent="0.2">
      <c r="D856" s="34">
        <v>0</v>
      </c>
      <c r="E856" s="35">
        <v>3</v>
      </c>
      <c r="F856" s="35" t="s">
        <v>941</v>
      </c>
      <c r="G856" s="35" t="s">
        <v>90</v>
      </c>
      <c r="H856" s="35">
        <v>35</v>
      </c>
      <c r="I856" s="35">
        <v>0</v>
      </c>
      <c r="J856" s="35">
        <v>0</v>
      </c>
      <c r="K856" s="35">
        <v>78958</v>
      </c>
      <c r="L856" s="35">
        <v>0</v>
      </c>
      <c r="M856" s="35" t="s">
        <v>94</v>
      </c>
    </row>
    <row r="857" spans="4:13" x14ac:dyDescent="0.2">
      <c r="D857" s="34">
        <v>0</v>
      </c>
      <c r="E857" s="35">
        <v>2</v>
      </c>
      <c r="F857" s="35" t="s">
        <v>942</v>
      </c>
      <c r="G857" s="35" t="s">
        <v>90</v>
      </c>
      <c r="H857" s="35">
        <v>28</v>
      </c>
      <c r="I857" s="35">
        <v>0</v>
      </c>
      <c r="J857" s="35">
        <v>1</v>
      </c>
      <c r="K857" s="35">
        <v>33</v>
      </c>
      <c r="L857" s="35">
        <v>0</v>
      </c>
      <c r="M857" s="35" t="s">
        <v>91</v>
      </c>
    </row>
    <row r="858" spans="4:13" x14ac:dyDescent="0.2">
      <c r="D858" s="34">
        <v>1</v>
      </c>
      <c r="E858" s="35">
        <v>1</v>
      </c>
      <c r="F858" s="35" t="s">
        <v>943</v>
      </c>
      <c r="G858" s="35" t="s">
        <v>93</v>
      </c>
      <c r="H858" s="36"/>
      <c r="I858" s="35">
        <v>1</v>
      </c>
      <c r="J858" s="35">
        <v>0</v>
      </c>
      <c r="K858" s="35">
        <v>891042</v>
      </c>
      <c r="L858" s="35">
        <v>1</v>
      </c>
      <c r="M858" s="35" t="s">
        <v>94</v>
      </c>
    </row>
    <row r="859" spans="4:13" x14ac:dyDescent="0.2">
      <c r="D859" s="34">
        <v>0</v>
      </c>
      <c r="E859" s="35">
        <v>3</v>
      </c>
      <c r="F859" s="35" t="s">
        <v>944</v>
      </c>
      <c r="G859" s="35" t="s">
        <v>90</v>
      </c>
      <c r="H859" s="35">
        <v>4</v>
      </c>
      <c r="I859" s="35">
        <v>4</v>
      </c>
      <c r="J859" s="35">
        <v>2</v>
      </c>
      <c r="K859" s="35">
        <v>31275</v>
      </c>
      <c r="L859" s="35">
        <v>0</v>
      </c>
      <c r="M859" s="35" t="s">
        <v>91</v>
      </c>
    </row>
    <row r="860" spans="4:13" x14ac:dyDescent="0.2">
      <c r="D860" s="34">
        <v>0</v>
      </c>
      <c r="E860" s="35">
        <v>3</v>
      </c>
      <c r="F860" s="35" t="s">
        <v>945</v>
      </c>
      <c r="G860" s="35" t="s">
        <v>90</v>
      </c>
      <c r="H860" s="35">
        <v>74</v>
      </c>
      <c r="I860" s="35">
        <v>0</v>
      </c>
      <c r="J860" s="35">
        <v>0</v>
      </c>
      <c r="K860" s="35">
        <v>7775</v>
      </c>
      <c r="L860" s="35">
        <v>0</v>
      </c>
      <c r="M860" s="35" t="s">
        <v>91</v>
      </c>
    </row>
    <row r="861" spans="4:13" x14ac:dyDescent="0.2">
      <c r="D861" s="34">
        <v>0</v>
      </c>
      <c r="E861" s="35">
        <v>3</v>
      </c>
      <c r="F861" s="35" t="s">
        <v>946</v>
      </c>
      <c r="G861" s="35" t="s">
        <v>93</v>
      </c>
      <c r="H861" s="35">
        <v>9</v>
      </c>
      <c r="I861" s="35">
        <v>1</v>
      </c>
      <c r="J861" s="35">
        <v>1</v>
      </c>
      <c r="K861" s="35">
        <v>152458</v>
      </c>
      <c r="L861" s="35">
        <v>0</v>
      </c>
      <c r="M861" s="35" t="s">
        <v>94</v>
      </c>
    </row>
    <row r="862" spans="4:13" x14ac:dyDescent="0.2">
      <c r="D862" s="34">
        <v>1</v>
      </c>
      <c r="E862" s="35">
        <v>1</v>
      </c>
      <c r="F862" s="35" t="s">
        <v>947</v>
      </c>
      <c r="G862" s="35" t="s">
        <v>93</v>
      </c>
      <c r="H862" s="35">
        <v>16</v>
      </c>
      <c r="I862" s="35">
        <v>0</v>
      </c>
      <c r="J862" s="35">
        <v>1</v>
      </c>
      <c r="K862" s="35">
        <v>394</v>
      </c>
      <c r="L862" s="35">
        <v>1</v>
      </c>
      <c r="M862" s="35" t="s">
        <v>91</v>
      </c>
    </row>
    <row r="863" spans="4:13" x14ac:dyDescent="0.2">
      <c r="D863" s="34">
        <v>0</v>
      </c>
      <c r="E863" s="35">
        <v>2</v>
      </c>
      <c r="F863" s="35" t="s">
        <v>948</v>
      </c>
      <c r="G863" s="35" t="s">
        <v>93</v>
      </c>
      <c r="H863" s="35">
        <v>44</v>
      </c>
      <c r="I863" s="35">
        <v>1</v>
      </c>
      <c r="J863" s="35">
        <v>0</v>
      </c>
      <c r="K863" s="35">
        <v>26</v>
      </c>
      <c r="L863" s="35">
        <v>0</v>
      </c>
      <c r="M863" s="35" t="s">
        <v>91</v>
      </c>
    </row>
    <row r="864" spans="4:13" x14ac:dyDescent="0.2">
      <c r="D864" s="34">
        <v>1</v>
      </c>
      <c r="E864" s="35">
        <v>3</v>
      </c>
      <c r="F864" s="35" t="s">
        <v>949</v>
      </c>
      <c r="G864" s="35" t="s">
        <v>93</v>
      </c>
      <c r="H864" s="35">
        <v>18</v>
      </c>
      <c r="I864" s="35">
        <v>0</v>
      </c>
      <c r="J864" s="35">
        <v>1</v>
      </c>
      <c r="K864" s="35">
        <v>935</v>
      </c>
      <c r="L864" s="35">
        <v>0</v>
      </c>
      <c r="M864" s="35" t="s">
        <v>91</v>
      </c>
    </row>
    <row r="865" spans="4:13" x14ac:dyDescent="0.2">
      <c r="D865" s="34">
        <v>1</v>
      </c>
      <c r="E865" s="35">
        <v>1</v>
      </c>
      <c r="F865" s="35" t="s">
        <v>950</v>
      </c>
      <c r="G865" s="35" t="s">
        <v>93</v>
      </c>
      <c r="H865" s="35">
        <v>45</v>
      </c>
      <c r="I865" s="35">
        <v>1</v>
      </c>
      <c r="J865" s="35">
        <v>1</v>
      </c>
      <c r="K865" s="35">
        <v>1648667</v>
      </c>
      <c r="L865" s="35">
        <v>0</v>
      </c>
      <c r="M865" s="35" t="s">
        <v>91</v>
      </c>
    </row>
    <row r="866" spans="4:13" x14ac:dyDescent="0.2">
      <c r="D866" s="34">
        <v>1</v>
      </c>
      <c r="E866" s="35">
        <v>1</v>
      </c>
      <c r="F866" s="35" t="s">
        <v>951</v>
      </c>
      <c r="G866" s="35" t="s">
        <v>90</v>
      </c>
      <c r="H866" s="35">
        <v>51</v>
      </c>
      <c r="I866" s="35">
        <v>0</v>
      </c>
      <c r="J866" s="35">
        <v>0</v>
      </c>
      <c r="K866" s="35">
        <v>2655</v>
      </c>
      <c r="L866" s="35">
        <v>1</v>
      </c>
      <c r="M866" s="35" t="s">
        <v>91</v>
      </c>
    </row>
    <row r="867" spans="4:13" x14ac:dyDescent="0.2">
      <c r="D867" s="34">
        <v>1</v>
      </c>
      <c r="E867" s="35">
        <v>3</v>
      </c>
      <c r="F867" s="35" t="s">
        <v>952</v>
      </c>
      <c r="G867" s="35" t="s">
        <v>93</v>
      </c>
      <c r="H867" s="35">
        <v>24</v>
      </c>
      <c r="I867" s="35">
        <v>0</v>
      </c>
      <c r="J867" s="35">
        <v>3</v>
      </c>
      <c r="K867" s="35">
        <v>192583</v>
      </c>
      <c r="L867" s="35">
        <v>0</v>
      </c>
      <c r="M867" s="35" t="s">
        <v>94</v>
      </c>
    </row>
    <row r="868" spans="4:13" x14ac:dyDescent="0.2">
      <c r="D868" s="34">
        <v>0</v>
      </c>
      <c r="E868" s="35">
        <v>3</v>
      </c>
      <c r="F868" s="35" t="s">
        <v>953</v>
      </c>
      <c r="G868" s="35" t="s">
        <v>90</v>
      </c>
      <c r="H868" s="36"/>
      <c r="I868" s="35">
        <v>0</v>
      </c>
      <c r="J868" s="35">
        <v>0</v>
      </c>
      <c r="K868" s="35">
        <v>72292</v>
      </c>
      <c r="L868" s="35">
        <v>0</v>
      </c>
      <c r="M868" s="35" t="s">
        <v>94</v>
      </c>
    </row>
    <row r="869" spans="4:13" x14ac:dyDescent="0.2">
      <c r="D869" s="34">
        <v>0</v>
      </c>
      <c r="E869" s="35">
        <v>3</v>
      </c>
      <c r="F869" s="35" t="s">
        <v>954</v>
      </c>
      <c r="G869" s="35" t="s">
        <v>90</v>
      </c>
      <c r="H869" s="35">
        <v>41</v>
      </c>
      <c r="I869" s="35">
        <v>2</v>
      </c>
      <c r="J869" s="35">
        <v>0</v>
      </c>
      <c r="K869" s="35">
        <v>141083</v>
      </c>
      <c r="L869" s="35">
        <v>0</v>
      </c>
      <c r="M869" s="35" t="s">
        <v>91</v>
      </c>
    </row>
    <row r="870" spans="4:13" x14ac:dyDescent="0.2">
      <c r="D870" s="34">
        <v>0</v>
      </c>
      <c r="E870" s="35">
        <v>2</v>
      </c>
      <c r="F870" s="35" t="s">
        <v>955</v>
      </c>
      <c r="G870" s="35" t="s">
        <v>90</v>
      </c>
      <c r="H870" s="35">
        <v>21</v>
      </c>
      <c r="I870" s="35">
        <v>1</v>
      </c>
      <c r="J870" s="35">
        <v>0</v>
      </c>
      <c r="K870" s="35">
        <v>115</v>
      </c>
      <c r="L870" s="35">
        <v>0</v>
      </c>
      <c r="M870" s="35" t="s">
        <v>91</v>
      </c>
    </row>
    <row r="871" spans="4:13" x14ac:dyDescent="0.2">
      <c r="D871" s="34">
        <v>1</v>
      </c>
      <c r="E871" s="35">
        <v>1</v>
      </c>
      <c r="F871" s="35" t="s">
        <v>956</v>
      </c>
      <c r="G871" s="35" t="s">
        <v>93</v>
      </c>
      <c r="H871" s="35">
        <v>48</v>
      </c>
      <c r="I871" s="35">
        <v>0</v>
      </c>
      <c r="J871" s="35">
        <v>0</v>
      </c>
      <c r="K871" s="35">
        <v>259292</v>
      </c>
      <c r="L871" s="35">
        <v>1</v>
      </c>
      <c r="M871" s="35" t="s">
        <v>91</v>
      </c>
    </row>
    <row r="872" spans="4:13" x14ac:dyDescent="0.2">
      <c r="D872" s="34">
        <v>0</v>
      </c>
      <c r="E872" s="35">
        <v>3</v>
      </c>
      <c r="F872" s="35" t="s">
        <v>957</v>
      </c>
      <c r="G872" s="35" t="s">
        <v>93</v>
      </c>
      <c r="H872" s="36"/>
      <c r="I872" s="35">
        <v>8</v>
      </c>
      <c r="J872" s="35">
        <v>2</v>
      </c>
      <c r="K872" s="35">
        <v>6955</v>
      </c>
      <c r="L872" s="35">
        <v>0</v>
      </c>
      <c r="M872" s="35" t="s">
        <v>91</v>
      </c>
    </row>
    <row r="873" spans="4:13" x14ac:dyDescent="0.2">
      <c r="D873" s="34">
        <v>0</v>
      </c>
      <c r="E873" s="35">
        <v>2</v>
      </c>
      <c r="F873" s="35" t="s">
        <v>958</v>
      </c>
      <c r="G873" s="35" t="s">
        <v>90</v>
      </c>
      <c r="H873" s="35">
        <v>24</v>
      </c>
      <c r="I873" s="35">
        <v>0</v>
      </c>
      <c r="J873" s="35">
        <v>0</v>
      </c>
      <c r="K873" s="35">
        <v>13</v>
      </c>
      <c r="L873" s="35">
        <v>0</v>
      </c>
      <c r="M873" s="35" t="s">
        <v>91</v>
      </c>
    </row>
    <row r="874" spans="4:13" x14ac:dyDescent="0.2">
      <c r="D874" s="34">
        <v>1</v>
      </c>
      <c r="E874" s="35">
        <v>2</v>
      </c>
      <c r="F874" s="35" t="s">
        <v>959</v>
      </c>
      <c r="G874" s="35" t="s">
        <v>93</v>
      </c>
      <c r="H874" s="35">
        <v>42</v>
      </c>
      <c r="I874" s="35">
        <v>0</v>
      </c>
      <c r="J874" s="35">
        <v>0</v>
      </c>
      <c r="K874" s="35">
        <v>13</v>
      </c>
      <c r="L874" s="35">
        <v>0</v>
      </c>
      <c r="M874" s="35" t="s">
        <v>91</v>
      </c>
    </row>
    <row r="875" spans="4:13" x14ac:dyDescent="0.2">
      <c r="D875" s="34">
        <v>1</v>
      </c>
      <c r="E875" s="35">
        <v>2</v>
      </c>
      <c r="F875" s="35" t="s">
        <v>960</v>
      </c>
      <c r="G875" s="35" t="s">
        <v>93</v>
      </c>
      <c r="H875" s="35">
        <v>27</v>
      </c>
      <c r="I875" s="35">
        <v>1</v>
      </c>
      <c r="J875" s="35">
        <v>0</v>
      </c>
      <c r="K875" s="35">
        <v>138583</v>
      </c>
      <c r="L875" s="35">
        <v>0</v>
      </c>
      <c r="M875" s="35" t="s">
        <v>94</v>
      </c>
    </row>
    <row r="876" spans="4:13" x14ac:dyDescent="0.2">
      <c r="D876" s="34">
        <v>0</v>
      </c>
      <c r="E876" s="35">
        <v>1</v>
      </c>
      <c r="F876" s="35" t="s">
        <v>961</v>
      </c>
      <c r="G876" s="35" t="s">
        <v>90</v>
      </c>
      <c r="H876" s="35">
        <v>31</v>
      </c>
      <c r="I876" s="35">
        <v>0</v>
      </c>
      <c r="J876" s="35">
        <v>0</v>
      </c>
      <c r="K876" s="35">
        <v>504958</v>
      </c>
      <c r="L876" s="35">
        <v>1</v>
      </c>
      <c r="M876" s="35" t="s">
        <v>91</v>
      </c>
    </row>
    <row r="877" spans="4:13" x14ac:dyDescent="0.2">
      <c r="D877" s="34">
        <v>0</v>
      </c>
      <c r="E877" s="35">
        <v>3</v>
      </c>
      <c r="F877" s="35" t="s">
        <v>962</v>
      </c>
      <c r="G877" s="35" t="s">
        <v>90</v>
      </c>
      <c r="H877" s="36"/>
      <c r="I877" s="35">
        <v>0</v>
      </c>
      <c r="J877" s="35">
        <v>0</v>
      </c>
      <c r="K877" s="35">
        <v>95</v>
      </c>
      <c r="L877" s="35">
        <v>0</v>
      </c>
      <c r="M877" s="35" t="s">
        <v>91</v>
      </c>
    </row>
    <row r="878" spans="4:13" x14ac:dyDescent="0.2">
      <c r="D878" s="34">
        <v>1</v>
      </c>
      <c r="E878" s="35">
        <v>3</v>
      </c>
      <c r="F878" s="35" t="s">
        <v>963</v>
      </c>
      <c r="G878" s="35" t="s">
        <v>90</v>
      </c>
      <c r="H878" s="35">
        <v>4</v>
      </c>
      <c r="I878" s="35">
        <v>1</v>
      </c>
      <c r="J878" s="35">
        <v>1</v>
      </c>
      <c r="K878" s="35">
        <v>111333</v>
      </c>
      <c r="L878" s="35">
        <v>0</v>
      </c>
      <c r="M878" s="35" t="s">
        <v>91</v>
      </c>
    </row>
    <row r="879" spans="4:13" x14ac:dyDescent="0.2">
      <c r="D879" s="34">
        <v>0</v>
      </c>
      <c r="E879" s="35">
        <v>3</v>
      </c>
      <c r="F879" s="35" t="s">
        <v>964</v>
      </c>
      <c r="G879" s="35" t="s">
        <v>90</v>
      </c>
      <c r="H879" s="35">
        <v>26</v>
      </c>
      <c r="I879" s="35">
        <v>0</v>
      </c>
      <c r="J879" s="35">
        <v>0</v>
      </c>
      <c r="K879" s="35">
        <v>78958</v>
      </c>
      <c r="L879" s="35">
        <v>0</v>
      </c>
      <c r="M879" s="35" t="s">
        <v>91</v>
      </c>
    </row>
    <row r="880" spans="4:13" x14ac:dyDescent="0.2">
      <c r="D880" s="34">
        <v>1</v>
      </c>
      <c r="E880" s="35">
        <v>1</v>
      </c>
      <c r="F880" s="35" t="s">
        <v>965</v>
      </c>
      <c r="G880" s="35" t="s">
        <v>93</v>
      </c>
      <c r="H880" s="35">
        <v>47</v>
      </c>
      <c r="I880" s="35">
        <v>1</v>
      </c>
      <c r="J880" s="35">
        <v>1</v>
      </c>
      <c r="K880" s="35">
        <v>525542</v>
      </c>
      <c r="L880" s="35">
        <v>1</v>
      </c>
      <c r="M880" s="35" t="s">
        <v>91</v>
      </c>
    </row>
    <row r="881" spans="4:13" x14ac:dyDescent="0.2">
      <c r="D881" s="34">
        <v>0</v>
      </c>
      <c r="E881" s="35">
        <v>1</v>
      </c>
      <c r="F881" s="35" t="s">
        <v>966</v>
      </c>
      <c r="G881" s="35" t="s">
        <v>90</v>
      </c>
      <c r="H881" s="35">
        <v>33</v>
      </c>
      <c r="I881" s="35">
        <v>0</v>
      </c>
      <c r="J881" s="35">
        <v>0</v>
      </c>
      <c r="K881" s="35">
        <v>5</v>
      </c>
      <c r="L881" s="35">
        <v>1</v>
      </c>
      <c r="M881" s="35" t="s">
        <v>91</v>
      </c>
    </row>
    <row r="882" spans="4:13" x14ac:dyDescent="0.2">
      <c r="D882" s="34">
        <v>0</v>
      </c>
      <c r="E882" s="35">
        <v>3</v>
      </c>
      <c r="F882" s="35" t="s">
        <v>967</v>
      </c>
      <c r="G882" s="35" t="s">
        <v>90</v>
      </c>
      <c r="H882" s="35">
        <v>47</v>
      </c>
      <c r="I882" s="35">
        <v>0</v>
      </c>
      <c r="J882" s="35">
        <v>0</v>
      </c>
      <c r="K882" s="35">
        <v>9</v>
      </c>
      <c r="L882" s="35">
        <v>0</v>
      </c>
      <c r="M882" s="35" t="s">
        <v>91</v>
      </c>
    </row>
    <row r="883" spans="4:13" x14ac:dyDescent="0.2">
      <c r="D883" s="34">
        <v>1</v>
      </c>
      <c r="E883" s="35">
        <v>2</v>
      </c>
      <c r="F883" s="35" t="s">
        <v>968</v>
      </c>
      <c r="G883" s="35" t="s">
        <v>93</v>
      </c>
      <c r="H883" s="35">
        <v>28</v>
      </c>
      <c r="I883" s="35">
        <v>1</v>
      </c>
      <c r="J883" s="35">
        <v>0</v>
      </c>
      <c r="K883" s="35">
        <v>24</v>
      </c>
      <c r="L883" s="35">
        <v>0</v>
      </c>
      <c r="M883" s="35" t="s">
        <v>94</v>
      </c>
    </row>
    <row r="884" spans="4:13" x14ac:dyDescent="0.2">
      <c r="D884" s="34">
        <v>1</v>
      </c>
      <c r="E884" s="35">
        <v>3</v>
      </c>
      <c r="F884" s="35" t="s">
        <v>969</v>
      </c>
      <c r="G884" s="35" t="s">
        <v>93</v>
      </c>
      <c r="H884" s="35">
        <v>15</v>
      </c>
      <c r="I884" s="35">
        <v>0</v>
      </c>
      <c r="J884" s="35">
        <v>0</v>
      </c>
      <c r="K884" s="35">
        <v>7225</v>
      </c>
      <c r="L884" s="35">
        <v>0</v>
      </c>
      <c r="M884" s="35" t="s">
        <v>94</v>
      </c>
    </row>
    <row r="885" spans="4:13" x14ac:dyDescent="0.2">
      <c r="D885" s="34">
        <v>0</v>
      </c>
      <c r="E885" s="35">
        <v>3</v>
      </c>
      <c r="F885" s="35" t="s">
        <v>970</v>
      </c>
      <c r="G885" s="35" t="s">
        <v>90</v>
      </c>
      <c r="H885" s="35">
        <v>20</v>
      </c>
      <c r="I885" s="35">
        <v>0</v>
      </c>
      <c r="J885" s="35">
        <v>0</v>
      </c>
      <c r="K885" s="35">
        <v>98458</v>
      </c>
      <c r="L885" s="35">
        <v>0</v>
      </c>
      <c r="M885" s="35" t="s">
        <v>91</v>
      </c>
    </row>
    <row r="886" spans="4:13" x14ac:dyDescent="0.2">
      <c r="D886" s="34">
        <v>0</v>
      </c>
      <c r="E886" s="35">
        <v>3</v>
      </c>
      <c r="F886" s="35" t="s">
        <v>971</v>
      </c>
      <c r="G886" s="35" t="s">
        <v>90</v>
      </c>
      <c r="H886" s="35">
        <v>19</v>
      </c>
      <c r="I886" s="35">
        <v>0</v>
      </c>
      <c r="J886" s="35">
        <v>0</v>
      </c>
      <c r="K886" s="35">
        <v>78958</v>
      </c>
      <c r="L886" s="35">
        <v>0</v>
      </c>
      <c r="M886" s="35" t="s">
        <v>91</v>
      </c>
    </row>
    <row r="887" spans="4:13" x14ac:dyDescent="0.2">
      <c r="D887" s="34">
        <v>0</v>
      </c>
      <c r="E887" s="35">
        <v>3</v>
      </c>
      <c r="F887" s="35" t="s">
        <v>972</v>
      </c>
      <c r="G887" s="35" t="s">
        <v>90</v>
      </c>
      <c r="H887" s="36"/>
      <c r="I887" s="35">
        <v>0</v>
      </c>
      <c r="J887" s="35">
        <v>0</v>
      </c>
      <c r="K887" s="35">
        <v>78958</v>
      </c>
      <c r="L887" s="35">
        <v>0</v>
      </c>
      <c r="M887" s="35" t="s">
        <v>91</v>
      </c>
    </row>
    <row r="888" spans="4:13" x14ac:dyDescent="0.2">
      <c r="D888" s="34">
        <v>1</v>
      </c>
      <c r="E888" s="35">
        <v>1</v>
      </c>
      <c r="F888" s="35" t="s">
        <v>973</v>
      </c>
      <c r="G888" s="35" t="s">
        <v>93</v>
      </c>
      <c r="H888" s="35">
        <v>56</v>
      </c>
      <c r="I888" s="35">
        <v>0</v>
      </c>
      <c r="J888" s="35">
        <v>1</v>
      </c>
      <c r="K888" s="35">
        <v>831583</v>
      </c>
      <c r="L888" s="35">
        <v>1</v>
      </c>
      <c r="M888" s="35" t="s">
        <v>94</v>
      </c>
    </row>
    <row r="889" spans="4:13" x14ac:dyDescent="0.2">
      <c r="D889" s="34">
        <v>1</v>
      </c>
      <c r="E889" s="35">
        <v>2</v>
      </c>
      <c r="F889" s="35" t="s">
        <v>974</v>
      </c>
      <c r="G889" s="35" t="s">
        <v>93</v>
      </c>
      <c r="H889" s="35">
        <v>25</v>
      </c>
      <c r="I889" s="35">
        <v>0</v>
      </c>
      <c r="J889" s="35">
        <v>1</v>
      </c>
      <c r="K889" s="35">
        <v>26</v>
      </c>
      <c r="L889" s="35">
        <v>0</v>
      </c>
      <c r="M889" s="35" t="s">
        <v>91</v>
      </c>
    </row>
    <row r="890" spans="4:13" x14ac:dyDescent="0.2">
      <c r="D890" s="34">
        <v>0</v>
      </c>
      <c r="E890" s="35">
        <v>3</v>
      </c>
      <c r="F890" s="35" t="s">
        <v>975</v>
      </c>
      <c r="G890" s="35" t="s">
        <v>90</v>
      </c>
      <c r="H890" s="35">
        <v>33</v>
      </c>
      <c r="I890" s="35">
        <v>0</v>
      </c>
      <c r="J890" s="35">
        <v>0</v>
      </c>
      <c r="K890" s="35">
        <v>78958</v>
      </c>
      <c r="L890" s="35">
        <v>0</v>
      </c>
      <c r="M890" s="35" t="s">
        <v>91</v>
      </c>
    </row>
    <row r="891" spans="4:13" x14ac:dyDescent="0.2">
      <c r="D891" s="34">
        <v>0</v>
      </c>
      <c r="E891" s="35">
        <v>3</v>
      </c>
      <c r="F891" s="35" t="s">
        <v>976</v>
      </c>
      <c r="G891" s="35" t="s">
        <v>93</v>
      </c>
      <c r="H891" s="35">
        <v>22</v>
      </c>
      <c r="I891" s="35">
        <v>0</v>
      </c>
      <c r="J891" s="35">
        <v>0</v>
      </c>
      <c r="K891" s="35">
        <v>105167</v>
      </c>
      <c r="L891" s="35">
        <v>0</v>
      </c>
      <c r="M891" s="35" t="s">
        <v>91</v>
      </c>
    </row>
    <row r="892" spans="4:13" x14ac:dyDescent="0.2">
      <c r="D892" s="34">
        <v>0</v>
      </c>
      <c r="E892" s="35">
        <v>2</v>
      </c>
      <c r="F892" s="35" t="s">
        <v>977</v>
      </c>
      <c r="G892" s="35" t="s">
        <v>90</v>
      </c>
      <c r="H892" s="35">
        <v>28</v>
      </c>
      <c r="I892" s="35">
        <v>0</v>
      </c>
      <c r="J892" s="35">
        <v>0</v>
      </c>
      <c r="K892" s="35">
        <v>105</v>
      </c>
      <c r="L892" s="35">
        <v>0</v>
      </c>
      <c r="M892" s="35" t="s">
        <v>91</v>
      </c>
    </row>
    <row r="893" spans="4:13" x14ac:dyDescent="0.2">
      <c r="D893" s="34">
        <v>0</v>
      </c>
      <c r="E893" s="35">
        <v>3</v>
      </c>
      <c r="F893" s="35" t="s">
        <v>978</v>
      </c>
      <c r="G893" s="35" t="s">
        <v>90</v>
      </c>
      <c r="H893" s="35">
        <v>25</v>
      </c>
      <c r="I893" s="35">
        <v>0</v>
      </c>
      <c r="J893" s="35">
        <v>0</v>
      </c>
      <c r="K893" s="35">
        <v>705</v>
      </c>
      <c r="L893" s="35">
        <v>0</v>
      </c>
      <c r="M893" s="35" t="s">
        <v>91</v>
      </c>
    </row>
    <row r="894" spans="4:13" x14ac:dyDescent="0.2">
      <c r="D894" s="34">
        <v>0</v>
      </c>
      <c r="E894" s="35">
        <v>3</v>
      </c>
      <c r="F894" s="35" t="s">
        <v>979</v>
      </c>
      <c r="G894" s="35" t="s">
        <v>93</v>
      </c>
      <c r="H894" s="35">
        <v>39</v>
      </c>
      <c r="I894" s="35">
        <v>0</v>
      </c>
      <c r="J894" s="35">
        <v>5</v>
      </c>
      <c r="K894" s="35">
        <v>29125</v>
      </c>
      <c r="L894" s="35">
        <v>0</v>
      </c>
      <c r="M894" s="35" t="s">
        <v>99</v>
      </c>
    </row>
    <row r="895" spans="4:13" x14ac:dyDescent="0.2">
      <c r="D895" s="34">
        <v>0</v>
      </c>
      <c r="E895" s="35">
        <v>2</v>
      </c>
      <c r="F895" s="35" t="s">
        <v>980</v>
      </c>
      <c r="G895" s="35" t="s">
        <v>90</v>
      </c>
      <c r="H895" s="35">
        <v>27</v>
      </c>
      <c r="I895" s="35">
        <v>0</v>
      </c>
      <c r="J895" s="35">
        <v>0</v>
      </c>
      <c r="K895" s="35">
        <v>13</v>
      </c>
      <c r="L895" s="35">
        <v>0</v>
      </c>
      <c r="M895" s="35" t="s">
        <v>91</v>
      </c>
    </row>
    <row r="896" spans="4:13" x14ac:dyDescent="0.2">
      <c r="D896" s="34">
        <v>1</v>
      </c>
      <c r="E896" s="35">
        <v>1</v>
      </c>
      <c r="F896" s="35" t="s">
        <v>981</v>
      </c>
      <c r="G896" s="35" t="s">
        <v>93</v>
      </c>
      <c r="H896" s="35">
        <v>19</v>
      </c>
      <c r="I896" s="35">
        <v>0</v>
      </c>
      <c r="J896" s="35">
        <v>0</v>
      </c>
      <c r="K896" s="35">
        <v>30</v>
      </c>
      <c r="L896" s="35">
        <v>1</v>
      </c>
      <c r="M896" s="35" t="s">
        <v>91</v>
      </c>
    </row>
    <row r="897" spans="4:13" x14ac:dyDescent="0.2">
      <c r="D897" s="34">
        <v>0</v>
      </c>
      <c r="E897" s="35">
        <v>3</v>
      </c>
      <c r="F897" s="35" t="s">
        <v>982</v>
      </c>
      <c r="G897" s="35" t="s">
        <v>93</v>
      </c>
      <c r="H897" s="36"/>
      <c r="I897" s="35">
        <v>1</v>
      </c>
      <c r="J897" s="35">
        <v>2</v>
      </c>
      <c r="K897" s="35">
        <v>2345</v>
      </c>
      <c r="L897" s="35">
        <v>0</v>
      </c>
      <c r="M897" s="35" t="s">
        <v>91</v>
      </c>
    </row>
    <row r="898" spans="4:13" x14ac:dyDescent="0.2">
      <c r="D898" s="34">
        <v>1</v>
      </c>
      <c r="E898" s="35">
        <v>1</v>
      </c>
      <c r="F898" s="35" t="s">
        <v>983</v>
      </c>
      <c r="G898" s="35" t="s">
        <v>90</v>
      </c>
      <c r="H898" s="35">
        <v>26</v>
      </c>
      <c r="I898" s="35">
        <v>0</v>
      </c>
      <c r="J898" s="35">
        <v>0</v>
      </c>
      <c r="K898" s="35">
        <v>30</v>
      </c>
      <c r="L898" s="35">
        <v>1</v>
      </c>
      <c r="M898" s="35" t="s">
        <v>94</v>
      </c>
    </row>
    <row r="899" spans="4:13" x14ac:dyDescent="0.2">
      <c r="D899" s="34">
        <v>0</v>
      </c>
      <c r="E899" s="35">
        <v>3</v>
      </c>
      <c r="F899" s="35" t="s">
        <v>984</v>
      </c>
      <c r="G899" s="35" t="s">
        <v>90</v>
      </c>
      <c r="H899" s="35">
        <v>32</v>
      </c>
      <c r="I899" s="35">
        <v>0</v>
      </c>
      <c r="J899" s="35">
        <v>0</v>
      </c>
      <c r="K899" s="35">
        <v>775</v>
      </c>
      <c r="L899" s="35">
        <v>0</v>
      </c>
      <c r="M899" s="35" t="s">
        <v>99</v>
      </c>
    </row>
  </sheetData>
  <mergeCells count="5">
    <mergeCell ref="O15:R15"/>
    <mergeCell ref="O23:R23"/>
    <mergeCell ref="O31:R31"/>
    <mergeCell ref="O39:R39"/>
    <mergeCell ref="T9:X9"/>
  </mergeCell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2243-7510-9C45-B20B-17E99659111A}">
  <dimension ref="C8:E10"/>
  <sheetViews>
    <sheetView zoomScale="170" zoomScaleNormal="170" workbookViewId="0">
      <selection activeCell="D11" sqref="D11"/>
    </sheetView>
  </sheetViews>
  <sheetFormatPr baseColWidth="10" defaultRowHeight="16" x14ac:dyDescent="0.2"/>
  <sheetData>
    <row r="8" spans="3:5" x14ac:dyDescent="0.2">
      <c r="D8" cm="1">
        <f t="array" ref="D8:E8">TRANSPOSE(_xlfn._xlws.SORT(_xlfn.UNIQUE(Titanic[Sobrevive]),,1))</f>
        <v>0</v>
      </c>
      <c r="E8">
        <v>1</v>
      </c>
    </row>
    <row r="9" spans="3:5" x14ac:dyDescent="0.2">
      <c r="C9" t="str" cm="1">
        <f t="array" ref="C9:C10">_xlfn._xlws.SORT(_xlfn.UNIQUE(Titanic[Sexo]))</f>
        <v>Hombre</v>
      </c>
      <c r="D9" cm="1">
        <f t="array" ref="D9">COUNT(_xlfn._xlws.FILTER(Titanic[Sobrevive],(Titanic[Sexo]=C9)*(Titanic[Sobrevive]=D8)))</f>
        <v>468</v>
      </c>
      <c r="E9" cm="1">
        <f t="array" ref="E9">COUNT(_xlfn._xlws.FILTER(Titanic[Sobrevive],(Titanic[Sexo]=C9)*(Titanic[Sobrevive]=E8)))</f>
        <v>109</v>
      </c>
    </row>
    <row r="10" spans="3:5" x14ac:dyDescent="0.2">
      <c r="C10" t="str">
        <v>Mujer</v>
      </c>
      <c r="D10" cm="1">
        <f t="array" ref="D10">COUNT(_xlfn._xlws.FILTER(Titanic[Sobrevive],(Titanic[Sexo]=C10)*(Titanic[Sobrevive]=D8)))</f>
        <v>81</v>
      </c>
      <c r="E10" cm="1">
        <f t="array" ref="E10">COUNT(_xlfn._xlws.FILTER(Titanic[Sobrevive],(Titanic[Sexo]=C10)*(Titanic[Sobrevive]=E8)))</f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21AA-439C-1C4C-A005-92313350A70F}">
  <dimension ref="B3:K893"/>
  <sheetViews>
    <sheetView workbookViewId="0">
      <selection activeCell="B4" sqref="B4"/>
    </sheetView>
  </sheetViews>
  <sheetFormatPr baseColWidth="10" defaultRowHeight="16" x14ac:dyDescent="0.2"/>
  <sheetData>
    <row r="3" spans="2:11" x14ac:dyDescent="0.2">
      <c r="B3" cm="1">
        <f t="array" ref="B3:K893">Titanic[]</f>
        <v>0</v>
      </c>
      <c r="C3">
        <v>3</v>
      </c>
      <c r="D3" t="str">
        <v>Braund, Mr. Owen Harris</v>
      </c>
      <c r="E3" t="str">
        <v>Hombre</v>
      </c>
      <c r="F3">
        <v>22</v>
      </c>
      <c r="G3">
        <v>1</v>
      </c>
      <c r="H3">
        <v>0</v>
      </c>
      <c r="I3">
        <v>725</v>
      </c>
      <c r="J3">
        <v>0</v>
      </c>
      <c r="K3" t="str">
        <v>Southampton</v>
      </c>
    </row>
    <row r="4" spans="2:11" x14ac:dyDescent="0.2">
      <c r="B4">
        <v>1</v>
      </c>
      <c r="C4">
        <v>1</v>
      </c>
      <c r="D4" t="str">
        <v>Cumings, Mrs. John Bradley (Florence Briggs Thayer)</v>
      </c>
      <c r="E4" t="str">
        <v>Mujer</v>
      </c>
      <c r="F4">
        <v>38</v>
      </c>
      <c r="G4">
        <v>1</v>
      </c>
      <c r="H4">
        <v>0</v>
      </c>
      <c r="I4">
        <v>712833</v>
      </c>
      <c r="J4">
        <v>1</v>
      </c>
      <c r="K4" t="str">
        <v>Cherburg</v>
      </c>
    </row>
    <row r="5" spans="2:11" x14ac:dyDescent="0.2">
      <c r="B5">
        <v>1</v>
      </c>
      <c r="C5">
        <v>3</v>
      </c>
      <c r="D5" t="str">
        <v>Heikkinen, Miss. Laina</v>
      </c>
      <c r="E5" t="str">
        <v>Mujer</v>
      </c>
      <c r="F5">
        <v>26</v>
      </c>
      <c r="G5">
        <v>0</v>
      </c>
      <c r="H5">
        <v>0</v>
      </c>
      <c r="I5">
        <v>7925</v>
      </c>
      <c r="J5">
        <v>0</v>
      </c>
      <c r="K5" t="str">
        <v>Southampton</v>
      </c>
    </row>
    <row r="6" spans="2:11" x14ac:dyDescent="0.2">
      <c r="B6">
        <v>1</v>
      </c>
      <c r="C6">
        <v>1</v>
      </c>
      <c r="D6" t="str">
        <v>Futrelle, Mrs. Jacques Heath (Lily May Peel)</v>
      </c>
      <c r="E6" t="str">
        <v>Mujer</v>
      </c>
      <c r="F6">
        <v>35</v>
      </c>
      <c r="G6">
        <v>1</v>
      </c>
      <c r="H6">
        <v>0</v>
      </c>
      <c r="I6">
        <v>531</v>
      </c>
      <c r="J6">
        <v>1</v>
      </c>
      <c r="K6" t="str">
        <v>Southampton</v>
      </c>
    </row>
    <row r="7" spans="2:11" x14ac:dyDescent="0.2">
      <c r="B7">
        <v>0</v>
      </c>
      <c r="C7">
        <v>3</v>
      </c>
      <c r="D7" t="str">
        <v>Allen, Mr. William Henry</v>
      </c>
      <c r="E7" t="str">
        <v>Hombre</v>
      </c>
      <c r="F7">
        <v>35</v>
      </c>
      <c r="G7">
        <v>0</v>
      </c>
      <c r="H7">
        <v>0</v>
      </c>
      <c r="I7">
        <v>805</v>
      </c>
      <c r="J7">
        <v>0</v>
      </c>
      <c r="K7" t="str">
        <v>Southampton</v>
      </c>
    </row>
    <row r="8" spans="2:11" x14ac:dyDescent="0.2">
      <c r="B8">
        <v>0</v>
      </c>
      <c r="C8">
        <v>3</v>
      </c>
      <c r="D8" t="str">
        <v>Moran, Mr. James</v>
      </c>
      <c r="E8" t="str">
        <v>Hombre</v>
      </c>
      <c r="F8">
        <v>0</v>
      </c>
      <c r="G8">
        <v>0</v>
      </c>
      <c r="H8">
        <v>0</v>
      </c>
      <c r="I8">
        <v>84583</v>
      </c>
      <c r="J8">
        <v>0</v>
      </c>
      <c r="K8" t="str">
        <v>Queenstown</v>
      </c>
    </row>
    <row r="9" spans="2:11" x14ac:dyDescent="0.2">
      <c r="B9">
        <v>0</v>
      </c>
      <c r="C9">
        <v>1</v>
      </c>
      <c r="D9" t="str">
        <v>McCarthy, Mr. Timothy J</v>
      </c>
      <c r="E9" t="str">
        <v>Hombre</v>
      </c>
      <c r="F9">
        <v>54</v>
      </c>
      <c r="G9">
        <v>0</v>
      </c>
      <c r="H9">
        <v>0</v>
      </c>
      <c r="I9">
        <v>518625</v>
      </c>
      <c r="J9">
        <v>1</v>
      </c>
      <c r="K9" t="str">
        <v>Southampton</v>
      </c>
    </row>
    <row r="10" spans="2:11" x14ac:dyDescent="0.2">
      <c r="B10">
        <v>0</v>
      </c>
      <c r="C10">
        <v>3</v>
      </c>
      <c r="D10" t="str">
        <v>Palsson, Master. Gosta Leonard</v>
      </c>
      <c r="E10" t="str">
        <v>Hombre</v>
      </c>
      <c r="F10">
        <v>2</v>
      </c>
      <c r="G10">
        <v>3</v>
      </c>
      <c r="H10">
        <v>1</v>
      </c>
      <c r="I10">
        <v>21075</v>
      </c>
      <c r="J10">
        <v>0</v>
      </c>
      <c r="K10" t="str">
        <v>Southampton</v>
      </c>
    </row>
    <row r="11" spans="2:11" x14ac:dyDescent="0.2">
      <c r="B11">
        <v>1</v>
      </c>
      <c r="C11">
        <v>3</v>
      </c>
      <c r="D11" t="str">
        <v>Johnson, Mrs. Oscar W (Elisabeth Vilhelmina Berg)</v>
      </c>
      <c r="E11" t="str">
        <v>Mujer</v>
      </c>
      <c r="F11">
        <v>27</v>
      </c>
      <c r="G11">
        <v>0</v>
      </c>
      <c r="H11">
        <v>2</v>
      </c>
      <c r="I11">
        <v>111333</v>
      </c>
      <c r="J11">
        <v>0</v>
      </c>
      <c r="K11" t="str">
        <v>Southampton</v>
      </c>
    </row>
    <row r="12" spans="2:11" x14ac:dyDescent="0.2">
      <c r="B12">
        <v>1</v>
      </c>
      <c r="C12">
        <v>2</v>
      </c>
      <c r="D12" t="str">
        <v>Nasser, Mrs. Nicholas (Adele Achem)</v>
      </c>
      <c r="E12" t="str">
        <v>Mujer</v>
      </c>
      <c r="F12">
        <v>14</v>
      </c>
      <c r="G12">
        <v>1</v>
      </c>
      <c r="H12">
        <v>0</v>
      </c>
      <c r="I12">
        <v>300708</v>
      </c>
      <c r="J12">
        <v>0</v>
      </c>
      <c r="K12" t="str">
        <v>Cherburg</v>
      </c>
    </row>
    <row r="13" spans="2:11" x14ac:dyDescent="0.2">
      <c r="B13">
        <v>1</v>
      </c>
      <c r="C13">
        <v>3</v>
      </c>
      <c r="D13" t="str">
        <v>Sandstrom, Miss. Marguerite Rut</v>
      </c>
      <c r="E13" t="str">
        <v>Mujer</v>
      </c>
      <c r="F13">
        <v>4</v>
      </c>
      <c r="G13">
        <v>1</v>
      </c>
      <c r="H13">
        <v>1</v>
      </c>
      <c r="I13">
        <v>167</v>
      </c>
      <c r="J13">
        <v>1</v>
      </c>
      <c r="K13" t="str">
        <v>Southampton</v>
      </c>
    </row>
    <row r="14" spans="2:11" x14ac:dyDescent="0.2">
      <c r="B14">
        <v>1</v>
      </c>
      <c r="C14">
        <v>1</v>
      </c>
      <c r="D14" t="str">
        <v>Bonnell, Miss. Elizabeth</v>
      </c>
      <c r="E14" t="str">
        <v>Mujer</v>
      </c>
      <c r="F14">
        <v>58</v>
      </c>
      <c r="G14">
        <v>0</v>
      </c>
      <c r="H14">
        <v>0</v>
      </c>
      <c r="I14">
        <v>2655</v>
      </c>
      <c r="J14">
        <v>1</v>
      </c>
      <c r="K14" t="str">
        <v>Southampton</v>
      </c>
    </row>
    <row r="15" spans="2:11" x14ac:dyDescent="0.2">
      <c r="B15">
        <v>0</v>
      </c>
      <c r="C15">
        <v>3</v>
      </c>
      <c r="D15" t="str">
        <v>Saundercock, Mr. William Henry</v>
      </c>
      <c r="E15" t="str">
        <v>Hombre</v>
      </c>
      <c r="F15">
        <v>20</v>
      </c>
      <c r="G15">
        <v>0</v>
      </c>
      <c r="H15">
        <v>0</v>
      </c>
      <c r="I15">
        <v>805</v>
      </c>
      <c r="J15">
        <v>0</v>
      </c>
      <c r="K15" t="str">
        <v>Southampton</v>
      </c>
    </row>
    <row r="16" spans="2:11" x14ac:dyDescent="0.2">
      <c r="B16">
        <v>0</v>
      </c>
      <c r="C16">
        <v>3</v>
      </c>
      <c r="D16" t="str">
        <v>Andersson, Mr. Anders Johan</v>
      </c>
      <c r="E16" t="str">
        <v>Hombre</v>
      </c>
      <c r="F16">
        <v>39</v>
      </c>
      <c r="G16">
        <v>1</v>
      </c>
      <c r="H16">
        <v>5</v>
      </c>
      <c r="I16">
        <v>31275</v>
      </c>
      <c r="J16">
        <v>0</v>
      </c>
      <c r="K16" t="str">
        <v>Southampton</v>
      </c>
    </row>
    <row r="17" spans="2:11" x14ac:dyDescent="0.2">
      <c r="B17">
        <v>0</v>
      </c>
      <c r="C17">
        <v>3</v>
      </c>
      <c r="D17" t="str">
        <v>Vestrom, Miss. Hulda Amanda Adolfina</v>
      </c>
      <c r="E17" t="str">
        <v>Mujer</v>
      </c>
      <c r="F17">
        <v>14</v>
      </c>
      <c r="G17">
        <v>0</v>
      </c>
      <c r="H17">
        <v>0</v>
      </c>
      <c r="I17">
        <v>78542</v>
      </c>
      <c r="J17">
        <v>0</v>
      </c>
      <c r="K17" t="str">
        <v>Southampton</v>
      </c>
    </row>
    <row r="18" spans="2:11" x14ac:dyDescent="0.2">
      <c r="B18">
        <v>1</v>
      </c>
      <c r="C18">
        <v>2</v>
      </c>
      <c r="D18" t="str">
        <v>Hewlett, Mrs. (Mary D Kingcome) </v>
      </c>
      <c r="E18" t="str">
        <v>Mujer</v>
      </c>
      <c r="F18">
        <v>55</v>
      </c>
      <c r="G18">
        <v>0</v>
      </c>
      <c r="H18">
        <v>0</v>
      </c>
      <c r="I18">
        <v>16</v>
      </c>
      <c r="J18">
        <v>0</v>
      </c>
      <c r="K18" t="str">
        <v>Southampton</v>
      </c>
    </row>
    <row r="19" spans="2:11" x14ac:dyDescent="0.2">
      <c r="B19">
        <v>0</v>
      </c>
      <c r="C19">
        <v>3</v>
      </c>
      <c r="D19" t="str">
        <v>Rice, Master. Eugene</v>
      </c>
      <c r="E19" t="str">
        <v>Hombre</v>
      </c>
      <c r="F19">
        <v>2</v>
      </c>
      <c r="G19">
        <v>4</v>
      </c>
      <c r="H19">
        <v>1</v>
      </c>
      <c r="I19">
        <v>29125</v>
      </c>
      <c r="J19">
        <v>0</v>
      </c>
      <c r="K19" t="str">
        <v>Queenstown</v>
      </c>
    </row>
    <row r="20" spans="2:11" x14ac:dyDescent="0.2">
      <c r="B20">
        <v>1</v>
      </c>
      <c r="C20">
        <v>2</v>
      </c>
      <c r="D20" t="str">
        <v>Williams, Mr. Charles Eugene</v>
      </c>
      <c r="E20" t="str">
        <v>Hombre</v>
      </c>
      <c r="F20">
        <v>0</v>
      </c>
      <c r="G20">
        <v>0</v>
      </c>
      <c r="H20">
        <v>0</v>
      </c>
      <c r="I20">
        <v>13</v>
      </c>
      <c r="J20">
        <v>0</v>
      </c>
      <c r="K20" t="str">
        <v>Southampton</v>
      </c>
    </row>
    <row r="21" spans="2:11" x14ac:dyDescent="0.2">
      <c r="B21">
        <v>0</v>
      </c>
      <c r="C21">
        <v>3</v>
      </c>
      <c r="D21" t="str">
        <v>Vander Planke, Mrs. Julius (Emelia Maria Vandemoortele)</v>
      </c>
      <c r="E21" t="str">
        <v>Mujer</v>
      </c>
      <c r="F21">
        <v>31</v>
      </c>
      <c r="G21">
        <v>1</v>
      </c>
      <c r="H21">
        <v>0</v>
      </c>
      <c r="I21">
        <v>18</v>
      </c>
      <c r="J21">
        <v>0</v>
      </c>
      <c r="K21" t="str">
        <v>Southampton</v>
      </c>
    </row>
    <row r="22" spans="2:11" x14ac:dyDescent="0.2">
      <c r="B22">
        <v>1</v>
      </c>
      <c r="C22">
        <v>3</v>
      </c>
      <c r="D22" t="str">
        <v>Masselmani, Mrs. Fatima</v>
      </c>
      <c r="E22" t="str">
        <v>Mujer</v>
      </c>
      <c r="F22">
        <v>0</v>
      </c>
      <c r="G22">
        <v>0</v>
      </c>
      <c r="H22">
        <v>0</v>
      </c>
      <c r="I22">
        <v>7225</v>
      </c>
      <c r="J22">
        <v>0</v>
      </c>
      <c r="K22" t="str">
        <v>Cherburg</v>
      </c>
    </row>
    <row r="23" spans="2:11" x14ac:dyDescent="0.2">
      <c r="B23">
        <v>0</v>
      </c>
      <c r="C23">
        <v>2</v>
      </c>
      <c r="D23" t="str">
        <v>Fynney, Mr. Joseph J</v>
      </c>
      <c r="E23" t="str">
        <v>Hombre</v>
      </c>
      <c r="F23">
        <v>35</v>
      </c>
      <c r="G23">
        <v>0</v>
      </c>
      <c r="H23">
        <v>0</v>
      </c>
      <c r="I23">
        <v>26</v>
      </c>
      <c r="J23">
        <v>0</v>
      </c>
      <c r="K23" t="str">
        <v>Southampton</v>
      </c>
    </row>
    <row r="24" spans="2:11" x14ac:dyDescent="0.2">
      <c r="B24">
        <v>1</v>
      </c>
      <c r="C24">
        <v>2</v>
      </c>
      <c r="D24" t="str">
        <v>Beesley, Mr. Lawrence</v>
      </c>
      <c r="E24" t="str">
        <v>Hombre</v>
      </c>
      <c r="F24">
        <v>34</v>
      </c>
      <c r="G24">
        <v>0</v>
      </c>
      <c r="H24">
        <v>0</v>
      </c>
      <c r="I24">
        <v>13</v>
      </c>
      <c r="J24">
        <v>1</v>
      </c>
      <c r="K24" t="str">
        <v>Southampton</v>
      </c>
    </row>
    <row r="25" spans="2:11" x14ac:dyDescent="0.2">
      <c r="B25">
        <v>1</v>
      </c>
      <c r="C25">
        <v>3</v>
      </c>
      <c r="D25" t="str">
        <v>McGowan, Miss. Anna "Annie"</v>
      </c>
      <c r="E25" t="str">
        <v>Mujer</v>
      </c>
      <c r="F25">
        <v>15</v>
      </c>
      <c r="G25">
        <v>0</v>
      </c>
      <c r="H25">
        <v>0</v>
      </c>
      <c r="I25">
        <v>80292</v>
      </c>
      <c r="J25">
        <v>0</v>
      </c>
      <c r="K25" t="str">
        <v>Queenstown</v>
      </c>
    </row>
    <row r="26" spans="2:11" x14ac:dyDescent="0.2">
      <c r="B26">
        <v>1</v>
      </c>
      <c r="C26">
        <v>1</v>
      </c>
      <c r="D26" t="str">
        <v>Sloper, Mr. William Thompson</v>
      </c>
      <c r="E26" t="str">
        <v>Hombre</v>
      </c>
      <c r="F26">
        <v>28</v>
      </c>
      <c r="G26">
        <v>0</v>
      </c>
      <c r="H26">
        <v>0</v>
      </c>
      <c r="I26">
        <v>355</v>
      </c>
      <c r="J26">
        <v>1</v>
      </c>
      <c r="K26" t="str">
        <v>Southampton</v>
      </c>
    </row>
    <row r="27" spans="2:11" x14ac:dyDescent="0.2">
      <c r="B27">
        <v>0</v>
      </c>
      <c r="C27">
        <v>3</v>
      </c>
      <c r="D27" t="str">
        <v>Palsson, Miss. Torborg Danira</v>
      </c>
      <c r="E27" t="str">
        <v>Mujer</v>
      </c>
      <c r="F27">
        <v>8</v>
      </c>
      <c r="G27">
        <v>3</v>
      </c>
      <c r="H27">
        <v>1</v>
      </c>
      <c r="I27">
        <v>21075</v>
      </c>
      <c r="J27">
        <v>0</v>
      </c>
      <c r="K27" t="str">
        <v>Southampton</v>
      </c>
    </row>
    <row r="28" spans="2:11" x14ac:dyDescent="0.2">
      <c r="B28">
        <v>1</v>
      </c>
      <c r="C28">
        <v>3</v>
      </c>
      <c r="D28" t="str">
        <v>Asplund, Mrs. Carl Oscar (Selma Augusta Emilia Johansson)</v>
      </c>
      <c r="E28" t="str">
        <v>Mujer</v>
      </c>
      <c r="F28">
        <v>38</v>
      </c>
      <c r="G28">
        <v>1</v>
      </c>
      <c r="H28">
        <v>5</v>
      </c>
      <c r="I28">
        <v>313875</v>
      </c>
      <c r="J28">
        <v>0</v>
      </c>
      <c r="K28" t="str">
        <v>Southampton</v>
      </c>
    </row>
    <row r="29" spans="2:11" x14ac:dyDescent="0.2">
      <c r="B29">
        <v>0</v>
      </c>
      <c r="C29">
        <v>3</v>
      </c>
      <c r="D29" t="str">
        <v>Emir, Mr. Farred Chehab</v>
      </c>
      <c r="E29" t="str">
        <v>Hombre</v>
      </c>
      <c r="F29">
        <v>0</v>
      </c>
      <c r="G29">
        <v>0</v>
      </c>
      <c r="H29">
        <v>0</v>
      </c>
      <c r="I29">
        <v>7225</v>
      </c>
      <c r="J29">
        <v>0</v>
      </c>
      <c r="K29" t="str">
        <v>Cherburg</v>
      </c>
    </row>
    <row r="30" spans="2:11" x14ac:dyDescent="0.2">
      <c r="B30">
        <v>0</v>
      </c>
      <c r="C30">
        <v>1</v>
      </c>
      <c r="D30" t="str">
        <v>Fortune, Mr. Charles Alexander</v>
      </c>
      <c r="E30" t="str">
        <v>Hombre</v>
      </c>
      <c r="F30">
        <v>19</v>
      </c>
      <c r="G30">
        <v>3</v>
      </c>
      <c r="H30">
        <v>2</v>
      </c>
      <c r="I30">
        <v>263</v>
      </c>
      <c r="J30">
        <v>1</v>
      </c>
      <c r="K30" t="str">
        <v>Southampton</v>
      </c>
    </row>
    <row r="31" spans="2:11" x14ac:dyDescent="0.2">
      <c r="B31">
        <v>1</v>
      </c>
      <c r="C31">
        <v>3</v>
      </c>
      <c r="D31" t="str">
        <v>O'Dwyer, Miss. Ellen "Nellie"</v>
      </c>
      <c r="E31" t="str">
        <v>Mujer</v>
      </c>
      <c r="F31">
        <v>0</v>
      </c>
      <c r="G31">
        <v>0</v>
      </c>
      <c r="H31">
        <v>0</v>
      </c>
      <c r="I31">
        <v>78792</v>
      </c>
      <c r="J31">
        <v>0</v>
      </c>
      <c r="K31" t="str">
        <v>Queenstown</v>
      </c>
    </row>
    <row r="32" spans="2:11" x14ac:dyDescent="0.2">
      <c r="B32">
        <v>0</v>
      </c>
      <c r="C32">
        <v>3</v>
      </c>
      <c r="D32" t="str">
        <v>Todoroff, Mr. Lalio</v>
      </c>
      <c r="E32" t="str">
        <v>Hombre</v>
      </c>
      <c r="F32">
        <v>0</v>
      </c>
      <c r="G32">
        <v>0</v>
      </c>
      <c r="H32">
        <v>0</v>
      </c>
      <c r="I32">
        <v>78958</v>
      </c>
      <c r="J32">
        <v>0</v>
      </c>
      <c r="K32" t="str">
        <v>Southampton</v>
      </c>
    </row>
    <row r="33" spans="2:11" x14ac:dyDescent="0.2">
      <c r="B33">
        <v>0</v>
      </c>
      <c r="C33">
        <v>1</v>
      </c>
      <c r="D33" t="str">
        <v>Uruchurtu, Don. Manuel E</v>
      </c>
      <c r="E33" t="str">
        <v>Hombre</v>
      </c>
      <c r="F33">
        <v>40</v>
      </c>
      <c r="G33">
        <v>0</v>
      </c>
      <c r="H33">
        <v>0</v>
      </c>
      <c r="I33">
        <v>277208</v>
      </c>
      <c r="J33">
        <v>0</v>
      </c>
      <c r="K33" t="str">
        <v>Cherburg</v>
      </c>
    </row>
    <row r="34" spans="2:11" x14ac:dyDescent="0.2">
      <c r="B34">
        <v>1</v>
      </c>
      <c r="C34">
        <v>1</v>
      </c>
      <c r="D34" t="str">
        <v>Spencer, Mrs. William Augustus (Marie Eugenie)</v>
      </c>
      <c r="E34" t="str">
        <v>Mujer</v>
      </c>
      <c r="F34">
        <v>0</v>
      </c>
      <c r="G34">
        <v>1</v>
      </c>
      <c r="H34">
        <v>0</v>
      </c>
      <c r="I34">
        <v>1465208</v>
      </c>
      <c r="J34">
        <v>1</v>
      </c>
      <c r="K34" t="str">
        <v>Cherburg</v>
      </c>
    </row>
    <row r="35" spans="2:11" x14ac:dyDescent="0.2">
      <c r="B35">
        <v>1</v>
      </c>
      <c r="C35">
        <v>3</v>
      </c>
      <c r="D35" t="str">
        <v>Glynn, Miss. Mary Agatha</v>
      </c>
      <c r="E35" t="str">
        <v>Mujer</v>
      </c>
      <c r="F35">
        <v>0</v>
      </c>
      <c r="G35">
        <v>0</v>
      </c>
      <c r="H35">
        <v>0</v>
      </c>
      <c r="I35">
        <v>775</v>
      </c>
      <c r="J35">
        <v>0</v>
      </c>
      <c r="K35" t="str">
        <v>Queenstown</v>
      </c>
    </row>
    <row r="36" spans="2:11" x14ac:dyDescent="0.2">
      <c r="B36">
        <v>0</v>
      </c>
      <c r="C36">
        <v>2</v>
      </c>
      <c r="D36" t="str">
        <v>Wheadon, Mr. Edward H</v>
      </c>
      <c r="E36" t="str">
        <v>Hombre</v>
      </c>
      <c r="F36">
        <v>66</v>
      </c>
      <c r="G36">
        <v>0</v>
      </c>
      <c r="H36">
        <v>0</v>
      </c>
      <c r="I36">
        <v>105</v>
      </c>
      <c r="J36">
        <v>0</v>
      </c>
      <c r="K36" t="str">
        <v>Southampton</v>
      </c>
    </row>
    <row r="37" spans="2:11" x14ac:dyDescent="0.2">
      <c r="B37">
        <v>0</v>
      </c>
      <c r="C37">
        <v>1</v>
      </c>
      <c r="D37" t="str">
        <v>Meyer, Mr. Edgar Joseph</v>
      </c>
      <c r="E37" t="str">
        <v>Hombre</v>
      </c>
      <c r="F37">
        <v>28</v>
      </c>
      <c r="G37">
        <v>1</v>
      </c>
      <c r="H37">
        <v>0</v>
      </c>
      <c r="I37">
        <v>821708</v>
      </c>
      <c r="J37">
        <v>0</v>
      </c>
      <c r="K37" t="str">
        <v>Cherburg</v>
      </c>
    </row>
    <row r="38" spans="2:11" x14ac:dyDescent="0.2">
      <c r="B38">
        <v>0</v>
      </c>
      <c r="C38">
        <v>1</v>
      </c>
      <c r="D38" t="str">
        <v>Holverson, Mr. Alexander Oskar</v>
      </c>
      <c r="E38" t="str">
        <v>Hombre</v>
      </c>
      <c r="F38">
        <v>42</v>
      </c>
      <c r="G38">
        <v>1</v>
      </c>
      <c r="H38">
        <v>0</v>
      </c>
      <c r="I38">
        <v>52</v>
      </c>
      <c r="J38">
        <v>0</v>
      </c>
      <c r="K38" t="str">
        <v>Southampton</v>
      </c>
    </row>
    <row r="39" spans="2:11" x14ac:dyDescent="0.2">
      <c r="B39">
        <v>1</v>
      </c>
      <c r="C39">
        <v>3</v>
      </c>
      <c r="D39" t="str">
        <v>Mamee, Mr. Hanna</v>
      </c>
      <c r="E39" t="str">
        <v>Hombre</v>
      </c>
      <c r="F39">
        <v>0</v>
      </c>
      <c r="G39">
        <v>0</v>
      </c>
      <c r="H39">
        <v>0</v>
      </c>
      <c r="I39">
        <v>72292</v>
      </c>
      <c r="J39">
        <v>0</v>
      </c>
      <c r="K39" t="str">
        <v>Cherburg</v>
      </c>
    </row>
    <row r="40" spans="2:11" x14ac:dyDescent="0.2">
      <c r="B40">
        <v>0</v>
      </c>
      <c r="C40">
        <v>3</v>
      </c>
      <c r="D40" t="str">
        <v>Cann, Mr. Ernest Charles</v>
      </c>
      <c r="E40" t="str">
        <v>Hombre</v>
      </c>
      <c r="F40">
        <v>21</v>
      </c>
      <c r="G40">
        <v>0</v>
      </c>
      <c r="H40">
        <v>0</v>
      </c>
      <c r="I40">
        <v>805</v>
      </c>
      <c r="J40">
        <v>0</v>
      </c>
      <c r="K40" t="str">
        <v>Southampton</v>
      </c>
    </row>
    <row r="41" spans="2:11" x14ac:dyDescent="0.2">
      <c r="B41">
        <v>0</v>
      </c>
      <c r="C41">
        <v>3</v>
      </c>
      <c r="D41" t="str">
        <v>Vander Planke, Miss. Augusta Maria</v>
      </c>
      <c r="E41" t="str">
        <v>Mujer</v>
      </c>
      <c r="F41">
        <v>18</v>
      </c>
      <c r="G41">
        <v>2</v>
      </c>
      <c r="H41">
        <v>0</v>
      </c>
      <c r="I41">
        <v>18</v>
      </c>
      <c r="J41">
        <v>0</v>
      </c>
      <c r="K41" t="str">
        <v>Southampton</v>
      </c>
    </row>
    <row r="42" spans="2:11" x14ac:dyDescent="0.2">
      <c r="B42">
        <v>1</v>
      </c>
      <c r="C42">
        <v>3</v>
      </c>
      <c r="D42" t="str">
        <v>Nicola-Yarred, Miss. Jamila</v>
      </c>
      <c r="E42" t="str">
        <v>Mujer</v>
      </c>
      <c r="F42">
        <v>14</v>
      </c>
      <c r="G42">
        <v>1</v>
      </c>
      <c r="H42">
        <v>0</v>
      </c>
      <c r="I42">
        <v>112417</v>
      </c>
      <c r="J42">
        <v>0</v>
      </c>
      <c r="K42" t="str">
        <v>Cherburg</v>
      </c>
    </row>
    <row r="43" spans="2:11" x14ac:dyDescent="0.2">
      <c r="B43">
        <v>0</v>
      </c>
      <c r="C43">
        <v>3</v>
      </c>
      <c r="D43" t="str">
        <v>Ahlin, Mrs. Johan (Johanna Persdotter Larsson)</v>
      </c>
      <c r="E43" t="str">
        <v>Mujer</v>
      </c>
      <c r="F43">
        <v>40</v>
      </c>
      <c r="G43">
        <v>1</v>
      </c>
      <c r="H43">
        <v>0</v>
      </c>
      <c r="I43">
        <v>9475</v>
      </c>
      <c r="J43">
        <v>0</v>
      </c>
      <c r="K43" t="str">
        <v>Southampton</v>
      </c>
    </row>
    <row r="44" spans="2:11" x14ac:dyDescent="0.2">
      <c r="B44">
        <v>0</v>
      </c>
      <c r="C44">
        <v>2</v>
      </c>
      <c r="D44" t="str">
        <v>Turpin, Mrs. William John Robert (Dorothy Ann Wonnacott)</v>
      </c>
      <c r="E44" t="str">
        <v>Mujer</v>
      </c>
      <c r="F44">
        <v>27</v>
      </c>
      <c r="G44">
        <v>1</v>
      </c>
      <c r="H44">
        <v>0</v>
      </c>
      <c r="I44">
        <v>21</v>
      </c>
      <c r="J44">
        <v>0</v>
      </c>
      <c r="K44" t="str">
        <v>Southampton</v>
      </c>
    </row>
    <row r="45" spans="2:11" x14ac:dyDescent="0.2">
      <c r="B45">
        <v>0</v>
      </c>
      <c r="C45">
        <v>3</v>
      </c>
      <c r="D45" t="str">
        <v>Kraeff, Mr. Theodor</v>
      </c>
      <c r="E45" t="str">
        <v>Hombre</v>
      </c>
      <c r="F45">
        <v>0</v>
      </c>
      <c r="G45">
        <v>0</v>
      </c>
      <c r="H45">
        <v>0</v>
      </c>
      <c r="I45">
        <v>78958</v>
      </c>
      <c r="J45">
        <v>0</v>
      </c>
      <c r="K45" t="str">
        <v>Cherburg</v>
      </c>
    </row>
    <row r="46" spans="2:11" x14ac:dyDescent="0.2">
      <c r="B46">
        <v>1</v>
      </c>
      <c r="C46">
        <v>2</v>
      </c>
      <c r="D46" t="str">
        <v>Laroche, Miss. Simonne Marie Anne Andree</v>
      </c>
      <c r="E46" t="str">
        <v>Mujer</v>
      </c>
      <c r="F46">
        <v>3</v>
      </c>
      <c r="G46">
        <v>1</v>
      </c>
      <c r="H46">
        <v>2</v>
      </c>
      <c r="I46">
        <v>415792</v>
      </c>
      <c r="J46">
        <v>0</v>
      </c>
      <c r="K46" t="str">
        <v>Cherburg</v>
      </c>
    </row>
    <row r="47" spans="2:11" x14ac:dyDescent="0.2">
      <c r="B47">
        <v>1</v>
      </c>
      <c r="C47">
        <v>3</v>
      </c>
      <c r="D47" t="str">
        <v>Devaney, Miss. Margaret Delia</v>
      </c>
      <c r="E47" t="str">
        <v>Mujer</v>
      </c>
      <c r="F47">
        <v>19</v>
      </c>
      <c r="G47">
        <v>0</v>
      </c>
      <c r="H47">
        <v>0</v>
      </c>
      <c r="I47">
        <v>78792</v>
      </c>
      <c r="J47">
        <v>0</v>
      </c>
      <c r="K47" t="str">
        <v>Queenstown</v>
      </c>
    </row>
    <row r="48" spans="2:11" x14ac:dyDescent="0.2">
      <c r="B48">
        <v>0</v>
      </c>
      <c r="C48">
        <v>3</v>
      </c>
      <c r="D48" t="str">
        <v>Rogers, Mr. William John</v>
      </c>
      <c r="E48" t="str">
        <v>Hombre</v>
      </c>
      <c r="F48">
        <v>0</v>
      </c>
      <c r="G48">
        <v>0</v>
      </c>
      <c r="H48">
        <v>0</v>
      </c>
      <c r="I48">
        <v>805</v>
      </c>
      <c r="J48">
        <v>0</v>
      </c>
      <c r="K48" t="str">
        <v>Southampton</v>
      </c>
    </row>
    <row r="49" spans="2:11" x14ac:dyDescent="0.2">
      <c r="B49">
        <v>0</v>
      </c>
      <c r="C49">
        <v>3</v>
      </c>
      <c r="D49" t="str">
        <v>Lennon, Mr. Denis</v>
      </c>
      <c r="E49" t="str">
        <v>Hombre</v>
      </c>
      <c r="F49">
        <v>0</v>
      </c>
      <c r="G49">
        <v>1</v>
      </c>
      <c r="H49">
        <v>0</v>
      </c>
      <c r="I49">
        <v>155</v>
      </c>
      <c r="J49">
        <v>0</v>
      </c>
      <c r="K49" t="str">
        <v>Queenstown</v>
      </c>
    </row>
    <row r="50" spans="2:11" x14ac:dyDescent="0.2">
      <c r="B50">
        <v>1</v>
      </c>
      <c r="C50">
        <v>3</v>
      </c>
      <c r="D50" t="str">
        <v>O'Driscoll, Miss. Bridget</v>
      </c>
      <c r="E50" t="str">
        <v>Mujer</v>
      </c>
      <c r="F50">
        <v>0</v>
      </c>
      <c r="G50">
        <v>0</v>
      </c>
      <c r="H50">
        <v>0</v>
      </c>
      <c r="I50">
        <v>775</v>
      </c>
      <c r="J50">
        <v>0</v>
      </c>
      <c r="K50" t="str">
        <v>Queenstown</v>
      </c>
    </row>
    <row r="51" spans="2:11" x14ac:dyDescent="0.2">
      <c r="B51">
        <v>0</v>
      </c>
      <c r="C51">
        <v>3</v>
      </c>
      <c r="D51" t="str">
        <v>Samaan, Mr. Youssef</v>
      </c>
      <c r="E51" t="str">
        <v>Hombre</v>
      </c>
      <c r="F51">
        <v>0</v>
      </c>
      <c r="G51">
        <v>2</v>
      </c>
      <c r="H51">
        <v>0</v>
      </c>
      <c r="I51">
        <v>216792</v>
      </c>
      <c r="J51">
        <v>0</v>
      </c>
      <c r="K51" t="str">
        <v>Cherburg</v>
      </c>
    </row>
    <row r="52" spans="2:11" x14ac:dyDescent="0.2">
      <c r="B52">
        <v>0</v>
      </c>
      <c r="C52">
        <v>3</v>
      </c>
      <c r="D52" t="str">
        <v>Arnold-Franchi, Mrs. Josef (Josefine Franchi)</v>
      </c>
      <c r="E52" t="str">
        <v>Mujer</v>
      </c>
      <c r="F52">
        <v>18</v>
      </c>
      <c r="G52">
        <v>1</v>
      </c>
      <c r="H52">
        <v>0</v>
      </c>
      <c r="I52">
        <v>178</v>
      </c>
      <c r="J52">
        <v>0</v>
      </c>
      <c r="K52" t="str">
        <v>Southampton</v>
      </c>
    </row>
    <row r="53" spans="2:11" x14ac:dyDescent="0.2">
      <c r="B53">
        <v>0</v>
      </c>
      <c r="C53">
        <v>3</v>
      </c>
      <c r="D53" t="str">
        <v>Panula, Master. Juha Niilo</v>
      </c>
      <c r="E53" t="str">
        <v>Hombre</v>
      </c>
      <c r="F53">
        <v>7</v>
      </c>
      <c r="G53">
        <v>4</v>
      </c>
      <c r="H53">
        <v>1</v>
      </c>
      <c r="I53">
        <v>396875</v>
      </c>
      <c r="J53">
        <v>0</v>
      </c>
      <c r="K53" t="str">
        <v>Southampton</v>
      </c>
    </row>
    <row r="54" spans="2:11" x14ac:dyDescent="0.2">
      <c r="B54">
        <v>0</v>
      </c>
      <c r="C54">
        <v>3</v>
      </c>
      <c r="D54" t="str">
        <v>Nosworthy, Mr. Richard Cater</v>
      </c>
      <c r="E54" t="str">
        <v>Hombre</v>
      </c>
      <c r="F54">
        <v>21</v>
      </c>
      <c r="G54">
        <v>0</v>
      </c>
      <c r="H54">
        <v>0</v>
      </c>
      <c r="I54">
        <v>78</v>
      </c>
      <c r="J54">
        <v>0</v>
      </c>
      <c r="K54" t="str">
        <v>Southampton</v>
      </c>
    </row>
    <row r="55" spans="2:11" x14ac:dyDescent="0.2">
      <c r="B55">
        <v>1</v>
      </c>
      <c r="C55">
        <v>1</v>
      </c>
      <c r="D55" t="str">
        <v>Harper, Mrs. Henry Sleeper (Myna Haxtun)</v>
      </c>
      <c r="E55" t="str">
        <v>Mujer</v>
      </c>
      <c r="F55">
        <v>49</v>
      </c>
      <c r="G55">
        <v>1</v>
      </c>
      <c r="H55">
        <v>0</v>
      </c>
      <c r="I55">
        <v>767292</v>
      </c>
      <c r="J55">
        <v>1</v>
      </c>
      <c r="K55" t="str">
        <v>Cherburg</v>
      </c>
    </row>
    <row r="56" spans="2:11" x14ac:dyDescent="0.2">
      <c r="B56">
        <v>1</v>
      </c>
      <c r="C56">
        <v>2</v>
      </c>
      <c r="D56" t="str">
        <v>Faunthorpe, Mrs. Lizzie (Elizabeth Anne Wilkinson)</v>
      </c>
      <c r="E56" t="str">
        <v>Mujer</v>
      </c>
      <c r="F56">
        <v>29</v>
      </c>
      <c r="G56">
        <v>1</v>
      </c>
      <c r="H56">
        <v>0</v>
      </c>
      <c r="I56">
        <v>26</v>
      </c>
      <c r="J56">
        <v>0</v>
      </c>
      <c r="K56" t="str">
        <v>Southampton</v>
      </c>
    </row>
    <row r="57" spans="2:11" x14ac:dyDescent="0.2">
      <c r="B57">
        <v>0</v>
      </c>
      <c r="C57">
        <v>1</v>
      </c>
      <c r="D57" t="str">
        <v>Ostby, Mr. Engelhart Cornelius</v>
      </c>
      <c r="E57" t="str">
        <v>Hombre</v>
      </c>
      <c r="F57">
        <v>65</v>
      </c>
      <c r="G57">
        <v>0</v>
      </c>
      <c r="H57">
        <v>1</v>
      </c>
      <c r="I57">
        <v>619792</v>
      </c>
      <c r="J57">
        <v>1</v>
      </c>
      <c r="K57" t="str">
        <v>Cherburg</v>
      </c>
    </row>
    <row r="58" spans="2:11" x14ac:dyDescent="0.2">
      <c r="B58">
        <v>1</v>
      </c>
      <c r="C58">
        <v>1</v>
      </c>
      <c r="D58" t="str">
        <v>Woolner, Mr. Hugh</v>
      </c>
      <c r="E58" t="str">
        <v>Hombre</v>
      </c>
      <c r="F58">
        <v>0</v>
      </c>
      <c r="G58">
        <v>0</v>
      </c>
      <c r="H58">
        <v>0</v>
      </c>
      <c r="I58">
        <v>355</v>
      </c>
      <c r="J58">
        <v>1</v>
      </c>
      <c r="K58" t="str">
        <v>Southampton</v>
      </c>
    </row>
    <row r="59" spans="2:11" x14ac:dyDescent="0.2">
      <c r="B59">
        <v>1</v>
      </c>
      <c r="C59">
        <v>2</v>
      </c>
      <c r="D59" t="str">
        <v>Rugg, Miss. Emily</v>
      </c>
      <c r="E59" t="str">
        <v>Mujer</v>
      </c>
      <c r="F59">
        <v>21</v>
      </c>
      <c r="G59">
        <v>0</v>
      </c>
      <c r="H59">
        <v>0</v>
      </c>
      <c r="I59">
        <v>105</v>
      </c>
      <c r="J59">
        <v>0</v>
      </c>
      <c r="K59" t="str">
        <v>Southampton</v>
      </c>
    </row>
    <row r="60" spans="2:11" x14ac:dyDescent="0.2">
      <c r="B60">
        <v>0</v>
      </c>
      <c r="C60">
        <v>3</v>
      </c>
      <c r="D60" t="str">
        <v>Novel, Mr. Mansouer</v>
      </c>
      <c r="E60" t="str">
        <v>Hombre</v>
      </c>
      <c r="F60">
        <v>285</v>
      </c>
      <c r="G60">
        <v>0</v>
      </c>
      <c r="H60">
        <v>0</v>
      </c>
      <c r="I60">
        <v>72292</v>
      </c>
      <c r="J60">
        <v>0</v>
      </c>
      <c r="K60" t="str">
        <v>Cherburg</v>
      </c>
    </row>
    <row r="61" spans="2:11" x14ac:dyDescent="0.2">
      <c r="B61">
        <v>1</v>
      </c>
      <c r="C61">
        <v>2</v>
      </c>
      <c r="D61" t="str">
        <v>West, Miss. Constance Mirium</v>
      </c>
      <c r="E61" t="str">
        <v>Mujer</v>
      </c>
      <c r="F61">
        <v>5</v>
      </c>
      <c r="G61">
        <v>1</v>
      </c>
      <c r="H61">
        <v>2</v>
      </c>
      <c r="I61">
        <v>2775</v>
      </c>
      <c r="J61">
        <v>0</v>
      </c>
      <c r="K61" t="str">
        <v>Southampton</v>
      </c>
    </row>
    <row r="62" spans="2:11" x14ac:dyDescent="0.2">
      <c r="B62">
        <v>0</v>
      </c>
      <c r="C62">
        <v>3</v>
      </c>
      <c r="D62" t="str">
        <v>Goodwin, Master. William Frederick</v>
      </c>
      <c r="E62" t="str">
        <v>Hombre</v>
      </c>
      <c r="F62">
        <v>11</v>
      </c>
      <c r="G62">
        <v>5</v>
      </c>
      <c r="H62">
        <v>2</v>
      </c>
      <c r="I62">
        <v>469</v>
      </c>
      <c r="J62">
        <v>0</v>
      </c>
      <c r="K62" t="str">
        <v>Southampton</v>
      </c>
    </row>
    <row r="63" spans="2:11" x14ac:dyDescent="0.2">
      <c r="B63">
        <v>0</v>
      </c>
      <c r="C63">
        <v>3</v>
      </c>
      <c r="D63" t="str">
        <v>Sirayanian, Mr. Orsen</v>
      </c>
      <c r="E63" t="str">
        <v>Hombre</v>
      </c>
      <c r="F63">
        <v>22</v>
      </c>
      <c r="G63">
        <v>0</v>
      </c>
      <c r="H63">
        <v>0</v>
      </c>
      <c r="I63">
        <v>72292</v>
      </c>
      <c r="J63">
        <v>0</v>
      </c>
      <c r="K63" t="str">
        <v>Cherburg</v>
      </c>
    </row>
    <row r="64" spans="2:11" x14ac:dyDescent="0.2">
      <c r="B64">
        <v>1</v>
      </c>
      <c r="C64">
        <v>1</v>
      </c>
      <c r="D64" t="str">
        <v>Icard, Miss. Amelie</v>
      </c>
      <c r="E64" t="str">
        <v>Mujer</v>
      </c>
      <c r="F64">
        <v>38</v>
      </c>
      <c r="G64">
        <v>0</v>
      </c>
      <c r="H64">
        <v>0</v>
      </c>
      <c r="I64">
        <v>80</v>
      </c>
      <c r="J64">
        <v>1</v>
      </c>
      <c r="K64">
        <v>0</v>
      </c>
    </row>
    <row r="65" spans="2:11" x14ac:dyDescent="0.2">
      <c r="B65">
        <v>0</v>
      </c>
      <c r="C65">
        <v>1</v>
      </c>
      <c r="D65" t="str">
        <v>Harris, Mr. Henry Birkhardt</v>
      </c>
      <c r="E65" t="str">
        <v>Hombre</v>
      </c>
      <c r="F65">
        <v>45</v>
      </c>
      <c r="G65">
        <v>1</v>
      </c>
      <c r="H65">
        <v>0</v>
      </c>
      <c r="I65">
        <v>83475</v>
      </c>
      <c r="J65">
        <v>1</v>
      </c>
      <c r="K65" t="str">
        <v>Southampton</v>
      </c>
    </row>
    <row r="66" spans="2:11" x14ac:dyDescent="0.2">
      <c r="B66">
        <v>0</v>
      </c>
      <c r="C66">
        <v>3</v>
      </c>
      <c r="D66" t="str">
        <v>Skoog, Master. Harald</v>
      </c>
      <c r="E66" t="str">
        <v>Hombre</v>
      </c>
      <c r="F66">
        <v>4</v>
      </c>
      <c r="G66">
        <v>3</v>
      </c>
      <c r="H66">
        <v>2</v>
      </c>
      <c r="I66">
        <v>279</v>
      </c>
      <c r="J66">
        <v>0</v>
      </c>
      <c r="K66" t="str">
        <v>Southampton</v>
      </c>
    </row>
    <row r="67" spans="2:11" x14ac:dyDescent="0.2">
      <c r="B67">
        <v>0</v>
      </c>
      <c r="C67">
        <v>1</v>
      </c>
      <c r="D67" t="str">
        <v>Stewart, Mr. Albert A</v>
      </c>
      <c r="E67" t="str">
        <v>Hombre</v>
      </c>
      <c r="F67">
        <v>0</v>
      </c>
      <c r="G67">
        <v>0</v>
      </c>
      <c r="H67">
        <v>0</v>
      </c>
      <c r="I67">
        <v>277208</v>
      </c>
      <c r="J67">
        <v>0</v>
      </c>
      <c r="K67" t="str">
        <v>Cherburg</v>
      </c>
    </row>
    <row r="68" spans="2:11" x14ac:dyDescent="0.2">
      <c r="B68">
        <v>1</v>
      </c>
      <c r="C68">
        <v>3</v>
      </c>
      <c r="D68" t="str">
        <v>Moubarek, Master. Gerios</v>
      </c>
      <c r="E68" t="str">
        <v>Hombre</v>
      </c>
      <c r="F68">
        <v>0</v>
      </c>
      <c r="G68">
        <v>1</v>
      </c>
      <c r="H68">
        <v>1</v>
      </c>
      <c r="I68">
        <v>152458</v>
      </c>
      <c r="J68">
        <v>0</v>
      </c>
      <c r="K68" t="str">
        <v>Cherburg</v>
      </c>
    </row>
    <row r="69" spans="2:11" x14ac:dyDescent="0.2">
      <c r="B69">
        <v>1</v>
      </c>
      <c r="C69">
        <v>2</v>
      </c>
      <c r="D69" t="str">
        <v>Nye, Mrs. (Elizabeth Ramell)</v>
      </c>
      <c r="E69" t="str">
        <v>Mujer</v>
      </c>
      <c r="F69">
        <v>29</v>
      </c>
      <c r="G69">
        <v>0</v>
      </c>
      <c r="H69">
        <v>0</v>
      </c>
      <c r="I69">
        <v>105</v>
      </c>
      <c r="J69">
        <v>1</v>
      </c>
      <c r="K69" t="str">
        <v>Southampton</v>
      </c>
    </row>
    <row r="70" spans="2:11" x14ac:dyDescent="0.2">
      <c r="B70">
        <v>0</v>
      </c>
      <c r="C70">
        <v>3</v>
      </c>
      <c r="D70" t="str">
        <v>Crease, Mr. Ernest James</v>
      </c>
      <c r="E70" t="str">
        <v>Hombre</v>
      </c>
      <c r="F70">
        <v>19</v>
      </c>
      <c r="G70">
        <v>0</v>
      </c>
      <c r="H70">
        <v>0</v>
      </c>
      <c r="I70">
        <v>81583</v>
      </c>
      <c r="J70">
        <v>0</v>
      </c>
      <c r="K70" t="str">
        <v>Southampton</v>
      </c>
    </row>
    <row r="71" spans="2:11" x14ac:dyDescent="0.2">
      <c r="B71">
        <v>1</v>
      </c>
      <c r="C71">
        <v>3</v>
      </c>
      <c r="D71" t="str">
        <v>Andersson, Miss. Erna Alexandra</v>
      </c>
      <c r="E71" t="str">
        <v>Mujer</v>
      </c>
      <c r="F71">
        <v>17</v>
      </c>
      <c r="G71">
        <v>4</v>
      </c>
      <c r="H71">
        <v>2</v>
      </c>
      <c r="I71">
        <v>7925</v>
      </c>
      <c r="J71">
        <v>0</v>
      </c>
      <c r="K71" t="str">
        <v>Southampton</v>
      </c>
    </row>
    <row r="72" spans="2:11" x14ac:dyDescent="0.2">
      <c r="B72">
        <v>0</v>
      </c>
      <c r="C72">
        <v>3</v>
      </c>
      <c r="D72" t="str">
        <v>Kink, Mr. Vincenz</v>
      </c>
      <c r="E72" t="str">
        <v>Hombre</v>
      </c>
      <c r="F72">
        <v>26</v>
      </c>
      <c r="G72">
        <v>2</v>
      </c>
      <c r="H72">
        <v>0</v>
      </c>
      <c r="I72">
        <v>86625</v>
      </c>
      <c r="J72">
        <v>0</v>
      </c>
      <c r="K72" t="str">
        <v>Southampton</v>
      </c>
    </row>
    <row r="73" spans="2:11" x14ac:dyDescent="0.2">
      <c r="B73">
        <v>0</v>
      </c>
      <c r="C73">
        <v>2</v>
      </c>
      <c r="D73" t="str">
        <v>Jenkin, Mr. Stephen Curnow</v>
      </c>
      <c r="E73" t="str">
        <v>Hombre</v>
      </c>
      <c r="F73">
        <v>32</v>
      </c>
      <c r="G73">
        <v>0</v>
      </c>
      <c r="H73">
        <v>0</v>
      </c>
      <c r="I73">
        <v>105</v>
      </c>
      <c r="J73">
        <v>0</v>
      </c>
      <c r="K73" t="str">
        <v>Southampton</v>
      </c>
    </row>
    <row r="74" spans="2:11" x14ac:dyDescent="0.2">
      <c r="B74">
        <v>0</v>
      </c>
      <c r="C74">
        <v>3</v>
      </c>
      <c r="D74" t="str">
        <v>Goodwin, Miss. Lillian Amy</v>
      </c>
      <c r="E74" t="str">
        <v>Mujer</v>
      </c>
      <c r="F74">
        <v>16</v>
      </c>
      <c r="G74">
        <v>5</v>
      </c>
      <c r="H74">
        <v>2</v>
      </c>
      <c r="I74">
        <v>469</v>
      </c>
      <c r="J74">
        <v>0</v>
      </c>
      <c r="K74" t="str">
        <v>Southampton</v>
      </c>
    </row>
    <row r="75" spans="2:11" x14ac:dyDescent="0.2">
      <c r="B75">
        <v>0</v>
      </c>
      <c r="C75">
        <v>2</v>
      </c>
      <c r="D75" t="str">
        <v>Hood, Mr. Ambrose Jr</v>
      </c>
      <c r="E75" t="str">
        <v>Hombre</v>
      </c>
      <c r="F75">
        <v>21</v>
      </c>
      <c r="G75">
        <v>0</v>
      </c>
      <c r="H75">
        <v>0</v>
      </c>
      <c r="I75">
        <v>735</v>
      </c>
      <c r="J75">
        <v>0</v>
      </c>
      <c r="K75" t="str">
        <v>Southampton</v>
      </c>
    </row>
    <row r="76" spans="2:11" x14ac:dyDescent="0.2">
      <c r="B76">
        <v>0</v>
      </c>
      <c r="C76">
        <v>3</v>
      </c>
      <c r="D76" t="str">
        <v>Chronopoulos, Mr. Apostolos</v>
      </c>
      <c r="E76" t="str">
        <v>Hombre</v>
      </c>
      <c r="F76">
        <v>26</v>
      </c>
      <c r="G76">
        <v>1</v>
      </c>
      <c r="H76">
        <v>0</v>
      </c>
      <c r="I76">
        <v>144542</v>
      </c>
      <c r="J76">
        <v>0</v>
      </c>
      <c r="K76" t="str">
        <v>Cherburg</v>
      </c>
    </row>
    <row r="77" spans="2:11" x14ac:dyDescent="0.2">
      <c r="B77">
        <v>1</v>
      </c>
      <c r="C77">
        <v>3</v>
      </c>
      <c r="D77" t="str">
        <v>Bing, Mr. Lee</v>
      </c>
      <c r="E77" t="str">
        <v>Hombre</v>
      </c>
      <c r="F77">
        <v>32</v>
      </c>
      <c r="G77">
        <v>0</v>
      </c>
      <c r="H77">
        <v>0</v>
      </c>
      <c r="I77">
        <v>564958</v>
      </c>
      <c r="J77">
        <v>0</v>
      </c>
      <c r="K77" t="str">
        <v>Southampton</v>
      </c>
    </row>
    <row r="78" spans="2:11" x14ac:dyDescent="0.2">
      <c r="B78">
        <v>0</v>
      </c>
      <c r="C78">
        <v>3</v>
      </c>
      <c r="D78" t="str">
        <v>Moen, Mr. Sigurd Hansen</v>
      </c>
      <c r="E78" t="str">
        <v>Hombre</v>
      </c>
      <c r="F78">
        <v>25</v>
      </c>
      <c r="G78">
        <v>0</v>
      </c>
      <c r="H78">
        <v>0</v>
      </c>
      <c r="I78">
        <v>765</v>
      </c>
      <c r="J78">
        <v>1</v>
      </c>
      <c r="K78" t="str">
        <v>Southampton</v>
      </c>
    </row>
    <row r="79" spans="2:11" x14ac:dyDescent="0.2">
      <c r="B79">
        <v>0</v>
      </c>
      <c r="C79">
        <v>3</v>
      </c>
      <c r="D79" t="str">
        <v>Staneff, Mr. Ivan</v>
      </c>
      <c r="E79" t="str">
        <v>Hombre</v>
      </c>
      <c r="F79">
        <v>0</v>
      </c>
      <c r="G79">
        <v>0</v>
      </c>
      <c r="H79">
        <v>0</v>
      </c>
      <c r="I79">
        <v>78958</v>
      </c>
      <c r="J79">
        <v>0</v>
      </c>
      <c r="K79" t="str">
        <v>Southampton</v>
      </c>
    </row>
    <row r="80" spans="2:11" x14ac:dyDescent="0.2">
      <c r="B80">
        <v>0</v>
      </c>
      <c r="C80">
        <v>3</v>
      </c>
      <c r="D80" t="str">
        <v>Moutal, Mr. Rahamin Haim</v>
      </c>
      <c r="E80" t="str">
        <v>Hombre</v>
      </c>
      <c r="F80">
        <v>0</v>
      </c>
      <c r="G80">
        <v>0</v>
      </c>
      <c r="H80">
        <v>0</v>
      </c>
      <c r="I80">
        <v>805</v>
      </c>
      <c r="J80">
        <v>0</v>
      </c>
      <c r="K80" t="str">
        <v>Southampton</v>
      </c>
    </row>
    <row r="81" spans="2:11" x14ac:dyDescent="0.2">
      <c r="B81">
        <v>1</v>
      </c>
      <c r="C81">
        <v>2</v>
      </c>
      <c r="D81" t="str">
        <v>Caldwell, Master. Alden Gates</v>
      </c>
      <c r="E81" t="str">
        <v>Hombre</v>
      </c>
      <c r="F81">
        <v>83</v>
      </c>
      <c r="G81">
        <v>0</v>
      </c>
      <c r="H81">
        <v>2</v>
      </c>
      <c r="I81">
        <v>29</v>
      </c>
      <c r="J81">
        <v>0</v>
      </c>
      <c r="K81" t="str">
        <v>Southampton</v>
      </c>
    </row>
    <row r="82" spans="2:11" x14ac:dyDescent="0.2">
      <c r="B82">
        <v>1</v>
      </c>
      <c r="C82">
        <v>3</v>
      </c>
      <c r="D82" t="str">
        <v>Dowdell, Miss. Elizabeth</v>
      </c>
      <c r="E82" t="str">
        <v>Mujer</v>
      </c>
      <c r="F82">
        <v>30</v>
      </c>
      <c r="G82">
        <v>0</v>
      </c>
      <c r="H82">
        <v>0</v>
      </c>
      <c r="I82">
        <v>12475</v>
      </c>
      <c r="J82">
        <v>0</v>
      </c>
      <c r="K82" t="str">
        <v>Southampton</v>
      </c>
    </row>
    <row r="83" spans="2:11" x14ac:dyDescent="0.2">
      <c r="B83">
        <v>0</v>
      </c>
      <c r="C83">
        <v>3</v>
      </c>
      <c r="D83" t="str">
        <v>Waelens, Mr. Achille</v>
      </c>
      <c r="E83" t="str">
        <v>Hombre</v>
      </c>
      <c r="F83">
        <v>22</v>
      </c>
      <c r="G83">
        <v>0</v>
      </c>
      <c r="H83">
        <v>0</v>
      </c>
      <c r="I83">
        <v>9</v>
      </c>
      <c r="J83">
        <v>0</v>
      </c>
      <c r="K83" t="str">
        <v>Southampton</v>
      </c>
    </row>
    <row r="84" spans="2:11" x14ac:dyDescent="0.2">
      <c r="B84">
        <v>1</v>
      </c>
      <c r="C84">
        <v>3</v>
      </c>
      <c r="D84" t="str">
        <v>Sheerlinck, Mr. Jan Baptist</v>
      </c>
      <c r="E84" t="str">
        <v>Hombre</v>
      </c>
      <c r="F84">
        <v>29</v>
      </c>
      <c r="G84">
        <v>0</v>
      </c>
      <c r="H84">
        <v>0</v>
      </c>
      <c r="I84">
        <v>95</v>
      </c>
      <c r="J84">
        <v>0</v>
      </c>
      <c r="K84" t="str">
        <v>Southampton</v>
      </c>
    </row>
    <row r="85" spans="2:11" x14ac:dyDescent="0.2">
      <c r="B85">
        <v>1</v>
      </c>
      <c r="C85">
        <v>3</v>
      </c>
      <c r="D85" t="str">
        <v>McDermott, Miss. Brigdet Delia</v>
      </c>
      <c r="E85" t="str">
        <v>Mujer</v>
      </c>
      <c r="F85">
        <v>0</v>
      </c>
      <c r="G85">
        <v>0</v>
      </c>
      <c r="H85">
        <v>0</v>
      </c>
      <c r="I85">
        <v>77875</v>
      </c>
      <c r="J85">
        <v>0</v>
      </c>
      <c r="K85" t="str">
        <v>Queenstown</v>
      </c>
    </row>
    <row r="86" spans="2:11" x14ac:dyDescent="0.2">
      <c r="B86">
        <v>0</v>
      </c>
      <c r="C86">
        <v>1</v>
      </c>
      <c r="D86" t="str">
        <v>Carrau, Mr. Francisco M</v>
      </c>
      <c r="E86" t="str">
        <v>Hombre</v>
      </c>
      <c r="F86">
        <v>28</v>
      </c>
      <c r="G86">
        <v>0</v>
      </c>
      <c r="H86">
        <v>0</v>
      </c>
      <c r="I86">
        <v>471</v>
      </c>
      <c r="J86">
        <v>0</v>
      </c>
      <c r="K86" t="str">
        <v>Southampton</v>
      </c>
    </row>
    <row r="87" spans="2:11" x14ac:dyDescent="0.2">
      <c r="B87">
        <v>1</v>
      </c>
      <c r="C87">
        <v>2</v>
      </c>
      <c r="D87" t="str">
        <v>Ilett, Miss. Bertha</v>
      </c>
      <c r="E87" t="str">
        <v>Mujer</v>
      </c>
      <c r="F87">
        <v>17</v>
      </c>
      <c r="G87">
        <v>0</v>
      </c>
      <c r="H87">
        <v>0</v>
      </c>
      <c r="I87">
        <v>105</v>
      </c>
      <c r="J87">
        <v>0</v>
      </c>
      <c r="K87" t="str">
        <v>Southampton</v>
      </c>
    </row>
    <row r="88" spans="2:11" x14ac:dyDescent="0.2">
      <c r="B88">
        <v>1</v>
      </c>
      <c r="C88">
        <v>3</v>
      </c>
      <c r="D88" t="str">
        <v>Backstrom, Mrs. Karl Alfred (Maria Mathilda Gustafsson)</v>
      </c>
      <c r="E88" t="str">
        <v>Mujer</v>
      </c>
      <c r="F88">
        <v>33</v>
      </c>
      <c r="G88">
        <v>3</v>
      </c>
      <c r="H88">
        <v>0</v>
      </c>
      <c r="I88">
        <v>1585</v>
      </c>
      <c r="J88">
        <v>0</v>
      </c>
      <c r="K88" t="str">
        <v>Southampton</v>
      </c>
    </row>
    <row r="89" spans="2:11" x14ac:dyDescent="0.2">
      <c r="B89">
        <v>0</v>
      </c>
      <c r="C89">
        <v>3</v>
      </c>
      <c r="D89" t="str">
        <v>Ford, Mr. William Neal</v>
      </c>
      <c r="E89" t="str">
        <v>Hombre</v>
      </c>
      <c r="F89">
        <v>16</v>
      </c>
      <c r="G89">
        <v>1</v>
      </c>
      <c r="H89">
        <v>3</v>
      </c>
      <c r="I89">
        <v>34375</v>
      </c>
      <c r="J89">
        <v>0</v>
      </c>
      <c r="K89" t="str">
        <v>Southampton</v>
      </c>
    </row>
    <row r="90" spans="2:11" x14ac:dyDescent="0.2">
      <c r="B90">
        <v>0</v>
      </c>
      <c r="C90">
        <v>3</v>
      </c>
      <c r="D90" t="str">
        <v>Slocovski, Mr. Selman Francis</v>
      </c>
      <c r="E90" t="str">
        <v>Hombre</v>
      </c>
      <c r="F90">
        <v>0</v>
      </c>
      <c r="G90">
        <v>0</v>
      </c>
      <c r="H90">
        <v>0</v>
      </c>
      <c r="I90">
        <v>805</v>
      </c>
      <c r="J90">
        <v>0</v>
      </c>
      <c r="K90" t="str">
        <v>Southampton</v>
      </c>
    </row>
    <row r="91" spans="2:11" x14ac:dyDescent="0.2">
      <c r="B91">
        <v>1</v>
      </c>
      <c r="C91">
        <v>1</v>
      </c>
      <c r="D91" t="str">
        <v>Fortune, Miss. Mabel Helen</v>
      </c>
      <c r="E91" t="str">
        <v>Mujer</v>
      </c>
      <c r="F91">
        <v>23</v>
      </c>
      <c r="G91">
        <v>3</v>
      </c>
      <c r="H91">
        <v>2</v>
      </c>
      <c r="I91">
        <v>263</v>
      </c>
      <c r="J91">
        <v>1</v>
      </c>
      <c r="K91" t="str">
        <v>Southampton</v>
      </c>
    </row>
    <row r="92" spans="2:11" x14ac:dyDescent="0.2">
      <c r="B92">
        <v>0</v>
      </c>
      <c r="C92">
        <v>3</v>
      </c>
      <c r="D92" t="str">
        <v>Celotti, Mr. Francesco</v>
      </c>
      <c r="E92" t="str">
        <v>Hombre</v>
      </c>
      <c r="F92">
        <v>24</v>
      </c>
      <c r="G92">
        <v>0</v>
      </c>
      <c r="H92">
        <v>0</v>
      </c>
      <c r="I92">
        <v>805</v>
      </c>
      <c r="J92">
        <v>0</v>
      </c>
      <c r="K92" t="str">
        <v>Southampton</v>
      </c>
    </row>
    <row r="93" spans="2:11" x14ac:dyDescent="0.2">
      <c r="B93">
        <v>0</v>
      </c>
      <c r="C93">
        <v>3</v>
      </c>
      <c r="D93" t="str">
        <v>Christmann, Mr. Emil</v>
      </c>
      <c r="E93" t="str">
        <v>Hombre</v>
      </c>
      <c r="F93">
        <v>29</v>
      </c>
      <c r="G93">
        <v>0</v>
      </c>
      <c r="H93">
        <v>0</v>
      </c>
      <c r="I93">
        <v>805</v>
      </c>
      <c r="J93">
        <v>0</v>
      </c>
      <c r="K93" t="str">
        <v>Southampton</v>
      </c>
    </row>
    <row r="94" spans="2:11" x14ac:dyDescent="0.2">
      <c r="B94">
        <v>0</v>
      </c>
      <c r="C94">
        <v>3</v>
      </c>
      <c r="D94" t="str">
        <v>Andreasson, Mr. Paul Edvin</v>
      </c>
      <c r="E94" t="str">
        <v>Hombre</v>
      </c>
      <c r="F94">
        <v>20</v>
      </c>
      <c r="G94">
        <v>0</v>
      </c>
      <c r="H94">
        <v>0</v>
      </c>
      <c r="I94">
        <v>78542</v>
      </c>
      <c r="J94">
        <v>0</v>
      </c>
      <c r="K94" t="str">
        <v>Southampton</v>
      </c>
    </row>
    <row r="95" spans="2:11" x14ac:dyDescent="0.2">
      <c r="B95">
        <v>0</v>
      </c>
      <c r="C95">
        <v>1</v>
      </c>
      <c r="D95" t="str">
        <v>Chaffee, Mr. Herbert Fuller</v>
      </c>
      <c r="E95" t="str">
        <v>Hombre</v>
      </c>
      <c r="F95">
        <v>46</v>
      </c>
      <c r="G95">
        <v>1</v>
      </c>
      <c r="H95">
        <v>0</v>
      </c>
      <c r="I95">
        <v>61175</v>
      </c>
      <c r="J95">
        <v>1</v>
      </c>
      <c r="K95" t="str">
        <v>Southampton</v>
      </c>
    </row>
    <row r="96" spans="2:11" x14ac:dyDescent="0.2">
      <c r="B96">
        <v>0</v>
      </c>
      <c r="C96">
        <v>3</v>
      </c>
      <c r="D96" t="str">
        <v>Dean, Mr. Bertram Frank</v>
      </c>
      <c r="E96" t="str">
        <v>Hombre</v>
      </c>
      <c r="F96">
        <v>26</v>
      </c>
      <c r="G96">
        <v>1</v>
      </c>
      <c r="H96">
        <v>2</v>
      </c>
      <c r="I96">
        <v>20575</v>
      </c>
      <c r="J96">
        <v>0</v>
      </c>
      <c r="K96" t="str">
        <v>Southampton</v>
      </c>
    </row>
    <row r="97" spans="2:11" x14ac:dyDescent="0.2">
      <c r="B97">
        <v>0</v>
      </c>
      <c r="C97">
        <v>3</v>
      </c>
      <c r="D97" t="str">
        <v>Coxon, Mr. Daniel</v>
      </c>
      <c r="E97" t="str">
        <v>Hombre</v>
      </c>
      <c r="F97">
        <v>59</v>
      </c>
      <c r="G97">
        <v>0</v>
      </c>
      <c r="H97">
        <v>0</v>
      </c>
      <c r="I97">
        <v>725</v>
      </c>
      <c r="J97">
        <v>0</v>
      </c>
      <c r="K97" t="str">
        <v>Southampton</v>
      </c>
    </row>
    <row r="98" spans="2:11" x14ac:dyDescent="0.2">
      <c r="B98">
        <v>0</v>
      </c>
      <c r="C98">
        <v>3</v>
      </c>
      <c r="D98" t="str">
        <v>Shorney, Mr. Charles Joseph</v>
      </c>
      <c r="E98" t="str">
        <v>Hombre</v>
      </c>
      <c r="F98">
        <v>0</v>
      </c>
      <c r="G98">
        <v>0</v>
      </c>
      <c r="H98">
        <v>0</v>
      </c>
      <c r="I98">
        <v>805</v>
      </c>
      <c r="J98">
        <v>0</v>
      </c>
      <c r="K98" t="str">
        <v>Southampton</v>
      </c>
    </row>
    <row r="99" spans="2:11" x14ac:dyDescent="0.2">
      <c r="B99">
        <v>0</v>
      </c>
      <c r="C99">
        <v>1</v>
      </c>
      <c r="D99" t="str">
        <v>Goldschmidt, Mr. George B</v>
      </c>
      <c r="E99" t="str">
        <v>Hombre</v>
      </c>
      <c r="F99">
        <v>71</v>
      </c>
      <c r="G99">
        <v>0</v>
      </c>
      <c r="H99">
        <v>0</v>
      </c>
      <c r="I99">
        <v>346542</v>
      </c>
      <c r="J99">
        <v>1</v>
      </c>
      <c r="K99" t="str">
        <v>Cherburg</v>
      </c>
    </row>
    <row r="100" spans="2:11" x14ac:dyDescent="0.2">
      <c r="B100">
        <v>1</v>
      </c>
      <c r="C100">
        <v>1</v>
      </c>
      <c r="D100" t="str">
        <v>Greenfield, Mr. William Bertram</v>
      </c>
      <c r="E100" t="str">
        <v>Hombre</v>
      </c>
      <c r="F100">
        <v>23</v>
      </c>
      <c r="G100">
        <v>0</v>
      </c>
      <c r="H100">
        <v>1</v>
      </c>
      <c r="I100">
        <v>633583</v>
      </c>
      <c r="J100">
        <v>1</v>
      </c>
      <c r="K100" t="str">
        <v>Cherburg</v>
      </c>
    </row>
    <row r="101" spans="2:11" x14ac:dyDescent="0.2">
      <c r="B101">
        <v>1</v>
      </c>
      <c r="C101">
        <v>2</v>
      </c>
      <c r="D101" t="str">
        <v>Doling, Mrs. John T (Ada Julia Bone)</v>
      </c>
      <c r="E101" t="str">
        <v>Mujer</v>
      </c>
      <c r="F101">
        <v>34</v>
      </c>
      <c r="G101">
        <v>0</v>
      </c>
      <c r="H101">
        <v>1</v>
      </c>
      <c r="I101">
        <v>23</v>
      </c>
      <c r="J101">
        <v>0</v>
      </c>
      <c r="K101" t="str">
        <v>Southampton</v>
      </c>
    </row>
    <row r="102" spans="2:11" x14ac:dyDescent="0.2">
      <c r="B102">
        <v>0</v>
      </c>
      <c r="C102">
        <v>2</v>
      </c>
      <c r="D102" t="str">
        <v>Kantor, Mr. Sinai</v>
      </c>
      <c r="E102" t="str">
        <v>Hombre</v>
      </c>
      <c r="F102">
        <v>34</v>
      </c>
      <c r="G102">
        <v>1</v>
      </c>
      <c r="H102">
        <v>0</v>
      </c>
      <c r="I102">
        <v>26</v>
      </c>
      <c r="J102">
        <v>0</v>
      </c>
      <c r="K102" t="str">
        <v>Southampton</v>
      </c>
    </row>
    <row r="103" spans="2:11" x14ac:dyDescent="0.2">
      <c r="B103">
        <v>0</v>
      </c>
      <c r="C103">
        <v>3</v>
      </c>
      <c r="D103" t="str">
        <v>Petranec, Miss. Matilda</v>
      </c>
      <c r="E103" t="str">
        <v>Mujer</v>
      </c>
      <c r="F103">
        <v>28</v>
      </c>
      <c r="G103">
        <v>0</v>
      </c>
      <c r="H103">
        <v>0</v>
      </c>
      <c r="I103">
        <v>78958</v>
      </c>
      <c r="J103">
        <v>0</v>
      </c>
      <c r="K103" t="str">
        <v>Southampton</v>
      </c>
    </row>
    <row r="104" spans="2:11" x14ac:dyDescent="0.2">
      <c r="B104">
        <v>0</v>
      </c>
      <c r="C104">
        <v>3</v>
      </c>
      <c r="D104" t="str">
        <v>Petroff, Mr. Pastcho ("Pentcho")</v>
      </c>
      <c r="E104" t="str">
        <v>Hombre</v>
      </c>
      <c r="F104">
        <v>0</v>
      </c>
      <c r="G104">
        <v>0</v>
      </c>
      <c r="H104">
        <v>0</v>
      </c>
      <c r="I104">
        <v>78958</v>
      </c>
      <c r="J104">
        <v>0</v>
      </c>
      <c r="K104" t="str">
        <v>Southampton</v>
      </c>
    </row>
    <row r="105" spans="2:11" x14ac:dyDescent="0.2">
      <c r="B105">
        <v>0</v>
      </c>
      <c r="C105">
        <v>1</v>
      </c>
      <c r="D105" t="str">
        <v>White, Mr. Richard Frasar</v>
      </c>
      <c r="E105" t="str">
        <v>Hombre</v>
      </c>
      <c r="F105">
        <v>21</v>
      </c>
      <c r="G105">
        <v>0</v>
      </c>
      <c r="H105">
        <v>1</v>
      </c>
      <c r="I105">
        <v>772875</v>
      </c>
      <c r="J105">
        <v>1</v>
      </c>
      <c r="K105" t="str">
        <v>Southampton</v>
      </c>
    </row>
    <row r="106" spans="2:11" x14ac:dyDescent="0.2">
      <c r="B106">
        <v>0</v>
      </c>
      <c r="C106">
        <v>3</v>
      </c>
      <c r="D106" t="str">
        <v>Johansson, Mr. Gustaf Joel</v>
      </c>
      <c r="E106" t="str">
        <v>Hombre</v>
      </c>
      <c r="F106">
        <v>33</v>
      </c>
      <c r="G106">
        <v>0</v>
      </c>
      <c r="H106">
        <v>0</v>
      </c>
      <c r="I106">
        <v>86542</v>
      </c>
      <c r="J106">
        <v>0</v>
      </c>
      <c r="K106" t="str">
        <v>Southampton</v>
      </c>
    </row>
    <row r="107" spans="2:11" x14ac:dyDescent="0.2">
      <c r="B107">
        <v>0</v>
      </c>
      <c r="C107">
        <v>3</v>
      </c>
      <c r="D107" t="str">
        <v>Gustafsson, Mr. Anders Vilhelm</v>
      </c>
      <c r="E107" t="str">
        <v>Hombre</v>
      </c>
      <c r="F107">
        <v>37</v>
      </c>
      <c r="G107">
        <v>2</v>
      </c>
      <c r="H107">
        <v>0</v>
      </c>
      <c r="I107">
        <v>7925</v>
      </c>
      <c r="J107">
        <v>0</v>
      </c>
      <c r="K107" t="str">
        <v>Southampton</v>
      </c>
    </row>
    <row r="108" spans="2:11" x14ac:dyDescent="0.2">
      <c r="B108">
        <v>0</v>
      </c>
      <c r="C108">
        <v>3</v>
      </c>
      <c r="D108" t="str">
        <v>Mionoff, Mr. Stoytcho</v>
      </c>
      <c r="E108" t="str">
        <v>Hombre</v>
      </c>
      <c r="F108">
        <v>28</v>
      </c>
      <c r="G108">
        <v>0</v>
      </c>
      <c r="H108">
        <v>0</v>
      </c>
      <c r="I108">
        <v>78958</v>
      </c>
      <c r="J108">
        <v>0</v>
      </c>
      <c r="K108" t="str">
        <v>Southampton</v>
      </c>
    </row>
    <row r="109" spans="2:11" x14ac:dyDescent="0.2">
      <c r="B109">
        <v>1</v>
      </c>
      <c r="C109">
        <v>3</v>
      </c>
      <c r="D109" t="str">
        <v>Salkjelsvik, Miss. Anna Kristine</v>
      </c>
      <c r="E109" t="str">
        <v>Mujer</v>
      </c>
      <c r="F109">
        <v>21</v>
      </c>
      <c r="G109">
        <v>0</v>
      </c>
      <c r="H109">
        <v>0</v>
      </c>
      <c r="I109">
        <v>765</v>
      </c>
      <c r="J109">
        <v>0</v>
      </c>
      <c r="K109" t="str">
        <v>Southampton</v>
      </c>
    </row>
    <row r="110" spans="2:11" x14ac:dyDescent="0.2">
      <c r="B110">
        <v>1</v>
      </c>
      <c r="C110">
        <v>3</v>
      </c>
      <c r="D110" t="str">
        <v>Moss, Mr. Albert Johan</v>
      </c>
      <c r="E110" t="str">
        <v>Hombre</v>
      </c>
      <c r="F110">
        <v>0</v>
      </c>
      <c r="G110">
        <v>0</v>
      </c>
      <c r="H110">
        <v>0</v>
      </c>
      <c r="I110">
        <v>7775</v>
      </c>
      <c r="J110">
        <v>0</v>
      </c>
      <c r="K110" t="str">
        <v>Southampton</v>
      </c>
    </row>
    <row r="111" spans="2:11" x14ac:dyDescent="0.2">
      <c r="B111">
        <v>0</v>
      </c>
      <c r="C111">
        <v>3</v>
      </c>
      <c r="D111" t="str">
        <v>Rekic, Mr. Tido</v>
      </c>
      <c r="E111" t="str">
        <v>Hombre</v>
      </c>
      <c r="F111">
        <v>38</v>
      </c>
      <c r="G111">
        <v>0</v>
      </c>
      <c r="H111">
        <v>0</v>
      </c>
      <c r="I111">
        <v>78958</v>
      </c>
      <c r="J111">
        <v>0</v>
      </c>
      <c r="K111" t="str">
        <v>Southampton</v>
      </c>
    </row>
    <row r="112" spans="2:11" x14ac:dyDescent="0.2">
      <c r="B112">
        <v>1</v>
      </c>
      <c r="C112">
        <v>3</v>
      </c>
      <c r="D112" t="str">
        <v>Moran, Miss. Bertha</v>
      </c>
      <c r="E112" t="str">
        <v>Mujer</v>
      </c>
      <c r="F112">
        <v>0</v>
      </c>
      <c r="G112">
        <v>1</v>
      </c>
      <c r="H112">
        <v>0</v>
      </c>
      <c r="I112">
        <v>2415</v>
      </c>
      <c r="J112">
        <v>0</v>
      </c>
      <c r="K112" t="str">
        <v>Queenstown</v>
      </c>
    </row>
    <row r="113" spans="2:11" x14ac:dyDescent="0.2">
      <c r="B113">
        <v>0</v>
      </c>
      <c r="C113">
        <v>1</v>
      </c>
      <c r="D113" t="str">
        <v>Porter, Mr. Walter Chamberlain</v>
      </c>
      <c r="E113" t="str">
        <v>Hombre</v>
      </c>
      <c r="F113">
        <v>47</v>
      </c>
      <c r="G113">
        <v>0</v>
      </c>
      <c r="H113">
        <v>0</v>
      </c>
      <c r="I113">
        <v>52</v>
      </c>
      <c r="J113">
        <v>1</v>
      </c>
      <c r="K113" t="str">
        <v>Southampton</v>
      </c>
    </row>
    <row r="114" spans="2:11" x14ac:dyDescent="0.2">
      <c r="B114">
        <v>0</v>
      </c>
      <c r="C114">
        <v>3</v>
      </c>
      <c r="D114" t="str">
        <v>Zabour, Miss. Hileni</v>
      </c>
      <c r="E114" t="str">
        <v>Mujer</v>
      </c>
      <c r="F114">
        <v>145</v>
      </c>
      <c r="G114">
        <v>1</v>
      </c>
      <c r="H114">
        <v>0</v>
      </c>
      <c r="I114">
        <v>144542</v>
      </c>
      <c r="J114">
        <v>0</v>
      </c>
      <c r="K114" t="str">
        <v>Cherburg</v>
      </c>
    </row>
    <row r="115" spans="2:11" x14ac:dyDescent="0.2">
      <c r="B115">
        <v>0</v>
      </c>
      <c r="C115">
        <v>3</v>
      </c>
      <c r="D115" t="str">
        <v>Barton, Mr. David John</v>
      </c>
      <c r="E115" t="str">
        <v>Hombre</v>
      </c>
      <c r="F115">
        <v>22</v>
      </c>
      <c r="G115">
        <v>0</v>
      </c>
      <c r="H115">
        <v>0</v>
      </c>
      <c r="I115">
        <v>805</v>
      </c>
      <c r="J115">
        <v>0</v>
      </c>
      <c r="K115" t="str">
        <v>Southampton</v>
      </c>
    </row>
    <row r="116" spans="2:11" x14ac:dyDescent="0.2">
      <c r="B116">
        <v>0</v>
      </c>
      <c r="C116">
        <v>3</v>
      </c>
      <c r="D116" t="str">
        <v>Jussila, Miss. Katriina</v>
      </c>
      <c r="E116" t="str">
        <v>Mujer</v>
      </c>
      <c r="F116">
        <v>20</v>
      </c>
      <c r="G116">
        <v>1</v>
      </c>
      <c r="H116">
        <v>0</v>
      </c>
      <c r="I116">
        <v>9825</v>
      </c>
      <c r="J116">
        <v>0</v>
      </c>
      <c r="K116" t="str">
        <v>Southampton</v>
      </c>
    </row>
    <row r="117" spans="2:11" x14ac:dyDescent="0.2">
      <c r="B117">
        <v>0</v>
      </c>
      <c r="C117">
        <v>3</v>
      </c>
      <c r="D117" t="str">
        <v>Attalah, Miss. Malake</v>
      </c>
      <c r="E117" t="str">
        <v>Mujer</v>
      </c>
      <c r="F117">
        <v>17</v>
      </c>
      <c r="G117">
        <v>0</v>
      </c>
      <c r="H117">
        <v>0</v>
      </c>
      <c r="I117">
        <v>144583</v>
      </c>
      <c r="J117">
        <v>0</v>
      </c>
      <c r="K117" t="str">
        <v>Cherburg</v>
      </c>
    </row>
    <row r="118" spans="2:11" x14ac:dyDescent="0.2">
      <c r="B118">
        <v>0</v>
      </c>
      <c r="C118">
        <v>3</v>
      </c>
      <c r="D118" t="str">
        <v>Pekoniemi, Mr. Edvard</v>
      </c>
      <c r="E118" t="str">
        <v>Hombre</v>
      </c>
      <c r="F118">
        <v>21</v>
      </c>
      <c r="G118">
        <v>0</v>
      </c>
      <c r="H118">
        <v>0</v>
      </c>
      <c r="I118">
        <v>7925</v>
      </c>
      <c r="J118">
        <v>0</v>
      </c>
      <c r="K118" t="str">
        <v>Southampton</v>
      </c>
    </row>
    <row r="119" spans="2:11" x14ac:dyDescent="0.2">
      <c r="B119">
        <v>0</v>
      </c>
      <c r="C119">
        <v>3</v>
      </c>
      <c r="D119" t="str">
        <v>Connors, Mr. Patrick</v>
      </c>
      <c r="E119" t="str">
        <v>Hombre</v>
      </c>
      <c r="F119">
        <v>705</v>
      </c>
      <c r="G119">
        <v>0</v>
      </c>
      <c r="H119">
        <v>0</v>
      </c>
      <c r="I119">
        <v>775</v>
      </c>
      <c r="J119">
        <v>0</v>
      </c>
      <c r="K119" t="str">
        <v>Queenstown</v>
      </c>
    </row>
    <row r="120" spans="2:11" x14ac:dyDescent="0.2">
      <c r="B120">
        <v>0</v>
      </c>
      <c r="C120">
        <v>2</v>
      </c>
      <c r="D120" t="str">
        <v>Turpin, Mr. William John Robert</v>
      </c>
      <c r="E120" t="str">
        <v>Hombre</v>
      </c>
      <c r="F120">
        <v>29</v>
      </c>
      <c r="G120">
        <v>1</v>
      </c>
      <c r="H120">
        <v>0</v>
      </c>
      <c r="I120">
        <v>21</v>
      </c>
      <c r="J120">
        <v>0</v>
      </c>
      <c r="K120" t="str">
        <v>Southampton</v>
      </c>
    </row>
    <row r="121" spans="2:11" x14ac:dyDescent="0.2">
      <c r="B121">
        <v>0</v>
      </c>
      <c r="C121">
        <v>1</v>
      </c>
      <c r="D121" t="str">
        <v>Baxter, Mr. Quigg Edmond</v>
      </c>
      <c r="E121" t="str">
        <v>Hombre</v>
      </c>
      <c r="F121">
        <v>24</v>
      </c>
      <c r="G121">
        <v>0</v>
      </c>
      <c r="H121">
        <v>1</v>
      </c>
      <c r="I121">
        <v>2475208</v>
      </c>
      <c r="J121">
        <v>1</v>
      </c>
      <c r="K121" t="str">
        <v>Cherburg</v>
      </c>
    </row>
    <row r="122" spans="2:11" x14ac:dyDescent="0.2">
      <c r="B122">
        <v>0</v>
      </c>
      <c r="C122">
        <v>3</v>
      </c>
      <c r="D122" t="str">
        <v>Andersson, Miss. Ellis Anna Maria</v>
      </c>
      <c r="E122" t="str">
        <v>Mujer</v>
      </c>
      <c r="F122">
        <v>2</v>
      </c>
      <c r="G122">
        <v>4</v>
      </c>
      <c r="H122">
        <v>2</v>
      </c>
      <c r="I122">
        <v>31275</v>
      </c>
      <c r="J122">
        <v>0</v>
      </c>
      <c r="K122" t="str">
        <v>Southampton</v>
      </c>
    </row>
    <row r="123" spans="2:11" x14ac:dyDescent="0.2">
      <c r="B123">
        <v>0</v>
      </c>
      <c r="C123">
        <v>2</v>
      </c>
      <c r="D123" t="str">
        <v>Hickman, Mr. Stanley George</v>
      </c>
      <c r="E123" t="str">
        <v>Hombre</v>
      </c>
      <c r="F123">
        <v>21</v>
      </c>
      <c r="G123">
        <v>2</v>
      </c>
      <c r="H123">
        <v>0</v>
      </c>
      <c r="I123">
        <v>735</v>
      </c>
      <c r="J123">
        <v>0</v>
      </c>
      <c r="K123" t="str">
        <v>Southampton</v>
      </c>
    </row>
    <row r="124" spans="2:11" x14ac:dyDescent="0.2">
      <c r="B124">
        <v>0</v>
      </c>
      <c r="C124">
        <v>3</v>
      </c>
      <c r="D124" t="str">
        <v>Moore, Mr. Leonard Charles</v>
      </c>
      <c r="E124" t="str">
        <v>Hombre</v>
      </c>
      <c r="F124">
        <v>0</v>
      </c>
      <c r="G124">
        <v>0</v>
      </c>
      <c r="H124">
        <v>0</v>
      </c>
      <c r="I124">
        <v>805</v>
      </c>
      <c r="J124">
        <v>0</v>
      </c>
      <c r="K124" t="str">
        <v>Southampton</v>
      </c>
    </row>
    <row r="125" spans="2:11" x14ac:dyDescent="0.2">
      <c r="B125">
        <v>0</v>
      </c>
      <c r="C125">
        <v>2</v>
      </c>
      <c r="D125" t="str">
        <v>Nasser, Mr. Nicholas</v>
      </c>
      <c r="E125" t="str">
        <v>Hombre</v>
      </c>
      <c r="F125">
        <v>325</v>
      </c>
      <c r="G125">
        <v>1</v>
      </c>
      <c r="H125">
        <v>0</v>
      </c>
      <c r="I125">
        <v>300708</v>
      </c>
      <c r="J125">
        <v>0</v>
      </c>
      <c r="K125" t="str">
        <v>Cherburg</v>
      </c>
    </row>
    <row r="126" spans="2:11" x14ac:dyDescent="0.2">
      <c r="B126">
        <v>1</v>
      </c>
      <c r="C126">
        <v>2</v>
      </c>
      <c r="D126" t="str">
        <v>Webber, Miss. Susan</v>
      </c>
      <c r="E126" t="str">
        <v>Mujer</v>
      </c>
      <c r="F126">
        <v>325</v>
      </c>
      <c r="G126">
        <v>0</v>
      </c>
      <c r="H126">
        <v>0</v>
      </c>
      <c r="I126">
        <v>13</v>
      </c>
      <c r="J126">
        <v>1</v>
      </c>
      <c r="K126" t="str">
        <v>Southampton</v>
      </c>
    </row>
    <row r="127" spans="2:11" x14ac:dyDescent="0.2">
      <c r="B127">
        <v>0</v>
      </c>
      <c r="C127">
        <v>1</v>
      </c>
      <c r="D127" t="str">
        <v>White, Mr. Percival Wayland</v>
      </c>
      <c r="E127" t="str">
        <v>Hombre</v>
      </c>
      <c r="F127">
        <v>54</v>
      </c>
      <c r="G127">
        <v>0</v>
      </c>
      <c r="H127">
        <v>1</v>
      </c>
      <c r="I127">
        <v>772875</v>
      </c>
      <c r="J127">
        <v>1</v>
      </c>
      <c r="K127" t="str">
        <v>Southampton</v>
      </c>
    </row>
    <row r="128" spans="2:11" x14ac:dyDescent="0.2">
      <c r="B128">
        <v>1</v>
      </c>
      <c r="C128">
        <v>3</v>
      </c>
      <c r="D128" t="str">
        <v>Nicola-Yarred, Master. Elias</v>
      </c>
      <c r="E128" t="str">
        <v>Hombre</v>
      </c>
      <c r="F128">
        <v>12</v>
      </c>
      <c r="G128">
        <v>1</v>
      </c>
      <c r="H128">
        <v>0</v>
      </c>
      <c r="I128">
        <v>112417</v>
      </c>
      <c r="J128">
        <v>0</v>
      </c>
      <c r="K128" t="str">
        <v>Cherburg</v>
      </c>
    </row>
    <row r="129" spans="2:11" x14ac:dyDescent="0.2">
      <c r="B129">
        <v>0</v>
      </c>
      <c r="C129">
        <v>3</v>
      </c>
      <c r="D129" t="str">
        <v>McMahon, Mr. Martin</v>
      </c>
      <c r="E129" t="str">
        <v>Hombre</v>
      </c>
      <c r="F129">
        <v>0</v>
      </c>
      <c r="G129">
        <v>0</v>
      </c>
      <c r="H129">
        <v>0</v>
      </c>
      <c r="I129">
        <v>775</v>
      </c>
      <c r="J129">
        <v>0</v>
      </c>
      <c r="K129" t="str">
        <v>Queenstown</v>
      </c>
    </row>
    <row r="130" spans="2:11" x14ac:dyDescent="0.2">
      <c r="B130">
        <v>1</v>
      </c>
      <c r="C130">
        <v>3</v>
      </c>
      <c r="D130" t="str">
        <v>Madsen, Mr. Fridtjof Arne</v>
      </c>
      <c r="E130" t="str">
        <v>Hombre</v>
      </c>
      <c r="F130">
        <v>24</v>
      </c>
      <c r="G130">
        <v>0</v>
      </c>
      <c r="H130">
        <v>0</v>
      </c>
      <c r="I130">
        <v>71417</v>
      </c>
      <c r="J130">
        <v>0</v>
      </c>
      <c r="K130" t="str">
        <v>Southampton</v>
      </c>
    </row>
    <row r="131" spans="2:11" x14ac:dyDescent="0.2">
      <c r="B131">
        <v>1</v>
      </c>
      <c r="C131">
        <v>3</v>
      </c>
      <c r="D131" t="str">
        <v>Peter, Miss. Anna</v>
      </c>
      <c r="E131" t="str">
        <v>Mujer</v>
      </c>
      <c r="F131">
        <v>0</v>
      </c>
      <c r="G131">
        <v>1</v>
      </c>
      <c r="H131">
        <v>1</v>
      </c>
      <c r="I131">
        <v>223583</v>
      </c>
      <c r="J131">
        <v>1</v>
      </c>
      <c r="K131" t="str">
        <v>Cherburg</v>
      </c>
    </row>
    <row r="132" spans="2:11" x14ac:dyDescent="0.2">
      <c r="B132">
        <v>0</v>
      </c>
      <c r="C132">
        <v>3</v>
      </c>
      <c r="D132" t="str">
        <v>Ekstrom, Mr. Johan</v>
      </c>
      <c r="E132" t="str">
        <v>Hombre</v>
      </c>
      <c r="F132">
        <v>45</v>
      </c>
      <c r="G132">
        <v>0</v>
      </c>
      <c r="H132">
        <v>0</v>
      </c>
      <c r="I132">
        <v>6975</v>
      </c>
      <c r="J132">
        <v>0</v>
      </c>
      <c r="K132" t="str">
        <v>Southampton</v>
      </c>
    </row>
    <row r="133" spans="2:11" x14ac:dyDescent="0.2">
      <c r="B133">
        <v>0</v>
      </c>
      <c r="C133">
        <v>3</v>
      </c>
      <c r="D133" t="str">
        <v>Drazenoic, Mr. Jozef</v>
      </c>
      <c r="E133" t="str">
        <v>Hombre</v>
      </c>
      <c r="F133">
        <v>33</v>
      </c>
      <c r="G133">
        <v>0</v>
      </c>
      <c r="H133">
        <v>0</v>
      </c>
      <c r="I133">
        <v>78958</v>
      </c>
      <c r="J133">
        <v>0</v>
      </c>
      <c r="K133" t="str">
        <v>Cherburg</v>
      </c>
    </row>
    <row r="134" spans="2:11" x14ac:dyDescent="0.2">
      <c r="B134">
        <v>0</v>
      </c>
      <c r="C134">
        <v>3</v>
      </c>
      <c r="D134" t="str">
        <v>Coelho, Mr. Domingos Fernandeo</v>
      </c>
      <c r="E134" t="str">
        <v>Hombre</v>
      </c>
      <c r="F134">
        <v>20</v>
      </c>
      <c r="G134">
        <v>0</v>
      </c>
      <c r="H134">
        <v>0</v>
      </c>
      <c r="I134">
        <v>705</v>
      </c>
      <c r="J134">
        <v>0</v>
      </c>
      <c r="K134" t="str">
        <v>Southampton</v>
      </c>
    </row>
    <row r="135" spans="2:11" x14ac:dyDescent="0.2">
      <c r="B135">
        <v>0</v>
      </c>
      <c r="C135">
        <v>3</v>
      </c>
      <c r="D135" t="str">
        <v>Robins, Mrs. Alexander A (Grace Charity Laury)</v>
      </c>
      <c r="E135" t="str">
        <v>Mujer</v>
      </c>
      <c r="F135">
        <v>47</v>
      </c>
      <c r="G135">
        <v>1</v>
      </c>
      <c r="H135">
        <v>0</v>
      </c>
      <c r="I135">
        <v>145</v>
      </c>
      <c r="J135">
        <v>0</v>
      </c>
      <c r="K135" t="str">
        <v>Southampton</v>
      </c>
    </row>
    <row r="136" spans="2:11" x14ac:dyDescent="0.2">
      <c r="B136">
        <v>1</v>
      </c>
      <c r="C136">
        <v>2</v>
      </c>
      <c r="D136" t="str">
        <v>Weisz, Mrs. Leopold (Mathilde Francoise Pede)</v>
      </c>
      <c r="E136" t="str">
        <v>Mujer</v>
      </c>
      <c r="F136">
        <v>29</v>
      </c>
      <c r="G136">
        <v>1</v>
      </c>
      <c r="H136">
        <v>0</v>
      </c>
      <c r="I136">
        <v>26</v>
      </c>
      <c r="J136">
        <v>0</v>
      </c>
      <c r="K136" t="str">
        <v>Southampton</v>
      </c>
    </row>
    <row r="137" spans="2:11" x14ac:dyDescent="0.2">
      <c r="B137">
        <v>0</v>
      </c>
      <c r="C137">
        <v>2</v>
      </c>
      <c r="D137" t="str">
        <v>Sobey, Mr. Samuel James Hayden</v>
      </c>
      <c r="E137" t="str">
        <v>Hombre</v>
      </c>
      <c r="F137">
        <v>25</v>
      </c>
      <c r="G137">
        <v>0</v>
      </c>
      <c r="H137">
        <v>0</v>
      </c>
      <c r="I137">
        <v>13</v>
      </c>
      <c r="J137">
        <v>0</v>
      </c>
      <c r="K137" t="str">
        <v>Southampton</v>
      </c>
    </row>
    <row r="138" spans="2:11" x14ac:dyDescent="0.2">
      <c r="B138">
        <v>0</v>
      </c>
      <c r="C138">
        <v>2</v>
      </c>
      <c r="D138" t="str">
        <v>Richard, Mr. Emile</v>
      </c>
      <c r="E138" t="str">
        <v>Hombre</v>
      </c>
      <c r="F138">
        <v>23</v>
      </c>
      <c r="G138">
        <v>0</v>
      </c>
      <c r="H138">
        <v>0</v>
      </c>
      <c r="I138">
        <v>150458</v>
      </c>
      <c r="J138">
        <v>0</v>
      </c>
      <c r="K138" t="str">
        <v>Cherburg</v>
      </c>
    </row>
    <row r="139" spans="2:11" x14ac:dyDescent="0.2">
      <c r="B139">
        <v>1</v>
      </c>
      <c r="C139">
        <v>1</v>
      </c>
      <c r="D139" t="str">
        <v>Newsom, Miss. Helen Monypeny</v>
      </c>
      <c r="E139" t="str">
        <v>Mujer</v>
      </c>
      <c r="F139">
        <v>19</v>
      </c>
      <c r="G139">
        <v>0</v>
      </c>
      <c r="H139">
        <v>2</v>
      </c>
      <c r="I139">
        <v>262833</v>
      </c>
      <c r="J139">
        <v>1</v>
      </c>
      <c r="K139" t="str">
        <v>Southampton</v>
      </c>
    </row>
    <row r="140" spans="2:11" x14ac:dyDescent="0.2">
      <c r="B140">
        <v>0</v>
      </c>
      <c r="C140">
        <v>1</v>
      </c>
      <c r="D140" t="str">
        <v>Futrelle, Mr. Jacques Heath</v>
      </c>
      <c r="E140" t="str">
        <v>Hombre</v>
      </c>
      <c r="F140">
        <v>37</v>
      </c>
      <c r="G140">
        <v>1</v>
      </c>
      <c r="H140">
        <v>0</v>
      </c>
      <c r="I140">
        <v>531</v>
      </c>
      <c r="J140">
        <v>1</v>
      </c>
      <c r="K140" t="str">
        <v>Southampton</v>
      </c>
    </row>
    <row r="141" spans="2:11" x14ac:dyDescent="0.2">
      <c r="B141">
        <v>0</v>
      </c>
      <c r="C141">
        <v>3</v>
      </c>
      <c r="D141" t="str">
        <v>Osen, Mr. Olaf Elon</v>
      </c>
      <c r="E141" t="str">
        <v>Hombre</v>
      </c>
      <c r="F141">
        <v>16</v>
      </c>
      <c r="G141">
        <v>0</v>
      </c>
      <c r="H141">
        <v>0</v>
      </c>
      <c r="I141">
        <v>92167</v>
      </c>
      <c r="J141">
        <v>0</v>
      </c>
      <c r="K141" t="str">
        <v>Southampton</v>
      </c>
    </row>
    <row r="142" spans="2:11" x14ac:dyDescent="0.2">
      <c r="B142">
        <v>0</v>
      </c>
      <c r="C142">
        <v>1</v>
      </c>
      <c r="D142" t="str">
        <v>Giglio, Mr. Victor</v>
      </c>
      <c r="E142" t="str">
        <v>Hombre</v>
      </c>
      <c r="F142">
        <v>24</v>
      </c>
      <c r="G142">
        <v>0</v>
      </c>
      <c r="H142">
        <v>0</v>
      </c>
      <c r="I142">
        <v>792</v>
      </c>
      <c r="J142">
        <v>1</v>
      </c>
      <c r="K142" t="str">
        <v>Cherburg</v>
      </c>
    </row>
    <row r="143" spans="2:11" x14ac:dyDescent="0.2">
      <c r="B143">
        <v>0</v>
      </c>
      <c r="C143">
        <v>3</v>
      </c>
      <c r="D143" t="str">
        <v>Boulos, Mrs. Joseph (Sultana)</v>
      </c>
      <c r="E143" t="str">
        <v>Mujer</v>
      </c>
      <c r="F143">
        <v>0</v>
      </c>
      <c r="G143">
        <v>0</v>
      </c>
      <c r="H143">
        <v>2</v>
      </c>
      <c r="I143">
        <v>152458</v>
      </c>
      <c r="J143">
        <v>0</v>
      </c>
      <c r="K143" t="str">
        <v>Cherburg</v>
      </c>
    </row>
    <row r="144" spans="2:11" x14ac:dyDescent="0.2">
      <c r="B144">
        <v>1</v>
      </c>
      <c r="C144">
        <v>3</v>
      </c>
      <c r="D144" t="str">
        <v>Nysten, Miss. Anna Sofia</v>
      </c>
      <c r="E144" t="str">
        <v>Mujer</v>
      </c>
      <c r="F144">
        <v>22</v>
      </c>
      <c r="G144">
        <v>0</v>
      </c>
      <c r="H144">
        <v>0</v>
      </c>
      <c r="I144">
        <v>775</v>
      </c>
      <c r="J144">
        <v>0</v>
      </c>
      <c r="K144" t="str">
        <v>Southampton</v>
      </c>
    </row>
    <row r="145" spans="2:11" x14ac:dyDescent="0.2">
      <c r="B145">
        <v>1</v>
      </c>
      <c r="C145">
        <v>3</v>
      </c>
      <c r="D145" t="str">
        <v>Hakkarainen, Mrs. Pekka Pietari (Elin Matilda Dolck)</v>
      </c>
      <c r="E145" t="str">
        <v>Mujer</v>
      </c>
      <c r="F145">
        <v>24</v>
      </c>
      <c r="G145">
        <v>1</v>
      </c>
      <c r="H145">
        <v>0</v>
      </c>
      <c r="I145">
        <v>1585</v>
      </c>
      <c r="J145">
        <v>0</v>
      </c>
      <c r="K145" t="str">
        <v>Southampton</v>
      </c>
    </row>
    <row r="146" spans="2:11" x14ac:dyDescent="0.2">
      <c r="B146">
        <v>0</v>
      </c>
      <c r="C146">
        <v>3</v>
      </c>
      <c r="D146" t="str">
        <v>Burke, Mr. Jeremiah</v>
      </c>
      <c r="E146" t="str">
        <v>Hombre</v>
      </c>
      <c r="F146">
        <v>19</v>
      </c>
      <c r="G146">
        <v>0</v>
      </c>
      <c r="H146">
        <v>0</v>
      </c>
      <c r="I146">
        <v>675</v>
      </c>
      <c r="J146">
        <v>0</v>
      </c>
      <c r="K146" t="str">
        <v>Queenstown</v>
      </c>
    </row>
    <row r="147" spans="2:11" x14ac:dyDescent="0.2">
      <c r="B147">
        <v>0</v>
      </c>
      <c r="C147">
        <v>2</v>
      </c>
      <c r="D147" t="str">
        <v>Andrew, Mr. Edgardo Samuel</v>
      </c>
      <c r="E147" t="str">
        <v>Hombre</v>
      </c>
      <c r="F147">
        <v>18</v>
      </c>
      <c r="G147">
        <v>0</v>
      </c>
      <c r="H147">
        <v>0</v>
      </c>
      <c r="I147">
        <v>115</v>
      </c>
      <c r="J147">
        <v>0</v>
      </c>
      <c r="K147" t="str">
        <v>Southampton</v>
      </c>
    </row>
    <row r="148" spans="2:11" x14ac:dyDescent="0.2">
      <c r="B148">
        <v>0</v>
      </c>
      <c r="C148">
        <v>2</v>
      </c>
      <c r="D148" t="str">
        <v>Nicholls, Mr. Joseph Charles</v>
      </c>
      <c r="E148" t="str">
        <v>Hombre</v>
      </c>
      <c r="F148">
        <v>19</v>
      </c>
      <c r="G148">
        <v>1</v>
      </c>
      <c r="H148">
        <v>1</v>
      </c>
      <c r="I148">
        <v>3675</v>
      </c>
      <c r="J148">
        <v>0</v>
      </c>
      <c r="K148" t="str">
        <v>Southampton</v>
      </c>
    </row>
    <row r="149" spans="2:11" x14ac:dyDescent="0.2">
      <c r="B149">
        <v>1</v>
      </c>
      <c r="C149">
        <v>3</v>
      </c>
      <c r="D149" t="str">
        <v>Andersson, Mr. August Edvard ("Wennerstrom")</v>
      </c>
      <c r="E149" t="str">
        <v>Hombre</v>
      </c>
      <c r="F149">
        <v>27</v>
      </c>
      <c r="G149">
        <v>0</v>
      </c>
      <c r="H149">
        <v>0</v>
      </c>
      <c r="I149">
        <v>77958</v>
      </c>
      <c r="J149">
        <v>0</v>
      </c>
      <c r="K149" t="str">
        <v>Southampton</v>
      </c>
    </row>
    <row r="150" spans="2:11" x14ac:dyDescent="0.2">
      <c r="B150">
        <v>0</v>
      </c>
      <c r="C150">
        <v>3</v>
      </c>
      <c r="D150" t="str">
        <v>Ford, Miss. Robina Maggie "Ruby"</v>
      </c>
      <c r="E150" t="str">
        <v>Mujer</v>
      </c>
      <c r="F150">
        <v>9</v>
      </c>
      <c r="G150">
        <v>2</v>
      </c>
      <c r="H150">
        <v>2</v>
      </c>
      <c r="I150">
        <v>34375</v>
      </c>
      <c r="J150">
        <v>0</v>
      </c>
      <c r="K150" t="str">
        <v>Southampton</v>
      </c>
    </row>
    <row r="151" spans="2:11" x14ac:dyDescent="0.2">
      <c r="B151">
        <v>0</v>
      </c>
      <c r="C151">
        <v>2</v>
      </c>
      <c r="D151" t="str">
        <v>Navratil, Mr. Michel ("Louis M Hoffman")</v>
      </c>
      <c r="E151" t="str">
        <v>Hombre</v>
      </c>
      <c r="F151">
        <v>365</v>
      </c>
      <c r="G151">
        <v>0</v>
      </c>
      <c r="H151">
        <v>2</v>
      </c>
      <c r="I151">
        <v>26</v>
      </c>
      <c r="J151">
        <v>1</v>
      </c>
      <c r="K151" t="str">
        <v>Southampton</v>
      </c>
    </row>
    <row r="152" spans="2:11" x14ac:dyDescent="0.2">
      <c r="B152">
        <v>0</v>
      </c>
      <c r="C152">
        <v>2</v>
      </c>
      <c r="D152" t="str">
        <v>Byles, Rev. Thomas Roussel Davids</v>
      </c>
      <c r="E152" t="str">
        <v>Hombre</v>
      </c>
      <c r="F152">
        <v>42</v>
      </c>
      <c r="G152">
        <v>0</v>
      </c>
      <c r="H152">
        <v>0</v>
      </c>
      <c r="I152">
        <v>13</v>
      </c>
      <c r="J152">
        <v>0</v>
      </c>
      <c r="K152" t="str">
        <v>Southampton</v>
      </c>
    </row>
    <row r="153" spans="2:11" x14ac:dyDescent="0.2">
      <c r="B153">
        <v>0</v>
      </c>
      <c r="C153">
        <v>2</v>
      </c>
      <c r="D153" t="str">
        <v>Bateman, Rev. Robert James</v>
      </c>
      <c r="E153" t="str">
        <v>Hombre</v>
      </c>
      <c r="F153">
        <v>51</v>
      </c>
      <c r="G153">
        <v>0</v>
      </c>
      <c r="H153">
        <v>0</v>
      </c>
      <c r="I153">
        <v>12525</v>
      </c>
      <c r="J153">
        <v>0</v>
      </c>
      <c r="K153" t="str">
        <v>Southampton</v>
      </c>
    </row>
    <row r="154" spans="2:11" x14ac:dyDescent="0.2">
      <c r="B154">
        <v>1</v>
      </c>
      <c r="C154">
        <v>1</v>
      </c>
      <c r="D154" t="str">
        <v>Pears, Mrs. Thomas (Edith Wearne)</v>
      </c>
      <c r="E154" t="str">
        <v>Mujer</v>
      </c>
      <c r="F154">
        <v>22</v>
      </c>
      <c r="G154">
        <v>1</v>
      </c>
      <c r="H154">
        <v>0</v>
      </c>
      <c r="I154">
        <v>666</v>
      </c>
      <c r="J154">
        <v>1</v>
      </c>
      <c r="K154" t="str">
        <v>Southampton</v>
      </c>
    </row>
    <row r="155" spans="2:11" x14ac:dyDescent="0.2">
      <c r="B155">
        <v>0</v>
      </c>
      <c r="C155">
        <v>3</v>
      </c>
      <c r="D155" t="str">
        <v>Meo, Mr. Alfonzo</v>
      </c>
      <c r="E155" t="str">
        <v>Hombre</v>
      </c>
      <c r="F155">
        <v>555</v>
      </c>
      <c r="G155">
        <v>0</v>
      </c>
      <c r="H155">
        <v>0</v>
      </c>
      <c r="I155">
        <v>805</v>
      </c>
      <c r="J155">
        <v>0</v>
      </c>
      <c r="K155" t="str">
        <v>Southampton</v>
      </c>
    </row>
    <row r="156" spans="2:11" x14ac:dyDescent="0.2">
      <c r="B156">
        <v>0</v>
      </c>
      <c r="C156">
        <v>3</v>
      </c>
      <c r="D156" t="str">
        <v>van Billiard, Mr. Austin Blyler</v>
      </c>
      <c r="E156" t="str">
        <v>Hombre</v>
      </c>
      <c r="F156">
        <v>405</v>
      </c>
      <c r="G156">
        <v>0</v>
      </c>
      <c r="H156">
        <v>2</v>
      </c>
      <c r="I156">
        <v>145</v>
      </c>
      <c r="J156">
        <v>0</v>
      </c>
      <c r="K156" t="str">
        <v>Southampton</v>
      </c>
    </row>
    <row r="157" spans="2:11" x14ac:dyDescent="0.2">
      <c r="B157">
        <v>0</v>
      </c>
      <c r="C157">
        <v>3</v>
      </c>
      <c r="D157" t="str">
        <v>Olsen, Mr. Ole Martin</v>
      </c>
      <c r="E157" t="str">
        <v>Hombre</v>
      </c>
      <c r="F157">
        <v>0</v>
      </c>
      <c r="G157">
        <v>0</v>
      </c>
      <c r="H157">
        <v>0</v>
      </c>
      <c r="I157">
        <v>73125</v>
      </c>
      <c r="J157">
        <v>0</v>
      </c>
      <c r="K157" t="str">
        <v>Southampton</v>
      </c>
    </row>
    <row r="158" spans="2:11" x14ac:dyDescent="0.2">
      <c r="B158">
        <v>0</v>
      </c>
      <c r="C158">
        <v>1</v>
      </c>
      <c r="D158" t="str">
        <v>Williams, Mr. Charles Duane</v>
      </c>
      <c r="E158" t="str">
        <v>Hombre</v>
      </c>
      <c r="F158">
        <v>51</v>
      </c>
      <c r="G158">
        <v>0</v>
      </c>
      <c r="H158">
        <v>1</v>
      </c>
      <c r="I158">
        <v>613792</v>
      </c>
      <c r="J158">
        <v>0</v>
      </c>
      <c r="K158" t="str">
        <v>Cherburg</v>
      </c>
    </row>
    <row r="159" spans="2:11" x14ac:dyDescent="0.2">
      <c r="B159">
        <v>1</v>
      </c>
      <c r="C159">
        <v>3</v>
      </c>
      <c r="D159" t="str">
        <v>Gilnagh, Miss. Katherine "Katie"</v>
      </c>
      <c r="E159" t="str">
        <v>Mujer</v>
      </c>
      <c r="F159">
        <v>16</v>
      </c>
      <c r="G159">
        <v>0</v>
      </c>
      <c r="H159">
        <v>0</v>
      </c>
      <c r="I159">
        <v>77333</v>
      </c>
      <c r="J159">
        <v>0</v>
      </c>
      <c r="K159" t="str">
        <v>Queenstown</v>
      </c>
    </row>
    <row r="160" spans="2:11" x14ac:dyDescent="0.2">
      <c r="B160">
        <v>0</v>
      </c>
      <c r="C160">
        <v>3</v>
      </c>
      <c r="D160" t="str">
        <v>Corn, Mr. Harry</v>
      </c>
      <c r="E160" t="str">
        <v>Hombre</v>
      </c>
      <c r="F160">
        <v>30</v>
      </c>
      <c r="G160">
        <v>0</v>
      </c>
      <c r="H160">
        <v>0</v>
      </c>
      <c r="I160">
        <v>805</v>
      </c>
      <c r="J160">
        <v>0</v>
      </c>
      <c r="K160" t="str">
        <v>Southampton</v>
      </c>
    </row>
    <row r="161" spans="2:11" x14ac:dyDescent="0.2">
      <c r="B161">
        <v>0</v>
      </c>
      <c r="C161">
        <v>3</v>
      </c>
      <c r="D161" t="str">
        <v>Smiljanic, Mr. Mile</v>
      </c>
      <c r="E161" t="str">
        <v>Hombre</v>
      </c>
      <c r="F161">
        <v>0</v>
      </c>
      <c r="G161">
        <v>0</v>
      </c>
      <c r="H161">
        <v>0</v>
      </c>
      <c r="I161">
        <v>86625</v>
      </c>
      <c r="J161">
        <v>0</v>
      </c>
      <c r="K161" t="str">
        <v>Southampton</v>
      </c>
    </row>
    <row r="162" spans="2:11" x14ac:dyDescent="0.2">
      <c r="B162">
        <v>0</v>
      </c>
      <c r="C162">
        <v>3</v>
      </c>
      <c r="D162" t="str">
        <v>Sage, Master. Thomas Henry</v>
      </c>
      <c r="E162" t="str">
        <v>Hombre</v>
      </c>
      <c r="F162">
        <v>0</v>
      </c>
      <c r="G162">
        <v>8</v>
      </c>
      <c r="H162">
        <v>2</v>
      </c>
      <c r="I162">
        <v>6955</v>
      </c>
      <c r="J162">
        <v>0</v>
      </c>
      <c r="K162" t="str">
        <v>Southampton</v>
      </c>
    </row>
    <row r="163" spans="2:11" x14ac:dyDescent="0.2">
      <c r="B163">
        <v>0</v>
      </c>
      <c r="C163">
        <v>3</v>
      </c>
      <c r="D163" t="str">
        <v>Cribb, Mr. John Hatfield</v>
      </c>
      <c r="E163" t="str">
        <v>Hombre</v>
      </c>
      <c r="F163">
        <v>44</v>
      </c>
      <c r="G163">
        <v>0</v>
      </c>
      <c r="H163">
        <v>1</v>
      </c>
      <c r="I163">
        <v>161</v>
      </c>
      <c r="J163">
        <v>0</v>
      </c>
      <c r="K163" t="str">
        <v>Southampton</v>
      </c>
    </row>
    <row r="164" spans="2:11" x14ac:dyDescent="0.2">
      <c r="B164">
        <v>1</v>
      </c>
      <c r="C164">
        <v>2</v>
      </c>
      <c r="D164" t="str">
        <v>Watt, Mrs. James (Elizabeth "Bessie" Inglis Milne)</v>
      </c>
      <c r="E164" t="str">
        <v>Mujer</v>
      </c>
      <c r="F164">
        <v>40</v>
      </c>
      <c r="G164">
        <v>0</v>
      </c>
      <c r="H164">
        <v>0</v>
      </c>
      <c r="I164">
        <v>1575</v>
      </c>
      <c r="J164">
        <v>0</v>
      </c>
      <c r="K164" t="str">
        <v>Southampton</v>
      </c>
    </row>
    <row r="165" spans="2:11" x14ac:dyDescent="0.2">
      <c r="B165">
        <v>0</v>
      </c>
      <c r="C165">
        <v>3</v>
      </c>
      <c r="D165" t="str">
        <v>Bengtsson, Mr. John Viktor</v>
      </c>
      <c r="E165" t="str">
        <v>Hombre</v>
      </c>
      <c r="F165">
        <v>26</v>
      </c>
      <c r="G165">
        <v>0</v>
      </c>
      <c r="H165">
        <v>0</v>
      </c>
      <c r="I165">
        <v>7775</v>
      </c>
      <c r="J165">
        <v>0</v>
      </c>
      <c r="K165" t="str">
        <v>Southampton</v>
      </c>
    </row>
    <row r="166" spans="2:11" x14ac:dyDescent="0.2">
      <c r="B166">
        <v>0</v>
      </c>
      <c r="C166">
        <v>3</v>
      </c>
      <c r="D166" t="str">
        <v>Calic, Mr. Jovo</v>
      </c>
      <c r="E166" t="str">
        <v>Hombre</v>
      </c>
      <c r="F166">
        <v>17</v>
      </c>
      <c r="G166">
        <v>0</v>
      </c>
      <c r="H166">
        <v>0</v>
      </c>
      <c r="I166">
        <v>86625</v>
      </c>
      <c r="J166">
        <v>0</v>
      </c>
      <c r="K166" t="str">
        <v>Southampton</v>
      </c>
    </row>
    <row r="167" spans="2:11" x14ac:dyDescent="0.2">
      <c r="B167">
        <v>0</v>
      </c>
      <c r="C167">
        <v>3</v>
      </c>
      <c r="D167" t="str">
        <v>Panula, Master. Eino Viljami</v>
      </c>
      <c r="E167" t="str">
        <v>Hombre</v>
      </c>
      <c r="F167">
        <v>1</v>
      </c>
      <c r="G167">
        <v>4</v>
      </c>
      <c r="H167">
        <v>1</v>
      </c>
      <c r="I167">
        <v>396875</v>
      </c>
      <c r="J167">
        <v>0</v>
      </c>
      <c r="K167" t="str">
        <v>Southampton</v>
      </c>
    </row>
    <row r="168" spans="2:11" x14ac:dyDescent="0.2">
      <c r="B168">
        <v>1</v>
      </c>
      <c r="C168">
        <v>3</v>
      </c>
      <c r="D168" t="str">
        <v>Goldsmith, Master. Frank John William "Frankie"</v>
      </c>
      <c r="E168" t="str">
        <v>Hombre</v>
      </c>
      <c r="F168">
        <v>9</v>
      </c>
      <c r="G168">
        <v>0</v>
      </c>
      <c r="H168">
        <v>2</v>
      </c>
      <c r="I168">
        <v>20525</v>
      </c>
      <c r="J168">
        <v>0</v>
      </c>
      <c r="K168" t="str">
        <v>Southampton</v>
      </c>
    </row>
    <row r="169" spans="2:11" x14ac:dyDescent="0.2">
      <c r="B169">
        <v>1</v>
      </c>
      <c r="C169">
        <v>1</v>
      </c>
      <c r="D169" t="str">
        <v>Chibnall, Mrs. (Edith Martha Bowerman)</v>
      </c>
      <c r="E169" t="str">
        <v>Mujer</v>
      </c>
      <c r="F169">
        <v>0</v>
      </c>
      <c r="G169">
        <v>0</v>
      </c>
      <c r="H169">
        <v>1</v>
      </c>
      <c r="I169">
        <v>55</v>
      </c>
      <c r="J169">
        <v>1</v>
      </c>
      <c r="K169" t="str">
        <v>Southampton</v>
      </c>
    </row>
    <row r="170" spans="2:11" x14ac:dyDescent="0.2">
      <c r="B170">
        <v>0</v>
      </c>
      <c r="C170">
        <v>3</v>
      </c>
      <c r="D170" t="str">
        <v>Skoog, Mrs. William (Anna Bernhardina Karlsson)</v>
      </c>
      <c r="E170" t="str">
        <v>Mujer</v>
      </c>
      <c r="F170">
        <v>45</v>
      </c>
      <c r="G170">
        <v>1</v>
      </c>
      <c r="H170">
        <v>4</v>
      </c>
      <c r="I170">
        <v>279</v>
      </c>
      <c r="J170">
        <v>0</v>
      </c>
      <c r="K170" t="str">
        <v>Southampton</v>
      </c>
    </row>
    <row r="171" spans="2:11" x14ac:dyDescent="0.2">
      <c r="B171">
        <v>0</v>
      </c>
      <c r="C171">
        <v>1</v>
      </c>
      <c r="D171" t="str">
        <v>Baumann, Mr. John D</v>
      </c>
      <c r="E171" t="str">
        <v>Hombre</v>
      </c>
      <c r="F171">
        <v>0</v>
      </c>
      <c r="G171">
        <v>0</v>
      </c>
      <c r="H171">
        <v>0</v>
      </c>
      <c r="I171">
        <v>25925</v>
      </c>
      <c r="J171">
        <v>0</v>
      </c>
      <c r="K171" t="str">
        <v>Southampton</v>
      </c>
    </row>
    <row r="172" spans="2:11" x14ac:dyDescent="0.2">
      <c r="B172">
        <v>0</v>
      </c>
      <c r="C172">
        <v>3</v>
      </c>
      <c r="D172" t="str">
        <v>Ling, Mr. Lee</v>
      </c>
      <c r="E172" t="str">
        <v>Hombre</v>
      </c>
      <c r="F172">
        <v>28</v>
      </c>
      <c r="G172">
        <v>0</v>
      </c>
      <c r="H172">
        <v>0</v>
      </c>
      <c r="I172">
        <v>564958</v>
      </c>
      <c r="J172">
        <v>0</v>
      </c>
      <c r="K172" t="str">
        <v>Southampton</v>
      </c>
    </row>
    <row r="173" spans="2:11" x14ac:dyDescent="0.2">
      <c r="B173">
        <v>0</v>
      </c>
      <c r="C173">
        <v>1</v>
      </c>
      <c r="D173" t="str">
        <v>Van der hoef, Mr. Wyckoff</v>
      </c>
      <c r="E173" t="str">
        <v>Hombre</v>
      </c>
      <c r="F173">
        <v>61</v>
      </c>
      <c r="G173">
        <v>0</v>
      </c>
      <c r="H173">
        <v>0</v>
      </c>
      <c r="I173">
        <v>335</v>
      </c>
      <c r="J173">
        <v>1</v>
      </c>
      <c r="K173" t="str">
        <v>Southampton</v>
      </c>
    </row>
    <row r="174" spans="2:11" x14ac:dyDescent="0.2">
      <c r="B174">
        <v>0</v>
      </c>
      <c r="C174">
        <v>3</v>
      </c>
      <c r="D174" t="str">
        <v>Rice, Master. Arthur</v>
      </c>
      <c r="E174" t="str">
        <v>Hombre</v>
      </c>
      <c r="F174">
        <v>4</v>
      </c>
      <c r="G174">
        <v>4</v>
      </c>
      <c r="H174">
        <v>1</v>
      </c>
      <c r="I174">
        <v>29125</v>
      </c>
      <c r="J174">
        <v>0</v>
      </c>
      <c r="K174" t="str">
        <v>Queenstown</v>
      </c>
    </row>
    <row r="175" spans="2:11" x14ac:dyDescent="0.2">
      <c r="B175">
        <v>1</v>
      </c>
      <c r="C175">
        <v>3</v>
      </c>
      <c r="D175" t="str">
        <v>Johnson, Miss. Eleanor Ileen</v>
      </c>
      <c r="E175" t="str">
        <v>Mujer</v>
      </c>
      <c r="F175">
        <v>1</v>
      </c>
      <c r="G175">
        <v>1</v>
      </c>
      <c r="H175">
        <v>1</v>
      </c>
      <c r="I175">
        <v>111333</v>
      </c>
      <c r="J175">
        <v>0</v>
      </c>
      <c r="K175" t="str">
        <v>Southampton</v>
      </c>
    </row>
    <row r="176" spans="2:11" x14ac:dyDescent="0.2">
      <c r="B176">
        <v>0</v>
      </c>
      <c r="C176">
        <v>3</v>
      </c>
      <c r="D176" t="str">
        <v>Sivola, Mr. Antti Wilhelm</v>
      </c>
      <c r="E176" t="str">
        <v>Hombre</v>
      </c>
      <c r="F176">
        <v>21</v>
      </c>
      <c r="G176">
        <v>0</v>
      </c>
      <c r="H176">
        <v>0</v>
      </c>
      <c r="I176">
        <v>7925</v>
      </c>
      <c r="J176">
        <v>0</v>
      </c>
      <c r="K176" t="str">
        <v>Southampton</v>
      </c>
    </row>
    <row r="177" spans="2:11" x14ac:dyDescent="0.2">
      <c r="B177">
        <v>0</v>
      </c>
      <c r="C177">
        <v>1</v>
      </c>
      <c r="D177" t="str">
        <v>Smith, Mr. James Clinch</v>
      </c>
      <c r="E177" t="str">
        <v>Hombre</v>
      </c>
      <c r="F177">
        <v>56</v>
      </c>
      <c r="G177">
        <v>0</v>
      </c>
      <c r="H177">
        <v>0</v>
      </c>
      <c r="I177">
        <v>306958</v>
      </c>
      <c r="J177">
        <v>1</v>
      </c>
      <c r="K177" t="str">
        <v>Cherburg</v>
      </c>
    </row>
    <row r="178" spans="2:11" x14ac:dyDescent="0.2">
      <c r="B178">
        <v>0</v>
      </c>
      <c r="C178">
        <v>3</v>
      </c>
      <c r="D178" t="str">
        <v>Klasen, Mr. Klas Albin</v>
      </c>
      <c r="E178" t="str">
        <v>Hombre</v>
      </c>
      <c r="F178">
        <v>18</v>
      </c>
      <c r="G178">
        <v>1</v>
      </c>
      <c r="H178">
        <v>1</v>
      </c>
      <c r="I178">
        <v>78542</v>
      </c>
      <c r="J178">
        <v>0</v>
      </c>
      <c r="K178" t="str">
        <v>Southampton</v>
      </c>
    </row>
    <row r="179" spans="2:11" x14ac:dyDescent="0.2">
      <c r="B179">
        <v>0</v>
      </c>
      <c r="C179">
        <v>3</v>
      </c>
      <c r="D179" t="str">
        <v>Lefebre, Master. Henry Forbes</v>
      </c>
      <c r="E179" t="str">
        <v>Hombre</v>
      </c>
      <c r="F179">
        <v>0</v>
      </c>
      <c r="G179">
        <v>3</v>
      </c>
      <c r="H179">
        <v>1</v>
      </c>
      <c r="I179">
        <v>254667</v>
      </c>
      <c r="J179">
        <v>0</v>
      </c>
      <c r="K179" t="str">
        <v>Southampton</v>
      </c>
    </row>
    <row r="180" spans="2:11" x14ac:dyDescent="0.2">
      <c r="B180">
        <v>0</v>
      </c>
      <c r="C180">
        <v>1</v>
      </c>
      <c r="D180" t="str">
        <v>Isham, Miss. Ann Elizabeth</v>
      </c>
      <c r="E180" t="str">
        <v>Mujer</v>
      </c>
      <c r="F180">
        <v>50</v>
      </c>
      <c r="G180">
        <v>0</v>
      </c>
      <c r="H180">
        <v>0</v>
      </c>
      <c r="I180">
        <v>287125</v>
      </c>
      <c r="J180">
        <v>1</v>
      </c>
      <c r="K180" t="str">
        <v>Cherburg</v>
      </c>
    </row>
    <row r="181" spans="2:11" x14ac:dyDescent="0.2">
      <c r="B181">
        <v>0</v>
      </c>
      <c r="C181">
        <v>2</v>
      </c>
      <c r="D181" t="str">
        <v>Hale, Mr. Reginald</v>
      </c>
      <c r="E181" t="str">
        <v>Hombre</v>
      </c>
      <c r="F181">
        <v>30</v>
      </c>
      <c r="G181">
        <v>0</v>
      </c>
      <c r="H181">
        <v>0</v>
      </c>
      <c r="I181">
        <v>13</v>
      </c>
      <c r="J181">
        <v>0</v>
      </c>
      <c r="K181" t="str">
        <v>Southampton</v>
      </c>
    </row>
    <row r="182" spans="2:11" x14ac:dyDescent="0.2">
      <c r="B182">
        <v>0</v>
      </c>
      <c r="C182">
        <v>3</v>
      </c>
      <c r="D182" t="str">
        <v>Leonard, Mr. Lionel</v>
      </c>
      <c r="E182" t="str">
        <v>Hombre</v>
      </c>
      <c r="F182">
        <v>36</v>
      </c>
      <c r="G182">
        <v>0</v>
      </c>
      <c r="H182">
        <v>0</v>
      </c>
      <c r="I182">
        <v>0</v>
      </c>
      <c r="J182">
        <v>0</v>
      </c>
      <c r="K182" t="str">
        <v>Southampton</v>
      </c>
    </row>
    <row r="183" spans="2:11" x14ac:dyDescent="0.2">
      <c r="B183">
        <v>0</v>
      </c>
      <c r="C183">
        <v>3</v>
      </c>
      <c r="D183" t="str">
        <v>Sage, Miss. Constance Gladys</v>
      </c>
      <c r="E183" t="str">
        <v>Mujer</v>
      </c>
      <c r="F183">
        <v>0</v>
      </c>
      <c r="G183">
        <v>8</v>
      </c>
      <c r="H183">
        <v>2</v>
      </c>
      <c r="I183">
        <v>6955</v>
      </c>
      <c r="J183">
        <v>0</v>
      </c>
      <c r="K183" t="str">
        <v>Southampton</v>
      </c>
    </row>
    <row r="184" spans="2:11" x14ac:dyDescent="0.2">
      <c r="B184">
        <v>0</v>
      </c>
      <c r="C184">
        <v>2</v>
      </c>
      <c r="D184" t="str">
        <v>Pernot, Mr. Rene</v>
      </c>
      <c r="E184" t="str">
        <v>Hombre</v>
      </c>
      <c r="F184">
        <v>0</v>
      </c>
      <c r="G184">
        <v>0</v>
      </c>
      <c r="H184">
        <v>0</v>
      </c>
      <c r="I184">
        <v>1505</v>
      </c>
      <c r="J184">
        <v>0</v>
      </c>
      <c r="K184" t="str">
        <v>Cherburg</v>
      </c>
    </row>
    <row r="185" spans="2:11" x14ac:dyDescent="0.2">
      <c r="B185">
        <v>0</v>
      </c>
      <c r="C185">
        <v>3</v>
      </c>
      <c r="D185" t="str">
        <v>Asplund, Master. Clarence Gustaf Hugo</v>
      </c>
      <c r="E185" t="str">
        <v>Hombre</v>
      </c>
      <c r="F185">
        <v>9</v>
      </c>
      <c r="G185">
        <v>4</v>
      </c>
      <c r="H185">
        <v>2</v>
      </c>
      <c r="I185">
        <v>313875</v>
      </c>
      <c r="J185">
        <v>0</v>
      </c>
      <c r="K185" t="str">
        <v>Southampton</v>
      </c>
    </row>
    <row r="186" spans="2:11" x14ac:dyDescent="0.2">
      <c r="B186">
        <v>1</v>
      </c>
      <c r="C186">
        <v>2</v>
      </c>
      <c r="D186" t="str">
        <v>Becker, Master. Richard F</v>
      </c>
      <c r="E186" t="str">
        <v>Hombre</v>
      </c>
      <c r="F186">
        <v>1</v>
      </c>
      <c r="G186">
        <v>2</v>
      </c>
      <c r="H186">
        <v>1</v>
      </c>
      <c r="I186">
        <v>39</v>
      </c>
      <c r="J186">
        <v>1</v>
      </c>
      <c r="K186" t="str">
        <v>Southampton</v>
      </c>
    </row>
    <row r="187" spans="2:11" x14ac:dyDescent="0.2">
      <c r="B187">
        <v>1</v>
      </c>
      <c r="C187">
        <v>3</v>
      </c>
      <c r="D187" t="str">
        <v>Kink-Heilmann, Miss. Luise Gretchen</v>
      </c>
      <c r="E187" t="str">
        <v>Mujer</v>
      </c>
      <c r="F187">
        <v>4</v>
      </c>
      <c r="G187">
        <v>0</v>
      </c>
      <c r="H187">
        <v>2</v>
      </c>
      <c r="I187">
        <v>22025</v>
      </c>
      <c r="J187">
        <v>0</v>
      </c>
      <c r="K187" t="str">
        <v>Southampton</v>
      </c>
    </row>
    <row r="188" spans="2:11" x14ac:dyDescent="0.2">
      <c r="B188">
        <v>0</v>
      </c>
      <c r="C188">
        <v>1</v>
      </c>
      <c r="D188" t="str">
        <v>Rood, Mr. Hugh Roscoe</v>
      </c>
      <c r="E188" t="str">
        <v>Hombre</v>
      </c>
      <c r="F188">
        <v>0</v>
      </c>
      <c r="G188">
        <v>0</v>
      </c>
      <c r="H188">
        <v>0</v>
      </c>
      <c r="I188">
        <v>50</v>
      </c>
      <c r="J188">
        <v>1</v>
      </c>
      <c r="K188" t="str">
        <v>Southampton</v>
      </c>
    </row>
    <row r="189" spans="2:11" x14ac:dyDescent="0.2">
      <c r="B189">
        <v>1</v>
      </c>
      <c r="C189">
        <v>3</v>
      </c>
      <c r="D189" t="str">
        <v>O'Brien, Mrs. Thomas (Johanna "Hannah" Godfrey)</v>
      </c>
      <c r="E189" t="str">
        <v>Mujer</v>
      </c>
      <c r="F189">
        <v>0</v>
      </c>
      <c r="G189">
        <v>1</v>
      </c>
      <c r="H189">
        <v>0</v>
      </c>
      <c r="I189">
        <v>155</v>
      </c>
      <c r="J189">
        <v>0</v>
      </c>
      <c r="K189" t="str">
        <v>Queenstown</v>
      </c>
    </row>
    <row r="190" spans="2:11" x14ac:dyDescent="0.2">
      <c r="B190">
        <v>1</v>
      </c>
      <c r="C190">
        <v>1</v>
      </c>
      <c r="D190" t="str">
        <v>Romaine, Mr. Charles Hallace ("Mr C Rolmane")</v>
      </c>
      <c r="E190" t="str">
        <v>Hombre</v>
      </c>
      <c r="F190">
        <v>45</v>
      </c>
      <c r="G190">
        <v>0</v>
      </c>
      <c r="H190">
        <v>0</v>
      </c>
      <c r="I190">
        <v>2655</v>
      </c>
      <c r="J190">
        <v>0</v>
      </c>
      <c r="K190" t="str">
        <v>Southampton</v>
      </c>
    </row>
    <row r="191" spans="2:11" x14ac:dyDescent="0.2">
      <c r="B191">
        <v>0</v>
      </c>
      <c r="C191">
        <v>3</v>
      </c>
      <c r="D191" t="str">
        <v>Bourke, Mr. John</v>
      </c>
      <c r="E191" t="str">
        <v>Hombre</v>
      </c>
      <c r="F191">
        <v>40</v>
      </c>
      <c r="G191">
        <v>1</v>
      </c>
      <c r="H191">
        <v>1</v>
      </c>
      <c r="I191">
        <v>155</v>
      </c>
      <c r="J191">
        <v>0</v>
      </c>
      <c r="K191" t="str">
        <v>Queenstown</v>
      </c>
    </row>
    <row r="192" spans="2:11" x14ac:dyDescent="0.2">
      <c r="B192">
        <v>0</v>
      </c>
      <c r="C192">
        <v>3</v>
      </c>
      <c r="D192" t="str">
        <v>Turcin, Mr. Stjepan</v>
      </c>
      <c r="E192" t="str">
        <v>Hombre</v>
      </c>
      <c r="F192">
        <v>36</v>
      </c>
      <c r="G192">
        <v>0</v>
      </c>
      <c r="H192">
        <v>0</v>
      </c>
      <c r="I192">
        <v>78958</v>
      </c>
      <c r="J192">
        <v>0</v>
      </c>
      <c r="K192" t="str">
        <v>Southampton</v>
      </c>
    </row>
    <row r="193" spans="2:11" x14ac:dyDescent="0.2">
      <c r="B193">
        <v>1</v>
      </c>
      <c r="C193">
        <v>2</v>
      </c>
      <c r="D193" t="str">
        <v>Pinsky, Mrs. (Rosa)</v>
      </c>
      <c r="E193" t="str">
        <v>Mujer</v>
      </c>
      <c r="F193">
        <v>32</v>
      </c>
      <c r="G193">
        <v>0</v>
      </c>
      <c r="H193">
        <v>0</v>
      </c>
      <c r="I193">
        <v>13</v>
      </c>
      <c r="J193">
        <v>0</v>
      </c>
      <c r="K193" t="str">
        <v>Southampton</v>
      </c>
    </row>
    <row r="194" spans="2:11" x14ac:dyDescent="0.2">
      <c r="B194">
        <v>0</v>
      </c>
      <c r="C194">
        <v>2</v>
      </c>
      <c r="D194" t="str">
        <v>Carbines, Mr. William</v>
      </c>
      <c r="E194" t="str">
        <v>Hombre</v>
      </c>
      <c r="F194">
        <v>19</v>
      </c>
      <c r="G194">
        <v>0</v>
      </c>
      <c r="H194">
        <v>0</v>
      </c>
      <c r="I194">
        <v>13</v>
      </c>
      <c r="J194">
        <v>0</v>
      </c>
      <c r="K194" t="str">
        <v>Southampton</v>
      </c>
    </row>
    <row r="195" spans="2:11" x14ac:dyDescent="0.2">
      <c r="B195">
        <v>1</v>
      </c>
      <c r="C195">
        <v>3</v>
      </c>
      <c r="D195" t="str">
        <v>Andersen-Jensen, Miss. Carla Christine Nielsine</v>
      </c>
      <c r="E195" t="str">
        <v>Mujer</v>
      </c>
      <c r="F195">
        <v>19</v>
      </c>
      <c r="G195">
        <v>1</v>
      </c>
      <c r="H195">
        <v>0</v>
      </c>
      <c r="I195">
        <v>78542</v>
      </c>
      <c r="J195">
        <v>0</v>
      </c>
      <c r="K195" t="str">
        <v>Southampton</v>
      </c>
    </row>
    <row r="196" spans="2:11" x14ac:dyDescent="0.2">
      <c r="B196">
        <v>1</v>
      </c>
      <c r="C196">
        <v>2</v>
      </c>
      <c r="D196" t="str">
        <v>Navratil, Master. Michel M</v>
      </c>
      <c r="E196" t="str">
        <v>Hombre</v>
      </c>
      <c r="F196">
        <v>3</v>
      </c>
      <c r="G196">
        <v>1</v>
      </c>
      <c r="H196">
        <v>1</v>
      </c>
      <c r="I196">
        <v>26</v>
      </c>
      <c r="J196">
        <v>1</v>
      </c>
      <c r="K196" t="str">
        <v>Southampton</v>
      </c>
    </row>
    <row r="197" spans="2:11" x14ac:dyDescent="0.2">
      <c r="B197">
        <v>1</v>
      </c>
      <c r="C197">
        <v>1</v>
      </c>
      <c r="D197" t="str">
        <v>Brown, Mrs. James Joseph (Margaret Tobin)</v>
      </c>
      <c r="E197" t="str">
        <v>Mujer</v>
      </c>
      <c r="F197">
        <v>44</v>
      </c>
      <c r="G197">
        <v>0</v>
      </c>
      <c r="H197">
        <v>0</v>
      </c>
      <c r="I197">
        <v>277208</v>
      </c>
      <c r="J197">
        <v>1</v>
      </c>
      <c r="K197" t="str">
        <v>Cherburg</v>
      </c>
    </row>
    <row r="198" spans="2:11" x14ac:dyDescent="0.2">
      <c r="B198">
        <v>1</v>
      </c>
      <c r="C198">
        <v>1</v>
      </c>
      <c r="D198" t="str">
        <v>Lurette, Miss. Elise</v>
      </c>
      <c r="E198" t="str">
        <v>Mujer</v>
      </c>
      <c r="F198">
        <v>58</v>
      </c>
      <c r="G198">
        <v>0</v>
      </c>
      <c r="H198">
        <v>0</v>
      </c>
      <c r="I198">
        <v>1465208</v>
      </c>
      <c r="J198">
        <v>1</v>
      </c>
      <c r="K198" t="str">
        <v>Cherburg</v>
      </c>
    </row>
    <row r="199" spans="2:11" x14ac:dyDescent="0.2">
      <c r="B199">
        <v>0</v>
      </c>
      <c r="C199">
        <v>3</v>
      </c>
      <c r="D199" t="str">
        <v>Mernagh, Mr. Robert</v>
      </c>
      <c r="E199" t="str">
        <v>Hombre</v>
      </c>
      <c r="F199">
        <v>0</v>
      </c>
      <c r="G199">
        <v>0</v>
      </c>
      <c r="H199">
        <v>0</v>
      </c>
      <c r="I199">
        <v>775</v>
      </c>
      <c r="J199">
        <v>0</v>
      </c>
      <c r="K199" t="str">
        <v>Queenstown</v>
      </c>
    </row>
    <row r="200" spans="2:11" x14ac:dyDescent="0.2">
      <c r="B200">
        <v>0</v>
      </c>
      <c r="C200">
        <v>3</v>
      </c>
      <c r="D200" t="str">
        <v>Olsen, Mr. Karl Siegwart Andreas</v>
      </c>
      <c r="E200" t="str">
        <v>Hombre</v>
      </c>
      <c r="F200">
        <v>42</v>
      </c>
      <c r="G200">
        <v>0</v>
      </c>
      <c r="H200">
        <v>1</v>
      </c>
      <c r="I200">
        <v>84042</v>
      </c>
      <c r="J200">
        <v>0</v>
      </c>
      <c r="K200" t="str">
        <v>Southampton</v>
      </c>
    </row>
    <row r="201" spans="2:11" x14ac:dyDescent="0.2">
      <c r="B201">
        <v>1</v>
      </c>
      <c r="C201">
        <v>3</v>
      </c>
      <c r="D201" t="str">
        <v>Madigan, Miss. Margaret "Maggie"</v>
      </c>
      <c r="E201" t="str">
        <v>Mujer</v>
      </c>
      <c r="F201">
        <v>0</v>
      </c>
      <c r="G201">
        <v>0</v>
      </c>
      <c r="H201">
        <v>0</v>
      </c>
      <c r="I201">
        <v>775</v>
      </c>
      <c r="J201">
        <v>0</v>
      </c>
      <c r="K201" t="str">
        <v>Queenstown</v>
      </c>
    </row>
    <row r="202" spans="2:11" x14ac:dyDescent="0.2">
      <c r="B202">
        <v>0</v>
      </c>
      <c r="C202">
        <v>2</v>
      </c>
      <c r="D202" t="str">
        <v>Yrois, Miss. Henriette ("Mrs Harbeck")</v>
      </c>
      <c r="E202" t="str">
        <v>Mujer</v>
      </c>
      <c r="F202">
        <v>24</v>
      </c>
      <c r="G202">
        <v>0</v>
      </c>
      <c r="H202">
        <v>0</v>
      </c>
      <c r="I202">
        <v>13</v>
      </c>
      <c r="J202">
        <v>0</v>
      </c>
      <c r="K202" t="str">
        <v>Southampton</v>
      </c>
    </row>
    <row r="203" spans="2:11" x14ac:dyDescent="0.2">
      <c r="B203">
        <v>0</v>
      </c>
      <c r="C203">
        <v>3</v>
      </c>
      <c r="D203" t="str">
        <v>Vande Walle, Mr. Nestor Cyriel</v>
      </c>
      <c r="E203" t="str">
        <v>Hombre</v>
      </c>
      <c r="F203">
        <v>28</v>
      </c>
      <c r="G203">
        <v>0</v>
      </c>
      <c r="H203">
        <v>0</v>
      </c>
      <c r="I203">
        <v>95</v>
      </c>
      <c r="J203">
        <v>0</v>
      </c>
      <c r="K203" t="str">
        <v>Southampton</v>
      </c>
    </row>
    <row r="204" spans="2:11" x14ac:dyDescent="0.2">
      <c r="B204">
        <v>0</v>
      </c>
      <c r="C204">
        <v>3</v>
      </c>
      <c r="D204" t="str">
        <v>Sage, Mr. Frederick</v>
      </c>
      <c r="E204" t="str">
        <v>Hombre</v>
      </c>
      <c r="F204">
        <v>0</v>
      </c>
      <c r="G204">
        <v>8</v>
      </c>
      <c r="H204">
        <v>2</v>
      </c>
      <c r="I204">
        <v>6955</v>
      </c>
      <c r="J204">
        <v>0</v>
      </c>
      <c r="K204" t="str">
        <v>Southampton</v>
      </c>
    </row>
    <row r="205" spans="2:11" x14ac:dyDescent="0.2">
      <c r="B205">
        <v>0</v>
      </c>
      <c r="C205">
        <v>3</v>
      </c>
      <c r="D205" t="str">
        <v>Johanson, Mr. Jakob Alfred</v>
      </c>
      <c r="E205" t="str">
        <v>Hombre</v>
      </c>
      <c r="F205">
        <v>34</v>
      </c>
      <c r="G205">
        <v>0</v>
      </c>
      <c r="H205">
        <v>0</v>
      </c>
      <c r="I205">
        <v>64958</v>
      </c>
      <c r="J205">
        <v>0</v>
      </c>
      <c r="K205" t="str">
        <v>Southampton</v>
      </c>
    </row>
    <row r="206" spans="2:11" x14ac:dyDescent="0.2">
      <c r="B206">
        <v>0</v>
      </c>
      <c r="C206">
        <v>3</v>
      </c>
      <c r="D206" t="str">
        <v>Youseff, Mr. Gerious</v>
      </c>
      <c r="E206" t="str">
        <v>Hombre</v>
      </c>
      <c r="F206">
        <v>455</v>
      </c>
      <c r="G206">
        <v>0</v>
      </c>
      <c r="H206">
        <v>0</v>
      </c>
      <c r="I206">
        <v>7225</v>
      </c>
      <c r="J206">
        <v>0</v>
      </c>
      <c r="K206" t="str">
        <v>Cherburg</v>
      </c>
    </row>
    <row r="207" spans="2:11" x14ac:dyDescent="0.2">
      <c r="B207">
        <v>1</v>
      </c>
      <c r="C207">
        <v>3</v>
      </c>
      <c r="D207" t="str">
        <v>Cohen, Mr. Gurshon "Gus"</v>
      </c>
      <c r="E207" t="str">
        <v>Hombre</v>
      </c>
      <c r="F207">
        <v>18</v>
      </c>
      <c r="G207">
        <v>0</v>
      </c>
      <c r="H207">
        <v>0</v>
      </c>
      <c r="I207">
        <v>805</v>
      </c>
      <c r="J207">
        <v>0</v>
      </c>
      <c r="K207" t="str">
        <v>Southampton</v>
      </c>
    </row>
    <row r="208" spans="2:11" x14ac:dyDescent="0.2">
      <c r="B208">
        <v>0</v>
      </c>
      <c r="C208">
        <v>3</v>
      </c>
      <c r="D208" t="str">
        <v>Strom, Miss. Telma Matilda</v>
      </c>
      <c r="E208" t="str">
        <v>Mujer</v>
      </c>
      <c r="F208">
        <v>2</v>
      </c>
      <c r="G208">
        <v>0</v>
      </c>
      <c r="H208">
        <v>1</v>
      </c>
      <c r="I208">
        <v>104625</v>
      </c>
      <c r="J208">
        <v>1</v>
      </c>
      <c r="K208" t="str">
        <v>Southampton</v>
      </c>
    </row>
    <row r="209" spans="2:11" x14ac:dyDescent="0.2">
      <c r="B209">
        <v>0</v>
      </c>
      <c r="C209">
        <v>3</v>
      </c>
      <c r="D209" t="str">
        <v>Backstrom, Mr. Karl Alfred</v>
      </c>
      <c r="E209" t="str">
        <v>Hombre</v>
      </c>
      <c r="F209">
        <v>32</v>
      </c>
      <c r="G209">
        <v>1</v>
      </c>
      <c r="H209">
        <v>0</v>
      </c>
      <c r="I209">
        <v>1585</v>
      </c>
      <c r="J209">
        <v>0</v>
      </c>
      <c r="K209" t="str">
        <v>Southampton</v>
      </c>
    </row>
    <row r="210" spans="2:11" x14ac:dyDescent="0.2">
      <c r="B210">
        <v>1</v>
      </c>
      <c r="C210">
        <v>3</v>
      </c>
      <c r="D210" t="str">
        <v>Albimona, Mr. Nassef Cassem</v>
      </c>
      <c r="E210" t="str">
        <v>Hombre</v>
      </c>
      <c r="F210">
        <v>26</v>
      </c>
      <c r="G210">
        <v>0</v>
      </c>
      <c r="H210">
        <v>0</v>
      </c>
      <c r="I210">
        <v>187875</v>
      </c>
      <c r="J210">
        <v>0</v>
      </c>
      <c r="K210" t="str">
        <v>Cherburg</v>
      </c>
    </row>
    <row r="211" spans="2:11" x14ac:dyDescent="0.2">
      <c r="B211">
        <v>1</v>
      </c>
      <c r="C211">
        <v>3</v>
      </c>
      <c r="D211" t="str">
        <v>Carr, Miss. Helen "Ellen"</v>
      </c>
      <c r="E211" t="str">
        <v>Mujer</v>
      </c>
      <c r="F211">
        <v>16</v>
      </c>
      <c r="G211">
        <v>0</v>
      </c>
      <c r="H211">
        <v>0</v>
      </c>
      <c r="I211">
        <v>775</v>
      </c>
      <c r="J211">
        <v>0</v>
      </c>
      <c r="K211" t="str">
        <v>Queenstown</v>
      </c>
    </row>
    <row r="212" spans="2:11" x14ac:dyDescent="0.2">
      <c r="B212">
        <v>1</v>
      </c>
      <c r="C212">
        <v>1</v>
      </c>
      <c r="D212" t="str">
        <v>Blank, Mr. Henry</v>
      </c>
      <c r="E212" t="str">
        <v>Hombre</v>
      </c>
      <c r="F212">
        <v>40</v>
      </c>
      <c r="G212">
        <v>0</v>
      </c>
      <c r="H212">
        <v>0</v>
      </c>
      <c r="I212">
        <v>31</v>
      </c>
      <c r="J212">
        <v>1</v>
      </c>
      <c r="K212" t="str">
        <v>Cherburg</v>
      </c>
    </row>
    <row r="213" spans="2:11" x14ac:dyDescent="0.2">
      <c r="B213">
        <v>0</v>
      </c>
      <c r="C213">
        <v>3</v>
      </c>
      <c r="D213" t="str">
        <v>Ali, Mr. Ahmed</v>
      </c>
      <c r="E213" t="str">
        <v>Hombre</v>
      </c>
      <c r="F213">
        <v>24</v>
      </c>
      <c r="G213">
        <v>0</v>
      </c>
      <c r="H213">
        <v>0</v>
      </c>
      <c r="I213">
        <v>705</v>
      </c>
      <c r="J213">
        <v>0</v>
      </c>
      <c r="K213" t="str">
        <v>Southampton</v>
      </c>
    </row>
    <row r="214" spans="2:11" x14ac:dyDescent="0.2">
      <c r="B214">
        <v>1</v>
      </c>
      <c r="C214">
        <v>2</v>
      </c>
      <c r="D214" t="str">
        <v>Cameron, Miss. Clear Annie</v>
      </c>
      <c r="E214" t="str">
        <v>Mujer</v>
      </c>
      <c r="F214">
        <v>35</v>
      </c>
      <c r="G214">
        <v>0</v>
      </c>
      <c r="H214">
        <v>0</v>
      </c>
      <c r="I214">
        <v>21</v>
      </c>
      <c r="J214">
        <v>0</v>
      </c>
      <c r="K214" t="str">
        <v>Southampton</v>
      </c>
    </row>
    <row r="215" spans="2:11" x14ac:dyDescent="0.2">
      <c r="B215">
        <v>0</v>
      </c>
      <c r="C215">
        <v>3</v>
      </c>
      <c r="D215" t="str">
        <v>Perkin, Mr. John Henry</v>
      </c>
      <c r="E215" t="str">
        <v>Hombre</v>
      </c>
      <c r="F215">
        <v>22</v>
      </c>
      <c r="G215">
        <v>0</v>
      </c>
      <c r="H215">
        <v>0</v>
      </c>
      <c r="I215">
        <v>725</v>
      </c>
      <c r="J215">
        <v>0</v>
      </c>
      <c r="K215" t="str">
        <v>Southampton</v>
      </c>
    </row>
    <row r="216" spans="2:11" x14ac:dyDescent="0.2">
      <c r="B216">
        <v>0</v>
      </c>
      <c r="C216">
        <v>2</v>
      </c>
      <c r="D216" t="str">
        <v>Givard, Mr. Hans Kristensen</v>
      </c>
      <c r="E216" t="str">
        <v>Hombre</v>
      </c>
      <c r="F216">
        <v>30</v>
      </c>
      <c r="G216">
        <v>0</v>
      </c>
      <c r="H216">
        <v>0</v>
      </c>
      <c r="I216">
        <v>13</v>
      </c>
      <c r="J216">
        <v>0</v>
      </c>
      <c r="K216" t="str">
        <v>Southampton</v>
      </c>
    </row>
    <row r="217" spans="2:11" x14ac:dyDescent="0.2">
      <c r="B217">
        <v>0</v>
      </c>
      <c r="C217">
        <v>3</v>
      </c>
      <c r="D217" t="str">
        <v>Kiernan, Mr. Philip</v>
      </c>
      <c r="E217" t="str">
        <v>Hombre</v>
      </c>
      <c r="F217">
        <v>0</v>
      </c>
      <c r="G217">
        <v>1</v>
      </c>
      <c r="H217">
        <v>0</v>
      </c>
      <c r="I217">
        <v>775</v>
      </c>
      <c r="J217">
        <v>0</v>
      </c>
      <c r="K217" t="str">
        <v>Queenstown</v>
      </c>
    </row>
    <row r="218" spans="2:11" x14ac:dyDescent="0.2">
      <c r="B218">
        <v>1</v>
      </c>
      <c r="C218">
        <v>1</v>
      </c>
      <c r="D218" t="str">
        <v>Newell, Miss. Madeleine</v>
      </c>
      <c r="E218" t="str">
        <v>Mujer</v>
      </c>
      <c r="F218">
        <v>31</v>
      </c>
      <c r="G218">
        <v>1</v>
      </c>
      <c r="H218">
        <v>0</v>
      </c>
      <c r="I218">
        <v>113275</v>
      </c>
      <c r="J218">
        <v>1</v>
      </c>
      <c r="K218" t="str">
        <v>Cherburg</v>
      </c>
    </row>
    <row r="219" spans="2:11" x14ac:dyDescent="0.2">
      <c r="B219">
        <v>1</v>
      </c>
      <c r="C219">
        <v>3</v>
      </c>
      <c r="D219" t="str">
        <v>Honkanen, Miss. Eliina</v>
      </c>
      <c r="E219" t="str">
        <v>Mujer</v>
      </c>
      <c r="F219">
        <v>27</v>
      </c>
      <c r="G219">
        <v>0</v>
      </c>
      <c r="H219">
        <v>0</v>
      </c>
      <c r="I219">
        <v>7925</v>
      </c>
      <c r="J219">
        <v>0</v>
      </c>
      <c r="K219" t="str">
        <v>Southampton</v>
      </c>
    </row>
    <row r="220" spans="2:11" x14ac:dyDescent="0.2">
      <c r="B220">
        <v>0</v>
      </c>
      <c r="C220">
        <v>2</v>
      </c>
      <c r="D220" t="str">
        <v>Jacobsohn, Mr. Sidney Samuel</v>
      </c>
      <c r="E220" t="str">
        <v>Hombre</v>
      </c>
      <c r="F220">
        <v>42</v>
      </c>
      <c r="G220">
        <v>1</v>
      </c>
      <c r="H220">
        <v>0</v>
      </c>
      <c r="I220">
        <v>27</v>
      </c>
      <c r="J220">
        <v>0</v>
      </c>
      <c r="K220" t="str">
        <v>Southampton</v>
      </c>
    </row>
    <row r="221" spans="2:11" x14ac:dyDescent="0.2">
      <c r="B221">
        <v>1</v>
      </c>
      <c r="C221">
        <v>1</v>
      </c>
      <c r="D221" t="str">
        <v>Bazzani, Miss. Albina</v>
      </c>
      <c r="E221" t="str">
        <v>Mujer</v>
      </c>
      <c r="F221">
        <v>32</v>
      </c>
      <c r="G221">
        <v>0</v>
      </c>
      <c r="H221">
        <v>0</v>
      </c>
      <c r="I221">
        <v>762917</v>
      </c>
      <c r="J221">
        <v>1</v>
      </c>
      <c r="K221" t="str">
        <v>Cherburg</v>
      </c>
    </row>
    <row r="222" spans="2:11" x14ac:dyDescent="0.2">
      <c r="B222">
        <v>0</v>
      </c>
      <c r="C222">
        <v>2</v>
      </c>
      <c r="D222" t="str">
        <v>Harris, Mr. Walter</v>
      </c>
      <c r="E222" t="str">
        <v>Hombre</v>
      </c>
      <c r="F222">
        <v>30</v>
      </c>
      <c r="G222">
        <v>0</v>
      </c>
      <c r="H222">
        <v>0</v>
      </c>
      <c r="I222">
        <v>105</v>
      </c>
      <c r="J222">
        <v>0</v>
      </c>
      <c r="K222" t="str">
        <v>Southampton</v>
      </c>
    </row>
    <row r="223" spans="2:11" x14ac:dyDescent="0.2">
      <c r="B223">
        <v>1</v>
      </c>
      <c r="C223">
        <v>3</v>
      </c>
      <c r="D223" t="str">
        <v>Sunderland, Mr. Victor Francis</v>
      </c>
      <c r="E223" t="str">
        <v>Hombre</v>
      </c>
      <c r="F223">
        <v>16</v>
      </c>
      <c r="G223">
        <v>0</v>
      </c>
      <c r="H223">
        <v>0</v>
      </c>
      <c r="I223">
        <v>805</v>
      </c>
      <c r="J223">
        <v>0</v>
      </c>
      <c r="K223" t="str">
        <v>Southampton</v>
      </c>
    </row>
    <row r="224" spans="2:11" x14ac:dyDescent="0.2">
      <c r="B224">
        <v>0</v>
      </c>
      <c r="C224">
        <v>2</v>
      </c>
      <c r="D224" t="str">
        <v>Bracken, Mr. James H</v>
      </c>
      <c r="E224" t="str">
        <v>Hombre</v>
      </c>
      <c r="F224">
        <v>27</v>
      </c>
      <c r="G224">
        <v>0</v>
      </c>
      <c r="H224">
        <v>0</v>
      </c>
      <c r="I224">
        <v>13</v>
      </c>
      <c r="J224">
        <v>0</v>
      </c>
      <c r="K224" t="str">
        <v>Southampton</v>
      </c>
    </row>
    <row r="225" spans="2:11" x14ac:dyDescent="0.2">
      <c r="B225">
        <v>0</v>
      </c>
      <c r="C225">
        <v>3</v>
      </c>
      <c r="D225" t="str">
        <v>Green, Mr. George Henry</v>
      </c>
      <c r="E225" t="str">
        <v>Hombre</v>
      </c>
      <c r="F225">
        <v>51</v>
      </c>
      <c r="G225">
        <v>0</v>
      </c>
      <c r="H225">
        <v>0</v>
      </c>
      <c r="I225">
        <v>805</v>
      </c>
      <c r="J225">
        <v>0</v>
      </c>
      <c r="K225" t="str">
        <v>Southampton</v>
      </c>
    </row>
    <row r="226" spans="2:11" x14ac:dyDescent="0.2">
      <c r="B226">
        <v>0</v>
      </c>
      <c r="C226">
        <v>3</v>
      </c>
      <c r="D226" t="str">
        <v>Nenkoff, Mr. Christo</v>
      </c>
      <c r="E226" t="str">
        <v>Hombre</v>
      </c>
      <c r="F226">
        <v>0</v>
      </c>
      <c r="G226">
        <v>0</v>
      </c>
      <c r="H226">
        <v>0</v>
      </c>
      <c r="I226">
        <v>78958</v>
      </c>
      <c r="J226">
        <v>0</v>
      </c>
      <c r="K226" t="str">
        <v>Southampton</v>
      </c>
    </row>
    <row r="227" spans="2:11" x14ac:dyDescent="0.2">
      <c r="B227">
        <v>1</v>
      </c>
      <c r="C227">
        <v>1</v>
      </c>
      <c r="D227" t="str">
        <v>Hoyt, Mr. Frederick Maxfield</v>
      </c>
      <c r="E227" t="str">
        <v>Hombre</v>
      </c>
      <c r="F227">
        <v>38</v>
      </c>
      <c r="G227">
        <v>1</v>
      </c>
      <c r="H227">
        <v>0</v>
      </c>
      <c r="I227">
        <v>90</v>
      </c>
      <c r="J227">
        <v>1</v>
      </c>
      <c r="K227" t="str">
        <v>Southampton</v>
      </c>
    </row>
    <row r="228" spans="2:11" x14ac:dyDescent="0.2">
      <c r="B228">
        <v>0</v>
      </c>
      <c r="C228">
        <v>3</v>
      </c>
      <c r="D228" t="str">
        <v>Berglund, Mr. Karl Ivar Sven</v>
      </c>
      <c r="E228" t="str">
        <v>Hombre</v>
      </c>
      <c r="F228">
        <v>22</v>
      </c>
      <c r="G228">
        <v>0</v>
      </c>
      <c r="H228">
        <v>0</v>
      </c>
      <c r="I228">
        <v>935</v>
      </c>
      <c r="J228">
        <v>0</v>
      </c>
      <c r="K228" t="str">
        <v>Southampton</v>
      </c>
    </row>
    <row r="229" spans="2:11" x14ac:dyDescent="0.2">
      <c r="B229">
        <v>1</v>
      </c>
      <c r="C229">
        <v>2</v>
      </c>
      <c r="D229" t="str">
        <v>Mellors, Mr. William John</v>
      </c>
      <c r="E229" t="str">
        <v>Hombre</v>
      </c>
      <c r="F229">
        <v>19</v>
      </c>
      <c r="G229">
        <v>0</v>
      </c>
      <c r="H229">
        <v>0</v>
      </c>
      <c r="I229">
        <v>105</v>
      </c>
      <c r="J229">
        <v>0</v>
      </c>
      <c r="K229" t="str">
        <v>Southampton</v>
      </c>
    </row>
    <row r="230" spans="2:11" x14ac:dyDescent="0.2">
      <c r="B230">
        <v>0</v>
      </c>
      <c r="C230">
        <v>3</v>
      </c>
      <c r="D230" t="str">
        <v>Lovell, Mr. John Hall ("Henry")</v>
      </c>
      <c r="E230" t="str">
        <v>Hombre</v>
      </c>
      <c r="F230">
        <v>205</v>
      </c>
      <c r="G230">
        <v>0</v>
      </c>
      <c r="H230">
        <v>0</v>
      </c>
      <c r="I230">
        <v>725</v>
      </c>
      <c r="J230">
        <v>0</v>
      </c>
      <c r="K230" t="str">
        <v>Southampton</v>
      </c>
    </row>
    <row r="231" spans="2:11" x14ac:dyDescent="0.2">
      <c r="B231">
        <v>0</v>
      </c>
      <c r="C231">
        <v>2</v>
      </c>
      <c r="D231" t="str">
        <v>Fahlstrom, Mr. Arne Jonas</v>
      </c>
      <c r="E231" t="str">
        <v>Hombre</v>
      </c>
      <c r="F231">
        <v>18</v>
      </c>
      <c r="G231">
        <v>0</v>
      </c>
      <c r="H231">
        <v>0</v>
      </c>
      <c r="I231">
        <v>13</v>
      </c>
      <c r="J231">
        <v>0</v>
      </c>
      <c r="K231" t="str">
        <v>Southampton</v>
      </c>
    </row>
    <row r="232" spans="2:11" x14ac:dyDescent="0.2">
      <c r="B232">
        <v>0</v>
      </c>
      <c r="C232">
        <v>3</v>
      </c>
      <c r="D232" t="str">
        <v>Lefebre, Miss. Mathilde</v>
      </c>
      <c r="E232" t="str">
        <v>Mujer</v>
      </c>
      <c r="F232">
        <v>0</v>
      </c>
      <c r="G232">
        <v>3</v>
      </c>
      <c r="H232">
        <v>1</v>
      </c>
      <c r="I232">
        <v>254667</v>
      </c>
      <c r="J232">
        <v>0</v>
      </c>
      <c r="K232" t="str">
        <v>Southampton</v>
      </c>
    </row>
    <row r="233" spans="2:11" x14ac:dyDescent="0.2">
      <c r="B233">
        <v>1</v>
      </c>
      <c r="C233">
        <v>1</v>
      </c>
      <c r="D233" t="str">
        <v>Harris, Mrs. Henry Birkhardt (Irene Wallach)</v>
      </c>
      <c r="E233" t="str">
        <v>Mujer</v>
      </c>
      <c r="F233">
        <v>35</v>
      </c>
      <c r="G233">
        <v>1</v>
      </c>
      <c r="H233">
        <v>0</v>
      </c>
      <c r="I233">
        <v>83475</v>
      </c>
      <c r="J233">
        <v>1</v>
      </c>
      <c r="K233" t="str">
        <v>Southampton</v>
      </c>
    </row>
    <row r="234" spans="2:11" x14ac:dyDescent="0.2">
      <c r="B234">
        <v>0</v>
      </c>
      <c r="C234">
        <v>3</v>
      </c>
      <c r="D234" t="str">
        <v>Larsson, Mr. Bengt Edvin</v>
      </c>
      <c r="E234" t="str">
        <v>Hombre</v>
      </c>
      <c r="F234">
        <v>29</v>
      </c>
      <c r="G234">
        <v>0</v>
      </c>
      <c r="H234">
        <v>0</v>
      </c>
      <c r="I234">
        <v>7775</v>
      </c>
      <c r="J234">
        <v>0</v>
      </c>
      <c r="K234" t="str">
        <v>Southampton</v>
      </c>
    </row>
    <row r="235" spans="2:11" x14ac:dyDescent="0.2">
      <c r="B235">
        <v>0</v>
      </c>
      <c r="C235">
        <v>2</v>
      </c>
      <c r="D235" t="str">
        <v>Sjostedt, Mr. Ernst Adolf</v>
      </c>
      <c r="E235" t="str">
        <v>Hombre</v>
      </c>
      <c r="F235">
        <v>59</v>
      </c>
      <c r="G235">
        <v>0</v>
      </c>
      <c r="H235">
        <v>0</v>
      </c>
      <c r="I235">
        <v>135</v>
      </c>
      <c r="J235">
        <v>0</v>
      </c>
      <c r="K235" t="str">
        <v>Southampton</v>
      </c>
    </row>
    <row r="236" spans="2:11" x14ac:dyDescent="0.2">
      <c r="B236">
        <v>1</v>
      </c>
      <c r="C236">
        <v>3</v>
      </c>
      <c r="D236" t="str">
        <v>Asplund, Miss. Lillian Gertrud</v>
      </c>
      <c r="E236" t="str">
        <v>Mujer</v>
      </c>
      <c r="F236">
        <v>5</v>
      </c>
      <c r="G236">
        <v>4</v>
      </c>
      <c r="H236">
        <v>2</v>
      </c>
      <c r="I236">
        <v>313875</v>
      </c>
      <c r="J236">
        <v>0</v>
      </c>
      <c r="K236" t="str">
        <v>Southampton</v>
      </c>
    </row>
    <row r="237" spans="2:11" x14ac:dyDescent="0.2">
      <c r="B237">
        <v>0</v>
      </c>
      <c r="C237">
        <v>2</v>
      </c>
      <c r="D237" t="str">
        <v>Leyson, Mr. Robert William Norman</v>
      </c>
      <c r="E237" t="str">
        <v>Hombre</v>
      </c>
      <c r="F237">
        <v>24</v>
      </c>
      <c r="G237">
        <v>0</v>
      </c>
      <c r="H237">
        <v>0</v>
      </c>
      <c r="I237">
        <v>105</v>
      </c>
      <c r="J237">
        <v>0</v>
      </c>
      <c r="K237" t="str">
        <v>Southampton</v>
      </c>
    </row>
    <row r="238" spans="2:11" x14ac:dyDescent="0.2">
      <c r="B238">
        <v>0</v>
      </c>
      <c r="C238">
        <v>3</v>
      </c>
      <c r="D238" t="str">
        <v>Harknett, Miss. Alice Phoebe</v>
      </c>
      <c r="E238" t="str">
        <v>Mujer</v>
      </c>
      <c r="F238">
        <v>0</v>
      </c>
      <c r="G238">
        <v>0</v>
      </c>
      <c r="H238">
        <v>0</v>
      </c>
      <c r="I238">
        <v>755</v>
      </c>
      <c r="J238">
        <v>0</v>
      </c>
      <c r="K238" t="str">
        <v>Southampton</v>
      </c>
    </row>
    <row r="239" spans="2:11" x14ac:dyDescent="0.2">
      <c r="B239">
        <v>0</v>
      </c>
      <c r="C239">
        <v>2</v>
      </c>
      <c r="D239" t="str">
        <v>Hold, Mr. Stephen</v>
      </c>
      <c r="E239" t="str">
        <v>Hombre</v>
      </c>
      <c r="F239">
        <v>44</v>
      </c>
      <c r="G239">
        <v>1</v>
      </c>
      <c r="H239">
        <v>0</v>
      </c>
      <c r="I239">
        <v>26</v>
      </c>
      <c r="J239">
        <v>0</v>
      </c>
      <c r="K239" t="str">
        <v>Southampton</v>
      </c>
    </row>
    <row r="240" spans="2:11" x14ac:dyDescent="0.2">
      <c r="B240">
        <v>1</v>
      </c>
      <c r="C240">
        <v>2</v>
      </c>
      <c r="D240" t="str">
        <v>Collyer, Miss. Marjorie "Lottie"</v>
      </c>
      <c r="E240" t="str">
        <v>Mujer</v>
      </c>
      <c r="F240">
        <v>8</v>
      </c>
      <c r="G240">
        <v>0</v>
      </c>
      <c r="H240">
        <v>2</v>
      </c>
      <c r="I240">
        <v>2625</v>
      </c>
      <c r="J240">
        <v>0</v>
      </c>
      <c r="K240" t="str">
        <v>Southampton</v>
      </c>
    </row>
    <row r="241" spans="2:11" x14ac:dyDescent="0.2">
      <c r="B241">
        <v>0</v>
      </c>
      <c r="C241">
        <v>2</v>
      </c>
      <c r="D241" t="str">
        <v>Pengelly, Mr. Frederick William</v>
      </c>
      <c r="E241" t="str">
        <v>Hombre</v>
      </c>
      <c r="F241">
        <v>19</v>
      </c>
      <c r="G241">
        <v>0</v>
      </c>
      <c r="H241">
        <v>0</v>
      </c>
      <c r="I241">
        <v>105</v>
      </c>
      <c r="J241">
        <v>0</v>
      </c>
      <c r="K241" t="str">
        <v>Southampton</v>
      </c>
    </row>
    <row r="242" spans="2:11" x14ac:dyDescent="0.2">
      <c r="B242">
        <v>0</v>
      </c>
      <c r="C242">
        <v>2</v>
      </c>
      <c r="D242" t="str">
        <v>Hunt, Mr. George Henry</v>
      </c>
      <c r="E242" t="str">
        <v>Hombre</v>
      </c>
      <c r="F242">
        <v>33</v>
      </c>
      <c r="G242">
        <v>0</v>
      </c>
      <c r="H242">
        <v>0</v>
      </c>
      <c r="I242">
        <v>12275</v>
      </c>
      <c r="J242">
        <v>0</v>
      </c>
      <c r="K242" t="str">
        <v>Southampton</v>
      </c>
    </row>
    <row r="243" spans="2:11" x14ac:dyDescent="0.2">
      <c r="B243">
        <v>0</v>
      </c>
      <c r="C243">
        <v>3</v>
      </c>
      <c r="D243" t="str">
        <v>Zabour, Miss. Thamine</v>
      </c>
      <c r="E243" t="str">
        <v>Mujer</v>
      </c>
      <c r="F243">
        <v>0</v>
      </c>
      <c r="G243">
        <v>1</v>
      </c>
      <c r="H243">
        <v>0</v>
      </c>
      <c r="I243">
        <v>144542</v>
      </c>
      <c r="J243">
        <v>0</v>
      </c>
      <c r="K243" t="str">
        <v>Cherburg</v>
      </c>
    </row>
    <row r="244" spans="2:11" x14ac:dyDescent="0.2">
      <c r="B244">
        <v>1</v>
      </c>
      <c r="C244">
        <v>3</v>
      </c>
      <c r="D244" t="str">
        <v>Murphy, Miss. Katherine "Kate"</v>
      </c>
      <c r="E244" t="str">
        <v>Mujer</v>
      </c>
      <c r="F244">
        <v>0</v>
      </c>
      <c r="G244">
        <v>1</v>
      </c>
      <c r="H244">
        <v>0</v>
      </c>
      <c r="I244">
        <v>155</v>
      </c>
      <c r="J244">
        <v>0</v>
      </c>
      <c r="K244" t="str">
        <v>Queenstown</v>
      </c>
    </row>
    <row r="245" spans="2:11" x14ac:dyDescent="0.2">
      <c r="B245">
        <v>0</v>
      </c>
      <c r="C245">
        <v>2</v>
      </c>
      <c r="D245" t="str">
        <v>Coleridge, Mr. Reginald Charles</v>
      </c>
      <c r="E245" t="str">
        <v>Hombre</v>
      </c>
      <c r="F245">
        <v>29</v>
      </c>
      <c r="G245">
        <v>0</v>
      </c>
      <c r="H245">
        <v>0</v>
      </c>
      <c r="I245">
        <v>105</v>
      </c>
      <c r="J245">
        <v>0</v>
      </c>
      <c r="K245" t="str">
        <v>Southampton</v>
      </c>
    </row>
    <row r="246" spans="2:11" x14ac:dyDescent="0.2">
      <c r="B246">
        <v>0</v>
      </c>
      <c r="C246">
        <v>3</v>
      </c>
      <c r="D246" t="str">
        <v>Maenpaa, Mr. Matti Alexanteri</v>
      </c>
      <c r="E246" t="str">
        <v>Hombre</v>
      </c>
      <c r="F246">
        <v>22</v>
      </c>
      <c r="G246">
        <v>0</v>
      </c>
      <c r="H246">
        <v>0</v>
      </c>
      <c r="I246">
        <v>7125</v>
      </c>
      <c r="J246">
        <v>0</v>
      </c>
      <c r="K246" t="str">
        <v>Southampton</v>
      </c>
    </row>
    <row r="247" spans="2:11" x14ac:dyDescent="0.2">
      <c r="B247">
        <v>0</v>
      </c>
      <c r="C247">
        <v>3</v>
      </c>
      <c r="D247" t="str">
        <v>Attalah, Mr. Sleiman</v>
      </c>
      <c r="E247" t="str">
        <v>Hombre</v>
      </c>
      <c r="F247">
        <v>30</v>
      </c>
      <c r="G247">
        <v>0</v>
      </c>
      <c r="H247">
        <v>0</v>
      </c>
      <c r="I247">
        <v>7225</v>
      </c>
      <c r="J247">
        <v>0</v>
      </c>
      <c r="K247" t="str">
        <v>Cherburg</v>
      </c>
    </row>
    <row r="248" spans="2:11" x14ac:dyDescent="0.2">
      <c r="B248">
        <v>0</v>
      </c>
      <c r="C248">
        <v>1</v>
      </c>
      <c r="D248" t="str">
        <v>Minahan, Dr. William Edward</v>
      </c>
      <c r="E248" t="str">
        <v>Hombre</v>
      </c>
      <c r="F248">
        <v>44</v>
      </c>
      <c r="G248">
        <v>2</v>
      </c>
      <c r="H248">
        <v>0</v>
      </c>
      <c r="I248">
        <v>90</v>
      </c>
      <c r="J248">
        <v>1</v>
      </c>
      <c r="K248" t="str">
        <v>Queenstown</v>
      </c>
    </row>
    <row r="249" spans="2:11" x14ac:dyDescent="0.2">
      <c r="B249">
        <v>0</v>
      </c>
      <c r="C249">
        <v>3</v>
      </c>
      <c r="D249" t="str">
        <v>Lindahl, Miss. Agda Thorilda Viktoria</v>
      </c>
      <c r="E249" t="str">
        <v>Mujer</v>
      </c>
      <c r="F249">
        <v>25</v>
      </c>
      <c r="G249">
        <v>0</v>
      </c>
      <c r="H249">
        <v>0</v>
      </c>
      <c r="I249">
        <v>7775</v>
      </c>
      <c r="J249">
        <v>0</v>
      </c>
      <c r="K249" t="str">
        <v>Southampton</v>
      </c>
    </row>
    <row r="250" spans="2:11" x14ac:dyDescent="0.2">
      <c r="B250">
        <v>1</v>
      </c>
      <c r="C250">
        <v>2</v>
      </c>
      <c r="D250" t="str">
        <v>Hamalainen, Mrs. William (Anna)</v>
      </c>
      <c r="E250" t="str">
        <v>Mujer</v>
      </c>
      <c r="F250">
        <v>24</v>
      </c>
      <c r="G250">
        <v>0</v>
      </c>
      <c r="H250">
        <v>2</v>
      </c>
      <c r="I250">
        <v>145</v>
      </c>
      <c r="J250">
        <v>0</v>
      </c>
      <c r="K250" t="str">
        <v>Southampton</v>
      </c>
    </row>
    <row r="251" spans="2:11" x14ac:dyDescent="0.2">
      <c r="B251">
        <v>1</v>
      </c>
      <c r="C251">
        <v>1</v>
      </c>
      <c r="D251" t="str">
        <v>Beckwith, Mr. Richard Leonard</v>
      </c>
      <c r="E251" t="str">
        <v>Hombre</v>
      </c>
      <c r="F251">
        <v>37</v>
      </c>
      <c r="G251">
        <v>1</v>
      </c>
      <c r="H251">
        <v>1</v>
      </c>
      <c r="I251">
        <v>525542</v>
      </c>
      <c r="J251">
        <v>1</v>
      </c>
      <c r="K251" t="str">
        <v>Southampton</v>
      </c>
    </row>
    <row r="252" spans="2:11" x14ac:dyDescent="0.2">
      <c r="B252">
        <v>0</v>
      </c>
      <c r="C252">
        <v>2</v>
      </c>
      <c r="D252" t="str">
        <v>Carter, Rev. Ernest Courtenay</v>
      </c>
      <c r="E252" t="str">
        <v>Hombre</v>
      </c>
      <c r="F252">
        <v>54</v>
      </c>
      <c r="G252">
        <v>1</v>
      </c>
      <c r="H252">
        <v>0</v>
      </c>
      <c r="I252">
        <v>26</v>
      </c>
      <c r="J252">
        <v>0</v>
      </c>
      <c r="K252" t="str">
        <v>Southampton</v>
      </c>
    </row>
    <row r="253" spans="2:11" x14ac:dyDescent="0.2">
      <c r="B253">
        <v>0</v>
      </c>
      <c r="C253">
        <v>3</v>
      </c>
      <c r="D253" t="str">
        <v>Reed, Mr. James George</v>
      </c>
      <c r="E253" t="str">
        <v>Hombre</v>
      </c>
      <c r="F253">
        <v>0</v>
      </c>
      <c r="G253">
        <v>0</v>
      </c>
      <c r="H253">
        <v>0</v>
      </c>
      <c r="I253">
        <v>725</v>
      </c>
      <c r="J253">
        <v>0</v>
      </c>
      <c r="K253" t="str">
        <v>Southampton</v>
      </c>
    </row>
    <row r="254" spans="2:11" x14ac:dyDescent="0.2">
      <c r="B254">
        <v>0</v>
      </c>
      <c r="C254">
        <v>3</v>
      </c>
      <c r="D254" t="str">
        <v>Strom, Mrs. Wilhelm (Elna Matilda Persson)</v>
      </c>
      <c r="E254" t="str">
        <v>Mujer</v>
      </c>
      <c r="F254">
        <v>29</v>
      </c>
      <c r="G254">
        <v>1</v>
      </c>
      <c r="H254">
        <v>1</v>
      </c>
      <c r="I254">
        <v>104625</v>
      </c>
      <c r="J254">
        <v>1</v>
      </c>
      <c r="K254" t="str">
        <v>Southampton</v>
      </c>
    </row>
    <row r="255" spans="2:11" x14ac:dyDescent="0.2">
      <c r="B255">
        <v>0</v>
      </c>
      <c r="C255">
        <v>1</v>
      </c>
      <c r="D255" t="str">
        <v>Stead, Mr. William Thomas</v>
      </c>
      <c r="E255" t="str">
        <v>Hombre</v>
      </c>
      <c r="F255">
        <v>62</v>
      </c>
      <c r="G255">
        <v>0</v>
      </c>
      <c r="H255">
        <v>0</v>
      </c>
      <c r="I255">
        <v>2655</v>
      </c>
      <c r="J255">
        <v>1</v>
      </c>
      <c r="K255" t="str">
        <v>Southampton</v>
      </c>
    </row>
    <row r="256" spans="2:11" x14ac:dyDescent="0.2">
      <c r="B256">
        <v>0</v>
      </c>
      <c r="C256">
        <v>3</v>
      </c>
      <c r="D256" t="str">
        <v>Lobb, Mr. William Arthur</v>
      </c>
      <c r="E256" t="str">
        <v>Hombre</v>
      </c>
      <c r="F256">
        <v>30</v>
      </c>
      <c r="G256">
        <v>1</v>
      </c>
      <c r="H256">
        <v>0</v>
      </c>
      <c r="I256">
        <v>161</v>
      </c>
      <c r="J256">
        <v>0</v>
      </c>
      <c r="K256" t="str">
        <v>Southampton</v>
      </c>
    </row>
    <row r="257" spans="2:11" x14ac:dyDescent="0.2">
      <c r="B257">
        <v>0</v>
      </c>
      <c r="C257">
        <v>3</v>
      </c>
      <c r="D257" t="str">
        <v>Rosblom, Mrs. Viktor (Helena Wilhelmina)</v>
      </c>
      <c r="E257" t="str">
        <v>Mujer</v>
      </c>
      <c r="F257">
        <v>41</v>
      </c>
      <c r="G257">
        <v>0</v>
      </c>
      <c r="H257">
        <v>2</v>
      </c>
      <c r="I257">
        <v>202125</v>
      </c>
      <c r="J257">
        <v>0</v>
      </c>
      <c r="K257" t="str">
        <v>Southampton</v>
      </c>
    </row>
    <row r="258" spans="2:11" x14ac:dyDescent="0.2">
      <c r="B258">
        <v>1</v>
      </c>
      <c r="C258">
        <v>3</v>
      </c>
      <c r="D258" t="str">
        <v>Touma, Mrs. Darwis (Hanne Youssef Razi)</v>
      </c>
      <c r="E258" t="str">
        <v>Mujer</v>
      </c>
      <c r="F258">
        <v>29</v>
      </c>
      <c r="G258">
        <v>0</v>
      </c>
      <c r="H258">
        <v>2</v>
      </c>
      <c r="I258">
        <v>152458</v>
      </c>
      <c r="J258">
        <v>0</v>
      </c>
      <c r="K258" t="str">
        <v>Cherburg</v>
      </c>
    </row>
    <row r="259" spans="2:11" x14ac:dyDescent="0.2">
      <c r="B259">
        <v>1</v>
      </c>
      <c r="C259">
        <v>1</v>
      </c>
      <c r="D259" t="str">
        <v>Thorne, Mrs. Gertrude Maybelle</v>
      </c>
      <c r="E259" t="str">
        <v>Mujer</v>
      </c>
      <c r="F259">
        <v>0</v>
      </c>
      <c r="G259">
        <v>0</v>
      </c>
      <c r="H259">
        <v>0</v>
      </c>
      <c r="I259">
        <v>792</v>
      </c>
      <c r="J259">
        <v>0</v>
      </c>
      <c r="K259" t="str">
        <v>Cherburg</v>
      </c>
    </row>
    <row r="260" spans="2:11" x14ac:dyDescent="0.2">
      <c r="B260">
        <v>1</v>
      </c>
      <c r="C260">
        <v>1</v>
      </c>
      <c r="D260" t="str">
        <v>Cherry, Miss. Gladys</v>
      </c>
      <c r="E260" t="str">
        <v>Mujer</v>
      </c>
      <c r="F260">
        <v>30</v>
      </c>
      <c r="G260">
        <v>0</v>
      </c>
      <c r="H260">
        <v>0</v>
      </c>
      <c r="I260">
        <v>865</v>
      </c>
      <c r="J260">
        <v>1</v>
      </c>
      <c r="K260" t="str">
        <v>Southampton</v>
      </c>
    </row>
    <row r="261" spans="2:11" x14ac:dyDescent="0.2">
      <c r="B261">
        <v>1</v>
      </c>
      <c r="C261">
        <v>1</v>
      </c>
      <c r="D261" t="str">
        <v>Ward, Miss. Anna</v>
      </c>
      <c r="E261" t="str">
        <v>Mujer</v>
      </c>
      <c r="F261">
        <v>35</v>
      </c>
      <c r="G261">
        <v>0</v>
      </c>
      <c r="H261">
        <v>0</v>
      </c>
      <c r="I261">
        <v>5123292</v>
      </c>
      <c r="J261">
        <v>0</v>
      </c>
      <c r="K261" t="str">
        <v>Cherburg</v>
      </c>
    </row>
    <row r="262" spans="2:11" x14ac:dyDescent="0.2">
      <c r="B262">
        <v>1</v>
      </c>
      <c r="C262">
        <v>2</v>
      </c>
      <c r="D262" t="str">
        <v>Parrish, Mrs. (Lutie Davis)</v>
      </c>
      <c r="E262" t="str">
        <v>Mujer</v>
      </c>
      <c r="F262">
        <v>50</v>
      </c>
      <c r="G262">
        <v>0</v>
      </c>
      <c r="H262">
        <v>1</v>
      </c>
      <c r="I262">
        <v>26</v>
      </c>
      <c r="J262">
        <v>0</v>
      </c>
      <c r="K262" t="str">
        <v>Southampton</v>
      </c>
    </row>
    <row r="263" spans="2:11" x14ac:dyDescent="0.2">
      <c r="B263">
        <v>0</v>
      </c>
      <c r="C263">
        <v>3</v>
      </c>
      <c r="D263" t="str">
        <v>Smith, Mr. Thomas</v>
      </c>
      <c r="E263" t="str">
        <v>Hombre</v>
      </c>
      <c r="F263">
        <v>0</v>
      </c>
      <c r="G263">
        <v>0</v>
      </c>
      <c r="H263">
        <v>0</v>
      </c>
      <c r="I263">
        <v>775</v>
      </c>
      <c r="J263">
        <v>0</v>
      </c>
      <c r="K263" t="str">
        <v>Queenstown</v>
      </c>
    </row>
    <row r="264" spans="2:11" x14ac:dyDescent="0.2">
      <c r="B264">
        <v>1</v>
      </c>
      <c r="C264">
        <v>3</v>
      </c>
      <c r="D264" t="str">
        <v>Asplund, Master. Edvin Rojj Felix</v>
      </c>
      <c r="E264" t="str">
        <v>Hombre</v>
      </c>
      <c r="F264">
        <v>3</v>
      </c>
      <c r="G264">
        <v>4</v>
      </c>
      <c r="H264">
        <v>2</v>
      </c>
      <c r="I264">
        <v>313875</v>
      </c>
      <c r="J264">
        <v>0</v>
      </c>
      <c r="K264" t="str">
        <v>Southampton</v>
      </c>
    </row>
    <row r="265" spans="2:11" x14ac:dyDescent="0.2">
      <c r="B265">
        <v>0</v>
      </c>
      <c r="C265">
        <v>1</v>
      </c>
      <c r="D265" t="str">
        <v>Taussig, Mr. Emil</v>
      </c>
      <c r="E265" t="str">
        <v>Hombre</v>
      </c>
      <c r="F265">
        <v>52</v>
      </c>
      <c r="G265">
        <v>1</v>
      </c>
      <c r="H265">
        <v>1</v>
      </c>
      <c r="I265">
        <v>7965</v>
      </c>
      <c r="J265">
        <v>1</v>
      </c>
      <c r="K265" t="str">
        <v>Southampton</v>
      </c>
    </row>
    <row r="266" spans="2:11" x14ac:dyDescent="0.2">
      <c r="B266">
        <v>0</v>
      </c>
      <c r="C266">
        <v>1</v>
      </c>
      <c r="D266" t="str">
        <v>Harrison, Mr. William</v>
      </c>
      <c r="E266" t="str">
        <v>Hombre</v>
      </c>
      <c r="F266">
        <v>40</v>
      </c>
      <c r="G266">
        <v>0</v>
      </c>
      <c r="H266">
        <v>0</v>
      </c>
      <c r="I266">
        <v>0</v>
      </c>
      <c r="J266">
        <v>1</v>
      </c>
      <c r="K266" t="str">
        <v>Southampton</v>
      </c>
    </row>
    <row r="267" spans="2:11" x14ac:dyDescent="0.2">
      <c r="B267">
        <v>0</v>
      </c>
      <c r="C267">
        <v>3</v>
      </c>
      <c r="D267" t="str">
        <v>Henry, Miss. Delia</v>
      </c>
      <c r="E267" t="str">
        <v>Mujer</v>
      </c>
      <c r="F267">
        <v>0</v>
      </c>
      <c r="G267">
        <v>0</v>
      </c>
      <c r="H267">
        <v>0</v>
      </c>
      <c r="I267">
        <v>775</v>
      </c>
      <c r="J267">
        <v>0</v>
      </c>
      <c r="K267" t="str">
        <v>Queenstown</v>
      </c>
    </row>
    <row r="268" spans="2:11" x14ac:dyDescent="0.2">
      <c r="B268">
        <v>0</v>
      </c>
      <c r="C268">
        <v>2</v>
      </c>
      <c r="D268" t="str">
        <v>Reeves, Mr. David</v>
      </c>
      <c r="E268" t="str">
        <v>Hombre</v>
      </c>
      <c r="F268">
        <v>36</v>
      </c>
      <c r="G268">
        <v>0</v>
      </c>
      <c r="H268">
        <v>0</v>
      </c>
      <c r="I268">
        <v>105</v>
      </c>
      <c r="J268">
        <v>0</v>
      </c>
      <c r="K268" t="str">
        <v>Southampton</v>
      </c>
    </row>
    <row r="269" spans="2:11" x14ac:dyDescent="0.2">
      <c r="B269">
        <v>0</v>
      </c>
      <c r="C269">
        <v>3</v>
      </c>
      <c r="D269" t="str">
        <v>Panula, Mr. Ernesti Arvid</v>
      </c>
      <c r="E269" t="str">
        <v>Hombre</v>
      </c>
      <c r="F269">
        <v>16</v>
      </c>
      <c r="G269">
        <v>4</v>
      </c>
      <c r="H269">
        <v>1</v>
      </c>
      <c r="I269">
        <v>396875</v>
      </c>
      <c r="J269">
        <v>0</v>
      </c>
      <c r="K269" t="str">
        <v>Southampton</v>
      </c>
    </row>
    <row r="270" spans="2:11" x14ac:dyDescent="0.2">
      <c r="B270">
        <v>1</v>
      </c>
      <c r="C270">
        <v>3</v>
      </c>
      <c r="D270" t="str">
        <v>Persson, Mr. Ernst Ulrik</v>
      </c>
      <c r="E270" t="str">
        <v>Hombre</v>
      </c>
      <c r="F270">
        <v>25</v>
      </c>
      <c r="G270">
        <v>1</v>
      </c>
      <c r="H270">
        <v>0</v>
      </c>
      <c r="I270">
        <v>7775</v>
      </c>
      <c r="J270">
        <v>0</v>
      </c>
      <c r="K270" t="str">
        <v>Southampton</v>
      </c>
    </row>
    <row r="271" spans="2:11" x14ac:dyDescent="0.2">
      <c r="B271">
        <v>1</v>
      </c>
      <c r="C271">
        <v>1</v>
      </c>
      <c r="D271" t="str">
        <v>Graham, Mrs. William Thompson (Edith Junkins)</v>
      </c>
      <c r="E271" t="str">
        <v>Mujer</v>
      </c>
      <c r="F271">
        <v>58</v>
      </c>
      <c r="G271">
        <v>0</v>
      </c>
      <c r="H271">
        <v>1</v>
      </c>
      <c r="I271">
        <v>1534625</v>
      </c>
      <c r="J271">
        <v>1</v>
      </c>
      <c r="K271" t="str">
        <v>Southampton</v>
      </c>
    </row>
    <row r="272" spans="2:11" x14ac:dyDescent="0.2">
      <c r="B272">
        <v>1</v>
      </c>
      <c r="C272">
        <v>1</v>
      </c>
      <c r="D272" t="str">
        <v>Bissette, Miss. Amelia</v>
      </c>
      <c r="E272" t="str">
        <v>Mujer</v>
      </c>
      <c r="F272">
        <v>35</v>
      </c>
      <c r="G272">
        <v>0</v>
      </c>
      <c r="H272">
        <v>0</v>
      </c>
      <c r="I272">
        <v>1356333</v>
      </c>
      <c r="J272">
        <v>1</v>
      </c>
      <c r="K272" t="str">
        <v>Southampton</v>
      </c>
    </row>
    <row r="273" spans="2:11" x14ac:dyDescent="0.2">
      <c r="B273">
        <v>0</v>
      </c>
      <c r="C273">
        <v>1</v>
      </c>
      <c r="D273" t="str">
        <v>Cairns, Mr. Alexander</v>
      </c>
      <c r="E273" t="str">
        <v>Hombre</v>
      </c>
      <c r="F273">
        <v>0</v>
      </c>
      <c r="G273">
        <v>0</v>
      </c>
      <c r="H273">
        <v>0</v>
      </c>
      <c r="I273">
        <v>31</v>
      </c>
      <c r="J273">
        <v>0</v>
      </c>
      <c r="K273" t="str">
        <v>Southampton</v>
      </c>
    </row>
    <row r="274" spans="2:11" x14ac:dyDescent="0.2">
      <c r="B274">
        <v>1</v>
      </c>
      <c r="C274">
        <v>3</v>
      </c>
      <c r="D274" t="str">
        <v>Tornquist, Mr. William Henry</v>
      </c>
      <c r="E274" t="str">
        <v>Hombre</v>
      </c>
      <c r="F274">
        <v>25</v>
      </c>
      <c r="G274">
        <v>0</v>
      </c>
      <c r="H274">
        <v>0</v>
      </c>
      <c r="I274">
        <v>0</v>
      </c>
      <c r="J274">
        <v>0</v>
      </c>
      <c r="K274" t="str">
        <v>Southampton</v>
      </c>
    </row>
    <row r="275" spans="2:11" x14ac:dyDescent="0.2">
      <c r="B275">
        <v>1</v>
      </c>
      <c r="C275">
        <v>2</v>
      </c>
      <c r="D275" t="str">
        <v>Mellinger, Mrs. (Elizabeth Anne Maidment)</v>
      </c>
      <c r="E275" t="str">
        <v>Mujer</v>
      </c>
      <c r="F275">
        <v>41</v>
      </c>
      <c r="G275">
        <v>0</v>
      </c>
      <c r="H275">
        <v>1</v>
      </c>
      <c r="I275">
        <v>195</v>
      </c>
      <c r="J275">
        <v>0</v>
      </c>
      <c r="K275" t="str">
        <v>Southampton</v>
      </c>
    </row>
    <row r="276" spans="2:11" x14ac:dyDescent="0.2">
      <c r="B276">
        <v>0</v>
      </c>
      <c r="C276">
        <v>1</v>
      </c>
      <c r="D276" t="str">
        <v>Natsch, Mr. Charles H</v>
      </c>
      <c r="E276" t="str">
        <v>Hombre</v>
      </c>
      <c r="F276">
        <v>37</v>
      </c>
      <c r="G276">
        <v>0</v>
      </c>
      <c r="H276">
        <v>1</v>
      </c>
      <c r="I276">
        <v>297</v>
      </c>
      <c r="J276">
        <v>1</v>
      </c>
      <c r="K276" t="str">
        <v>Cherburg</v>
      </c>
    </row>
    <row r="277" spans="2:11" x14ac:dyDescent="0.2">
      <c r="B277">
        <v>1</v>
      </c>
      <c r="C277">
        <v>3</v>
      </c>
      <c r="D277" t="str">
        <v>Healy, Miss. Hanora "Nora"</v>
      </c>
      <c r="E277" t="str">
        <v>Mujer</v>
      </c>
      <c r="F277">
        <v>0</v>
      </c>
      <c r="G277">
        <v>0</v>
      </c>
      <c r="H277">
        <v>0</v>
      </c>
      <c r="I277">
        <v>775</v>
      </c>
      <c r="J277">
        <v>0</v>
      </c>
      <c r="K277" t="str">
        <v>Queenstown</v>
      </c>
    </row>
    <row r="278" spans="2:11" x14ac:dyDescent="0.2">
      <c r="B278">
        <v>1</v>
      </c>
      <c r="C278">
        <v>1</v>
      </c>
      <c r="D278" t="str">
        <v>Andrews, Miss. Kornelia Theodosia</v>
      </c>
      <c r="E278" t="str">
        <v>Mujer</v>
      </c>
      <c r="F278">
        <v>63</v>
      </c>
      <c r="G278">
        <v>1</v>
      </c>
      <c r="H278">
        <v>0</v>
      </c>
      <c r="I278">
        <v>779583</v>
      </c>
      <c r="J278">
        <v>1</v>
      </c>
      <c r="K278" t="str">
        <v>Southampton</v>
      </c>
    </row>
    <row r="279" spans="2:11" x14ac:dyDescent="0.2">
      <c r="B279">
        <v>0</v>
      </c>
      <c r="C279">
        <v>3</v>
      </c>
      <c r="D279" t="str">
        <v>Lindblom, Miss. Augusta Charlotta</v>
      </c>
      <c r="E279" t="str">
        <v>Mujer</v>
      </c>
      <c r="F279">
        <v>45</v>
      </c>
      <c r="G279">
        <v>0</v>
      </c>
      <c r="H279">
        <v>0</v>
      </c>
      <c r="I279">
        <v>775</v>
      </c>
      <c r="J279">
        <v>0</v>
      </c>
      <c r="K279" t="str">
        <v>Southampton</v>
      </c>
    </row>
    <row r="280" spans="2:11" x14ac:dyDescent="0.2">
      <c r="B280">
        <v>0</v>
      </c>
      <c r="C280">
        <v>2</v>
      </c>
      <c r="D280" t="str">
        <v>Parkes, Mr. Francis "Frank"</v>
      </c>
      <c r="E280" t="str">
        <v>Hombre</v>
      </c>
      <c r="F280">
        <v>0</v>
      </c>
      <c r="G280">
        <v>0</v>
      </c>
      <c r="H280">
        <v>0</v>
      </c>
      <c r="I280">
        <v>0</v>
      </c>
      <c r="J280">
        <v>0</v>
      </c>
      <c r="K280" t="str">
        <v>Southampton</v>
      </c>
    </row>
    <row r="281" spans="2:11" x14ac:dyDescent="0.2">
      <c r="B281">
        <v>0</v>
      </c>
      <c r="C281">
        <v>3</v>
      </c>
      <c r="D281" t="str">
        <v>Rice, Master. Eric</v>
      </c>
      <c r="E281" t="str">
        <v>Hombre</v>
      </c>
      <c r="F281">
        <v>7</v>
      </c>
      <c r="G281">
        <v>4</v>
      </c>
      <c r="H281">
        <v>1</v>
      </c>
      <c r="I281">
        <v>29125</v>
      </c>
      <c r="J281">
        <v>0</v>
      </c>
      <c r="K281" t="str">
        <v>Queenstown</v>
      </c>
    </row>
    <row r="282" spans="2:11" x14ac:dyDescent="0.2">
      <c r="B282">
        <v>1</v>
      </c>
      <c r="C282">
        <v>3</v>
      </c>
      <c r="D282" t="str">
        <v>Abbott, Mrs. Stanton (Rosa Hunt)</v>
      </c>
      <c r="E282" t="str">
        <v>Mujer</v>
      </c>
      <c r="F282">
        <v>35</v>
      </c>
      <c r="G282">
        <v>1</v>
      </c>
      <c r="H282">
        <v>1</v>
      </c>
      <c r="I282">
        <v>2025</v>
      </c>
      <c r="J282">
        <v>0</v>
      </c>
      <c r="K282" t="str">
        <v>Southampton</v>
      </c>
    </row>
    <row r="283" spans="2:11" x14ac:dyDescent="0.2">
      <c r="B283">
        <v>0</v>
      </c>
      <c r="C283">
        <v>3</v>
      </c>
      <c r="D283" t="str">
        <v>Duane, Mr. Frank</v>
      </c>
      <c r="E283" t="str">
        <v>Hombre</v>
      </c>
      <c r="F283">
        <v>65</v>
      </c>
      <c r="G283">
        <v>0</v>
      </c>
      <c r="H283">
        <v>0</v>
      </c>
      <c r="I283">
        <v>775</v>
      </c>
      <c r="J283">
        <v>0</v>
      </c>
      <c r="K283" t="str">
        <v>Queenstown</v>
      </c>
    </row>
    <row r="284" spans="2:11" x14ac:dyDescent="0.2">
      <c r="B284">
        <v>0</v>
      </c>
      <c r="C284">
        <v>3</v>
      </c>
      <c r="D284" t="str">
        <v>Olsson, Mr. Nils Johan Goransson</v>
      </c>
      <c r="E284" t="str">
        <v>Hombre</v>
      </c>
      <c r="F284">
        <v>28</v>
      </c>
      <c r="G284">
        <v>0</v>
      </c>
      <c r="H284">
        <v>0</v>
      </c>
      <c r="I284">
        <v>78542</v>
      </c>
      <c r="J284">
        <v>0</v>
      </c>
      <c r="K284" t="str">
        <v>Southampton</v>
      </c>
    </row>
    <row r="285" spans="2:11" x14ac:dyDescent="0.2">
      <c r="B285">
        <v>0</v>
      </c>
      <c r="C285">
        <v>3</v>
      </c>
      <c r="D285" t="str">
        <v>de Pelsmaeker, Mr. Alfons</v>
      </c>
      <c r="E285" t="str">
        <v>Hombre</v>
      </c>
      <c r="F285">
        <v>16</v>
      </c>
      <c r="G285">
        <v>0</v>
      </c>
      <c r="H285">
        <v>0</v>
      </c>
      <c r="I285">
        <v>95</v>
      </c>
      <c r="J285">
        <v>0</v>
      </c>
      <c r="K285" t="str">
        <v>Southampton</v>
      </c>
    </row>
    <row r="286" spans="2:11" x14ac:dyDescent="0.2">
      <c r="B286">
        <v>1</v>
      </c>
      <c r="C286">
        <v>3</v>
      </c>
      <c r="D286" t="str">
        <v>Dorking, Mr. Edward Arthur</v>
      </c>
      <c r="E286" t="str">
        <v>Hombre</v>
      </c>
      <c r="F286">
        <v>19</v>
      </c>
      <c r="G286">
        <v>0</v>
      </c>
      <c r="H286">
        <v>0</v>
      </c>
      <c r="I286">
        <v>805</v>
      </c>
      <c r="J286">
        <v>0</v>
      </c>
      <c r="K286" t="str">
        <v>Southampton</v>
      </c>
    </row>
    <row r="287" spans="2:11" x14ac:dyDescent="0.2">
      <c r="B287">
        <v>0</v>
      </c>
      <c r="C287">
        <v>1</v>
      </c>
      <c r="D287" t="str">
        <v>Smith, Mr. Richard William</v>
      </c>
      <c r="E287" t="str">
        <v>Hombre</v>
      </c>
      <c r="F287">
        <v>0</v>
      </c>
      <c r="G287">
        <v>0</v>
      </c>
      <c r="H287">
        <v>0</v>
      </c>
      <c r="I287">
        <v>26</v>
      </c>
      <c r="J287">
        <v>1</v>
      </c>
      <c r="K287" t="str">
        <v>Southampton</v>
      </c>
    </row>
    <row r="288" spans="2:11" x14ac:dyDescent="0.2">
      <c r="B288">
        <v>0</v>
      </c>
      <c r="C288">
        <v>3</v>
      </c>
      <c r="D288" t="str">
        <v>Stankovic, Mr. Ivan</v>
      </c>
      <c r="E288" t="str">
        <v>Hombre</v>
      </c>
      <c r="F288">
        <v>33</v>
      </c>
      <c r="G288">
        <v>0</v>
      </c>
      <c r="H288">
        <v>0</v>
      </c>
      <c r="I288">
        <v>86625</v>
      </c>
      <c r="J288">
        <v>0</v>
      </c>
      <c r="K288" t="str">
        <v>Cherburg</v>
      </c>
    </row>
    <row r="289" spans="2:11" x14ac:dyDescent="0.2">
      <c r="B289">
        <v>1</v>
      </c>
      <c r="C289">
        <v>3</v>
      </c>
      <c r="D289" t="str">
        <v>de Mulder, Mr. Theodore</v>
      </c>
      <c r="E289" t="str">
        <v>Hombre</v>
      </c>
      <c r="F289">
        <v>30</v>
      </c>
      <c r="G289">
        <v>0</v>
      </c>
      <c r="H289">
        <v>0</v>
      </c>
      <c r="I289">
        <v>95</v>
      </c>
      <c r="J289">
        <v>0</v>
      </c>
      <c r="K289" t="str">
        <v>Southampton</v>
      </c>
    </row>
    <row r="290" spans="2:11" x14ac:dyDescent="0.2">
      <c r="B290">
        <v>0</v>
      </c>
      <c r="C290">
        <v>3</v>
      </c>
      <c r="D290" t="str">
        <v>Naidenoff, Mr. Penko</v>
      </c>
      <c r="E290" t="str">
        <v>Hombre</v>
      </c>
      <c r="F290">
        <v>22</v>
      </c>
      <c r="G290">
        <v>0</v>
      </c>
      <c r="H290">
        <v>0</v>
      </c>
      <c r="I290">
        <v>78958</v>
      </c>
      <c r="J290">
        <v>0</v>
      </c>
      <c r="K290" t="str">
        <v>Southampton</v>
      </c>
    </row>
    <row r="291" spans="2:11" x14ac:dyDescent="0.2">
      <c r="B291">
        <v>1</v>
      </c>
      <c r="C291">
        <v>2</v>
      </c>
      <c r="D291" t="str">
        <v>Hosono, Mr. Masabumi</v>
      </c>
      <c r="E291" t="str">
        <v>Hombre</v>
      </c>
      <c r="F291">
        <v>42</v>
      </c>
      <c r="G291">
        <v>0</v>
      </c>
      <c r="H291">
        <v>0</v>
      </c>
      <c r="I291">
        <v>13</v>
      </c>
      <c r="J291">
        <v>0</v>
      </c>
      <c r="K291" t="str">
        <v>Southampton</v>
      </c>
    </row>
    <row r="292" spans="2:11" x14ac:dyDescent="0.2">
      <c r="B292">
        <v>1</v>
      </c>
      <c r="C292">
        <v>3</v>
      </c>
      <c r="D292" t="str">
        <v>Connolly, Miss. Kate</v>
      </c>
      <c r="E292" t="str">
        <v>Mujer</v>
      </c>
      <c r="F292">
        <v>22</v>
      </c>
      <c r="G292">
        <v>0</v>
      </c>
      <c r="H292">
        <v>0</v>
      </c>
      <c r="I292">
        <v>775</v>
      </c>
      <c r="J292">
        <v>0</v>
      </c>
      <c r="K292" t="str">
        <v>Queenstown</v>
      </c>
    </row>
    <row r="293" spans="2:11" x14ac:dyDescent="0.2">
      <c r="B293">
        <v>1</v>
      </c>
      <c r="C293">
        <v>1</v>
      </c>
      <c r="D293" t="str">
        <v>Barber, Miss. Ellen "Nellie"</v>
      </c>
      <c r="E293" t="str">
        <v>Mujer</v>
      </c>
      <c r="F293">
        <v>26</v>
      </c>
      <c r="G293">
        <v>0</v>
      </c>
      <c r="H293">
        <v>0</v>
      </c>
      <c r="I293">
        <v>7885</v>
      </c>
      <c r="J293">
        <v>0</v>
      </c>
      <c r="K293" t="str">
        <v>Southampton</v>
      </c>
    </row>
    <row r="294" spans="2:11" x14ac:dyDescent="0.2">
      <c r="B294">
        <v>1</v>
      </c>
      <c r="C294">
        <v>1</v>
      </c>
      <c r="D294" t="str">
        <v>Bishop, Mrs. Dickinson H (Helen Walton)</v>
      </c>
      <c r="E294" t="str">
        <v>Mujer</v>
      </c>
      <c r="F294">
        <v>19</v>
      </c>
      <c r="G294">
        <v>1</v>
      </c>
      <c r="H294">
        <v>0</v>
      </c>
      <c r="I294">
        <v>910792</v>
      </c>
      <c r="J294">
        <v>1</v>
      </c>
      <c r="K294" t="str">
        <v>Cherburg</v>
      </c>
    </row>
    <row r="295" spans="2:11" x14ac:dyDescent="0.2">
      <c r="B295">
        <v>0</v>
      </c>
      <c r="C295">
        <v>2</v>
      </c>
      <c r="D295" t="str">
        <v>Levy, Mr. Rene Jacques</v>
      </c>
      <c r="E295" t="str">
        <v>Hombre</v>
      </c>
      <c r="F295">
        <v>36</v>
      </c>
      <c r="G295">
        <v>0</v>
      </c>
      <c r="H295">
        <v>0</v>
      </c>
      <c r="I295">
        <v>12875</v>
      </c>
      <c r="J295">
        <v>1</v>
      </c>
      <c r="K295" t="str">
        <v>Cherburg</v>
      </c>
    </row>
    <row r="296" spans="2:11" x14ac:dyDescent="0.2">
      <c r="B296">
        <v>0</v>
      </c>
      <c r="C296">
        <v>3</v>
      </c>
      <c r="D296" t="str">
        <v>Haas, Miss. Aloisia</v>
      </c>
      <c r="E296" t="str">
        <v>Mujer</v>
      </c>
      <c r="F296">
        <v>24</v>
      </c>
      <c r="G296">
        <v>0</v>
      </c>
      <c r="H296">
        <v>0</v>
      </c>
      <c r="I296">
        <v>885</v>
      </c>
      <c r="J296">
        <v>0</v>
      </c>
      <c r="K296" t="str">
        <v>Southampton</v>
      </c>
    </row>
    <row r="297" spans="2:11" x14ac:dyDescent="0.2">
      <c r="B297">
        <v>0</v>
      </c>
      <c r="C297">
        <v>3</v>
      </c>
      <c r="D297" t="str">
        <v>Mineff, Mr. Ivan</v>
      </c>
      <c r="E297" t="str">
        <v>Hombre</v>
      </c>
      <c r="F297">
        <v>24</v>
      </c>
      <c r="G297">
        <v>0</v>
      </c>
      <c r="H297">
        <v>0</v>
      </c>
      <c r="I297">
        <v>78958</v>
      </c>
      <c r="J297">
        <v>0</v>
      </c>
      <c r="K297" t="str">
        <v>Southampton</v>
      </c>
    </row>
    <row r="298" spans="2:11" x14ac:dyDescent="0.2">
      <c r="B298">
        <v>0</v>
      </c>
      <c r="C298">
        <v>1</v>
      </c>
      <c r="D298" t="str">
        <v>Lewy, Mr. Ervin G</v>
      </c>
      <c r="E298" t="str">
        <v>Hombre</v>
      </c>
      <c r="F298">
        <v>0</v>
      </c>
      <c r="G298">
        <v>0</v>
      </c>
      <c r="H298">
        <v>0</v>
      </c>
      <c r="I298">
        <v>277208</v>
      </c>
      <c r="J298">
        <v>0</v>
      </c>
      <c r="K298" t="str">
        <v>Cherburg</v>
      </c>
    </row>
    <row r="299" spans="2:11" x14ac:dyDescent="0.2">
      <c r="B299">
        <v>0</v>
      </c>
      <c r="C299">
        <v>3</v>
      </c>
      <c r="D299" t="str">
        <v>Hanna, Mr. Mansour</v>
      </c>
      <c r="E299" t="str">
        <v>Hombre</v>
      </c>
      <c r="F299">
        <v>235</v>
      </c>
      <c r="G299">
        <v>0</v>
      </c>
      <c r="H299">
        <v>0</v>
      </c>
      <c r="I299">
        <v>72292</v>
      </c>
      <c r="J299">
        <v>0</v>
      </c>
      <c r="K299" t="str">
        <v>Cherburg</v>
      </c>
    </row>
    <row r="300" spans="2:11" x14ac:dyDescent="0.2">
      <c r="B300">
        <v>0</v>
      </c>
      <c r="C300">
        <v>1</v>
      </c>
      <c r="D300" t="str">
        <v>Allison, Miss. Helen Loraine</v>
      </c>
      <c r="E300" t="str">
        <v>Mujer</v>
      </c>
      <c r="F300">
        <v>2</v>
      </c>
      <c r="G300">
        <v>1</v>
      </c>
      <c r="H300">
        <v>2</v>
      </c>
      <c r="I300">
        <v>15155</v>
      </c>
      <c r="J300">
        <v>1</v>
      </c>
      <c r="K300" t="str">
        <v>Southampton</v>
      </c>
    </row>
    <row r="301" spans="2:11" x14ac:dyDescent="0.2">
      <c r="B301">
        <v>1</v>
      </c>
      <c r="C301">
        <v>1</v>
      </c>
      <c r="D301" t="str">
        <v>Saalfeld, Mr. Adolphe</v>
      </c>
      <c r="E301" t="str">
        <v>Hombre</v>
      </c>
      <c r="F301">
        <v>0</v>
      </c>
      <c r="G301">
        <v>0</v>
      </c>
      <c r="H301">
        <v>0</v>
      </c>
      <c r="I301">
        <v>305</v>
      </c>
      <c r="J301">
        <v>1</v>
      </c>
      <c r="K301" t="str">
        <v>Southampton</v>
      </c>
    </row>
    <row r="302" spans="2:11" x14ac:dyDescent="0.2">
      <c r="B302">
        <v>1</v>
      </c>
      <c r="C302">
        <v>1</v>
      </c>
      <c r="D302" t="str">
        <v>Baxter, Mrs. James (Helene DeLaudeniere Chaput)</v>
      </c>
      <c r="E302" t="str">
        <v>Mujer</v>
      </c>
      <c r="F302">
        <v>50</v>
      </c>
      <c r="G302">
        <v>0</v>
      </c>
      <c r="H302">
        <v>1</v>
      </c>
      <c r="I302">
        <v>2475208</v>
      </c>
      <c r="J302">
        <v>1</v>
      </c>
      <c r="K302" t="str">
        <v>Cherburg</v>
      </c>
    </row>
    <row r="303" spans="2:11" x14ac:dyDescent="0.2">
      <c r="B303">
        <v>1</v>
      </c>
      <c r="C303">
        <v>3</v>
      </c>
      <c r="D303" t="str">
        <v>Kelly, Miss. Anna Katherine "Annie Kate"</v>
      </c>
      <c r="E303" t="str">
        <v>Mujer</v>
      </c>
      <c r="F303">
        <v>0</v>
      </c>
      <c r="G303">
        <v>0</v>
      </c>
      <c r="H303">
        <v>0</v>
      </c>
      <c r="I303">
        <v>775</v>
      </c>
      <c r="J303">
        <v>0</v>
      </c>
      <c r="K303" t="str">
        <v>Queenstown</v>
      </c>
    </row>
    <row r="304" spans="2:11" x14ac:dyDescent="0.2">
      <c r="B304">
        <v>1</v>
      </c>
      <c r="C304">
        <v>3</v>
      </c>
      <c r="D304" t="str">
        <v>McCoy, Mr. Bernard</v>
      </c>
      <c r="E304" t="str">
        <v>Hombre</v>
      </c>
      <c r="F304">
        <v>0</v>
      </c>
      <c r="G304">
        <v>2</v>
      </c>
      <c r="H304">
        <v>0</v>
      </c>
      <c r="I304">
        <v>2325</v>
      </c>
      <c r="J304">
        <v>0</v>
      </c>
      <c r="K304" t="str">
        <v>Queenstown</v>
      </c>
    </row>
    <row r="305" spans="2:11" x14ac:dyDescent="0.2">
      <c r="B305">
        <v>0</v>
      </c>
      <c r="C305">
        <v>3</v>
      </c>
      <c r="D305" t="str">
        <v>Johnson, Mr. William Cahoone Jr</v>
      </c>
      <c r="E305" t="str">
        <v>Hombre</v>
      </c>
      <c r="F305">
        <v>19</v>
      </c>
      <c r="G305">
        <v>0</v>
      </c>
      <c r="H305">
        <v>0</v>
      </c>
      <c r="I305">
        <v>0</v>
      </c>
      <c r="J305">
        <v>0</v>
      </c>
      <c r="K305" t="str">
        <v>Southampton</v>
      </c>
    </row>
    <row r="306" spans="2:11" x14ac:dyDescent="0.2">
      <c r="B306">
        <v>1</v>
      </c>
      <c r="C306">
        <v>2</v>
      </c>
      <c r="D306" t="str">
        <v>Keane, Miss. Nora A</v>
      </c>
      <c r="E306" t="str">
        <v>Mujer</v>
      </c>
      <c r="F306">
        <v>0</v>
      </c>
      <c r="G306">
        <v>0</v>
      </c>
      <c r="H306">
        <v>0</v>
      </c>
      <c r="I306">
        <v>1235</v>
      </c>
      <c r="J306">
        <v>1</v>
      </c>
      <c r="K306" t="str">
        <v>Queenstown</v>
      </c>
    </row>
    <row r="307" spans="2:11" x14ac:dyDescent="0.2">
      <c r="B307">
        <v>0</v>
      </c>
      <c r="C307">
        <v>3</v>
      </c>
      <c r="D307" t="str">
        <v>Williams, Mr. Howard Hugh "Harry"</v>
      </c>
      <c r="E307" t="str">
        <v>Hombre</v>
      </c>
      <c r="F307">
        <v>0</v>
      </c>
      <c r="G307">
        <v>0</v>
      </c>
      <c r="H307">
        <v>0</v>
      </c>
      <c r="I307">
        <v>805</v>
      </c>
      <c r="J307">
        <v>0</v>
      </c>
      <c r="K307" t="str">
        <v>Southampton</v>
      </c>
    </row>
    <row r="308" spans="2:11" x14ac:dyDescent="0.2">
      <c r="B308">
        <v>1</v>
      </c>
      <c r="C308">
        <v>1</v>
      </c>
      <c r="D308" t="str">
        <v>Allison, Master. Hudson Trevor</v>
      </c>
      <c r="E308" t="str">
        <v>Hombre</v>
      </c>
      <c r="F308">
        <v>92</v>
      </c>
      <c r="G308">
        <v>1</v>
      </c>
      <c r="H308">
        <v>2</v>
      </c>
      <c r="I308">
        <v>15155</v>
      </c>
      <c r="J308">
        <v>1</v>
      </c>
      <c r="K308" t="str">
        <v>Southampton</v>
      </c>
    </row>
    <row r="309" spans="2:11" x14ac:dyDescent="0.2">
      <c r="B309">
        <v>1</v>
      </c>
      <c r="C309">
        <v>1</v>
      </c>
      <c r="D309" t="str">
        <v>Fleming, Miss. Margaret</v>
      </c>
      <c r="E309" t="str">
        <v>Mujer</v>
      </c>
      <c r="F309">
        <v>0</v>
      </c>
      <c r="G309">
        <v>0</v>
      </c>
      <c r="H309">
        <v>0</v>
      </c>
      <c r="I309">
        <v>1108833</v>
      </c>
      <c r="J309">
        <v>0</v>
      </c>
      <c r="K309" t="str">
        <v>Cherburg</v>
      </c>
    </row>
    <row r="310" spans="2:11" x14ac:dyDescent="0.2">
      <c r="B310">
        <v>1</v>
      </c>
      <c r="C310">
        <v>1</v>
      </c>
      <c r="D310" t="str">
        <v>Penasco y Castellana, Mrs. Victor de Satode (Maria Josefa Perez de Soto y Vallejo)</v>
      </c>
      <c r="E310" t="str">
        <v>Mujer</v>
      </c>
      <c r="F310">
        <v>17</v>
      </c>
      <c r="G310">
        <v>1</v>
      </c>
      <c r="H310">
        <v>0</v>
      </c>
      <c r="I310">
        <v>1089</v>
      </c>
      <c r="J310">
        <v>1</v>
      </c>
      <c r="K310" t="str">
        <v>Cherburg</v>
      </c>
    </row>
    <row r="311" spans="2:11" x14ac:dyDescent="0.2">
      <c r="B311">
        <v>0</v>
      </c>
      <c r="C311">
        <v>2</v>
      </c>
      <c r="D311" t="str">
        <v>Abelson, Mr. Samuel</v>
      </c>
      <c r="E311" t="str">
        <v>Hombre</v>
      </c>
      <c r="F311">
        <v>30</v>
      </c>
      <c r="G311">
        <v>1</v>
      </c>
      <c r="H311">
        <v>0</v>
      </c>
      <c r="I311">
        <v>24</v>
      </c>
      <c r="J311">
        <v>0</v>
      </c>
      <c r="K311" t="str">
        <v>Cherburg</v>
      </c>
    </row>
    <row r="312" spans="2:11" x14ac:dyDescent="0.2">
      <c r="B312">
        <v>1</v>
      </c>
      <c r="C312">
        <v>1</v>
      </c>
      <c r="D312" t="str">
        <v>Francatelli, Miss. Laura Mabel</v>
      </c>
      <c r="E312" t="str">
        <v>Mujer</v>
      </c>
      <c r="F312">
        <v>30</v>
      </c>
      <c r="G312">
        <v>0</v>
      </c>
      <c r="H312">
        <v>0</v>
      </c>
      <c r="I312">
        <v>569292</v>
      </c>
      <c r="J312">
        <v>1</v>
      </c>
      <c r="K312" t="str">
        <v>Cherburg</v>
      </c>
    </row>
    <row r="313" spans="2:11" x14ac:dyDescent="0.2">
      <c r="B313">
        <v>1</v>
      </c>
      <c r="C313">
        <v>1</v>
      </c>
      <c r="D313" t="str">
        <v>Hays, Miss. Margaret Bechstein</v>
      </c>
      <c r="E313" t="str">
        <v>Mujer</v>
      </c>
      <c r="F313">
        <v>24</v>
      </c>
      <c r="G313">
        <v>0</v>
      </c>
      <c r="H313">
        <v>0</v>
      </c>
      <c r="I313">
        <v>831583</v>
      </c>
      <c r="J313">
        <v>1</v>
      </c>
      <c r="K313" t="str">
        <v>Cherburg</v>
      </c>
    </row>
    <row r="314" spans="2:11" x14ac:dyDescent="0.2">
      <c r="B314">
        <v>1</v>
      </c>
      <c r="C314">
        <v>1</v>
      </c>
      <c r="D314" t="str">
        <v>Ryerson, Miss. Emily Borie</v>
      </c>
      <c r="E314" t="str">
        <v>Mujer</v>
      </c>
      <c r="F314">
        <v>18</v>
      </c>
      <c r="G314">
        <v>2</v>
      </c>
      <c r="H314">
        <v>2</v>
      </c>
      <c r="I314">
        <v>262375</v>
      </c>
      <c r="J314">
        <v>1</v>
      </c>
      <c r="K314" t="str">
        <v>Cherburg</v>
      </c>
    </row>
    <row r="315" spans="2:11" x14ac:dyDescent="0.2">
      <c r="B315">
        <v>0</v>
      </c>
      <c r="C315">
        <v>2</v>
      </c>
      <c r="D315" t="str">
        <v>Lahtinen, Mrs. William (Anna Sylfven)</v>
      </c>
      <c r="E315" t="str">
        <v>Mujer</v>
      </c>
      <c r="F315">
        <v>26</v>
      </c>
      <c r="G315">
        <v>1</v>
      </c>
      <c r="H315">
        <v>1</v>
      </c>
      <c r="I315">
        <v>26</v>
      </c>
      <c r="J315">
        <v>0</v>
      </c>
      <c r="K315" t="str">
        <v>Southampton</v>
      </c>
    </row>
    <row r="316" spans="2:11" x14ac:dyDescent="0.2">
      <c r="B316">
        <v>0</v>
      </c>
      <c r="C316">
        <v>3</v>
      </c>
      <c r="D316" t="str">
        <v>Hendekovic, Mr. Ignjac</v>
      </c>
      <c r="E316" t="str">
        <v>Hombre</v>
      </c>
      <c r="F316">
        <v>28</v>
      </c>
      <c r="G316">
        <v>0</v>
      </c>
      <c r="H316">
        <v>0</v>
      </c>
      <c r="I316">
        <v>78958</v>
      </c>
      <c r="J316">
        <v>0</v>
      </c>
      <c r="K316" t="str">
        <v>Southampton</v>
      </c>
    </row>
    <row r="317" spans="2:11" x14ac:dyDescent="0.2">
      <c r="B317">
        <v>0</v>
      </c>
      <c r="C317">
        <v>2</v>
      </c>
      <c r="D317" t="str">
        <v>Hart, Mr. Benjamin</v>
      </c>
      <c r="E317" t="str">
        <v>Hombre</v>
      </c>
      <c r="F317">
        <v>43</v>
      </c>
      <c r="G317">
        <v>1</v>
      </c>
      <c r="H317">
        <v>1</v>
      </c>
      <c r="I317">
        <v>2625</v>
      </c>
      <c r="J317">
        <v>0</v>
      </c>
      <c r="K317" t="str">
        <v>Southampton</v>
      </c>
    </row>
    <row r="318" spans="2:11" x14ac:dyDescent="0.2">
      <c r="B318">
        <v>1</v>
      </c>
      <c r="C318">
        <v>3</v>
      </c>
      <c r="D318" t="str">
        <v>Nilsson, Miss. Helmina Josefina</v>
      </c>
      <c r="E318" t="str">
        <v>Mujer</v>
      </c>
      <c r="F318">
        <v>26</v>
      </c>
      <c r="G318">
        <v>0</v>
      </c>
      <c r="H318">
        <v>0</v>
      </c>
      <c r="I318">
        <v>78542</v>
      </c>
      <c r="J318">
        <v>0</v>
      </c>
      <c r="K318" t="str">
        <v>Southampton</v>
      </c>
    </row>
    <row r="319" spans="2:11" x14ac:dyDescent="0.2">
      <c r="B319">
        <v>1</v>
      </c>
      <c r="C319">
        <v>2</v>
      </c>
      <c r="D319" t="str">
        <v>Kantor, Mrs. Sinai (Miriam Sternin)</v>
      </c>
      <c r="E319" t="str">
        <v>Mujer</v>
      </c>
      <c r="F319">
        <v>24</v>
      </c>
      <c r="G319">
        <v>1</v>
      </c>
      <c r="H319">
        <v>0</v>
      </c>
      <c r="I319">
        <v>26</v>
      </c>
      <c r="J319">
        <v>0</v>
      </c>
      <c r="K319" t="str">
        <v>Southampton</v>
      </c>
    </row>
    <row r="320" spans="2:11" x14ac:dyDescent="0.2">
      <c r="B320">
        <v>0</v>
      </c>
      <c r="C320">
        <v>2</v>
      </c>
      <c r="D320" t="str">
        <v>Moraweck, Dr. Ernest</v>
      </c>
      <c r="E320" t="str">
        <v>Hombre</v>
      </c>
      <c r="F320">
        <v>54</v>
      </c>
      <c r="G320">
        <v>0</v>
      </c>
      <c r="H320">
        <v>0</v>
      </c>
      <c r="I320">
        <v>14</v>
      </c>
      <c r="J320">
        <v>0</v>
      </c>
      <c r="K320" t="str">
        <v>Southampton</v>
      </c>
    </row>
    <row r="321" spans="2:11" x14ac:dyDescent="0.2">
      <c r="B321">
        <v>1</v>
      </c>
      <c r="C321">
        <v>1</v>
      </c>
      <c r="D321" t="str">
        <v>Wick, Miss. Mary Natalie</v>
      </c>
      <c r="E321" t="str">
        <v>Mujer</v>
      </c>
      <c r="F321">
        <v>31</v>
      </c>
      <c r="G321">
        <v>0</v>
      </c>
      <c r="H321">
        <v>2</v>
      </c>
      <c r="I321">
        <v>1648667</v>
      </c>
      <c r="J321">
        <v>1</v>
      </c>
      <c r="K321" t="str">
        <v>Southampton</v>
      </c>
    </row>
    <row r="322" spans="2:11" x14ac:dyDescent="0.2">
      <c r="B322">
        <v>1</v>
      </c>
      <c r="C322">
        <v>1</v>
      </c>
      <c r="D322" t="str">
        <v>Spedden, Mrs. Frederic Oakley (Margaretta Corning Stone)</v>
      </c>
      <c r="E322" t="str">
        <v>Mujer</v>
      </c>
      <c r="F322">
        <v>40</v>
      </c>
      <c r="G322">
        <v>1</v>
      </c>
      <c r="H322">
        <v>1</v>
      </c>
      <c r="I322">
        <v>1345</v>
      </c>
      <c r="J322">
        <v>1</v>
      </c>
      <c r="K322" t="str">
        <v>Cherburg</v>
      </c>
    </row>
    <row r="323" spans="2:11" x14ac:dyDescent="0.2">
      <c r="B323">
        <v>0</v>
      </c>
      <c r="C323">
        <v>3</v>
      </c>
      <c r="D323" t="str">
        <v>Dennis, Mr. Samuel</v>
      </c>
      <c r="E323" t="str">
        <v>Hombre</v>
      </c>
      <c r="F323">
        <v>22</v>
      </c>
      <c r="G323">
        <v>0</v>
      </c>
      <c r="H323">
        <v>0</v>
      </c>
      <c r="I323">
        <v>725</v>
      </c>
      <c r="J323">
        <v>0</v>
      </c>
      <c r="K323" t="str">
        <v>Southampton</v>
      </c>
    </row>
    <row r="324" spans="2:11" x14ac:dyDescent="0.2">
      <c r="B324">
        <v>0</v>
      </c>
      <c r="C324">
        <v>3</v>
      </c>
      <c r="D324" t="str">
        <v>Danoff, Mr. Yoto</v>
      </c>
      <c r="E324" t="str">
        <v>Hombre</v>
      </c>
      <c r="F324">
        <v>27</v>
      </c>
      <c r="G324">
        <v>0</v>
      </c>
      <c r="H324">
        <v>0</v>
      </c>
      <c r="I324">
        <v>78958</v>
      </c>
      <c r="J324">
        <v>0</v>
      </c>
      <c r="K324" t="str">
        <v>Southampton</v>
      </c>
    </row>
    <row r="325" spans="2:11" x14ac:dyDescent="0.2">
      <c r="B325">
        <v>1</v>
      </c>
      <c r="C325">
        <v>2</v>
      </c>
      <c r="D325" t="str">
        <v>Slayter, Miss. Hilda Mary</v>
      </c>
      <c r="E325" t="str">
        <v>Mujer</v>
      </c>
      <c r="F325">
        <v>30</v>
      </c>
      <c r="G325">
        <v>0</v>
      </c>
      <c r="H325">
        <v>0</v>
      </c>
      <c r="I325">
        <v>1235</v>
      </c>
      <c r="J325">
        <v>0</v>
      </c>
      <c r="K325" t="str">
        <v>Queenstown</v>
      </c>
    </row>
    <row r="326" spans="2:11" x14ac:dyDescent="0.2">
      <c r="B326">
        <v>1</v>
      </c>
      <c r="C326">
        <v>2</v>
      </c>
      <c r="D326" t="str">
        <v>Caldwell, Mrs. Albert Francis (Sylvia Mae Harbaugh)</v>
      </c>
      <c r="E326" t="str">
        <v>Mujer</v>
      </c>
      <c r="F326">
        <v>22</v>
      </c>
      <c r="G326">
        <v>1</v>
      </c>
      <c r="H326">
        <v>1</v>
      </c>
      <c r="I326">
        <v>29</v>
      </c>
      <c r="J326">
        <v>0</v>
      </c>
      <c r="K326" t="str">
        <v>Southampton</v>
      </c>
    </row>
    <row r="327" spans="2:11" x14ac:dyDescent="0.2">
      <c r="B327">
        <v>0</v>
      </c>
      <c r="C327">
        <v>3</v>
      </c>
      <c r="D327" t="str">
        <v>Sage, Mr. George John Jr</v>
      </c>
      <c r="E327" t="str">
        <v>Hombre</v>
      </c>
      <c r="F327">
        <v>0</v>
      </c>
      <c r="G327">
        <v>8</v>
      </c>
      <c r="H327">
        <v>2</v>
      </c>
      <c r="I327">
        <v>6955</v>
      </c>
      <c r="J327">
        <v>0</v>
      </c>
      <c r="K327" t="str">
        <v>Southampton</v>
      </c>
    </row>
    <row r="328" spans="2:11" x14ac:dyDescent="0.2">
      <c r="B328">
        <v>1</v>
      </c>
      <c r="C328">
        <v>1</v>
      </c>
      <c r="D328" t="str">
        <v>Young, Miss. Marie Grice</v>
      </c>
      <c r="E328" t="str">
        <v>Mujer</v>
      </c>
      <c r="F328">
        <v>36</v>
      </c>
      <c r="G328">
        <v>0</v>
      </c>
      <c r="H328">
        <v>0</v>
      </c>
      <c r="I328">
        <v>1356333</v>
      </c>
      <c r="J328">
        <v>1</v>
      </c>
      <c r="K328" t="str">
        <v>Cherburg</v>
      </c>
    </row>
    <row r="329" spans="2:11" x14ac:dyDescent="0.2">
      <c r="B329">
        <v>0</v>
      </c>
      <c r="C329">
        <v>3</v>
      </c>
      <c r="D329" t="str">
        <v>Nysveen, Mr. Johan Hansen</v>
      </c>
      <c r="E329" t="str">
        <v>Hombre</v>
      </c>
      <c r="F329">
        <v>61</v>
      </c>
      <c r="G329">
        <v>0</v>
      </c>
      <c r="H329">
        <v>0</v>
      </c>
      <c r="I329">
        <v>62375</v>
      </c>
      <c r="J329">
        <v>0</v>
      </c>
      <c r="K329" t="str">
        <v>Southampton</v>
      </c>
    </row>
    <row r="330" spans="2:11" x14ac:dyDescent="0.2">
      <c r="B330">
        <v>1</v>
      </c>
      <c r="C330">
        <v>2</v>
      </c>
      <c r="D330" t="str">
        <v>Ball, Mrs. (Ada E Hall)</v>
      </c>
      <c r="E330" t="str">
        <v>Mujer</v>
      </c>
      <c r="F330">
        <v>36</v>
      </c>
      <c r="G330">
        <v>0</v>
      </c>
      <c r="H330">
        <v>0</v>
      </c>
      <c r="I330">
        <v>13</v>
      </c>
      <c r="J330">
        <v>1</v>
      </c>
      <c r="K330" t="str">
        <v>Southampton</v>
      </c>
    </row>
    <row r="331" spans="2:11" x14ac:dyDescent="0.2">
      <c r="B331">
        <v>1</v>
      </c>
      <c r="C331">
        <v>3</v>
      </c>
      <c r="D331" t="str">
        <v>Goldsmith, Mrs. Frank John (Emily Alice Brown)</v>
      </c>
      <c r="E331" t="str">
        <v>Mujer</v>
      </c>
      <c r="F331">
        <v>31</v>
      </c>
      <c r="G331">
        <v>1</v>
      </c>
      <c r="H331">
        <v>1</v>
      </c>
      <c r="I331">
        <v>20525</v>
      </c>
      <c r="J331">
        <v>0</v>
      </c>
      <c r="K331" t="str">
        <v>Southampton</v>
      </c>
    </row>
    <row r="332" spans="2:11" x14ac:dyDescent="0.2">
      <c r="B332">
        <v>1</v>
      </c>
      <c r="C332">
        <v>1</v>
      </c>
      <c r="D332" t="str">
        <v>Hippach, Miss. Jean Gertrude</v>
      </c>
      <c r="E332" t="str">
        <v>Mujer</v>
      </c>
      <c r="F332">
        <v>16</v>
      </c>
      <c r="G332">
        <v>0</v>
      </c>
      <c r="H332">
        <v>1</v>
      </c>
      <c r="I332">
        <v>579792</v>
      </c>
      <c r="J332">
        <v>1</v>
      </c>
      <c r="K332" t="str">
        <v>Cherburg</v>
      </c>
    </row>
    <row r="333" spans="2:11" x14ac:dyDescent="0.2">
      <c r="B333">
        <v>1</v>
      </c>
      <c r="C333">
        <v>3</v>
      </c>
      <c r="D333" t="str">
        <v>McCoy, Miss. Agnes</v>
      </c>
      <c r="E333" t="str">
        <v>Mujer</v>
      </c>
      <c r="F333">
        <v>0</v>
      </c>
      <c r="G333">
        <v>2</v>
      </c>
      <c r="H333">
        <v>0</v>
      </c>
      <c r="I333">
        <v>2325</v>
      </c>
      <c r="J333">
        <v>0</v>
      </c>
      <c r="K333" t="str">
        <v>Queenstown</v>
      </c>
    </row>
    <row r="334" spans="2:11" x14ac:dyDescent="0.2">
      <c r="B334">
        <v>0</v>
      </c>
      <c r="C334">
        <v>1</v>
      </c>
      <c r="D334" t="str">
        <v>Partner, Mr. Austen</v>
      </c>
      <c r="E334" t="str">
        <v>Hombre</v>
      </c>
      <c r="F334">
        <v>455</v>
      </c>
      <c r="G334">
        <v>0</v>
      </c>
      <c r="H334">
        <v>0</v>
      </c>
      <c r="I334">
        <v>285</v>
      </c>
      <c r="J334">
        <v>1</v>
      </c>
      <c r="K334" t="str">
        <v>Southampton</v>
      </c>
    </row>
    <row r="335" spans="2:11" x14ac:dyDescent="0.2">
      <c r="B335">
        <v>0</v>
      </c>
      <c r="C335">
        <v>1</v>
      </c>
      <c r="D335" t="str">
        <v>Graham, Mr. George Edward</v>
      </c>
      <c r="E335" t="str">
        <v>Hombre</v>
      </c>
      <c r="F335">
        <v>38</v>
      </c>
      <c r="G335">
        <v>0</v>
      </c>
      <c r="H335">
        <v>1</v>
      </c>
      <c r="I335">
        <v>1534625</v>
      </c>
      <c r="J335">
        <v>1</v>
      </c>
      <c r="K335" t="str">
        <v>Southampton</v>
      </c>
    </row>
    <row r="336" spans="2:11" x14ac:dyDescent="0.2">
      <c r="B336">
        <v>0</v>
      </c>
      <c r="C336">
        <v>3</v>
      </c>
      <c r="D336" t="str">
        <v>Vander Planke, Mr. Leo Edmondus</v>
      </c>
      <c r="E336" t="str">
        <v>Hombre</v>
      </c>
      <c r="F336">
        <v>16</v>
      </c>
      <c r="G336">
        <v>2</v>
      </c>
      <c r="H336">
        <v>0</v>
      </c>
      <c r="I336">
        <v>18</v>
      </c>
      <c r="J336">
        <v>0</v>
      </c>
      <c r="K336" t="str">
        <v>Southampton</v>
      </c>
    </row>
    <row r="337" spans="2:11" x14ac:dyDescent="0.2">
      <c r="B337">
        <v>1</v>
      </c>
      <c r="C337">
        <v>1</v>
      </c>
      <c r="D337" t="str">
        <v>Frauenthal, Mrs. Henry William (Clara Heinsheimer)</v>
      </c>
      <c r="E337" t="str">
        <v>Mujer</v>
      </c>
      <c r="F337">
        <v>0</v>
      </c>
      <c r="G337">
        <v>1</v>
      </c>
      <c r="H337">
        <v>0</v>
      </c>
      <c r="I337">
        <v>13365</v>
      </c>
      <c r="J337">
        <v>0</v>
      </c>
      <c r="K337" t="str">
        <v>Southampton</v>
      </c>
    </row>
    <row r="338" spans="2:11" x14ac:dyDescent="0.2">
      <c r="B338">
        <v>0</v>
      </c>
      <c r="C338">
        <v>3</v>
      </c>
      <c r="D338" t="str">
        <v>Denkoff, Mr. Mitto</v>
      </c>
      <c r="E338" t="str">
        <v>Hombre</v>
      </c>
      <c r="F338">
        <v>0</v>
      </c>
      <c r="G338">
        <v>0</v>
      </c>
      <c r="H338">
        <v>0</v>
      </c>
      <c r="I338">
        <v>78958</v>
      </c>
      <c r="J338">
        <v>0</v>
      </c>
      <c r="K338" t="str">
        <v>Southampton</v>
      </c>
    </row>
    <row r="339" spans="2:11" x14ac:dyDescent="0.2">
      <c r="B339">
        <v>0</v>
      </c>
      <c r="C339">
        <v>1</v>
      </c>
      <c r="D339" t="str">
        <v>Pears, Mr. Thomas Clinton</v>
      </c>
      <c r="E339" t="str">
        <v>Hombre</v>
      </c>
      <c r="F339">
        <v>29</v>
      </c>
      <c r="G339">
        <v>1</v>
      </c>
      <c r="H339">
        <v>0</v>
      </c>
      <c r="I339">
        <v>666</v>
      </c>
      <c r="J339">
        <v>1</v>
      </c>
      <c r="K339" t="str">
        <v>Southampton</v>
      </c>
    </row>
    <row r="340" spans="2:11" x14ac:dyDescent="0.2">
      <c r="B340">
        <v>1</v>
      </c>
      <c r="C340">
        <v>1</v>
      </c>
      <c r="D340" t="str">
        <v>Burns, Miss. Elizabeth Margaret</v>
      </c>
      <c r="E340" t="str">
        <v>Mujer</v>
      </c>
      <c r="F340">
        <v>41</v>
      </c>
      <c r="G340">
        <v>0</v>
      </c>
      <c r="H340">
        <v>0</v>
      </c>
      <c r="I340">
        <v>1345</v>
      </c>
      <c r="J340">
        <v>1</v>
      </c>
      <c r="K340" t="str">
        <v>Cherburg</v>
      </c>
    </row>
    <row r="341" spans="2:11" x14ac:dyDescent="0.2">
      <c r="B341">
        <v>1</v>
      </c>
      <c r="C341">
        <v>3</v>
      </c>
      <c r="D341" t="str">
        <v>Dahl, Mr. Karl Edwart</v>
      </c>
      <c r="E341" t="str">
        <v>Hombre</v>
      </c>
      <c r="F341">
        <v>45</v>
      </c>
      <c r="G341">
        <v>0</v>
      </c>
      <c r="H341">
        <v>0</v>
      </c>
      <c r="I341">
        <v>805</v>
      </c>
      <c r="J341">
        <v>0</v>
      </c>
      <c r="K341" t="str">
        <v>Southampton</v>
      </c>
    </row>
    <row r="342" spans="2:11" x14ac:dyDescent="0.2">
      <c r="B342">
        <v>0</v>
      </c>
      <c r="C342">
        <v>1</v>
      </c>
      <c r="D342" t="str">
        <v>Blackwell, Mr. Stephen Weart</v>
      </c>
      <c r="E342" t="str">
        <v>Hombre</v>
      </c>
      <c r="F342">
        <v>45</v>
      </c>
      <c r="G342">
        <v>0</v>
      </c>
      <c r="H342">
        <v>0</v>
      </c>
      <c r="I342">
        <v>355</v>
      </c>
      <c r="J342">
        <v>1</v>
      </c>
      <c r="K342" t="str">
        <v>Southampton</v>
      </c>
    </row>
    <row r="343" spans="2:11" x14ac:dyDescent="0.2">
      <c r="B343">
        <v>1</v>
      </c>
      <c r="C343">
        <v>2</v>
      </c>
      <c r="D343" t="str">
        <v>Navratil, Master. Edmond Roger</v>
      </c>
      <c r="E343" t="str">
        <v>Hombre</v>
      </c>
      <c r="F343">
        <v>2</v>
      </c>
      <c r="G343">
        <v>1</v>
      </c>
      <c r="H343">
        <v>1</v>
      </c>
      <c r="I343">
        <v>26</v>
      </c>
      <c r="J343">
        <v>1</v>
      </c>
      <c r="K343" t="str">
        <v>Southampton</v>
      </c>
    </row>
    <row r="344" spans="2:11" x14ac:dyDescent="0.2">
      <c r="B344">
        <v>1</v>
      </c>
      <c r="C344">
        <v>1</v>
      </c>
      <c r="D344" t="str">
        <v>Fortune, Miss. Alice Elizabeth</v>
      </c>
      <c r="E344" t="str">
        <v>Mujer</v>
      </c>
      <c r="F344">
        <v>24</v>
      </c>
      <c r="G344">
        <v>3</v>
      </c>
      <c r="H344">
        <v>2</v>
      </c>
      <c r="I344">
        <v>263</v>
      </c>
      <c r="J344">
        <v>1</v>
      </c>
      <c r="K344" t="str">
        <v>Southampton</v>
      </c>
    </row>
    <row r="345" spans="2:11" x14ac:dyDescent="0.2">
      <c r="B345">
        <v>0</v>
      </c>
      <c r="C345">
        <v>2</v>
      </c>
      <c r="D345" t="str">
        <v>Collander, Mr. Erik Gustaf</v>
      </c>
      <c r="E345" t="str">
        <v>Hombre</v>
      </c>
      <c r="F345">
        <v>28</v>
      </c>
      <c r="G345">
        <v>0</v>
      </c>
      <c r="H345">
        <v>0</v>
      </c>
      <c r="I345">
        <v>13</v>
      </c>
      <c r="J345">
        <v>0</v>
      </c>
      <c r="K345" t="str">
        <v>Southampton</v>
      </c>
    </row>
    <row r="346" spans="2:11" x14ac:dyDescent="0.2">
      <c r="B346">
        <v>0</v>
      </c>
      <c r="C346">
        <v>2</v>
      </c>
      <c r="D346" t="str">
        <v>Sedgwick, Mr. Charles Frederick Waddington</v>
      </c>
      <c r="E346" t="str">
        <v>Hombre</v>
      </c>
      <c r="F346">
        <v>25</v>
      </c>
      <c r="G346">
        <v>0</v>
      </c>
      <c r="H346">
        <v>0</v>
      </c>
      <c r="I346">
        <v>13</v>
      </c>
      <c r="J346">
        <v>0</v>
      </c>
      <c r="K346" t="str">
        <v>Southampton</v>
      </c>
    </row>
    <row r="347" spans="2:11" x14ac:dyDescent="0.2">
      <c r="B347">
        <v>0</v>
      </c>
      <c r="C347">
        <v>2</v>
      </c>
      <c r="D347" t="str">
        <v>Fox, Mr. Stanley Hubert</v>
      </c>
      <c r="E347" t="str">
        <v>Hombre</v>
      </c>
      <c r="F347">
        <v>36</v>
      </c>
      <c r="G347">
        <v>0</v>
      </c>
      <c r="H347">
        <v>0</v>
      </c>
      <c r="I347">
        <v>13</v>
      </c>
      <c r="J347">
        <v>0</v>
      </c>
      <c r="K347" t="str">
        <v>Southampton</v>
      </c>
    </row>
    <row r="348" spans="2:11" x14ac:dyDescent="0.2">
      <c r="B348">
        <v>1</v>
      </c>
      <c r="C348">
        <v>2</v>
      </c>
      <c r="D348" t="str">
        <v>Brown, Miss. Amelia "Mildred"</v>
      </c>
      <c r="E348" t="str">
        <v>Mujer</v>
      </c>
      <c r="F348">
        <v>24</v>
      </c>
      <c r="G348">
        <v>0</v>
      </c>
      <c r="H348">
        <v>0</v>
      </c>
      <c r="I348">
        <v>13</v>
      </c>
      <c r="J348">
        <v>1</v>
      </c>
      <c r="K348" t="str">
        <v>Southampton</v>
      </c>
    </row>
    <row r="349" spans="2:11" x14ac:dyDescent="0.2">
      <c r="B349">
        <v>1</v>
      </c>
      <c r="C349">
        <v>2</v>
      </c>
      <c r="D349" t="str">
        <v>Smith, Miss. Marion Elsie</v>
      </c>
      <c r="E349" t="str">
        <v>Mujer</v>
      </c>
      <c r="F349">
        <v>40</v>
      </c>
      <c r="G349">
        <v>0</v>
      </c>
      <c r="H349">
        <v>0</v>
      </c>
      <c r="I349">
        <v>13</v>
      </c>
      <c r="J349">
        <v>0</v>
      </c>
      <c r="K349" t="str">
        <v>Southampton</v>
      </c>
    </row>
    <row r="350" spans="2:11" x14ac:dyDescent="0.2">
      <c r="B350">
        <v>1</v>
      </c>
      <c r="C350">
        <v>3</v>
      </c>
      <c r="D350" t="str">
        <v>Davison, Mrs. Thomas Henry (Mary E Finck)</v>
      </c>
      <c r="E350" t="str">
        <v>Mujer</v>
      </c>
      <c r="F350">
        <v>0</v>
      </c>
      <c r="G350">
        <v>1</v>
      </c>
      <c r="H350">
        <v>0</v>
      </c>
      <c r="I350">
        <v>161</v>
      </c>
      <c r="J350">
        <v>0</v>
      </c>
      <c r="K350" t="str">
        <v>Southampton</v>
      </c>
    </row>
    <row r="351" spans="2:11" x14ac:dyDescent="0.2">
      <c r="B351">
        <v>1</v>
      </c>
      <c r="C351">
        <v>3</v>
      </c>
      <c r="D351" t="str">
        <v>Coutts, Master. William Loch "William"</v>
      </c>
      <c r="E351" t="str">
        <v>Hombre</v>
      </c>
      <c r="F351">
        <v>3</v>
      </c>
      <c r="G351">
        <v>1</v>
      </c>
      <c r="H351">
        <v>1</v>
      </c>
      <c r="I351">
        <v>159</v>
      </c>
      <c r="J351">
        <v>0</v>
      </c>
      <c r="K351" t="str">
        <v>Southampton</v>
      </c>
    </row>
    <row r="352" spans="2:11" x14ac:dyDescent="0.2">
      <c r="B352">
        <v>0</v>
      </c>
      <c r="C352">
        <v>3</v>
      </c>
      <c r="D352" t="str">
        <v>Dimic, Mr. Jovan</v>
      </c>
      <c r="E352" t="str">
        <v>Hombre</v>
      </c>
      <c r="F352">
        <v>42</v>
      </c>
      <c r="G352">
        <v>0</v>
      </c>
      <c r="H352">
        <v>0</v>
      </c>
      <c r="I352">
        <v>86625</v>
      </c>
      <c r="J352">
        <v>0</v>
      </c>
      <c r="K352" t="str">
        <v>Southampton</v>
      </c>
    </row>
    <row r="353" spans="2:11" x14ac:dyDescent="0.2">
      <c r="B353">
        <v>0</v>
      </c>
      <c r="C353">
        <v>3</v>
      </c>
      <c r="D353" t="str">
        <v>Odahl, Mr. Nils Martin</v>
      </c>
      <c r="E353" t="str">
        <v>Hombre</v>
      </c>
      <c r="F353">
        <v>23</v>
      </c>
      <c r="G353">
        <v>0</v>
      </c>
      <c r="H353">
        <v>0</v>
      </c>
      <c r="I353">
        <v>9225</v>
      </c>
      <c r="J353">
        <v>0</v>
      </c>
      <c r="K353" t="str">
        <v>Southampton</v>
      </c>
    </row>
    <row r="354" spans="2:11" x14ac:dyDescent="0.2">
      <c r="B354">
        <v>0</v>
      </c>
      <c r="C354">
        <v>1</v>
      </c>
      <c r="D354" t="str">
        <v>Williams-Lambert, Mr. Fletcher Fellows</v>
      </c>
      <c r="E354" t="str">
        <v>Hombre</v>
      </c>
      <c r="F354">
        <v>0</v>
      </c>
      <c r="G354">
        <v>0</v>
      </c>
      <c r="H354">
        <v>0</v>
      </c>
      <c r="I354">
        <v>35</v>
      </c>
      <c r="J354">
        <v>1</v>
      </c>
      <c r="K354" t="str">
        <v>Southampton</v>
      </c>
    </row>
    <row r="355" spans="2:11" x14ac:dyDescent="0.2">
      <c r="B355">
        <v>0</v>
      </c>
      <c r="C355">
        <v>3</v>
      </c>
      <c r="D355" t="str">
        <v>Elias, Mr. Tannous</v>
      </c>
      <c r="E355" t="str">
        <v>Hombre</v>
      </c>
      <c r="F355">
        <v>15</v>
      </c>
      <c r="G355">
        <v>1</v>
      </c>
      <c r="H355">
        <v>1</v>
      </c>
      <c r="I355">
        <v>72292</v>
      </c>
      <c r="J355">
        <v>0</v>
      </c>
      <c r="K355" t="str">
        <v>Cherburg</v>
      </c>
    </row>
    <row r="356" spans="2:11" x14ac:dyDescent="0.2">
      <c r="B356">
        <v>0</v>
      </c>
      <c r="C356">
        <v>3</v>
      </c>
      <c r="D356" t="str">
        <v>Arnold-Franchi, Mr. Josef</v>
      </c>
      <c r="E356" t="str">
        <v>Hombre</v>
      </c>
      <c r="F356">
        <v>25</v>
      </c>
      <c r="G356">
        <v>1</v>
      </c>
      <c r="H356">
        <v>0</v>
      </c>
      <c r="I356">
        <v>178</v>
      </c>
      <c r="J356">
        <v>0</v>
      </c>
      <c r="K356" t="str">
        <v>Southampton</v>
      </c>
    </row>
    <row r="357" spans="2:11" x14ac:dyDescent="0.2">
      <c r="B357">
        <v>0</v>
      </c>
      <c r="C357">
        <v>3</v>
      </c>
      <c r="D357" t="str">
        <v>Yousif, Mr. Wazli</v>
      </c>
      <c r="E357" t="str">
        <v>Hombre</v>
      </c>
      <c r="F357">
        <v>0</v>
      </c>
      <c r="G357">
        <v>0</v>
      </c>
      <c r="H357">
        <v>0</v>
      </c>
      <c r="I357">
        <v>7225</v>
      </c>
      <c r="J357">
        <v>0</v>
      </c>
      <c r="K357" t="str">
        <v>Cherburg</v>
      </c>
    </row>
    <row r="358" spans="2:11" x14ac:dyDescent="0.2">
      <c r="B358">
        <v>0</v>
      </c>
      <c r="C358">
        <v>3</v>
      </c>
      <c r="D358" t="str">
        <v>Vanden Steen, Mr. Leo Peter</v>
      </c>
      <c r="E358" t="str">
        <v>Hombre</v>
      </c>
      <c r="F358">
        <v>28</v>
      </c>
      <c r="G358">
        <v>0</v>
      </c>
      <c r="H358">
        <v>0</v>
      </c>
      <c r="I358">
        <v>95</v>
      </c>
      <c r="J358">
        <v>0</v>
      </c>
      <c r="K358" t="str">
        <v>Southampton</v>
      </c>
    </row>
    <row r="359" spans="2:11" x14ac:dyDescent="0.2">
      <c r="B359">
        <v>1</v>
      </c>
      <c r="C359">
        <v>1</v>
      </c>
      <c r="D359" t="str">
        <v>Bowerman, Miss. Elsie Edith</v>
      </c>
      <c r="E359" t="str">
        <v>Mujer</v>
      </c>
      <c r="F359">
        <v>22</v>
      </c>
      <c r="G359">
        <v>0</v>
      </c>
      <c r="H359">
        <v>1</v>
      </c>
      <c r="I359">
        <v>55</v>
      </c>
      <c r="J359">
        <v>1</v>
      </c>
      <c r="K359" t="str">
        <v>Southampton</v>
      </c>
    </row>
    <row r="360" spans="2:11" x14ac:dyDescent="0.2">
      <c r="B360">
        <v>0</v>
      </c>
      <c r="C360">
        <v>2</v>
      </c>
      <c r="D360" t="str">
        <v>Funk, Miss. Annie Clemmer</v>
      </c>
      <c r="E360" t="str">
        <v>Mujer</v>
      </c>
      <c r="F360">
        <v>38</v>
      </c>
      <c r="G360">
        <v>0</v>
      </c>
      <c r="H360">
        <v>0</v>
      </c>
      <c r="I360">
        <v>13</v>
      </c>
      <c r="J360">
        <v>0</v>
      </c>
      <c r="K360" t="str">
        <v>Southampton</v>
      </c>
    </row>
    <row r="361" spans="2:11" x14ac:dyDescent="0.2">
      <c r="B361">
        <v>1</v>
      </c>
      <c r="C361">
        <v>3</v>
      </c>
      <c r="D361" t="str">
        <v>McGovern, Miss. Mary</v>
      </c>
      <c r="E361" t="str">
        <v>Mujer</v>
      </c>
      <c r="F361">
        <v>0</v>
      </c>
      <c r="G361">
        <v>0</v>
      </c>
      <c r="H361">
        <v>0</v>
      </c>
      <c r="I361">
        <v>78792</v>
      </c>
      <c r="J361">
        <v>0</v>
      </c>
      <c r="K361" t="str">
        <v>Queenstown</v>
      </c>
    </row>
    <row r="362" spans="2:11" x14ac:dyDescent="0.2">
      <c r="B362">
        <v>1</v>
      </c>
      <c r="C362">
        <v>3</v>
      </c>
      <c r="D362" t="str">
        <v>Mockler, Miss. Helen Mary "Ellie"</v>
      </c>
      <c r="E362" t="str">
        <v>Mujer</v>
      </c>
      <c r="F362">
        <v>0</v>
      </c>
      <c r="G362">
        <v>0</v>
      </c>
      <c r="H362">
        <v>0</v>
      </c>
      <c r="I362">
        <v>78792</v>
      </c>
      <c r="J362">
        <v>0</v>
      </c>
      <c r="K362" t="str">
        <v>Queenstown</v>
      </c>
    </row>
    <row r="363" spans="2:11" x14ac:dyDescent="0.2">
      <c r="B363">
        <v>0</v>
      </c>
      <c r="C363">
        <v>3</v>
      </c>
      <c r="D363" t="str">
        <v>Skoog, Mr. Wilhelm</v>
      </c>
      <c r="E363" t="str">
        <v>Hombre</v>
      </c>
      <c r="F363">
        <v>40</v>
      </c>
      <c r="G363">
        <v>1</v>
      </c>
      <c r="H363">
        <v>4</v>
      </c>
      <c r="I363">
        <v>279</v>
      </c>
      <c r="J363">
        <v>0</v>
      </c>
      <c r="K363" t="str">
        <v>Southampton</v>
      </c>
    </row>
    <row r="364" spans="2:11" x14ac:dyDescent="0.2">
      <c r="B364">
        <v>0</v>
      </c>
      <c r="C364">
        <v>2</v>
      </c>
      <c r="D364" t="str">
        <v>del Carlo, Mr. Sebastiano</v>
      </c>
      <c r="E364" t="str">
        <v>Hombre</v>
      </c>
      <c r="F364">
        <v>29</v>
      </c>
      <c r="G364">
        <v>1</v>
      </c>
      <c r="H364">
        <v>0</v>
      </c>
      <c r="I364">
        <v>277208</v>
      </c>
      <c r="J364">
        <v>0</v>
      </c>
      <c r="K364" t="str">
        <v>Cherburg</v>
      </c>
    </row>
    <row r="365" spans="2:11" x14ac:dyDescent="0.2">
      <c r="B365">
        <v>0</v>
      </c>
      <c r="C365">
        <v>3</v>
      </c>
      <c r="D365" t="str">
        <v>Barbara, Mrs. (Catherine David)</v>
      </c>
      <c r="E365" t="str">
        <v>Mujer</v>
      </c>
      <c r="F365">
        <v>45</v>
      </c>
      <c r="G365">
        <v>0</v>
      </c>
      <c r="H365">
        <v>1</v>
      </c>
      <c r="I365">
        <v>144542</v>
      </c>
      <c r="J365">
        <v>0</v>
      </c>
      <c r="K365" t="str">
        <v>Cherburg</v>
      </c>
    </row>
    <row r="366" spans="2:11" x14ac:dyDescent="0.2">
      <c r="B366">
        <v>0</v>
      </c>
      <c r="C366">
        <v>3</v>
      </c>
      <c r="D366" t="str">
        <v>Asim, Mr. Adola</v>
      </c>
      <c r="E366" t="str">
        <v>Hombre</v>
      </c>
      <c r="F366">
        <v>35</v>
      </c>
      <c r="G366">
        <v>0</v>
      </c>
      <c r="H366">
        <v>0</v>
      </c>
      <c r="I366">
        <v>705</v>
      </c>
      <c r="J366">
        <v>0</v>
      </c>
      <c r="K366" t="str">
        <v>Southampton</v>
      </c>
    </row>
    <row r="367" spans="2:11" x14ac:dyDescent="0.2">
      <c r="B367">
        <v>0</v>
      </c>
      <c r="C367">
        <v>3</v>
      </c>
      <c r="D367" t="str">
        <v>O'Brien, Mr. Thomas</v>
      </c>
      <c r="E367" t="str">
        <v>Hombre</v>
      </c>
      <c r="F367">
        <v>0</v>
      </c>
      <c r="G367">
        <v>1</v>
      </c>
      <c r="H367">
        <v>0</v>
      </c>
      <c r="I367">
        <v>155</v>
      </c>
      <c r="J367">
        <v>0</v>
      </c>
      <c r="K367" t="str">
        <v>Queenstown</v>
      </c>
    </row>
    <row r="368" spans="2:11" x14ac:dyDescent="0.2">
      <c r="B368">
        <v>0</v>
      </c>
      <c r="C368">
        <v>3</v>
      </c>
      <c r="D368" t="str">
        <v>Adahl, Mr. Mauritz Nils Martin</v>
      </c>
      <c r="E368" t="str">
        <v>Hombre</v>
      </c>
      <c r="F368">
        <v>30</v>
      </c>
      <c r="G368">
        <v>0</v>
      </c>
      <c r="H368">
        <v>0</v>
      </c>
      <c r="I368">
        <v>725</v>
      </c>
      <c r="J368">
        <v>0</v>
      </c>
      <c r="K368" t="str">
        <v>Southampton</v>
      </c>
    </row>
    <row r="369" spans="2:11" x14ac:dyDescent="0.2">
      <c r="B369">
        <v>1</v>
      </c>
      <c r="C369">
        <v>1</v>
      </c>
      <c r="D369" t="str">
        <v>Warren, Mrs. Frank Manley (Anna Sophia Atkinson)</v>
      </c>
      <c r="E369" t="str">
        <v>Mujer</v>
      </c>
      <c r="F369">
        <v>60</v>
      </c>
      <c r="G369">
        <v>1</v>
      </c>
      <c r="H369">
        <v>0</v>
      </c>
      <c r="I369">
        <v>7525</v>
      </c>
      <c r="J369">
        <v>1</v>
      </c>
      <c r="K369" t="str">
        <v>Cherburg</v>
      </c>
    </row>
    <row r="370" spans="2:11" x14ac:dyDescent="0.2">
      <c r="B370">
        <v>1</v>
      </c>
      <c r="C370">
        <v>3</v>
      </c>
      <c r="D370" t="str">
        <v>Moussa, Mrs. (Mantoura Boulos)</v>
      </c>
      <c r="E370" t="str">
        <v>Mujer</v>
      </c>
      <c r="F370">
        <v>0</v>
      </c>
      <c r="G370">
        <v>0</v>
      </c>
      <c r="H370">
        <v>0</v>
      </c>
      <c r="I370">
        <v>72292</v>
      </c>
      <c r="J370">
        <v>0</v>
      </c>
      <c r="K370" t="str">
        <v>Cherburg</v>
      </c>
    </row>
    <row r="371" spans="2:11" x14ac:dyDescent="0.2">
      <c r="B371">
        <v>1</v>
      </c>
      <c r="C371">
        <v>3</v>
      </c>
      <c r="D371" t="str">
        <v>Jermyn, Miss. Annie</v>
      </c>
      <c r="E371" t="str">
        <v>Mujer</v>
      </c>
      <c r="F371">
        <v>0</v>
      </c>
      <c r="G371">
        <v>0</v>
      </c>
      <c r="H371">
        <v>0</v>
      </c>
      <c r="I371">
        <v>775</v>
      </c>
      <c r="J371">
        <v>0</v>
      </c>
      <c r="K371" t="str">
        <v>Queenstown</v>
      </c>
    </row>
    <row r="372" spans="2:11" x14ac:dyDescent="0.2">
      <c r="B372">
        <v>1</v>
      </c>
      <c r="C372">
        <v>1</v>
      </c>
      <c r="D372" t="str">
        <v>Aubart, Mme. Leontine Pauline</v>
      </c>
      <c r="E372" t="str">
        <v>Mujer</v>
      </c>
      <c r="F372">
        <v>24</v>
      </c>
      <c r="G372">
        <v>0</v>
      </c>
      <c r="H372">
        <v>0</v>
      </c>
      <c r="I372">
        <v>693</v>
      </c>
      <c r="J372">
        <v>1</v>
      </c>
      <c r="K372" t="str">
        <v>Cherburg</v>
      </c>
    </row>
    <row r="373" spans="2:11" x14ac:dyDescent="0.2">
      <c r="B373">
        <v>1</v>
      </c>
      <c r="C373">
        <v>1</v>
      </c>
      <c r="D373" t="str">
        <v>Harder, Mr. George Achilles</v>
      </c>
      <c r="E373" t="str">
        <v>Hombre</v>
      </c>
      <c r="F373">
        <v>25</v>
      </c>
      <c r="G373">
        <v>1</v>
      </c>
      <c r="H373">
        <v>0</v>
      </c>
      <c r="I373">
        <v>554417</v>
      </c>
      <c r="J373">
        <v>1</v>
      </c>
      <c r="K373" t="str">
        <v>Cherburg</v>
      </c>
    </row>
    <row r="374" spans="2:11" x14ac:dyDescent="0.2">
      <c r="B374">
        <v>0</v>
      </c>
      <c r="C374">
        <v>3</v>
      </c>
      <c r="D374" t="str">
        <v>Wiklund, Mr. Jakob Alfred</v>
      </c>
      <c r="E374" t="str">
        <v>Hombre</v>
      </c>
      <c r="F374">
        <v>18</v>
      </c>
      <c r="G374">
        <v>1</v>
      </c>
      <c r="H374">
        <v>0</v>
      </c>
      <c r="I374">
        <v>64958</v>
      </c>
      <c r="J374">
        <v>0</v>
      </c>
      <c r="K374" t="str">
        <v>Southampton</v>
      </c>
    </row>
    <row r="375" spans="2:11" x14ac:dyDescent="0.2">
      <c r="B375">
        <v>0</v>
      </c>
      <c r="C375">
        <v>3</v>
      </c>
      <c r="D375" t="str">
        <v>Beavan, Mr. William Thomas</v>
      </c>
      <c r="E375" t="str">
        <v>Hombre</v>
      </c>
      <c r="F375">
        <v>19</v>
      </c>
      <c r="G375">
        <v>0</v>
      </c>
      <c r="H375">
        <v>0</v>
      </c>
      <c r="I375">
        <v>805</v>
      </c>
      <c r="J375">
        <v>0</v>
      </c>
      <c r="K375" t="str">
        <v>Southampton</v>
      </c>
    </row>
    <row r="376" spans="2:11" x14ac:dyDescent="0.2">
      <c r="B376">
        <v>0</v>
      </c>
      <c r="C376">
        <v>1</v>
      </c>
      <c r="D376" t="str">
        <v>Ringhini, Mr. Sante</v>
      </c>
      <c r="E376" t="str">
        <v>Hombre</v>
      </c>
      <c r="F376">
        <v>22</v>
      </c>
      <c r="G376">
        <v>0</v>
      </c>
      <c r="H376">
        <v>0</v>
      </c>
      <c r="I376">
        <v>1356333</v>
      </c>
      <c r="J376">
        <v>0</v>
      </c>
      <c r="K376" t="str">
        <v>Cherburg</v>
      </c>
    </row>
    <row r="377" spans="2:11" x14ac:dyDescent="0.2">
      <c r="B377">
        <v>0</v>
      </c>
      <c r="C377">
        <v>3</v>
      </c>
      <c r="D377" t="str">
        <v>Palsson, Miss. Stina Viola</v>
      </c>
      <c r="E377" t="str">
        <v>Mujer</v>
      </c>
      <c r="F377">
        <v>3</v>
      </c>
      <c r="G377">
        <v>3</v>
      </c>
      <c r="H377">
        <v>1</v>
      </c>
      <c r="I377">
        <v>21075</v>
      </c>
      <c r="J377">
        <v>0</v>
      </c>
      <c r="K377" t="str">
        <v>Southampton</v>
      </c>
    </row>
    <row r="378" spans="2:11" x14ac:dyDescent="0.2">
      <c r="B378">
        <v>1</v>
      </c>
      <c r="C378">
        <v>1</v>
      </c>
      <c r="D378" t="str">
        <v>Meyer, Mrs. Edgar Joseph (Leila Saks)</v>
      </c>
      <c r="E378" t="str">
        <v>Mujer</v>
      </c>
      <c r="F378">
        <v>0</v>
      </c>
      <c r="G378">
        <v>1</v>
      </c>
      <c r="H378">
        <v>0</v>
      </c>
      <c r="I378">
        <v>821708</v>
      </c>
      <c r="J378">
        <v>0</v>
      </c>
      <c r="K378" t="str">
        <v>Cherburg</v>
      </c>
    </row>
    <row r="379" spans="2:11" x14ac:dyDescent="0.2">
      <c r="B379">
        <v>1</v>
      </c>
      <c r="C379">
        <v>3</v>
      </c>
      <c r="D379" t="str">
        <v>Landergren, Miss. Aurora Adelia</v>
      </c>
      <c r="E379" t="str">
        <v>Mujer</v>
      </c>
      <c r="F379">
        <v>22</v>
      </c>
      <c r="G379">
        <v>0</v>
      </c>
      <c r="H379">
        <v>0</v>
      </c>
      <c r="I379">
        <v>725</v>
      </c>
      <c r="J379">
        <v>0</v>
      </c>
      <c r="K379" t="str">
        <v>Southampton</v>
      </c>
    </row>
    <row r="380" spans="2:11" x14ac:dyDescent="0.2">
      <c r="B380">
        <v>0</v>
      </c>
      <c r="C380">
        <v>1</v>
      </c>
      <c r="D380" t="str">
        <v>Widener, Mr. Harry Elkins</v>
      </c>
      <c r="E380" t="str">
        <v>Hombre</v>
      </c>
      <c r="F380">
        <v>27</v>
      </c>
      <c r="G380">
        <v>0</v>
      </c>
      <c r="H380">
        <v>2</v>
      </c>
      <c r="I380">
        <v>2115</v>
      </c>
      <c r="J380">
        <v>1</v>
      </c>
      <c r="K380" t="str">
        <v>Cherburg</v>
      </c>
    </row>
    <row r="381" spans="2:11" x14ac:dyDescent="0.2">
      <c r="B381">
        <v>0</v>
      </c>
      <c r="C381">
        <v>3</v>
      </c>
      <c r="D381" t="str">
        <v>Betros, Mr. Tannous</v>
      </c>
      <c r="E381" t="str">
        <v>Hombre</v>
      </c>
      <c r="F381">
        <v>20</v>
      </c>
      <c r="G381">
        <v>0</v>
      </c>
      <c r="H381">
        <v>0</v>
      </c>
      <c r="I381">
        <v>40125</v>
      </c>
      <c r="J381">
        <v>0</v>
      </c>
      <c r="K381" t="str">
        <v>Cherburg</v>
      </c>
    </row>
    <row r="382" spans="2:11" x14ac:dyDescent="0.2">
      <c r="B382">
        <v>0</v>
      </c>
      <c r="C382">
        <v>3</v>
      </c>
      <c r="D382" t="str">
        <v>Gustafsson, Mr. Karl Gideon</v>
      </c>
      <c r="E382" t="str">
        <v>Hombre</v>
      </c>
      <c r="F382">
        <v>19</v>
      </c>
      <c r="G382">
        <v>0</v>
      </c>
      <c r="H382">
        <v>0</v>
      </c>
      <c r="I382">
        <v>7775</v>
      </c>
      <c r="J382">
        <v>0</v>
      </c>
      <c r="K382" t="str">
        <v>Southampton</v>
      </c>
    </row>
    <row r="383" spans="2:11" x14ac:dyDescent="0.2">
      <c r="B383">
        <v>1</v>
      </c>
      <c r="C383">
        <v>1</v>
      </c>
      <c r="D383" t="str">
        <v>Bidois, Miss. Rosalie</v>
      </c>
      <c r="E383" t="str">
        <v>Mujer</v>
      </c>
      <c r="F383">
        <v>42</v>
      </c>
      <c r="G383">
        <v>0</v>
      </c>
      <c r="H383">
        <v>0</v>
      </c>
      <c r="I383">
        <v>227525</v>
      </c>
      <c r="J383">
        <v>0</v>
      </c>
      <c r="K383" t="str">
        <v>Cherburg</v>
      </c>
    </row>
    <row r="384" spans="2:11" x14ac:dyDescent="0.2">
      <c r="B384">
        <v>1</v>
      </c>
      <c r="C384">
        <v>3</v>
      </c>
      <c r="D384" t="str">
        <v>Nakid, Miss. Maria ("Mary")</v>
      </c>
      <c r="E384" t="str">
        <v>Mujer</v>
      </c>
      <c r="F384">
        <v>1</v>
      </c>
      <c r="G384">
        <v>0</v>
      </c>
      <c r="H384">
        <v>2</v>
      </c>
      <c r="I384">
        <v>157417</v>
      </c>
      <c r="J384">
        <v>0</v>
      </c>
      <c r="K384" t="str">
        <v>Cherburg</v>
      </c>
    </row>
    <row r="385" spans="2:11" x14ac:dyDescent="0.2">
      <c r="B385">
        <v>0</v>
      </c>
      <c r="C385">
        <v>3</v>
      </c>
      <c r="D385" t="str">
        <v>Tikkanen, Mr. Juho</v>
      </c>
      <c r="E385" t="str">
        <v>Hombre</v>
      </c>
      <c r="F385">
        <v>32</v>
      </c>
      <c r="G385">
        <v>0</v>
      </c>
      <c r="H385">
        <v>0</v>
      </c>
      <c r="I385">
        <v>7925</v>
      </c>
      <c r="J385">
        <v>0</v>
      </c>
      <c r="K385" t="str">
        <v>Southampton</v>
      </c>
    </row>
    <row r="386" spans="2:11" x14ac:dyDescent="0.2">
      <c r="B386">
        <v>1</v>
      </c>
      <c r="C386">
        <v>1</v>
      </c>
      <c r="D386" t="str">
        <v>Holverson, Mrs. Alexander Oskar (Mary Aline Towner)</v>
      </c>
      <c r="E386" t="str">
        <v>Mujer</v>
      </c>
      <c r="F386">
        <v>35</v>
      </c>
      <c r="G386">
        <v>1</v>
      </c>
      <c r="H386">
        <v>0</v>
      </c>
      <c r="I386">
        <v>52</v>
      </c>
      <c r="J386">
        <v>0</v>
      </c>
      <c r="K386" t="str">
        <v>Southampton</v>
      </c>
    </row>
    <row r="387" spans="2:11" x14ac:dyDescent="0.2">
      <c r="B387">
        <v>0</v>
      </c>
      <c r="C387">
        <v>3</v>
      </c>
      <c r="D387" t="str">
        <v>Plotcharsky, Mr. Vasil</v>
      </c>
      <c r="E387" t="str">
        <v>Hombre</v>
      </c>
      <c r="F387">
        <v>0</v>
      </c>
      <c r="G387">
        <v>0</v>
      </c>
      <c r="H387">
        <v>0</v>
      </c>
      <c r="I387">
        <v>78958</v>
      </c>
      <c r="J387">
        <v>0</v>
      </c>
      <c r="K387" t="str">
        <v>Southampton</v>
      </c>
    </row>
    <row r="388" spans="2:11" x14ac:dyDescent="0.2">
      <c r="B388">
        <v>0</v>
      </c>
      <c r="C388">
        <v>2</v>
      </c>
      <c r="D388" t="str">
        <v>Davies, Mr. Charles Henry</v>
      </c>
      <c r="E388" t="str">
        <v>Hombre</v>
      </c>
      <c r="F388">
        <v>18</v>
      </c>
      <c r="G388">
        <v>0</v>
      </c>
      <c r="H388">
        <v>0</v>
      </c>
      <c r="I388">
        <v>735</v>
      </c>
      <c r="J388">
        <v>0</v>
      </c>
      <c r="K388" t="str">
        <v>Southampton</v>
      </c>
    </row>
    <row r="389" spans="2:11" x14ac:dyDescent="0.2">
      <c r="B389">
        <v>0</v>
      </c>
      <c r="C389">
        <v>3</v>
      </c>
      <c r="D389" t="str">
        <v>Goodwin, Master. Sidney Leonard</v>
      </c>
      <c r="E389" t="str">
        <v>Hombre</v>
      </c>
      <c r="F389">
        <v>1</v>
      </c>
      <c r="G389">
        <v>5</v>
      </c>
      <c r="H389">
        <v>2</v>
      </c>
      <c r="I389">
        <v>469</v>
      </c>
      <c r="J389">
        <v>0</v>
      </c>
      <c r="K389" t="str">
        <v>Southampton</v>
      </c>
    </row>
    <row r="390" spans="2:11" x14ac:dyDescent="0.2">
      <c r="B390">
        <v>1</v>
      </c>
      <c r="C390">
        <v>2</v>
      </c>
      <c r="D390" t="str">
        <v>Buss, Miss. Kate</v>
      </c>
      <c r="E390" t="str">
        <v>Mujer</v>
      </c>
      <c r="F390">
        <v>36</v>
      </c>
      <c r="G390">
        <v>0</v>
      </c>
      <c r="H390">
        <v>0</v>
      </c>
      <c r="I390">
        <v>13</v>
      </c>
      <c r="J390">
        <v>0</v>
      </c>
      <c r="K390" t="str">
        <v>Southampton</v>
      </c>
    </row>
    <row r="391" spans="2:11" x14ac:dyDescent="0.2">
      <c r="B391">
        <v>0</v>
      </c>
      <c r="C391">
        <v>3</v>
      </c>
      <c r="D391" t="str">
        <v>Sadlier, Mr. Matthew</v>
      </c>
      <c r="E391" t="str">
        <v>Hombre</v>
      </c>
      <c r="F391">
        <v>0</v>
      </c>
      <c r="G391">
        <v>0</v>
      </c>
      <c r="H391">
        <v>0</v>
      </c>
      <c r="I391">
        <v>77292</v>
      </c>
      <c r="J391">
        <v>0</v>
      </c>
      <c r="K391" t="str">
        <v>Queenstown</v>
      </c>
    </row>
    <row r="392" spans="2:11" x14ac:dyDescent="0.2">
      <c r="B392">
        <v>1</v>
      </c>
      <c r="C392">
        <v>2</v>
      </c>
      <c r="D392" t="str">
        <v>Lehmann, Miss. Bertha</v>
      </c>
      <c r="E392" t="str">
        <v>Mujer</v>
      </c>
      <c r="F392">
        <v>17</v>
      </c>
      <c r="G392">
        <v>0</v>
      </c>
      <c r="H392">
        <v>0</v>
      </c>
      <c r="I392">
        <v>12</v>
      </c>
      <c r="J392">
        <v>0</v>
      </c>
      <c r="K392" t="str">
        <v>Cherburg</v>
      </c>
    </row>
    <row r="393" spans="2:11" x14ac:dyDescent="0.2">
      <c r="B393">
        <v>1</v>
      </c>
      <c r="C393">
        <v>1</v>
      </c>
      <c r="D393" t="str">
        <v>Carter, Mr. William Ernest</v>
      </c>
      <c r="E393" t="str">
        <v>Hombre</v>
      </c>
      <c r="F393">
        <v>36</v>
      </c>
      <c r="G393">
        <v>1</v>
      </c>
      <c r="H393">
        <v>2</v>
      </c>
      <c r="I393">
        <v>120</v>
      </c>
      <c r="J393">
        <v>1</v>
      </c>
      <c r="K393" t="str">
        <v>Southampton</v>
      </c>
    </row>
    <row r="394" spans="2:11" x14ac:dyDescent="0.2">
      <c r="B394">
        <v>1</v>
      </c>
      <c r="C394">
        <v>3</v>
      </c>
      <c r="D394" t="str">
        <v>Jansson, Mr. Carl Olof</v>
      </c>
      <c r="E394" t="str">
        <v>Hombre</v>
      </c>
      <c r="F394">
        <v>21</v>
      </c>
      <c r="G394">
        <v>0</v>
      </c>
      <c r="H394">
        <v>0</v>
      </c>
      <c r="I394">
        <v>77958</v>
      </c>
      <c r="J394">
        <v>0</v>
      </c>
      <c r="K394" t="str">
        <v>Southampton</v>
      </c>
    </row>
    <row r="395" spans="2:11" x14ac:dyDescent="0.2">
      <c r="B395">
        <v>0</v>
      </c>
      <c r="C395">
        <v>3</v>
      </c>
      <c r="D395" t="str">
        <v>Gustafsson, Mr. Johan Birger</v>
      </c>
      <c r="E395" t="str">
        <v>Hombre</v>
      </c>
      <c r="F395">
        <v>28</v>
      </c>
      <c r="G395">
        <v>2</v>
      </c>
      <c r="H395">
        <v>0</v>
      </c>
      <c r="I395">
        <v>7925</v>
      </c>
      <c r="J395">
        <v>0</v>
      </c>
      <c r="K395" t="str">
        <v>Southampton</v>
      </c>
    </row>
    <row r="396" spans="2:11" x14ac:dyDescent="0.2">
      <c r="B396">
        <v>1</v>
      </c>
      <c r="C396">
        <v>1</v>
      </c>
      <c r="D396" t="str">
        <v>Newell, Miss. Marjorie</v>
      </c>
      <c r="E396" t="str">
        <v>Mujer</v>
      </c>
      <c r="F396">
        <v>23</v>
      </c>
      <c r="G396">
        <v>1</v>
      </c>
      <c r="H396">
        <v>0</v>
      </c>
      <c r="I396">
        <v>113275</v>
      </c>
      <c r="J396">
        <v>1</v>
      </c>
      <c r="K396" t="str">
        <v>Cherburg</v>
      </c>
    </row>
    <row r="397" spans="2:11" x14ac:dyDescent="0.2">
      <c r="B397">
        <v>1</v>
      </c>
      <c r="C397">
        <v>3</v>
      </c>
      <c r="D397" t="str">
        <v>Sandstrom, Mrs. Hjalmar (Agnes Charlotta Bengtsson)</v>
      </c>
      <c r="E397" t="str">
        <v>Mujer</v>
      </c>
      <c r="F397">
        <v>24</v>
      </c>
      <c r="G397">
        <v>0</v>
      </c>
      <c r="H397">
        <v>2</v>
      </c>
      <c r="I397">
        <v>167</v>
      </c>
      <c r="J397">
        <v>1</v>
      </c>
      <c r="K397" t="str">
        <v>Southampton</v>
      </c>
    </row>
    <row r="398" spans="2:11" x14ac:dyDescent="0.2">
      <c r="B398">
        <v>0</v>
      </c>
      <c r="C398">
        <v>3</v>
      </c>
      <c r="D398" t="str">
        <v>Johansson, Mr. Erik</v>
      </c>
      <c r="E398" t="str">
        <v>Hombre</v>
      </c>
      <c r="F398">
        <v>22</v>
      </c>
      <c r="G398">
        <v>0</v>
      </c>
      <c r="H398">
        <v>0</v>
      </c>
      <c r="I398">
        <v>77958</v>
      </c>
      <c r="J398">
        <v>0</v>
      </c>
      <c r="K398" t="str">
        <v>Southampton</v>
      </c>
    </row>
    <row r="399" spans="2:11" x14ac:dyDescent="0.2">
      <c r="B399">
        <v>0</v>
      </c>
      <c r="C399">
        <v>3</v>
      </c>
      <c r="D399" t="str">
        <v>Olsson, Miss. Elina</v>
      </c>
      <c r="E399" t="str">
        <v>Mujer</v>
      </c>
      <c r="F399">
        <v>31</v>
      </c>
      <c r="G399">
        <v>0</v>
      </c>
      <c r="H399">
        <v>0</v>
      </c>
      <c r="I399">
        <v>78542</v>
      </c>
      <c r="J399">
        <v>0</v>
      </c>
      <c r="K399" t="str">
        <v>Southampton</v>
      </c>
    </row>
    <row r="400" spans="2:11" x14ac:dyDescent="0.2">
      <c r="B400">
        <v>0</v>
      </c>
      <c r="C400">
        <v>2</v>
      </c>
      <c r="D400" t="str">
        <v>McKane, Mr. Peter David</v>
      </c>
      <c r="E400" t="str">
        <v>Hombre</v>
      </c>
      <c r="F400">
        <v>46</v>
      </c>
      <c r="G400">
        <v>0</v>
      </c>
      <c r="H400">
        <v>0</v>
      </c>
      <c r="I400">
        <v>26</v>
      </c>
      <c r="J400">
        <v>0</v>
      </c>
      <c r="K400" t="str">
        <v>Southampton</v>
      </c>
    </row>
    <row r="401" spans="2:11" x14ac:dyDescent="0.2">
      <c r="B401">
        <v>0</v>
      </c>
      <c r="C401">
        <v>2</v>
      </c>
      <c r="D401" t="str">
        <v>Pain, Dr. Alfred</v>
      </c>
      <c r="E401" t="str">
        <v>Hombre</v>
      </c>
      <c r="F401">
        <v>23</v>
      </c>
      <c r="G401">
        <v>0</v>
      </c>
      <c r="H401">
        <v>0</v>
      </c>
      <c r="I401">
        <v>105</v>
      </c>
      <c r="J401">
        <v>0</v>
      </c>
      <c r="K401" t="str">
        <v>Southampton</v>
      </c>
    </row>
    <row r="402" spans="2:11" x14ac:dyDescent="0.2">
      <c r="B402">
        <v>1</v>
      </c>
      <c r="C402">
        <v>2</v>
      </c>
      <c r="D402" t="str">
        <v>Trout, Mrs. William H (Jessie L)</v>
      </c>
      <c r="E402" t="str">
        <v>Mujer</v>
      </c>
      <c r="F402">
        <v>28</v>
      </c>
      <c r="G402">
        <v>0</v>
      </c>
      <c r="H402">
        <v>0</v>
      </c>
      <c r="I402">
        <v>1265</v>
      </c>
      <c r="J402">
        <v>0</v>
      </c>
      <c r="K402" t="str">
        <v>Southampton</v>
      </c>
    </row>
    <row r="403" spans="2:11" x14ac:dyDescent="0.2">
      <c r="B403">
        <v>1</v>
      </c>
      <c r="C403">
        <v>3</v>
      </c>
      <c r="D403" t="str">
        <v>Niskanen, Mr. Juha</v>
      </c>
      <c r="E403" t="str">
        <v>Hombre</v>
      </c>
      <c r="F403">
        <v>39</v>
      </c>
      <c r="G403">
        <v>0</v>
      </c>
      <c r="H403">
        <v>0</v>
      </c>
      <c r="I403">
        <v>7925</v>
      </c>
      <c r="J403">
        <v>0</v>
      </c>
      <c r="K403" t="str">
        <v>Southampton</v>
      </c>
    </row>
    <row r="404" spans="2:11" x14ac:dyDescent="0.2">
      <c r="B404">
        <v>0</v>
      </c>
      <c r="C404">
        <v>3</v>
      </c>
      <c r="D404" t="str">
        <v>Adams, Mr. John</v>
      </c>
      <c r="E404" t="str">
        <v>Hombre</v>
      </c>
      <c r="F404">
        <v>26</v>
      </c>
      <c r="G404">
        <v>0</v>
      </c>
      <c r="H404">
        <v>0</v>
      </c>
      <c r="I404">
        <v>805</v>
      </c>
      <c r="J404">
        <v>0</v>
      </c>
      <c r="K404" t="str">
        <v>Southampton</v>
      </c>
    </row>
    <row r="405" spans="2:11" x14ac:dyDescent="0.2">
      <c r="B405">
        <v>0</v>
      </c>
      <c r="C405">
        <v>3</v>
      </c>
      <c r="D405" t="str">
        <v>Jussila, Miss. Mari Aina</v>
      </c>
      <c r="E405" t="str">
        <v>Mujer</v>
      </c>
      <c r="F405">
        <v>21</v>
      </c>
      <c r="G405">
        <v>1</v>
      </c>
      <c r="H405">
        <v>0</v>
      </c>
      <c r="I405">
        <v>9825</v>
      </c>
      <c r="J405">
        <v>0</v>
      </c>
      <c r="K405" t="str">
        <v>Southampton</v>
      </c>
    </row>
    <row r="406" spans="2:11" x14ac:dyDescent="0.2">
      <c r="B406">
        <v>0</v>
      </c>
      <c r="C406">
        <v>3</v>
      </c>
      <c r="D406" t="str">
        <v>Hakkarainen, Mr. Pekka Pietari</v>
      </c>
      <c r="E406" t="str">
        <v>Hombre</v>
      </c>
      <c r="F406">
        <v>28</v>
      </c>
      <c r="G406">
        <v>1</v>
      </c>
      <c r="H406">
        <v>0</v>
      </c>
      <c r="I406">
        <v>1585</v>
      </c>
      <c r="J406">
        <v>0</v>
      </c>
      <c r="K406" t="str">
        <v>Southampton</v>
      </c>
    </row>
    <row r="407" spans="2:11" x14ac:dyDescent="0.2">
      <c r="B407">
        <v>0</v>
      </c>
      <c r="C407">
        <v>3</v>
      </c>
      <c r="D407" t="str">
        <v>Oreskovic, Miss. Marija</v>
      </c>
      <c r="E407" t="str">
        <v>Mujer</v>
      </c>
      <c r="F407">
        <v>20</v>
      </c>
      <c r="G407">
        <v>0</v>
      </c>
      <c r="H407">
        <v>0</v>
      </c>
      <c r="I407">
        <v>86625</v>
      </c>
      <c r="J407">
        <v>0</v>
      </c>
      <c r="K407" t="str">
        <v>Southampton</v>
      </c>
    </row>
    <row r="408" spans="2:11" x14ac:dyDescent="0.2">
      <c r="B408">
        <v>0</v>
      </c>
      <c r="C408">
        <v>2</v>
      </c>
      <c r="D408" t="str">
        <v>Gale, Mr. Shadrach</v>
      </c>
      <c r="E408" t="str">
        <v>Hombre</v>
      </c>
      <c r="F408">
        <v>34</v>
      </c>
      <c r="G408">
        <v>1</v>
      </c>
      <c r="H408">
        <v>0</v>
      </c>
      <c r="I408">
        <v>21</v>
      </c>
      <c r="J408">
        <v>0</v>
      </c>
      <c r="K408" t="str">
        <v>Southampton</v>
      </c>
    </row>
    <row r="409" spans="2:11" x14ac:dyDescent="0.2">
      <c r="B409">
        <v>0</v>
      </c>
      <c r="C409">
        <v>3</v>
      </c>
      <c r="D409" t="str">
        <v>Widegren, Mr. Carl/Charles Peter</v>
      </c>
      <c r="E409" t="str">
        <v>Hombre</v>
      </c>
      <c r="F409">
        <v>51</v>
      </c>
      <c r="G409">
        <v>0</v>
      </c>
      <c r="H409">
        <v>0</v>
      </c>
      <c r="I409">
        <v>775</v>
      </c>
      <c r="J409">
        <v>0</v>
      </c>
      <c r="K409" t="str">
        <v>Southampton</v>
      </c>
    </row>
    <row r="410" spans="2:11" x14ac:dyDescent="0.2">
      <c r="B410">
        <v>1</v>
      </c>
      <c r="C410">
        <v>2</v>
      </c>
      <c r="D410" t="str">
        <v>Richards, Master. William Rowe</v>
      </c>
      <c r="E410" t="str">
        <v>Hombre</v>
      </c>
      <c r="F410">
        <v>3</v>
      </c>
      <c r="G410">
        <v>1</v>
      </c>
      <c r="H410">
        <v>1</v>
      </c>
      <c r="I410">
        <v>1875</v>
      </c>
      <c r="J410">
        <v>0</v>
      </c>
      <c r="K410" t="str">
        <v>Southampton</v>
      </c>
    </row>
    <row r="411" spans="2:11" x14ac:dyDescent="0.2">
      <c r="B411">
        <v>0</v>
      </c>
      <c r="C411">
        <v>3</v>
      </c>
      <c r="D411" t="str">
        <v>Birkeland, Mr. Hans Martin Monsen</v>
      </c>
      <c r="E411" t="str">
        <v>Hombre</v>
      </c>
      <c r="F411">
        <v>21</v>
      </c>
      <c r="G411">
        <v>0</v>
      </c>
      <c r="H411">
        <v>0</v>
      </c>
      <c r="I411">
        <v>7775</v>
      </c>
      <c r="J411">
        <v>0</v>
      </c>
      <c r="K411" t="str">
        <v>Southampton</v>
      </c>
    </row>
    <row r="412" spans="2:11" x14ac:dyDescent="0.2">
      <c r="B412">
        <v>0</v>
      </c>
      <c r="C412">
        <v>3</v>
      </c>
      <c r="D412" t="str">
        <v>Lefebre, Miss. Ida</v>
      </c>
      <c r="E412" t="str">
        <v>Mujer</v>
      </c>
      <c r="F412">
        <v>0</v>
      </c>
      <c r="G412">
        <v>3</v>
      </c>
      <c r="H412">
        <v>1</v>
      </c>
      <c r="I412">
        <v>254667</v>
      </c>
      <c r="J412">
        <v>0</v>
      </c>
      <c r="K412" t="str">
        <v>Southampton</v>
      </c>
    </row>
    <row r="413" spans="2:11" x14ac:dyDescent="0.2">
      <c r="B413">
        <v>0</v>
      </c>
      <c r="C413">
        <v>3</v>
      </c>
      <c r="D413" t="str">
        <v>Sdycoff, Mr. Todor</v>
      </c>
      <c r="E413" t="str">
        <v>Hombre</v>
      </c>
      <c r="F413">
        <v>0</v>
      </c>
      <c r="G413">
        <v>0</v>
      </c>
      <c r="H413">
        <v>0</v>
      </c>
      <c r="I413">
        <v>78958</v>
      </c>
      <c r="J413">
        <v>0</v>
      </c>
      <c r="K413" t="str">
        <v>Southampton</v>
      </c>
    </row>
    <row r="414" spans="2:11" x14ac:dyDescent="0.2">
      <c r="B414">
        <v>0</v>
      </c>
      <c r="C414">
        <v>3</v>
      </c>
      <c r="D414" t="str">
        <v>Hart, Mr. Henry</v>
      </c>
      <c r="E414" t="str">
        <v>Hombre</v>
      </c>
      <c r="F414">
        <v>0</v>
      </c>
      <c r="G414">
        <v>0</v>
      </c>
      <c r="H414">
        <v>0</v>
      </c>
      <c r="I414">
        <v>68583</v>
      </c>
      <c r="J414">
        <v>0</v>
      </c>
      <c r="K414" t="str">
        <v>Queenstown</v>
      </c>
    </row>
    <row r="415" spans="2:11" x14ac:dyDescent="0.2">
      <c r="B415">
        <v>1</v>
      </c>
      <c r="C415">
        <v>1</v>
      </c>
      <c r="D415" t="str">
        <v>Minahan, Miss. Daisy E</v>
      </c>
      <c r="E415" t="str">
        <v>Mujer</v>
      </c>
      <c r="F415">
        <v>33</v>
      </c>
      <c r="G415">
        <v>1</v>
      </c>
      <c r="H415">
        <v>0</v>
      </c>
      <c r="I415">
        <v>90</v>
      </c>
      <c r="J415">
        <v>1</v>
      </c>
      <c r="K415" t="str">
        <v>Queenstown</v>
      </c>
    </row>
    <row r="416" spans="2:11" x14ac:dyDescent="0.2">
      <c r="B416">
        <v>0</v>
      </c>
      <c r="C416">
        <v>2</v>
      </c>
      <c r="D416" t="str">
        <v>Cunningham, Mr. Alfred Fleming</v>
      </c>
      <c r="E416" t="str">
        <v>Hombre</v>
      </c>
      <c r="F416">
        <v>0</v>
      </c>
      <c r="G416">
        <v>0</v>
      </c>
      <c r="H416">
        <v>0</v>
      </c>
      <c r="I416">
        <v>0</v>
      </c>
      <c r="J416">
        <v>0</v>
      </c>
      <c r="K416" t="str">
        <v>Southampton</v>
      </c>
    </row>
    <row r="417" spans="2:11" x14ac:dyDescent="0.2">
      <c r="B417">
        <v>1</v>
      </c>
      <c r="C417">
        <v>3</v>
      </c>
      <c r="D417" t="str">
        <v>Sundman, Mr. Johan Julian</v>
      </c>
      <c r="E417" t="str">
        <v>Hombre</v>
      </c>
      <c r="F417">
        <v>44</v>
      </c>
      <c r="G417">
        <v>0</v>
      </c>
      <c r="H417">
        <v>0</v>
      </c>
      <c r="I417">
        <v>7925</v>
      </c>
      <c r="J417">
        <v>0</v>
      </c>
      <c r="K417" t="str">
        <v>Southampton</v>
      </c>
    </row>
    <row r="418" spans="2:11" x14ac:dyDescent="0.2">
      <c r="B418">
        <v>0</v>
      </c>
      <c r="C418">
        <v>3</v>
      </c>
      <c r="D418" t="str">
        <v>Meek, Mrs. Thomas (Annie Louise Rowley)</v>
      </c>
      <c r="E418" t="str">
        <v>Mujer</v>
      </c>
      <c r="F418">
        <v>0</v>
      </c>
      <c r="G418">
        <v>0</v>
      </c>
      <c r="H418">
        <v>0</v>
      </c>
      <c r="I418">
        <v>805</v>
      </c>
      <c r="J418">
        <v>0</v>
      </c>
      <c r="K418" t="str">
        <v>Southampton</v>
      </c>
    </row>
    <row r="419" spans="2:11" x14ac:dyDescent="0.2">
      <c r="B419">
        <v>1</v>
      </c>
      <c r="C419">
        <v>2</v>
      </c>
      <c r="D419" t="str">
        <v>Drew, Mrs. James Vivian (Lulu Thorne Christian)</v>
      </c>
      <c r="E419" t="str">
        <v>Mujer</v>
      </c>
      <c r="F419">
        <v>34</v>
      </c>
      <c r="G419">
        <v>1</v>
      </c>
      <c r="H419">
        <v>1</v>
      </c>
      <c r="I419">
        <v>325</v>
      </c>
      <c r="J419">
        <v>0</v>
      </c>
      <c r="K419" t="str">
        <v>Southampton</v>
      </c>
    </row>
    <row r="420" spans="2:11" x14ac:dyDescent="0.2">
      <c r="B420">
        <v>1</v>
      </c>
      <c r="C420">
        <v>2</v>
      </c>
      <c r="D420" t="str">
        <v>Silven, Miss. Lyyli Karoliina</v>
      </c>
      <c r="E420" t="str">
        <v>Mujer</v>
      </c>
      <c r="F420">
        <v>18</v>
      </c>
      <c r="G420">
        <v>0</v>
      </c>
      <c r="H420">
        <v>2</v>
      </c>
      <c r="I420">
        <v>13</v>
      </c>
      <c r="J420">
        <v>0</v>
      </c>
      <c r="K420" t="str">
        <v>Southampton</v>
      </c>
    </row>
    <row r="421" spans="2:11" x14ac:dyDescent="0.2">
      <c r="B421">
        <v>0</v>
      </c>
      <c r="C421">
        <v>2</v>
      </c>
      <c r="D421" t="str">
        <v>Matthews, Mr. William John</v>
      </c>
      <c r="E421" t="str">
        <v>Hombre</v>
      </c>
      <c r="F421">
        <v>30</v>
      </c>
      <c r="G421">
        <v>0</v>
      </c>
      <c r="H421">
        <v>0</v>
      </c>
      <c r="I421">
        <v>13</v>
      </c>
      <c r="J421">
        <v>0</v>
      </c>
      <c r="K421" t="str">
        <v>Southampton</v>
      </c>
    </row>
    <row r="422" spans="2:11" x14ac:dyDescent="0.2">
      <c r="B422">
        <v>0</v>
      </c>
      <c r="C422">
        <v>3</v>
      </c>
      <c r="D422" t="str">
        <v>Van Impe, Miss. Catharina</v>
      </c>
      <c r="E422" t="str">
        <v>Mujer</v>
      </c>
      <c r="F422">
        <v>10</v>
      </c>
      <c r="G422">
        <v>0</v>
      </c>
      <c r="H422">
        <v>2</v>
      </c>
      <c r="I422">
        <v>2415</v>
      </c>
      <c r="J422">
        <v>0</v>
      </c>
      <c r="K422" t="str">
        <v>Southampton</v>
      </c>
    </row>
    <row r="423" spans="2:11" x14ac:dyDescent="0.2">
      <c r="B423">
        <v>0</v>
      </c>
      <c r="C423">
        <v>3</v>
      </c>
      <c r="D423" t="str">
        <v>Gheorgheff, Mr. Stanio</v>
      </c>
      <c r="E423" t="str">
        <v>Hombre</v>
      </c>
      <c r="F423">
        <v>0</v>
      </c>
      <c r="G423">
        <v>0</v>
      </c>
      <c r="H423">
        <v>0</v>
      </c>
      <c r="I423">
        <v>78958</v>
      </c>
      <c r="J423">
        <v>0</v>
      </c>
      <c r="K423" t="str">
        <v>Cherburg</v>
      </c>
    </row>
    <row r="424" spans="2:11" x14ac:dyDescent="0.2">
      <c r="B424">
        <v>0</v>
      </c>
      <c r="C424">
        <v>3</v>
      </c>
      <c r="D424" t="str">
        <v>Charters, Mr. David</v>
      </c>
      <c r="E424" t="str">
        <v>Hombre</v>
      </c>
      <c r="F424">
        <v>21</v>
      </c>
      <c r="G424">
        <v>0</v>
      </c>
      <c r="H424">
        <v>0</v>
      </c>
      <c r="I424">
        <v>77333</v>
      </c>
      <c r="J424">
        <v>0</v>
      </c>
      <c r="K424" t="str">
        <v>Queenstown</v>
      </c>
    </row>
    <row r="425" spans="2:11" x14ac:dyDescent="0.2">
      <c r="B425">
        <v>0</v>
      </c>
      <c r="C425">
        <v>3</v>
      </c>
      <c r="D425" t="str">
        <v>Zimmerman, Mr. Leo</v>
      </c>
      <c r="E425" t="str">
        <v>Hombre</v>
      </c>
      <c r="F425">
        <v>29</v>
      </c>
      <c r="G425">
        <v>0</v>
      </c>
      <c r="H425">
        <v>0</v>
      </c>
      <c r="I425">
        <v>7875</v>
      </c>
      <c r="J425">
        <v>0</v>
      </c>
      <c r="K425" t="str">
        <v>Southampton</v>
      </c>
    </row>
    <row r="426" spans="2:11" x14ac:dyDescent="0.2">
      <c r="B426">
        <v>0</v>
      </c>
      <c r="C426">
        <v>3</v>
      </c>
      <c r="D426" t="str">
        <v>Danbom, Mrs. Ernst Gilbert (Anna Sigrid Maria Brogren)</v>
      </c>
      <c r="E426" t="str">
        <v>Mujer</v>
      </c>
      <c r="F426">
        <v>28</v>
      </c>
      <c r="G426">
        <v>1</v>
      </c>
      <c r="H426">
        <v>1</v>
      </c>
      <c r="I426">
        <v>144</v>
      </c>
      <c r="J426">
        <v>0</v>
      </c>
      <c r="K426" t="str">
        <v>Southampton</v>
      </c>
    </row>
    <row r="427" spans="2:11" x14ac:dyDescent="0.2">
      <c r="B427">
        <v>0</v>
      </c>
      <c r="C427">
        <v>3</v>
      </c>
      <c r="D427" t="str">
        <v>Rosblom, Mr. Viktor Richard</v>
      </c>
      <c r="E427" t="str">
        <v>Hombre</v>
      </c>
      <c r="F427">
        <v>18</v>
      </c>
      <c r="G427">
        <v>1</v>
      </c>
      <c r="H427">
        <v>1</v>
      </c>
      <c r="I427">
        <v>202125</v>
      </c>
      <c r="J427">
        <v>0</v>
      </c>
      <c r="K427" t="str">
        <v>Southampton</v>
      </c>
    </row>
    <row r="428" spans="2:11" x14ac:dyDescent="0.2">
      <c r="B428">
        <v>0</v>
      </c>
      <c r="C428">
        <v>3</v>
      </c>
      <c r="D428" t="str">
        <v>Wiseman, Mr. Phillippe</v>
      </c>
      <c r="E428" t="str">
        <v>Hombre</v>
      </c>
      <c r="F428">
        <v>0</v>
      </c>
      <c r="G428">
        <v>0</v>
      </c>
      <c r="H428">
        <v>0</v>
      </c>
      <c r="I428">
        <v>725</v>
      </c>
      <c r="J428">
        <v>0</v>
      </c>
      <c r="K428" t="str">
        <v>Southampton</v>
      </c>
    </row>
    <row r="429" spans="2:11" x14ac:dyDescent="0.2">
      <c r="B429">
        <v>1</v>
      </c>
      <c r="C429">
        <v>2</v>
      </c>
      <c r="D429" t="str">
        <v>Clarke, Mrs. Charles V (Ada Maria Winfield)</v>
      </c>
      <c r="E429" t="str">
        <v>Mujer</v>
      </c>
      <c r="F429">
        <v>28</v>
      </c>
      <c r="G429">
        <v>1</v>
      </c>
      <c r="H429">
        <v>0</v>
      </c>
      <c r="I429">
        <v>26</v>
      </c>
      <c r="J429">
        <v>0</v>
      </c>
      <c r="K429" t="str">
        <v>Southampton</v>
      </c>
    </row>
    <row r="430" spans="2:11" x14ac:dyDescent="0.2">
      <c r="B430">
        <v>1</v>
      </c>
      <c r="C430">
        <v>2</v>
      </c>
      <c r="D430" t="str">
        <v>Phillips, Miss. Kate Florence ("Mrs Kate Louise Phillips Marshall")</v>
      </c>
      <c r="E430" t="str">
        <v>Mujer</v>
      </c>
      <c r="F430">
        <v>19</v>
      </c>
      <c r="G430">
        <v>0</v>
      </c>
      <c r="H430">
        <v>0</v>
      </c>
      <c r="I430">
        <v>26</v>
      </c>
      <c r="J430">
        <v>0</v>
      </c>
      <c r="K430" t="str">
        <v>Southampton</v>
      </c>
    </row>
    <row r="431" spans="2:11" x14ac:dyDescent="0.2">
      <c r="B431">
        <v>0</v>
      </c>
      <c r="C431">
        <v>3</v>
      </c>
      <c r="D431" t="str">
        <v>Flynn, Mr. James</v>
      </c>
      <c r="E431" t="str">
        <v>Hombre</v>
      </c>
      <c r="F431">
        <v>0</v>
      </c>
      <c r="G431">
        <v>0</v>
      </c>
      <c r="H431">
        <v>0</v>
      </c>
      <c r="I431">
        <v>775</v>
      </c>
      <c r="J431">
        <v>0</v>
      </c>
      <c r="K431" t="str">
        <v>Queenstown</v>
      </c>
    </row>
    <row r="432" spans="2:11" x14ac:dyDescent="0.2">
      <c r="B432">
        <v>1</v>
      </c>
      <c r="C432">
        <v>3</v>
      </c>
      <c r="D432" t="str">
        <v>Pickard, Mr. Berk (Berk Trembisky)</v>
      </c>
      <c r="E432" t="str">
        <v>Hombre</v>
      </c>
      <c r="F432">
        <v>32</v>
      </c>
      <c r="G432">
        <v>0</v>
      </c>
      <c r="H432">
        <v>0</v>
      </c>
      <c r="I432">
        <v>805</v>
      </c>
      <c r="J432">
        <v>1</v>
      </c>
      <c r="K432" t="str">
        <v>Southampton</v>
      </c>
    </row>
    <row r="433" spans="2:11" x14ac:dyDescent="0.2">
      <c r="B433">
        <v>1</v>
      </c>
      <c r="C433">
        <v>1</v>
      </c>
      <c r="D433" t="str">
        <v>Bjornstrom-Steffansson, Mr. Mauritz Hakan</v>
      </c>
      <c r="E433" t="str">
        <v>Hombre</v>
      </c>
      <c r="F433">
        <v>28</v>
      </c>
      <c r="G433">
        <v>0</v>
      </c>
      <c r="H433">
        <v>0</v>
      </c>
      <c r="I433">
        <v>2655</v>
      </c>
      <c r="J433">
        <v>1</v>
      </c>
      <c r="K433" t="str">
        <v>Southampton</v>
      </c>
    </row>
    <row r="434" spans="2:11" x14ac:dyDescent="0.2">
      <c r="B434">
        <v>1</v>
      </c>
      <c r="C434">
        <v>3</v>
      </c>
      <c r="D434" t="str">
        <v>Thorneycroft, Mrs. Percival (Florence Kate White)</v>
      </c>
      <c r="E434" t="str">
        <v>Mujer</v>
      </c>
      <c r="F434">
        <v>0</v>
      </c>
      <c r="G434">
        <v>1</v>
      </c>
      <c r="H434">
        <v>0</v>
      </c>
      <c r="I434">
        <v>161</v>
      </c>
      <c r="J434">
        <v>0</v>
      </c>
      <c r="K434" t="str">
        <v>Southampton</v>
      </c>
    </row>
    <row r="435" spans="2:11" x14ac:dyDescent="0.2">
      <c r="B435">
        <v>1</v>
      </c>
      <c r="C435">
        <v>2</v>
      </c>
      <c r="D435" t="str">
        <v>Louch, Mrs. Charles Alexander (Alice Adelaide Slow)</v>
      </c>
      <c r="E435" t="str">
        <v>Mujer</v>
      </c>
      <c r="F435">
        <v>42</v>
      </c>
      <c r="G435">
        <v>1</v>
      </c>
      <c r="H435">
        <v>0</v>
      </c>
      <c r="I435">
        <v>26</v>
      </c>
      <c r="J435">
        <v>0</v>
      </c>
      <c r="K435" t="str">
        <v>Southampton</v>
      </c>
    </row>
    <row r="436" spans="2:11" x14ac:dyDescent="0.2">
      <c r="B436">
        <v>0</v>
      </c>
      <c r="C436">
        <v>3</v>
      </c>
      <c r="D436" t="str">
        <v>Kallio, Mr. Nikolai Erland</v>
      </c>
      <c r="E436" t="str">
        <v>Hombre</v>
      </c>
      <c r="F436">
        <v>17</v>
      </c>
      <c r="G436">
        <v>0</v>
      </c>
      <c r="H436">
        <v>0</v>
      </c>
      <c r="I436">
        <v>7125</v>
      </c>
      <c r="J436">
        <v>0</v>
      </c>
      <c r="K436" t="str">
        <v>Southampton</v>
      </c>
    </row>
    <row r="437" spans="2:11" x14ac:dyDescent="0.2">
      <c r="B437">
        <v>0</v>
      </c>
      <c r="C437">
        <v>1</v>
      </c>
      <c r="D437" t="str">
        <v>Silvey, Mr. William Baird</v>
      </c>
      <c r="E437" t="str">
        <v>Hombre</v>
      </c>
      <c r="F437">
        <v>50</v>
      </c>
      <c r="G437">
        <v>1</v>
      </c>
      <c r="H437">
        <v>0</v>
      </c>
      <c r="I437">
        <v>559</v>
      </c>
      <c r="J437">
        <v>1</v>
      </c>
      <c r="K437" t="str">
        <v>Southampton</v>
      </c>
    </row>
    <row r="438" spans="2:11" x14ac:dyDescent="0.2">
      <c r="B438">
        <v>1</v>
      </c>
      <c r="C438">
        <v>1</v>
      </c>
      <c r="D438" t="str">
        <v>Carter, Miss. Lucile Polk</v>
      </c>
      <c r="E438" t="str">
        <v>Mujer</v>
      </c>
      <c r="F438">
        <v>14</v>
      </c>
      <c r="G438">
        <v>1</v>
      </c>
      <c r="H438">
        <v>2</v>
      </c>
      <c r="I438">
        <v>120</v>
      </c>
      <c r="J438">
        <v>1</v>
      </c>
      <c r="K438" t="str">
        <v>Southampton</v>
      </c>
    </row>
    <row r="439" spans="2:11" x14ac:dyDescent="0.2">
      <c r="B439">
        <v>0</v>
      </c>
      <c r="C439">
        <v>3</v>
      </c>
      <c r="D439" t="str">
        <v>Ford, Miss. Doolina Margaret "Daisy"</v>
      </c>
      <c r="E439" t="str">
        <v>Mujer</v>
      </c>
      <c r="F439">
        <v>21</v>
      </c>
      <c r="G439">
        <v>2</v>
      </c>
      <c r="H439">
        <v>2</v>
      </c>
      <c r="I439">
        <v>34375</v>
      </c>
      <c r="J439">
        <v>0</v>
      </c>
      <c r="K439" t="str">
        <v>Southampton</v>
      </c>
    </row>
    <row r="440" spans="2:11" x14ac:dyDescent="0.2">
      <c r="B440">
        <v>1</v>
      </c>
      <c r="C440">
        <v>2</v>
      </c>
      <c r="D440" t="str">
        <v>Richards, Mrs. Sidney (Emily Hocking)</v>
      </c>
      <c r="E440" t="str">
        <v>Mujer</v>
      </c>
      <c r="F440">
        <v>24</v>
      </c>
      <c r="G440">
        <v>2</v>
      </c>
      <c r="H440">
        <v>3</v>
      </c>
      <c r="I440">
        <v>1875</v>
      </c>
      <c r="J440">
        <v>0</v>
      </c>
      <c r="K440" t="str">
        <v>Southampton</v>
      </c>
    </row>
    <row r="441" spans="2:11" x14ac:dyDescent="0.2">
      <c r="B441">
        <v>0</v>
      </c>
      <c r="C441">
        <v>1</v>
      </c>
      <c r="D441" t="str">
        <v>Fortune, Mr. Mark</v>
      </c>
      <c r="E441" t="str">
        <v>Hombre</v>
      </c>
      <c r="F441">
        <v>64</v>
      </c>
      <c r="G441">
        <v>1</v>
      </c>
      <c r="H441">
        <v>4</v>
      </c>
      <c r="I441">
        <v>263</v>
      </c>
      <c r="J441">
        <v>1</v>
      </c>
      <c r="K441" t="str">
        <v>Southampton</v>
      </c>
    </row>
    <row r="442" spans="2:11" x14ac:dyDescent="0.2">
      <c r="B442">
        <v>0</v>
      </c>
      <c r="C442">
        <v>2</v>
      </c>
      <c r="D442" t="str">
        <v>Kvillner, Mr. Johan Henrik Johannesson</v>
      </c>
      <c r="E442" t="str">
        <v>Hombre</v>
      </c>
      <c r="F442">
        <v>31</v>
      </c>
      <c r="G442">
        <v>0</v>
      </c>
      <c r="H442">
        <v>0</v>
      </c>
      <c r="I442">
        <v>105</v>
      </c>
      <c r="J442">
        <v>0</v>
      </c>
      <c r="K442" t="str">
        <v>Southampton</v>
      </c>
    </row>
    <row r="443" spans="2:11" x14ac:dyDescent="0.2">
      <c r="B443">
        <v>1</v>
      </c>
      <c r="C443">
        <v>2</v>
      </c>
      <c r="D443" t="str">
        <v>Hart, Mrs. Benjamin (Esther Ada Bloomfield)</v>
      </c>
      <c r="E443" t="str">
        <v>Mujer</v>
      </c>
      <c r="F443">
        <v>45</v>
      </c>
      <c r="G443">
        <v>1</v>
      </c>
      <c r="H443">
        <v>1</v>
      </c>
      <c r="I443">
        <v>2625</v>
      </c>
      <c r="J443">
        <v>0</v>
      </c>
      <c r="K443" t="str">
        <v>Southampton</v>
      </c>
    </row>
    <row r="444" spans="2:11" x14ac:dyDescent="0.2">
      <c r="B444">
        <v>0</v>
      </c>
      <c r="C444">
        <v>3</v>
      </c>
      <c r="D444" t="str">
        <v>Hampe, Mr. Leon</v>
      </c>
      <c r="E444" t="str">
        <v>Hombre</v>
      </c>
      <c r="F444">
        <v>20</v>
      </c>
      <c r="G444">
        <v>0</v>
      </c>
      <c r="H444">
        <v>0</v>
      </c>
      <c r="I444">
        <v>95</v>
      </c>
      <c r="J444">
        <v>0</v>
      </c>
      <c r="K444" t="str">
        <v>Southampton</v>
      </c>
    </row>
    <row r="445" spans="2:11" x14ac:dyDescent="0.2">
      <c r="B445">
        <v>0</v>
      </c>
      <c r="C445">
        <v>3</v>
      </c>
      <c r="D445" t="str">
        <v>Petterson, Mr. Johan Emil</v>
      </c>
      <c r="E445" t="str">
        <v>Hombre</v>
      </c>
      <c r="F445">
        <v>25</v>
      </c>
      <c r="G445">
        <v>1</v>
      </c>
      <c r="H445">
        <v>0</v>
      </c>
      <c r="I445">
        <v>7775</v>
      </c>
      <c r="J445">
        <v>0</v>
      </c>
      <c r="K445" t="str">
        <v>Southampton</v>
      </c>
    </row>
    <row r="446" spans="2:11" x14ac:dyDescent="0.2">
      <c r="B446">
        <v>1</v>
      </c>
      <c r="C446">
        <v>2</v>
      </c>
      <c r="D446" t="str">
        <v>Reynaldo, Ms. Encarnacion</v>
      </c>
      <c r="E446" t="str">
        <v>Mujer</v>
      </c>
      <c r="F446">
        <v>28</v>
      </c>
      <c r="G446">
        <v>0</v>
      </c>
      <c r="H446">
        <v>0</v>
      </c>
      <c r="I446">
        <v>13</v>
      </c>
      <c r="J446">
        <v>0</v>
      </c>
      <c r="K446" t="str">
        <v>Southampton</v>
      </c>
    </row>
    <row r="447" spans="2:11" x14ac:dyDescent="0.2">
      <c r="B447">
        <v>1</v>
      </c>
      <c r="C447">
        <v>3</v>
      </c>
      <c r="D447" t="str">
        <v>Johannesen-Bratthammer, Mr. Bernt</v>
      </c>
      <c r="E447" t="str">
        <v>Hombre</v>
      </c>
      <c r="F447">
        <v>0</v>
      </c>
      <c r="G447">
        <v>0</v>
      </c>
      <c r="H447">
        <v>0</v>
      </c>
      <c r="I447">
        <v>81125</v>
      </c>
      <c r="J447">
        <v>0</v>
      </c>
      <c r="K447" t="str">
        <v>Southampton</v>
      </c>
    </row>
    <row r="448" spans="2:11" x14ac:dyDescent="0.2">
      <c r="B448">
        <v>1</v>
      </c>
      <c r="C448">
        <v>1</v>
      </c>
      <c r="D448" t="str">
        <v>Dodge, Master. Washington</v>
      </c>
      <c r="E448" t="str">
        <v>Hombre</v>
      </c>
      <c r="F448">
        <v>4</v>
      </c>
      <c r="G448">
        <v>0</v>
      </c>
      <c r="H448">
        <v>2</v>
      </c>
      <c r="I448">
        <v>818583</v>
      </c>
      <c r="J448">
        <v>1</v>
      </c>
      <c r="K448" t="str">
        <v>Southampton</v>
      </c>
    </row>
    <row r="449" spans="2:11" x14ac:dyDescent="0.2">
      <c r="B449">
        <v>1</v>
      </c>
      <c r="C449">
        <v>2</v>
      </c>
      <c r="D449" t="str">
        <v>Mellinger, Miss. Madeleine Violet</v>
      </c>
      <c r="E449" t="str">
        <v>Mujer</v>
      </c>
      <c r="F449">
        <v>13</v>
      </c>
      <c r="G449">
        <v>0</v>
      </c>
      <c r="H449">
        <v>1</v>
      </c>
      <c r="I449">
        <v>195</v>
      </c>
      <c r="J449">
        <v>0</v>
      </c>
      <c r="K449" t="str">
        <v>Southampton</v>
      </c>
    </row>
    <row r="450" spans="2:11" x14ac:dyDescent="0.2">
      <c r="B450">
        <v>1</v>
      </c>
      <c r="C450">
        <v>1</v>
      </c>
      <c r="D450" t="str">
        <v>Seward, Mr. Frederic Kimber</v>
      </c>
      <c r="E450" t="str">
        <v>Hombre</v>
      </c>
      <c r="F450">
        <v>34</v>
      </c>
      <c r="G450">
        <v>0</v>
      </c>
      <c r="H450">
        <v>0</v>
      </c>
      <c r="I450">
        <v>2655</v>
      </c>
      <c r="J450">
        <v>0</v>
      </c>
      <c r="K450" t="str">
        <v>Southampton</v>
      </c>
    </row>
    <row r="451" spans="2:11" x14ac:dyDescent="0.2">
      <c r="B451">
        <v>1</v>
      </c>
      <c r="C451">
        <v>3</v>
      </c>
      <c r="D451" t="str">
        <v>Baclini, Miss. Marie Catherine</v>
      </c>
      <c r="E451" t="str">
        <v>Mujer</v>
      </c>
      <c r="F451">
        <v>5</v>
      </c>
      <c r="G451">
        <v>2</v>
      </c>
      <c r="H451">
        <v>1</v>
      </c>
      <c r="I451">
        <v>192583</v>
      </c>
      <c r="J451">
        <v>0</v>
      </c>
      <c r="K451" t="str">
        <v>Cherburg</v>
      </c>
    </row>
    <row r="452" spans="2:11" x14ac:dyDescent="0.2">
      <c r="B452">
        <v>1</v>
      </c>
      <c r="C452">
        <v>1</v>
      </c>
      <c r="D452" t="str">
        <v>Peuchen, Major. Arthur Godfrey</v>
      </c>
      <c r="E452" t="str">
        <v>Hombre</v>
      </c>
      <c r="F452">
        <v>52</v>
      </c>
      <c r="G452">
        <v>0</v>
      </c>
      <c r="H452">
        <v>0</v>
      </c>
      <c r="I452">
        <v>305</v>
      </c>
      <c r="J452">
        <v>1</v>
      </c>
      <c r="K452" t="str">
        <v>Southampton</v>
      </c>
    </row>
    <row r="453" spans="2:11" x14ac:dyDescent="0.2">
      <c r="B453">
        <v>0</v>
      </c>
      <c r="C453">
        <v>2</v>
      </c>
      <c r="D453" t="str">
        <v>West, Mr. Edwy Arthur</v>
      </c>
      <c r="E453" t="str">
        <v>Hombre</v>
      </c>
      <c r="F453">
        <v>36</v>
      </c>
      <c r="G453">
        <v>1</v>
      </c>
      <c r="H453">
        <v>2</v>
      </c>
      <c r="I453">
        <v>2775</v>
      </c>
      <c r="J453">
        <v>0</v>
      </c>
      <c r="K453" t="str">
        <v>Southampton</v>
      </c>
    </row>
    <row r="454" spans="2:11" x14ac:dyDescent="0.2">
      <c r="B454">
        <v>0</v>
      </c>
      <c r="C454">
        <v>3</v>
      </c>
      <c r="D454" t="str">
        <v>Hagland, Mr. Ingvald Olai Olsen</v>
      </c>
      <c r="E454" t="str">
        <v>Hombre</v>
      </c>
      <c r="F454">
        <v>0</v>
      </c>
      <c r="G454">
        <v>1</v>
      </c>
      <c r="H454">
        <v>0</v>
      </c>
      <c r="I454">
        <v>199667</v>
      </c>
      <c r="J454">
        <v>0</v>
      </c>
      <c r="K454" t="str">
        <v>Southampton</v>
      </c>
    </row>
    <row r="455" spans="2:11" x14ac:dyDescent="0.2">
      <c r="B455">
        <v>0</v>
      </c>
      <c r="C455">
        <v>1</v>
      </c>
      <c r="D455" t="str">
        <v>Foreman, Mr. Benjamin Laventall</v>
      </c>
      <c r="E455" t="str">
        <v>Hombre</v>
      </c>
      <c r="F455">
        <v>30</v>
      </c>
      <c r="G455">
        <v>0</v>
      </c>
      <c r="H455">
        <v>0</v>
      </c>
      <c r="I455">
        <v>2775</v>
      </c>
      <c r="J455">
        <v>1</v>
      </c>
      <c r="K455" t="str">
        <v>Cherburg</v>
      </c>
    </row>
    <row r="456" spans="2:11" x14ac:dyDescent="0.2">
      <c r="B456">
        <v>1</v>
      </c>
      <c r="C456">
        <v>1</v>
      </c>
      <c r="D456" t="str">
        <v>Goldenberg, Mr. Samuel L</v>
      </c>
      <c r="E456" t="str">
        <v>Hombre</v>
      </c>
      <c r="F456">
        <v>49</v>
      </c>
      <c r="G456">
        <v>1</v>
      </c>
      <c r="H456">
        <v>0</v>
      </c>
      <c r="I456">
        <v>891042</v>
      </c>
      <c r="J456">
        <v>1</v>
      </c>
      <c r="K456" t="str">
        <v>Cherburg</v>
      </c>
    </row>
    <row r="457" spans="2:11" x14ac:dyDescent="0.2">
      <c r="B457">
        <v>0</v>
      </c>
      <c r="C457">
        <v>3</v>
      </c>
      <c r="D457" t="str">
        <v>Peduzzi, Mr. Joseph</v>
      </c>
      <c r="E457" t="str">
        <v>Hombre</v>
      </c>
      <c r="F457">
        <v>0</v>
      </c>
      <c r="G457">
        <v>0</v>
      </c>
      <c r="H457">
        <v>0</v>
      </c>
      <c r="I457">
        <v>805</v>
      </c>
      <c r="J457">
        <v>0</v>
      </c>
      <c r="K457" t="str">
        <v>Southampton</v>
      </c>
    </row>
    <row r="458" spans="2:11" x14ac:dyDescent="0.2">
      <c r="B458">
        <v>1</v>
      </c>
      <c r="C458">
        <v>3</v>
      </c>
      <c r="D458" t="str">
        <v>Jalsevac, Mr. Ivan</v>
      </c>
      <c r="E458" t="str">
        <v>Hombre</v>
      </c>
      <c r="F458">
        <v>29</v>
      </c>
      <c r="G458">
        <v>0</v>
      </c>
      <c r="H458">
        <v>0</v>
      </c>
      <c r="I458">
        <v>78958</v>
      </c>
      <c r="J458">
        <v>0</v>
      </c>
      <c r="K458" t="str">
        <v>Cherburg</v>
      </c>
    </row>
    <row r="459" spans="2:11" x14ac:dyDescent="0.2">
      <c r="B459">
        <v>0</v>
      </c>
      <c r="C459">
        <v>1</v>
      </c>
      <c r="D459" t="str">
        <v>Millet, Mr. Francis Davis</v>
      </c>
      <c r="E459" t="str">
        <v>Hombre</v>
      </c>
      <c r="F459">
        <v>65</v>
      </c>
      <c r="G459">
        <v>0</v>
      </c>
      <c r="H459">
        <v>0</v>
      </c>
      <c r="I459">
        <v>2655</v>
      </c>
      <c r="J459">
        <v>1</v>
      </c>
      <c r="K459" t="str">
        <v>Southampton</v>
      </c>
    </row>
    <row r="460" spans="2:11" x14ac:dyDescent="0.2">
      <c r="B460">
        <v>1</v>
      </c>
      <c r="C460">
        <v>1</v>
      </c>
      <c r="D460" t="str">
        <v>Kenyon, Mrs. Frederick R (Marion)</v>
      </c>
      <c r="E460" t="str">
        <v>Mujer</v>
      </c>
      <c r="F460">
        <v>0</v>
      </c>
      <c r="G460">
        <v>1</v>
      </c>
      <c r="H460">
        <v>0</v>
      </c>
      <c r="I460">
        <v>518625</v>
      </c>
      <c r="J460">
        <v>1</v>
      </c>
      <c r="K460" t="str">
        <v>Southampton</v>
      </c>
    </row>
    <row r="461" spans="2:11" x14ac:dyDescent="0.2">
      <c r="B461">
        <v>1</v>
      </c>
      <c r="C461">
        <v>2</v>
      </c>
      <c r="D461" t="str">
        <v>Toomey, Miss. Ellen</v>
      </c>
      <c r="E461" t="str">
        <v>Mujer</v>
      </c>
      <c r="F461">
        <v>50</v>
      </c>
      <c r="G461">
        <v>0</v>
      </c>
      <c r="H461">
        <v>0</v>
      </c>
      <c r="I461">
        <v>105</v>
      </c>
      <c r="J461">
        <v>0</v>
      </c>
      <c r="K461" t="str">
        <v>Southampton</v>
      </c>
    </row>
    <row r="462" spans="2:11" x14ac:dyDescent="0.2">
      <c r="B462">
        <v>0</v>
      </c>
      <c r="C462">
        <v>3</v>
      </c>
      <c r="D462" t="str">
        <v>O'Connor, Mr. Maurice</v>
      </c>
      <c r="E462" t="str">
        <v>Hombre</v>
      </c>
      <c r="F462">
        <v>0</v>
      </c>
      <c r="G462">
        <v>0</v>
      </c>
      <c r="H462">
        <v>0</v>
      </c>
      <c r="I462">
        <v>775</v>
      </c>
      <c r="J462">
        <v>0</v>
      </c>
      <c r="K462" t="str">
        <v>Queenstown</v>
      </c>
    </row>
    <row r="463" spans="2:11" x14ac:dyDescent="0.2">
      <c r="B463">
        <v>1</v>
      </c>
      <c r="C463">
        <v>1</v>
      </c>
      <c r="D463" t="str">
        <v>Anderson, Mr. Harry</v>
      </c>
      <c r="E463" t="str">
        <v>Hombre</v>
      </c>
      <c r="F463">
        <v>48</v>
      </c>
      <c r="G463">
        <v>0</v>
      </c>
      <c r="H463">
        <v>0</v>
      </c>
      <c r="I463">
        <v>2655</v>
      </c>
      <c r="J463">
        <v>1</v>
      </c>
      <c r="K463" t="str">
        <v>Southampton</v>
      </c>
    </row>
    <row r="464" spans="2:11" x14ac:dyDescent="0.2">
      <c r="B464">
        <v>0</v>
      </c>
      <c r="C464">
        <v>3</v>
      </c>
      <c r="D464" t="str">
        <v>Morley, Mr. William</v>
      </c>
      <c r="E464" t="str">
        <v>Hombre</v>
      </c>
      <c r="F464">
        <v>34</v>
      </c>
      <c r="G464">
        <v>0</v>
      </c>
      <c r="H464">
        <v>0</v>
      </c>
      <c r="I464">
        <v>805</v>
      </c>
      <c r="J464">
        <v>0</v>
      </c>
      <c r="K464" t="str">
        <v>Southampton</v>
      </c>
    </row>
    <row r="465" spans="2:11" x14ac:dyDescent="0.2">
      <c r="B465">
        <v>0</v>
      </c>
      <c r="C465">
        <v>1</v>
      </c>
      <c r="D465" t="str">
        <v>Gee, Mr. Arthur H</v>
      </c>
      <c r="E465" t="str">
        <v>Hombre</v>
      </c>
      <c r="F465">
        <v>47</v>
      </c>
      <c r="G465">
        <v>0</v>
      </c>
      <c r="H465">
        <v>0</v>
      </c>
      <c r="I465">
        <v>385</v>
      </c>
      <c r="J465">
        <v>1</v>
      </c>
      <c r="K465" t="str">
        <v>Southampton</v>
      </c>
    </row>
    <row r="466" spans="2:11" x14ac:dyDescent="0.2">
      <c r="B466">
        <v>0</v>
      </c>
      <c r="C466">
        <v>2</v>
      </c>
      <c r="D466" t="str">
        <v>Milling, Mr. Jacob Christian</v>
      </c>
      <c r="E466" t="str">
        <v>Hombre</v>
      </c>
      <c r="F466">
        <v>48</v>
      </c>
      <c r="G466">
        <v>0</v>
      </c>
      <c r="H466">
        <v>0</v>
      </c>
      <c r="I466">
        <v>13</v>
      </c>
      <c r="J466">
        <v>0</v>
      </c>
      <c r="K466" t="str">
        <v>Southampton</v>
      </c>
    </row>
    <row r="467" spans="2:11" x14ac:dyDescent="0.2">
      <c r="B467">
        <v>0</v>
      </c>
      <c r="C467">
        <v>3</v>
      </c>
      <c r="D467" t="str">
        <v>Maisner, Mr. Simon</v>
      </c>
      <c r="E467" t="str">
        <v>Hombre</v>
      </c>
      <c r="F467">
        <v>0</v>
      </c>
      <c r="G467">
        <v>0</v>
      </c>
      <c r="H467">
        <v>0</v>
      </c>
      <c r="I467">
        <v>805</v>
      </c>
      <c r="J467">
        <v>0</v>
      </c>
      <c r="K467" t="str">
        <v>Southampton</v>
      </c>
    </row>
    <row r="468" spans="2:11" x14ac:dyDescent="0.2">
      <c r="B468">
        <v>0</v>
      </c>
      <c r="C468">
        <v>3</v>
      </c>
      <c r="D468" t="str">
        <v>Goncalves, Mr. Manuel Estanslas</v>
      </c>
      <c r="E468" t="str">
        <v>Hombre</v>
      </c>
      <c r="F468">
        <v>38</v>
      </c>
      <c r="G468">
        <v>0</v>
      </c>
      <c r="H468">
        <v>0</v>
      </c>
      <c r="I468">
        <v>705</v>
      </c>
      <c r="J468">
        <v>0</v>
      </c>
      <c r="K468" t="str">
        <v>Southampton</v>
      </c>
    </row>
    <row r="469" spans="2:11" x14ac:dyDescent="0.2">
      <c r="B469">
        <v>0</v>
      </c>
      <c r="C469">
        <v>2</v>
      </c>
      <c r="D469" t="str">
        <v>Campbell, Mr. William</v>
      </c>
      <c r="E469" t="str">
        <v>Hombre</v>
      </c>
      <c r="F469">
        <v>0</v>
      </c>
      <c r="G469">
        <v>0</v>
      </c>
      <c r="H469">
        <v>0</v>
      </c>
      <c r="I469">
        <v>0</v>
      </c>
      <c r="J469">
        <v>0</v>
      </c>
      <c r="K469" t="str">
        <v>Southampton</v>
      </c>
    </row>
    <row r="470" spans="2:11" x14ac:dyDescent="0.2">
      <c r="B470">
        <v>0</v>
      </c>
      <c r="C470">
        <v>1</v>
      </c>
      <c r="D470" t="str">
        <v>Smart, Mr. John Montgomery</v>
      </c>
      <c r="E470" t="str">
        <v>Hombre</v>
      </c>
      <c r="F470">
        <v>56</v>
      </c>
      <c r="G470">
        <v>0</v>
      </c>
      <c r="H470">
        <v>0</v>
      </c>
      <c r="I470">
        <v>2655</v>
      </c>
      <c r="J470">
        <v>0</v>
      </c>
      <c r="K470" t="str">
        <v>Southampton</v>
      </c>
    </row>
    <row r="471" spans="2:11" x14ac:dyDescent="0.2">
      <c r="B471">
        <v>0</v>
      </c>
      <c r="C471">
        <v>3</v>
      </c>
      <c r="D471" t="str">
        <v>Scanlan, Mr. James</v>
      </c>
      <c r="E471" t="str">
        <v>Hombre</v>
      </c>
      <c r="F471">
        <v>0</v>
      </c>
      <c r="G471">
        <v>0</v>
      </c>
      <c r="H471">
        <v>0</v>
      </c>
      <c r="I471">
        <v>7725</v>
      </c>
      <c r="J471">
        <v>0</v>
      </c>
      <c r="K471" t="str">
        <v>Queenstown</v>
      </c>
    </row>
    <row r="472" spans="2:11" x14ac:dyDescent="0.2">
      <c r="B472">
        <v>1</v>
      </c>
      <c r="C472">
        <v>3</v>
      </c>
      <c r="D472" t="str">
        <v>Baclini, Miss. Helene Barbara</v>
      </c>
      <c r="E472" t="str">
        <v>Mujer</v>
      </c>
      <c r="F472">
        <v>75</v>
      </c>
      <c r="G472">
        <v>2</v>
      </c>
      <c r="H472">
        <v>1</v>
      </c>
      <c r="I472">
        <v>192583</v>
      </c>
      <c r="J472">
        <v>0</v>
      </c>
      <c r="K472" t="str">
        <v>Cherburg</v>
      </c>
    </row>
    <row r="473" spans="2:11" x14ac:dyDescent="0.2">
      <c r="B473">
        <v>0</v>
      </c>
      <c r="C473">
        <v>3</v>
      </c>
      <c r="D473" t="str">
        <v>Keefe, Mr. Arthur</v>
      </c>
      <c r="E473" t="str">
        <v>Hombre</v>
      </c>
      <c r="F473">
        <v>0</v>
      </c>
      <c r="G473">
        <v>0</v>
      </c>
      <c r="H473">
        <v>0</v>
      </c>
      <c r="I473">
        <v>725</v>
      </c>
      <c r="J473">
        <v>0</v>
      </c>
      <c r="K473" t="str">
        <v>Southampton</v>
      </c>
    </row>
    <row r="474" spans="2:11" x14ac:dyDescent="0.2">
      <c r="B474">
        <v>0</v>
      </c>
      <c r="C474">
        <v>3</v>
      </c>
      <c r="D474" t="str">
        <v>Cacic, Mr. Luka</v>
      </c>
      <c r="E474" t="str">
        <v>Hombre</v>
      </c>
      <c r="F474">
        <v>38</v>
      </c>
      <c r="G474">
        <v>0</v>
      </c>
      <c r="H474">
        <v>0</v>
      </c>
      <c r="I474">
        <v>86625</v>
      </c>
      <c r="J474">
        <v>0</v>
      </c>
      <c r="K474" t="str">
        <v>Southampton</v>
      </c>
    </row>
    <row r="475" spans="2:11" x14ac:dyDescent="0.2">
      <c r="B475">
        <v>1</v>
      </c>
      <c r="C475">
        <v>2</v>
      </c>
      <c r="D475" t="str">
        <v>West, Mrs. Edwy Arthur (Ada Mary Worth)</v>
      </c>
      <c r="E475" t="str">
        <v>Mujer</v>
      </c>
      <c r="F475">
        <v>33</v>
      </c>
      <c r="G475">
        <v>1</v>
      </c>
      <c r="H475">
        <v>2</v>
      </c>
      <c r="I475">
        <v>2775</v>
      </c>
      <c r="J475">
        <v>0</v>
      </c>
      <c r="K475" t="str">
        <v>Southampton</v>
      </c>
    </row>
    <row r="476" spans="2:11" x14ac:dyDescent="0.2">
      <c r="B476">
        <v>1</v>
      </c>
      <c r="C476">
        <v>2</v>
      </c>
      <c r="D476" t="str">
        <v>Jerwan, Mrs. Amin S (Marie Marthe Thuillard)</v>
      </c>
      <c r="E476" t="str">
        <v>Mujer</v>
      </c>
      <c r="F476">
        <v>23</v>
      </c>
      <c r="G476">
        <v>0</v>
      </c>
      <c r="H476">
        <v>0</v>
      </c>
      <c r="I476">
        <v>137917</v>
      </c>
      <c r="J476">
        <v>1</v>
      </c>
      <c r="K476" t="str">
        <v>Cherburg</v>
      </c>
    </row>
    <row r="477" spans="2:11" x14ac:dyDescent="0.2">
      <c r="B477">
        <v>0</v>
      </c>
      <c r="C477">
        <v>3</v>
      </c>
      <c r="D477" t="str">
        <v>Strandberg, Miss. Ida Sofia</v>
      </c>
      <c r="E477" t="str">
        <v>Mujer</v>
      </c>
      <c r="F477">
        <v>22</v>
      </c>
      <c r="G477">
        <v>0</v>
      </c>
      <c r="H477">
        <v>0</v>
      </c>
      <c r="I477">
        <v>98375</v>
      </c>
      <c r="J477">
        <v>0</v>
      </c>
      <c r="K477" t="str">
        <v>Southampton</v>
      </c>
    </row>
    <row r="478" spans="2:11" x14ac:dyDescent="0.2">
      <c r="B478">
        <v>0</v>
      </c>
      <c r="C478">
        <v>1</v>
      </c>
      <c r="D478" t="str">
        <v>Clifford, Mr. George Quincy</v>
      </c>
      <c r="E478" t="str">
        <v>Hombre</v>
      </c>
      <c r="F478">
        <v>0</v>
      </c>
      <c r="G478">
        <v>0</v>
      </c>
      <c r="H478">
        <v>0</v>
      </c>
      <c r="I478">
        <v>52</v>
      </c>
      <c r="J478">
        <v>1</v>
      </c>
      <c r="K478" t="str">
        <v>Southampton</v>
      </c>
    </row>
    <row r="479" spans="2:11" x14ac:dyDescent="0.2">
      <c r="B479">
        <v>0</v>
      </c>
      <c r="C479">
        <v>2</v>
      </c>
      <c r="D479" t="str">
        <v>Renouf, Mr. Peter Henry</v>
      </c>
      <c r="E479" t="str">
        <v>Hombre</v>
      </c>
      <c r="F479">
        <v>34</v>
      </c>
      <c r="G479">
        <v>1</v>
      </c>
      <c r="H479">
        <v>0</v>
      </c>
      <c r="I479">
        <v>21</v>
      </c>
      <c r="J479">
        <v>0</v>
      </c>
      <c r="K479" t="str">
        <v>Southampton</v>
      </c>
    </row>
    <row r="480" spans="2:11" x14ac:dyDescent="0.2">
      <c r="B480">
        <v>0</v>
      </c>
      <c r="C480">
        <v>3</v>
      </c>
      <c r="D480" t="str">
        <v>Braund, Mr. Lewis Richard</v>
      </c>
      <c r="E480" t="str">
        <v>Hombre</v>
      </c>
      <c r="F480">
        <v>29</v>
      </c>
      <c r="G480">
        <v>1</v>
      </c>
      <c r="H480">
        <v>0</v>
      </c>
      <c r="I480">
        <v>70458</v>
      </c>
      <c r="J480">
        <v>0</v>
      </c>
      <c r="K480" t="str">
        <v>Southampton</v>
      </c>
    </row>
    <row r="481" spans="2:11" x14ac:dyDescent="0.2">
      <c r="B481">
        <v>0</v>
      </c>
      <c r="C481">
        <v>3</v>
      </c>
      <c r="D481" t="str">
        <v>Karlsson, Mr. Nils August</v>
      </c>
      <c r="E481" t="str">
        <v>Hombre</v>
      </c>
      <c r="F481">
        <v>22</v>
      </c>
      <c r="G481">
        <v>0</v>
      </c>
      <c r="H481">
        <v>0</v>
      </c>
      <c r="I481">
        <v>75208</v>
      </c>
      <c r="J481">
        <v>0</v>
      </c>
      <c r="K481" t="str">
        <v>Southampton</v>
      </c>
    </row>
    <row r="482" spans="2:11" x14ac:dyDescent="0.2">
      <c r="B482">
        <v>1</v>
      </c>
      <c r="C482">
        <v>3</v>
      </c>
      <c r="D482" t="str">
        <v>Hirvonen, Miss. Hildur E</v>
      </c>
      <c r="E482" t="str">
        <v>Mujer</v>
      </c>
      <c r="F482">
        <v>2</v>
      </c>
      <c r="G482">
        <v>0</v>
      </c>
      <c r="H482">
        <v>1</v>
      </c>
      <c r="I482">
        <v>122875</v>
      </c>
      <c r="J482">
        <v>0</v>
      </c>
      <c r="K482" t="str">
        <v>Southampton</v>
      </c>
    </row>
    <row r="483" spans="2:11" x14ac:dyDescent="0.2">
      <c r="B483">
        <v>0</v>
      </c>
      <c r="C483">
        <v>3</v>
      </c>
      <c r="D483" t="str">
        <v>Goodwin, Master. Harold Victor</v>
      </c>
      <c r="E483" t="str">
        <v>Hombre</v>
      </c>
      <c r="F483">
        <v>9</v>
      </c>
      <c r="G483">
        <v>5</v>
      </c>
      <c r="H483">
        <v>2</v>
      </c>
      <c r="I483">
        <v>469</v>
      </c>
      <c r="J483">
        <v>0</v>
      </c>
      <c r="K483" t="str">
        <v>Southampton</v>
      </c>
    </row>
    <row r="484" spans="2:11" x14ac:dyDescent="0.2">
      <c r="B484">
        <v>0</v>
      </c>
      <c r="C484">
        <v>2</v>
      </c>
      <c r="D484" t="str">
        <v>Frost, Mr. Anthony Wood "Archie"</v>
      </c>
      <c r="E484" t="str">
        <v>Hombre</v>
      </c>
      <c r="F484">
        <v>0</v>
      </c>
      <c r="G484">
        <v>0</v>
      </c>
      <c r="H484">
        <v>0</v>
      </c>
      <c r="I484">
        <v>0</v>
      </c>
      <c r="J484">
        <v>0</v>
      </c>
      <c r="K484" t="str">
        <v>Southampton</v>
      </c>
    </row>
    <row r="485" spans="2:11" x14ac:dyDescent="0.2">
      <c r="B485">
        <v>0</v>
      </c>
      <c r="C485">
        <v>3</v>
      </c>
      <c r="D485" t="str">
        <v>Rouse, Mr. Richard Henry</v>
      </c>
      <c r="E485" t="str">
        <v>Hombre</v>
      </c>
      <c r="F485">
        <v>50</v>
      </c>
      <c r="G485">
        <v>0</v>
      </c>
      <c r="H485">
        <v>0</v>
      </c>
      <c r="I485">
        <v>805</v>
      </c>
      <c r="J485">
        <v>0</v>
      </c>
      <c r="K485" t="str">
        <v>Southampton</v>
      </c>
    </row>
    <row r="486" spans="2:11" x14ac:dyDescent="0.2">
      <c r="B486">
        <v>1</v>
      </c>
      <c r="C486">
        <v>3</v>
      </c>
      <c r="D486" t="str">
        <v>Turkula, Mrs. (Hedwig)</v>
      </c>
      <c r="E486" t="str">
        <v>Mujer</v>
      </c>
      <c r="F486">
        <v>63</v>
      </c>
      <c r="G486">
        <v>0</v>
      </c>
      <c r="H486">
        <v>0</v>
      </c>
      <c r="I486">
        <v>95875</v>
      </c>
      <c r="J486">
        <v>0</v>
      </c>
      <c r="K486" t="str">
        <v>Southampton</v>
      </c>
    </row>
    <row r="487" spans="2:11" x14ac:dyDescent="0.2">
      <c r="B487">
        <v>1</v>
      </c>
      <c r="C487">
        <v>1</v>
      </c>
      <c r="D487" t="str">
        <v>Bishop, Mr. Dickinson H</v>
      </c>
      <c r="E487" t="str">
        <v>Hombre</v>
      </c>
      <c r="F487">
        <v>25</v>
      </c>
      <c r="G487">
        <v>1</v>
      </c>
      <c r="H487">
        <v>0</v>
      </c>
      <c r="I487">
        <v>910792</v>
      </c>
      <c r="J487">
        <v>1</v>
      </c>
      <c r="K487" t="str">
        <v>Cherburg</v>
      </c>
    </row>
    <row r="488" spans="2:11" x14ac:dyDescent="0.2">
      <c r="B488">
        <v>0</v>
      </c>
      <c r="C488">
        <v>3</v>
      </c>
      <c r="D488" t="str">
        <v>Lefebre, Miss. Jeannie</v>
      </c>
      <c r="E488" t="str">
        <v>Mujer</v>
      </c>
      <c r="F488">
        <v>0</v>
      </c>
      <c r="G488">
        <v>3</v>
      </c>
      <c r="H488">
        <v>1</v>
      </c>
      <c r="I488">
        <v>254667</v>
      </c>
      <c r="J488">
        <v>0</v>
      </c>
      <c r="K488" t="str">
        <v>Southampton</v>
      </c>
    </row>
    <row r="489" spans="2:11" x14ac:dyDescent="0.2">
      <c r="B489">
        <v>1</v>
      </c>
      <c r="C489">
        <v>1</v>
      </c>
      <c r="D489" t="str">
        <v>Hoyt, Mrs. Frederick Maxfield (Jane Anne Forby)</v>
      </c>
      <c r="E489" t="str">
        <v>Mujer</v>
      </c>
      <c r="F489">
        <v>35</v>
      </c>
      <c r="G489">
        <v>1</v>
      </c>
      <c r="H489">
        <v>0</v>
      </c>
      <c r="I489">
        <v>90</v>
      </c>
      <c r="J489">
        <v>1</v>
      </c>
      <c r="K489" t="str">
        <v>Southampton</v>
      </c>
    </row>
    <row r="490" spans="2:11" x14ac:dyDescent="0.2">
      <c r="B490">
        <v>0</v>
      </c>
      <c r="C490">
        <v>1</v>
      </c>
      <c r="D490" t="str">
        <v>Kent, Mr. Edward Austin</v>
      </c>
      <c r="E490" t="str">
        <v>Hombre</v>
      </c>
      <c r="F490">
        <v>58</v>
      </c>
      <c r="G490">
        <v>0</v>
      </c>
      <c r="H490">
        <v>0</v>
      </c>
      <c r="I490">
        <v>297</v>
      </c>
      <c r="J490">
        <v>1</v>
      </c>
      <c r="K490" t="str">
        <v>Cherburg</v>
      </c>
    </row>
    <row r="491" spans="2:11" x14ac:dyDescent="0.2">
      <c r="B491">
        <v>0</v>
      </c>
      <c r="C491">
        <v>3</v>
      </c>
      <c r="D491" t="str">
        <v>Somerton, Mr. Francis William</v>
      </c>
      <c r="E491" t="str">
        <v>Hombre</v>
      </c>
      <c r="F491">
        <v>30</v>
      </c>
      <c r="G491">
        <v>0</v>
      </c>
      <c r="H491">
        <v>0</v>
      </c>
      <c r="I491">
        <v>805</v>
      </c>
      <c r="J491">
        <v>0</v>
      </c>
      <c r="K491" t="str">
        <v>Southampton</v>
      </c>
    </row>
    <row r="492" spans="2:11" x14ac:dyDescent="0.2">
      <c r="B492">
        <v>1</v>
      </c>
      <c r="C492">
        <v>3</v>
      </c>
      <c r="D492" t="str">
        <v>Coutts, Master. Eden Leslie "Neville"</v>
      </c>
      <c r="E492" t="str">
        <v>Hombre</v>
      </c>
      <c r="F492">
        <v>9</v>
      </c>
      <c r="G492">
        <v>1</v>
      </c>
      <c r="H492">
        <v>1</v>
      </c>
      <c r="I492">
        <v>159</v>
      </c>
      <c r="J492">
        <v>0</v>
      </c>
      <c r="K492" t="str">
        <v>Southampton</v>
      </c>
    </row>
    <row r="493" spans="2:11" x14ac:dyDescent="0.2">
      <c r="B493">
        <v>0</v>
      </c>
      <c r="C493">
        <v>3</v>
      </c>
      <c r="D493" t="str">
        <v>Hagland, Mr. Konrad Mathias Reiersen</v>
      </c>
      <c r="E493" t="str">
        <v>Hombre</v>
      </c>
      <c r="F493">
        <v>0</v>
      </c>
      <c r="G493">
        <v>1</v>
      </c>
      <c r="H493">
        <v>0</v>
      </c>
      <c r="I493">
        <v>199667</v>
      </c>
      <c r="J493">
        <v>0</v>
      </c>
      <c r="K493" t="str">
        <v>Southampton</v>
      </c>
    </row>
    <row r="494" spans="2:11" x14ac:dyDescent="0.2">
      <c r="B494">
        <v>0</v>
      </c>
      <c r="C494">
        <v>3</v>
      </c>
      <c r="D494" t="str">
        <v>Windelov, Mr. Einar</v>
      </c>
      <c r="E494" t="str">
        <v>Hombre</v>
      </c>
      <c r="F494">
        <v>21</v>
      </c>
      <c r="G494">
        <v>0</v>
      </c>
      <c r="H494">
        <v>0</v>
      </c>
      <c r="I494">
        <v>725</v>
      </c>
      <c r="J494">
        <v>0</v>
      </c>
      <c r="K494" t="str">
        <v>Southampton</v>
      </c>
    </row>
    <row r="495" spans="2:11" x14ac:dyDescent="0.2">
      <c r="B495">
        <v>0</v>
      </c>
      <c r="C495">
        <v>1</v>
      </c>
      <c r="D495" t="str">
        <v>Molson, Mr. Harry Markland</v>
      </c>
      <c r="E495" t="str">
        <v>Hombre</v>
      </c>
      <c r="F495">
        <v>55</v>
      </c>
      <c r="G495">
        <v>0</v>
      </c>
      <c r="H495">
        <v>0</v>
      </c>
      <c r="I495">
        <v>305</v>
      </c>
      <c r="J495">
        <v>1</v>
      </c>
      <c r="K495" t="str">
        <v>Southampton</v>
      </c>
    </row>
    <row r="496" spans="2:11" x14ac:dyDescent="0.2">
      <c r="B496">
        <v>0</v>
      </c>
      <c r="C496">
        <v>1</v>
      </c>
      <c r="D496" t="str">
        <v>Artagaveytia, Mr. Ramon</v>
      </c>
      <c r="E496" t="str">
        <v>Hombre</v>
      </c>
      <c r="F496">
        <v>71</v>
      </c>
      <c r="G496">
        <v>0</v>
      </c>
      <c r="H496">
        <v>0</v>
      </c>
      <c r="I496">
        <v>495042</v>
      </c>
      <c r="J496">
        <v>0</v>
      </c>
      <c r="K496" t="str">
        <v>Cherburg</v>
      </c>
    </row>
    <row r="497" spans="2:11" x14ac:dyDescent="0.2">
      <c r="B497">
        <v>0</v>
      </c>
      <c r="C497">
        <v>3</v>
      </c>
      <c r="D497" t="str">
        <v>Stanley, Mr. Edward Roland</v>
      </c>
      <c r="E497" t="str">
        <v>Hombre</v>
      </c>
      <c r="F497">
        <v>21</v>
      </c>
      <c r="G497">
        <v>0</v>
      </c>
      <c r="H497">
        <v>0</v>
      </c>
      <c r="I497">
        <v>805</v>
      </c>
      <c r="J497">
        <v>0</v>
      </c>
      <c r="K497" t="str">
        <v>Southampton</v>
      </c>
    </row>
    <row r="498" spans="2:11" x14ac:dyDescent="0.2">
      <c r="B498">
        <v>0</v>
      </c>
      <c r="C498">
        <v>3</v>
      </c>
      <c r="D498" t="str">
        <v>Yousseff, Mr. Gerious</v>
      </c>
      <c r="E498" t="str">
        <v>Hombre</v>
      </c>
      <c r="F498">
        <v>0</v>
      </c>
      <c r="G498">
        <v>0</v>
      </c>
      <c r="H498">
        <v>0</v>
      </c>
      <c r="I498">
        <v>144583</v>
      </c>
      <c r="J498">
        <v>0</v>
      </c>
      <c r="K498" t="str">
        <v>Cherburg</v>
      </c>
    </row>
    <row r="499" spans="2:11" x14ac:dyDescent="0.2">
      <c r="B499">
        <v>1</v>
      </c>
      <c r="C499">
        <v>1</v>
      </c>
      <c r="D499" t="str">
        <v>Eustis, Miss. Elizabeth Mussey</v>
      </c>
      <c r="E499" t="str">
        <v>Mujer</v>
      </c>
      <c r="F499">
        <v>54</v>
      </c>
      <c r="G499">
        <v>1</v>
      </c>
      <c r="H499">
        <v>0</v>
      </c>
      <c r="I499">
        <v>782667</v>
      </c>
      <c r="J499">
        <v>1</v>
      </c>
      <c r="K499" t="str">
        <v>Cherburg</v>
      </c>
    </row>
    <row r="500" spans="2:11" x14ac:dyDescent="0.2">
      <c r="B500">
        <v>0</v>
      </c>
      <c r="C500">
        <v>3</v>
      </c>
      <c r="D500" t="str">
        <v>Shellard, Mr. Frederick William</v>
      </c>
      <c r="E500" t="str">
        <v>Hombre</v>
      </c>
      <c r="F500">
        <v>0</v>
      </c>
      <c r="G500">
        <v>0</v>
      </c>
      <c r="H500">
        <v>0</v>
      </c>
      <c r="I500">
        <v>151</v>
      </c>
      <c r="J500">
        <v>0</v>
      </c>
      <c r="K500" t="str">
        <v>Southampton</v>
      </c>
    </row>
    <row r="501" spans="2:11" x14ac:dyDescent="0.2">
      <c r="B501">
        <v>0</v>
      </c>
      <c r="C501">
        <v>1</v>
      </c>
      <c r="D501" t="str">
        <v>Allison, Mrs. Hudson J C (Bessie Waldo Daniels)</v>
      </c>
      <c r="E501" t="str">
        <v>Mujer</v>
      </c>
      <c r="F501">
        <v>25</v>
      </c>
      <c r="G501">
        <v>1</v>
      </c>
      <c r="H501">
        <v>2</v>
      </c>
      <c r="I501">
        <v>15155</v>
      </c>
      <c r="J501">
        <v>1</v>
      </c>
      <c r="K501" t="str">
        <v>Southampton</v>
      </c>
    </row>
    <row r="502" spans="2:11" x14ac:dyDescent="0.2">
      <c r="B502">
        <v>0</v>
      </c>
      <c r="C502">
        <v>3</v>
      </c>
      <c r="D502" t="str">
        <v>Svensson, Mr. Olof</v>
      </c>
      <c r="E502" t="str">
        <v>Hombre</v>
      </c>
      <c r="F502">
        <v>24</v>
      </c>
      <c r="G502">
        <v>0</v>
      </c>
      <c r="H502">
        <v>0</v>
      </c>
      <c r="I502">
        <v>77958</v>
      </c>
      <c r="J502">
        <v>0</v>
      </c>
      <c r="K502" t="str">
        <v>Southampton</v>
      </c>
    </row>
    <row r="503" spans="2:11" x14ac:dyDescent="0.2">
      <c r="B503">
        <v>0</v>
      </c>
      <c r="C503">
        <v>3</v>
      </c>
      <c r="D503" t="str">
        <v>Calic, Mr. Petar</v>
      </c>
      <c r="E503" t="str">
        <v>Hombre</v>
      </c>
      <c r="F503">
        <v>17</v>
      </c>
      <c r="G503">
        <v>0</v>
      </c>
      <c r="H503">
        <v>0</v>
      </c>
      <c r="I503">
        <v>86625</v>
      </c>
      <c r="J503">
        <v>0</v>
      </c>
      <c r="K503" t="str">
        <v>Southampton</v>
      </c>
    </row>
    <row r="504" spans="2:11" x14ac:dyDescent="0.2">
      <c r="B504">
        <v>0</v>
      </c>
      <c r="C504">
        <v>3</v>
      </c>
      <c r="D504" t="str">
        <v>Canavan, Miss. Mary</v>
      </c>
      <c r="E504" t="str">
        <v>Mujer</v>
      </c>
      <c r="F504">
        <v>21</v>
      </c>
      <c r="G504">
        <v>0</v>
      </c>
      <c r="H504">
        <v>0</v>
      </c>
      <c r="I504">
        <v>775</v>
      </c>
      <c r="J504">
        <v>0</v>
      </c>
      <c r="K504" t="str">
        <v>Queenstown</v>
      </c>
    </row>
    <row r="505" spans="2:11" x14ac:dyDescent="0.2">
      <c r="B505">
        <v>0</v>
      </c>
      <c r="C505">
        <v>3</v>
      </c>
      <c r="D505" t="str">
        <v>O'Sullivan, Miss. Bridget Mary</v>
      </c>
      <c r="E505" t="str">
        <v>Mujer</v>
      </c>
      <c r="F505">
        <v>0</v>
      </c>
      <c r="G505">
        <v>0</v>
      </c>
      <c r="H505">
        <v>0</v>
      </c>
      <c r="I505">
        <v>76292</v>
      </c>
      <c r="J505">
        <v>0</v>
      </c>
      <c r="K505" t="str">
        <v>Queenstown</v>
      </c>
    </row>
    <row r="506" spans="2:11" x14ac:dyDescent="0.2">
      <c r="B506">
        <v>0</v>
      </c>
      <c r="C506">
        <v>3</v>
      </c>
      <c r="D506" t="str">
        <v>Laitinen, Miss. Kristina Sofia</v>
      </c>
      <c r="E506" t="str">
        <v>Mujer</v>
      </c>
      <c r="F506">
        <v>37</v>
      </c>
      <c r="G506">
        <v>0</v>
      </c>
      <c r="H506">
        <v>0</v>
      </c>
      <c r="I506">
        <v>95875</v>
      </c>
      <c r="J506">
        <v>0</v>
      </c>
      <c r="K506" t="str">
        <v>Southampton</v>
      </c>
    </row>
    <row r="507" spans="2:11" x14ac:dyDescent="0.2">
      <c r="B507">
        <v>1</v>
      </c>
      <c r="C507">
        <v>1</v>
      </c>
      <c r="D507" t="str">
        <v>Maioni, Miss. Roberta</v>
      </c>
      <c r="E507" t="str">
        <v>Mujer</v>
      </c>
      <c r="F507">
        <v>16</v>
      </c>
      <c r="G507">
        <v>0</v>
      </c>
      <c r="H507">
        <v>0</v>
      </c>
      <c r="I507">
        <v>865</v>
      </c>
      <c r="J507">
        <v>1</v>
      </c>
      <c r="K507" t="str">
        <v>Southampton</v>
      </c>
    </row>
    <row r="508" spans="2:11" x14ac:dyDescent="0.2">
      <c r="B508">
        <v>0</v>
      </c>
      <c r="C508">
        <v>1</v>
      </c>
      <c r="D508" t="str">
        <v>Penasco y Castellana, Mr. Victor de Satode</v>
      </c>
      <c r="E508" t="str">
        <v>Hombre</v>
      </c>
      <c r="F508">
        <v>18</v>
      </c>
      <c r="G508">
        <v>1</v>
      </c>
      <c r="H508">
        <v>0</v>
      </c>
      <c r="I508">
        <v>1089</v>
      </c>
      <c r="J508">
        <v>1</v>
      </c>
      <c r="K508" t="str">
        <v>Cherburg</v>
      </c>
    </row>
    <row r="509" spans="2:11" x14ac:dyDescent="0.2">
      <c r="B509">
        <v>1</v>
      </c>
      <c r="C509">
        <v>2</v>
      </c>
      <c r="D509" t="str">
        <v>Quick, Mrs. Frederick Charles (Jane Richards)</v>
      </c>
      <c r="E509" t="str">
        <v>Mujer</v>
      </c>
      <c r="F509">
        <v>33</v>
      </c>
      <c r="G509">
        <v>0</v>
      </c>
      <c r="H509">
        <v>2</v>
      </c>
      <c r="I509">
        <v>26</v>
      </c>
      <c r="J509">
        <v>0</v>
      </c>
      <c r="K509" t="str">
        <v>Southampton</v>
      </c>
    </row>
    <row r="510" spans="2:11" x14ac:dyDescent="0.2">
      <c r="B510">
        <v>1</v>
      </c>
      <c r="C510">
        <v>1</v>
      </c>
      <c r="D510" t="str">
        <v>Bradley, Mr. George ("George Arthur Brayton")</v>
      </c>
      <c r="E510" t="str">
        <v>Hombre</v>
      </c>
      <c r="F510">
        <v>0</v>
      </c>
      <c r="G510">
        <v>0</v>
      </c>
      <c r="H510">
        <v>0</v>
      </c>
      <c r="I510">
        <v>2655</v>
      </c>
      <c r="J510">
        <v>0</v>
      </c>
      <c r="K510" t="str">
        <v>Southampton</v>
      </c>
    </row>
    <row r="511" spans="2:11" x14ac:dyDescent="0.2">
      <c r="B511">
        <v>0</v>
      </c>
      <c r="C511">
        <v>3</v>
      </c>
      <c r="D511" t="str">
        <v>Olsen, Mr. Henry Margido</v>
      </c>
      <c r="E511" t="str">
        <v>Hombre</v>
      </c>
      <c r="F511">
        <v>28</v>
      </c>
      <c r="G511">
        <v>0</v>
      </c>
      <c r="H511">
        <v>0</v>
      </c>
      <c r="I511">
        <v>22525</v>
      </c>
      <c r="J511">
        <v>0</v>
      </c>
      <c r="K511" t="str">
        <v>Southampton</v>
      </c>
    </row>
    <row r="512" spans="2:11" x14ac:dyDescent="0.2">
      <c r="B512">
        <v>1</v>
      </c>
      <c r="C512">
        <v>3</v>
      </c>
      <c r="D512" t="str">
        <v>Lang, Mr. Fang</v>
      </c>
      <c r="E512" t="str">
        <v>Hombre</v>
      </c>
      <c r="F512">
        <v>26</v>
      </c>
      <c r="G512">
        <v>0</v>
      </c>
      <c r="H512">
        <v>0</v>
      </c>
      <c r="I512">
        <v>564958</v>
      </c>
      <c r="J512">
        <v>0</v>
      </c>
      <c r="K512" t="str">
        <v>Southampton</v>
      </c>
    </row>
    <row r="513" spans="2:11" x14ac:dyDescent="0.2">
      <c r="B513">
        <v>1</v>
      </c>
      <c r="C513">
        <v>3</v>
      </c>
      <c r="D513" t="str">
        <v>Daly, Mr. Eugene Patrick</v>
      </c>
      <c r="E513" t="str">
        <v>Hombre</v>
      </c>
      <c r="F513">
        <v>29</v>
      </c>
      <c r="G513">
        <v>0</v>
      </c>
      <c r="H513">
        <v>0</v>
      </c>
      <c r="I513">
        <v>775</v>
      </c>
      <c r="J513">
        <v>0</v>
      </c>
      <c r="K513" t="str">
        <v>Queenstown</v>
      </c>
    </row>
    <row r="514" spans="2:11" x14ac:dyDescent="0.2">
      <c r="B514">
        <v>0</v>
      </c>
      <c r="C514">
        <v>3</v>
      </c>
      <c r="D514" t="str">
        <v>Webber, Mr. James</v>
      </c>
      <c r="E514" t="str">
        <v>Hombre</v>
      </c>
      <c r="F514">
        <v>0</v>
      </c>
      <c r="G514">
        <v>0</v>
      </c>
      <c r="H514">
        <v>0</v>
      </c>
      <c r="I514">
        <v>805</v>
      </c>
      <c r="J514">
        <v>0</v>
      </c>
      <c r="K514" t="str">
        <v>Southampton</v>
      </c>
    </row>
    <row r="515" spans="2:11" x14ac:dyDescent="0.2">
      <c r="B515">
        <v>1</v>
      </c>
      <c r="C515">
        <v>1</v>
      </c>
      <c r="D515" t="str">
        <v>McGough, Mr. James Robert</v>
      </c>
      <c r="E515" t="str">
        <v>Hombre</v>
      </c>
      <c r="F515">
        <v>36</v>
      </c>
      <c r="G515">
        <v>0</v>
      </c>
      <c r="H515">
        <v>0</v>
      </c>
      <c r="I515">
        <v>262875</v>
      </c>
      <c r="J515">
        <v>1</v>
      </c>
      <c r="K515" t="str">
        <v>Southampton</v>
      </c>
    </row>
    <row r="516" spans="2:11" x14ac:dyDescent="0.2">
      <c r="B516">
        <v>1</v>
      </c>
      <c r="C516">
        <v>1</v>
      </c>
      <c r="D516" t="str">
        <v>Rothschild, Mrs. Martin (Elizabeth L. Barrett)</v>
      </c>
      <c r="E516" t="str">
        <v>Mujer</v>
      </c>
      <c r="F516">
        <v>54</v>
      </c>
      <c r="G516">
        <v>1</v>
      </c>
      <c r="H516">
        <v>0</v>
      </c>
      <c r="I516">
        <v>594</v>
      </c>
      <c r="J516">
        <v>0</v>
      </c>
      <c r="K516" t="str">
        <v>Cherburg</v>
      </c>
    </row>
    <row r="517" spans="2:11" x14ac:dyDescent="0.2">
      <c r="B517">
        <v>0</v>
      </c>
      <c r="C517">
        <v>3</v>
      </c>
      <c r="D517" t="str">
        <v>Coleff, Mr. Satio</v>
      </c>
      <c r="E517" t="str">
        <v>Hombre</v>
      </c>
      <c r="F517">
        <v>24</v>
      </c>
      <c r="G517">
        <v>0</v>
      </c>
      <c r="H517">
        <v>0</v>
      </c>
      <c r="I517">
        <v>74958</v>
      </c>
      <c r="J517">
        <v>0</v>
      </c>
      <c r="K517" t="str">
        <v>Southampton</v>
      </c>
    </row>
    <row r="518" spans="2:11" x14ac:dyDescent="0.2">
      <c r="B518">
        <v>0</v>
      </c>
      <c r="C518">
        <v>1</v>
      </c>
      <c r="D518" t="str">
        <v>Walker, Mr. William Anderson</v>
      </c>
      <c r="E518" t="str">
        <v>Hombre</v>
      </c>
      <c r="F518">
        <v>47</v>
      </c>
      <c r="G518">
        <v>0</v>
      </c>
      <c r="H518">
        <v>0</v>
      </c>
      <c r="I518">
        <v>340208</v>
      </c>
      <c r="J518">
        <v>1</v>
      </c>
      <c r="K518" t="str">
        <v>Southampton</v>
      </c>
    </row>
    <row r="519" spans="2:11" x14ac:dyDescent="0.2">
      <c r="B519">
        <v>1</v>
      </c>
      <c r="C519">
        <v>2</v>
      </c>
      <c r="D519" t="str">
        <v>Lemore, Mrs. (Amelia Milley)</v>
      </c>
      <c r="E519" t="str">
        <v>Mujer</v>
      </c>
      <c r="F519">
        <v>34</v>
      </c>
      <c r="G519">
        <v>0</v>
      </c>
      <c r="H519">
        <v>0</v>
      </c>
      <c r="I519">
        <v>105</v>
      </c>
      <c r="J519">
        <v>1</v>
      </c>
      <c r="K519" t="str">
        <v>Southampton</v>
      </c>
    </row>
    <row r="520" spans="2:11" x14ac:dyDescent="0.2">
      <c r="B520">
        <v>0</v>
      </c>
      <c r="C520">
        <v>3</v>
      </c>
      <c r="D520" t="str">
        <v>Ryan, Mr. Patrick</v>
      </c>
      <c r="E520" t="str">
        <v>Hombre</v>
      </c>
      <c r="F520">
        <v>0</v>
      </c>
      <c r="G520">
        <v>0</v>
      </c>
      <c r="H520">
        <v>0</v>
      </c>
      <c r="I520">
        <v>2415</v>
      </c>
      <c r="J520">
        <v>0</v>
      </c>
      <c r="K520" t="str">
        <v>Queenstown</v>
      </c>
    </row>
    <row r="521" spans="2:11" x14ac:dyDescent="0.2">
      <c r="B521">
        <v>1</v>
      </c>
      <c r="C521">
        <v>2</v>
      </c>
      <c r="D521" t="str">
        <v>Angle, Mrs. William A (Florence "Mary" Agnes Hughes)</v>
      </c>
      <c r="E521" t="str">
        <v>Mujer</v>
      </c>
      <c r="F521">
        <v>36</v>
      </c>
      <c r="G521">
        <v>1</v>
      </c>
      <c r="H521">
        <v>0</v>
      </c>
      <c r="I521">
        <v>26</v>
      </c>
      <c r="J521">
        <v>0</v>
      </c>
      <c r="K521" t="str">
        <v>Southampton</v>
      </c>
    </row>
    <row r="522" spans="2:11" x14ac:dyDescent="0.2">
      <c r="B522">
        <v>0</v>
      </c>
      <c r="C522">
        <v>3</v>
      </c>
      <c r="D522" t="str">
        <v>Pavlovic, Mr. Stefo</v>
      </c>
      <c r="E522" t="str">
        <v>Hombre</v>
      </c>
      <c r="F522">
        <v>32</v>
      </c>
      <c r="G522">
        <v>0</v>
      </c>
      <c r="H522">
        <v>0</v>
      </c>
      <c r="I522">
        <v>78958</v>
      </c>
      <c r="J522">
        <v>0</v>
      </c>
      <c r="K522" t="str">
        <v>Southampton</v>
      </c>
    </row>
    <row r="523" spans="2:11" x14ac:dyDescent="0.2">
      <c r="B523">
        <v>1</v>
      </c>
      <c r="C523">
        <v>1</v>
      </c>
      <c r="D523" t="str">
        <v>Perreault, Miss. Anne</v>
      </c>
      <c r="E523" t="str">
        <v>Mujer</v>
      </c>
      <c r="F523">
        <v>30</v>
      </c>
      <c r="G523">
        <v>0</v>
      </c>
      <c r="H523">
        <v>0</v>
      </c>
      <c r="I523">
        <v>935</v>
      </c>
      <c r="J523">
        <v>1</v>
      </c>
      <c r="K523" t="str">
        <v>Southampton</v>
      </c>
    </row>
    <row r="524" spans="2:11" x14ac:dyDescent="0.2">
      <c r="B524">
        <v>0</v>
      </c>
      <c r="C524">
        <v>3</v>
      </c>
      <c r="D524" t="str">
        <v>Vovk, Mr. Janko</v>
      </c>
      <c r="E524" t="str">
        <v>Hombre</v>
      </c>
      <c r="F524">
        <v>22</v>
      </c>
      <c r="G524">
        <v>0</v>
      </c>
      <c r="H524">
        <v>0</v>
      </c>
      <c r="I524">
        <v>78958</v>
      </c>
      <c r="J524">
        <v>0</v>
      </c>
      <c r="K524" t="str">
        <v>Southampton</v>
      </c>
    </row>
    <row r="525" spans="2:11" x14ac:dyDescent="0.2">
      <c r="B525">
        <v>0</v>
      </c>
      <c r="C525">
        <v>3</v>
      </c>
      <c r="D525" t="str">
        <v>Lahoud, Mr. Sarkis</v>
      </c>
      <c r="E525" t="str">
        <v>Hombre</v>
      </c>
      <c r="F525">
        <v>0</v>
      </c>
      <c r="G525">
        <v>0</v>
      </c>
      <c r="H525">
        <v>0</v>
      </c>
      <c r="I525">
        <v>7225</v>
      </c>
      <c r="J525">
        <v>0</v>
      </c>
      <c r="K525" t="str">
        <v>Cherburg</v>
      </c>
    </row>
    <row r="526" spans="2:11" x14ac:dyDescent="0.2">
      <c r="B526">
        <v>1</v>
      </c>
      <c r="C526">
        <v>1</v>
      </c>
      <c r="D526" t="str">
        <v>Hippach, Mrs. Louis Albert (Ida Sophia Fischer)</v>
      </c>
      <c r="E526" t="str">
        <v>Mujer</v>
      </c>
      <c r="F526">
        <v>44</v>
      </c>
      <c r="G526">
        <v>0</v>
      </c>
      <c r="H526">
        <v>1</v>
      </c>
      <c r="I526">
        <v>579792</v>
      </c>
      <c r="J526">
        <v>1</v>
      </c>
      <c r="K526" t="str">
        <v>Cherburg</v>
      </c>
    </row>
    <row r="527" spans="2:11" x14ac:dyDescent="0.2">
      <c r="B527">
        <v>0</v>
      </c>
      <c r="C527">
        <v>3</v>
      </c>
      <c r="D527" t="str">
        <v>Kassem, Mr. Fared</v>
      </c>
      <c r="E527" t="str">
        <v>Hombre</v>
      </c>
      <c r="F527">
        <v>0</v>
      </c>
      <c r="G527">
        <v>0</v>
      </c>
      <c r="H527">
        <v>0</v>
      </c>
      <c r="I527">
        <v>72292</v>
      </c>
      <c r="J527">
        <v>0</v>
      </c>
      <c r="K527" t="str">
        <v>Cherburg</v>
      </c>
    </row>
    <row r="528" spans="2:11" x14ac:dyDescent="0.2">
      <c r="B528">
        <v>0</v>
      </c>
      <c r="C528">
        <v>3</v>
      </c>
      <c r="D528" t="str">
        <v>Farrell, Mr. James</v>
      </c>
      <c r="E528" t="str">
        <v>Hombre</v>
      </c>
      <c r="F528">
        <v>405</v>
      </c>
      <c r="G528">
        <v>0</v>
      </c>
      <c r="H528">
        <v>0</v>
      </c>
      <c r="I528">
        <v>775</v>
      </c>
      <c r="J528">
        <v>0</v>
      </c>
      <c r="K528" t="str">
        <v>Queenstown</v>
      </c>
    </row>
    <row r="529" spans="2:11" x14ac:dyDescent="0.2">
      <c r="B529">
        <v>1</v>
      </c>
      <c r="C529">
        <v>2</v>
      </c>
      <c r="D529" t="str">
        <v>Ridsdale, Miss. Lucy</v>
      </c>
      <c r="E529" t="str">
        <v>Mujer</v>
      </c>
      <c r="F529">
        <v>50</v>
      </c>
      <c r="G529">
        <v>0</v>
      </c>
      <c r="H529">
        <v>0</v>
      </c>
      <c r="I529">
        <v>105</v>
      </c>
      <c r="J529">
        <v>0</v>
      </c>
      <c r="K529" t="str">
        <v>Southampton</v>
      </c>
    </row>
    <row r="530" spans="2:11" x14ac:dyDescent="0.2">
      <c r="B530">
        <v>0</v>
      </c>
      <c r="C530">
        <v>1</v>
      </c>
      <c r="D530" t="str">
        <v>Farthing, Mr. John</v>
      </c>
      <c r="E530" t="str">
        <v>Hombre</v>
      </c>
      <c r="F530">
        <v>0</v>
      </c>
      <c r="G530">
        <v>0</v>
      </c>
      <c r="H530">
        <v>0</v>
      </c>
      <c r="I530">
        <v>2217792</v>
      </c>
      <c r="J530">
        <v>1</v>
      </c>
      <c r="K530" t="str">
        <v>Southampton</v>
      </c>
    </row>
    <row r="531" spans="2:11" x14ac:dyDescent="0.2">
      <c r="B531">
        <v>0</v>
      </c>
      <c r="C531">
        <v>3</v>
      </c>
      <c r="D531" t="str">
        <v>Salonen, Mr. Johan Werner</v>
      </c>
      <c r="E531" t="str">
        <v>Hombre</v>
      </c>
      <c r="F531">
        <v>39</v>
      </c>
      <c r="G531">
        <v>0</v>
      </c>
      <c r="H531">
        <v>0</v>
      </c>
      <c r="I531">
        <v>7925</v>
      </c>
      <c r="J531">
        <v>0</v>
      </c>
      <c r="K531" t="str">
        <v>Southampton</v>
      </c>
    </row>
    <row r="532" spans="2:11" x14ac:dyDescent="0.2">
      <c r="B532">
        <v>0</v>
      </c>
      <c r="C532">
        <v>2</v>
      </c>
      <c r="D532" t="str">
        <v>Hocking, Mr. Richard George</v>
      </c>
      <c r="E532" t="str">
        <v>Hombre</v>
      </c>
      <c r="F532">
        <v>23</v>
      </c>
      <c r="G532">
        <v>2</v>
      </c>
      <c r="H532">
        <v>1</v>
      </c>
      <c r="I532">
        <v>115</v>
      </c>
      <c r="J532">
        <v>0</v>
      </c>
      <c r="K532" t="str">
        <v>Southampton</v>
      </c>
    </row>
    <row r="533" spans="2:11" x14ac:dyDescent="0.2">
      <c r="B533">
        <v>1</v>
      </c>
      <c r="C533">
        <v>2</v>
      </c>
      <c r="D533" t="str">
        <v>Quick, Miss. Phyllis May</v>
      </c>
      <c r="E533" t="str">
        <v>Mujer</v>
      </c>
      <c r="F533">
        <v>2</v>
      </c>
      <c r="G533">
        <v>1</v>
      </c>
      <c r="H533">
        <v>1</v>
      </c>
      <c r="I533">
        <v>26</v>
      </c>
      <c r="J533">
        <v>0</v>
      </c>
      <c r="K533" t="str">
        <v>Southampton</v>
      </c>
    </row>
    <row r="534" spans="2:11" x14ac:dyDescent="0.2">
      <c r="B534">
        <v>0</v>
      </c>
      <c r="C534">
        <v>3</v>
      </c>
      <c r="D534" t="str">
        <v>Toufik, Mr. Nakli</v>
      </c>
      <c r="E534" t="str">
        <v>Hombre</v>
      </c>
      <c r="F534">
        <v>0</v>
      </c>
      <c r="G534">
        <v>0</v>
      </c>
      <c r="H534">
        <v>0</v>
      </c>
      <c r="I534">
        <v>72292</v>
      </c>
      <c r="J534">
        <v>0</v>
      </c>
      <c r="K534" t="str">
        <v>Cherburg</v>
      </c>
    </row>
    <row r="535" spans="2:11" x14ac:dyDescent="0.2">
      <c r="B535">
        <v>0</v>
      </c>
      <c r="C535">
        <v>3</v>
      </c>
      <c r="D535" t="str">
        <v>Elias, Mr. Joseph Jr</v>
      </c>
      <c r="E535" t="str">
        <v>Hombre</v>
      </c>
      <c r="F535">
        <v>17</v>
      </c>
      <c r="G535">
        <v>1</v>
      </c>
      <c r="H535">
        <v>1</v>
      </c>
      <c r="I535">
        <v>72292</v>
      </c>
      <c r="J535">
        <v>0</v>
      </c>
      <c r="K535" t="str">
        <v>Cherburg</v>
      </c>
    </row>
    <row r="536" spans="2:11" x14ac:dyDescent="0.2">
      <c r="B536">
        <v>1</v>
      </c>
      <c r="C536">
        <v>3</v>
      </c>
      <c r="D536" t="str">
        <v>Peter, Mrs. Catherine (Catherine Rizk)</v>
      </c>
      <c r="E536" t="str">
        <v>Mujer</v>
      </c>
      <c r="F536">
        <v>0</v>
      </c>
      <c r="G536">
        <v>0</v>
      </c>
      <c r="H536">
        <v>2</v>
      </c>
      <c r="I536">
        <v>223583</v>
      </c>
      <c r="J536">
        <v>0</v>
      </c>
      <c r="K536" t="str">
        <v>Cherburg</v>
      </c>
    </row>
    <row r="537" spans="2:11" x14ac:dyDescent="0.2">
      <c r="B537">
        <v>0</v>
      </c>
      <c r="C537">
        <v>3</v>
      </c>
      <c r="D537" t="str">
        <v>Cacic, Miss. Marija</v>
      </c>
      <c r="E537" t="str">
        <v>Mujer</v>
      </c>
      <c r="F537">
        <v>30</v>
      </c>
      <c r="G537">
        <v>0</v>
      </c>
      <c r="H537">
        <v>0</v>
      </c>
      <c r="I537">
        <v>86625</v>
      </c>
      <c r="J537">
        <v>0</v>
      </c>
      <c r="K537" t="str">
        <v>Southampton</v>
      </c>
    </row>
    <row r="538" spans="2:11" x14ac:dyDescent="0.2">
      <c r="B538">
        <v>1</v>
      </c>
      <c r="C538">
        <v>2</v>
      </c>
      <c r="D538" t="str">
        <v>Hart, Miss. Eva Miriam</v>
      </c>
      <c r="E538" t="str">
        <v>Mujer</v>
      </c>
      <c r="F538">
        <v>7</v>
      </c>
      <c r="G538">
        <v>0</v>
      </c>
      <c r="H538">
        <v>2</v>
      </c>
      <c r="I538">
        <v>2625</v>
      </c>
      <c r="J538">
        <v>0</v>
      </c>
      <c r="K538" t="str">
        <v>Southampton</v>
      </c>
    </row>
    <row r="539" spans="2:11" x14ac:dyDescent="0.2">
      <c r="B539">
        <v>0</v>
      </c>
      <c r="C539">
        <v>1</v>
      </c>
      <c r="D539" t="str">
        <v>Butt, Major. Archibald Willingham</v>
      </c>
      <c r="E539" t="str">
        <v>Hombre</v>
      </c>
      <c r="F539">
        <v>45</v>
      </c>
      <c r="G539">
        <v>0</v>
      </c>
      <c r="H539">
        <v>0</v>
      </c>
      <c r="I539">
        <v>2655</v>
      </c>
      <c r="J539">
        <v>1</v>
      </c>
      <c r="K539" t="str">
        <v>Southampton</v>
      </c>
    </row>
    <row r="540" spans="2:11" x14ac:dyDescent="0.2">
      <c r="B540">
        <v>1</v>
      </c>
      <c r="C540">
        <v>1</v>
      </c>
      <c r="D540" t="str">
        <v>LeRoy, Miss. Bertha</v>
      </c>
      <c r="E540" t="str">
        <v>Mujer</v>
      </c>
      <c r="F540">
        <v>30</v>
      </c>
      <c r="G540">
        <v>0</v>
      </c>
      <c r="H540">
        <v>0</v>
      </c>
      <c r="I540">
        <v>106425</v>
      </c>
      <c r="J540">
        <v>0</v>
      </c>
      <c r="K540" t="str">
        <v>Cherburg</v>
      </c>
    </row>
    <row r="541" spans="2:11" x14ac:dyDescent="0.2">
      <c r="B541">
        <v>0</v>
      </c>
      <c r="C541">
        <v>3</v>
      </c>
      <c r="D541" t="str">
        <v>Risien, Mr. Samuel Beard</v>
      </c>
      <c r="E541" t="str">
        <v>Hombre</v>
      </c>
      <c r="F541">
        <v>0</v>
      </c>
      <c r="G541">
        <v>0</v>
      </c>
      <c r="H541">
        <v>0</v>
      </c>
      <c r="I541">
        <v>145</v>
      </c>
      <c r="J541">
        <v>0</v>
      </c>
      <c r="K541" t="str">
        <v>Southampton</v>
      </c>
    </row>
    <row r="542" spans="2:11" x14ac:dyDescent="0.2">
      <c r="B542">
        <v>1</v>
      </c>
      <c r="C542">
        <v>1</v>
      </c>
      <c r="D542" t="str">
        <v>Frolicher, Miss. Hedwig Margaritha</v>
      </c>
      <c r="E542" t="str">
        <v>Mujer</v>
      </c>
      <c r="F542">
        <v>22</v>
      </c>
      <c r="G542">
        <v>0</v>
      </c>
      <c r="H542">
        <v>2</v>
      </c>
      <c r="I542">
        <v>495</v>
      </c>
      <c r="J542">
        <v>1</v>
      </c>
      <c r="K542" t="str">
        <v>Cherburg</v>
      </c>
    </row>
    <row r="543" spans="2:11" x14ac:dyDescent="0.2">
      <c r="B543">
        <v>1</v>
      </c>
      <c r="C543">
        <v>1</v>
      </c>
      <c r="D543" t="str">
        <v>Crosby, Miss. Harriet R</v>
      </c>
      <c r="E543" t="str">
        <v>Mujer</v>
      </c>
      <c r="F543">
        <v>36</v>
      </c>
      <c r="G543">
        <v>0</v>
      </c>
      <c r="H543">
        <v>2</v>
      </c>
      <c r="I543">
        <v>71</v>
      </c>
      <c r="J543">
        <v>1</v>
      </c>
      <c r="K543" t="str">
        <v>Southampton</v>
      </c>
    </row>
    <row r="544" spans="2:11" x14ac:dyDescent="0.2">
      <c r="B544">
        <v>0</v>
      </c>
      <c r="C544">
        <v>3</v>
      </c>
      <c r="D544" t="str">
        <v>Andersson, Miss. Ingeborg Constanzia</v>
      </c>
      <c r="E544" t="str">
        <v>Mujer</v>
      </c>
      <c r="F544">
        <v>9</v>
      </c>
      <c r="G544">
        <v>4</v>
      </c>
      <c r="H544">
        <v>2</v>
      </c>
      <c r="I544">
        <v>31275</v>
      </c>
      <c r="J544">
        <v>0</v>
      </c>
      <c r="K544" t="str">
        <v>Southampton</v>
      </c>
    </row>
    <row r="545" spans="2:11" x14ac:dyDescent="0.2">
      <c r="B545">
        <v>0</v>
      </c>
      <c r="C545">
        <v>3</v>
      </c>
      <c r="D545" t="str">
        <v>Andersson, Miss. Sigrid Elisabeth</v>
      </c>
      <c r="E545" t="str">
        <v>Mujer</v>
      </c>
      <c r="F545">
        <v>11</v>
      </c>
      <c r="G545">
        <v>4</v>
      </c>
      <c r="H545">
        <v>2</v>
      </c>
      <c r="I545">
        <v>31275</v>
      </c>
      <c r="J545">
        <v>0</v>
      </c>
      <c r="K545" t="str">
        <v>Southampton</v>
      </c>
    </row>
    <row r="546" spans="2:11" x14ac:dyDescent="0.2">
      <c r="B546">
        <v>1</v>
      </c>
      <c r="C546">
        <v>2</v>
      </c>
      <c r="D546" t="str">
        <v>Beane, Mr. Edward</v>
      </c>
      <c r="E546" t="str">
        <v>Hombre</v>
      </c>
      <c r="F546">
        <v>32</v>
      </c>
      <c r="G546">
        <v>1</v>
      </c>
      <c r="H546">
        <v>0</v>
      </c>
      <c r="I546">
        <v>26</v>
      </c>
      <c r="J546">
        <v>0</v>
      </c>
      <c r="K546" t="str">
        <v>Southampton</v>
      </c>
    </row>
    <row r="547" spans="2:11" x14ac:dyDescent="0.2">
      <c r="B547">
        <v>0</v>
      </c>
      <c r="C547">
        <v>1</v>
      </c>
      <c r="D547" t="str">
        <v>Douglas, Mr. Walter Donald</v>
      </c>
      <c r="E547" t="str">
        <v>Hombre</v>
      </c>
      <c r="F547">
        <v>50</v>
      </c>
      <c r="G547">
        <v>1</v>
      </c>
      <c r="H547">
        <v>0</v>
      </c>
      <c r="I547">
        <v>106425</v>
      </c>
      <c r="J547">
        <v>1</v>
      </c>
      <c r="K547" t="str">
        <v>Cherburg</v>
      </c>
    </row>
    <row r="548" spans="2:11" x14ac:dyDescent="0.2">
      <c r="B548">
        <v>0</v>
      </c>
      <c r="C548">
        <v>1</v>
      </c>
      <c r="D548" t="str">
        <v>Nicholson, Mr. Arthur Ernest</v>
      </c>
      <c r="E548" t="str">
        <v>Hombre</v>
      </c>
      <c r="F548">
        <v>64</v>
      </c>
      <c r="G548">
        <v>0</v>
      </c>
      <c r="H548">
        <v>0</v>
      </c>
      <c r="I548">
        <v>26</v>
      </c>
      <c r="J548">
        <v>0</v>
      </c>
      <c r="K548" t="str">
        <v>Southampton</v>
      </c>
    </row>
    <row r="549" spans="2:11" x14ac:dyDescent="0.2">
      <c r="B549">
        <v>1</v>
      </c>
      <c r="C549">
        <v>2</v>
      </c>
      <c r="D549" t="str">
        <v>Beane, Mrs. Edward (Ethel Clarke)</v>
      </c>
      <c r="E549" t="str">
        <v>Mujer</v>
      </c>
      <c r="F549">
        <v>19</v>
      </c>
      <c r="G549">
        <v>1</v>
      </c>
      <c r="H549">
        <v>0</v>
      </c>
      <c r="I549">
        <v>26</v>
      </c>
      <c r="J549">
        <v>0</v>
      </c>
      <c r="K549" t="str">
        <v>Southampton</v>
      </c>
    </row>
    <row r="550" spans="2:11" x14ac:dyDescent="0.2">
      <c r="B550">
        <v>1</v>
      </c>
      <c r="C550">
        <v>2</v>
      </c>
      <c r="D550" t="str">
        <v>Padro y Manent, Mr. Julian</v>
      </c>
      <c r="E550" t="str">
        <v>Hombre</v>
      </c>
      <c r="F550">
        <v>0</v>
      </c>
      <c r="G550">
        <v>0</v>
      </c>
      <c r="H550">
        <v>0</v>
      </c>
      <c r="I550">
        <v>138625</v>
      </c>
      <c r="J550">
        <v>0</v>
      </c>
      <c r="K550" t="str">
        <v>Cherburg</v>
      </c>
    </row>
    <row r="551" spans="2:11" x14ac:dyDescent="0.2">
      <c r="B551">
        <v>0</v>
      </c>
      <c r="C551">
        <v>3</v>
      </c>
      <c r="D551" t="str">
        <v>Goldsmith, Mr. Frank John</v>
      </c>
      <c r="E551" t="str">
        <v>Hombre</v>
      </c>
      <c r="F551">
        <v>33</v>
      </c>
      <c r="G551">
        <v>1</v>
      </c>
      <c r="H551">
        <v>1</v>
      </c>
      <c r="I551">
        <v>20525</v>
      </c>
      <c r="J551">
        <v>0</v>
      </c>
      <c r="K551" t="str">
        <v>Southampton</v>
      </c>
    </row>
    <row r="552" spans="2:11" x14ac:dyDescent="0.2">
      <c r="B552">
        <v>1</v>
      </c>
      <c r="C552">
        <v>2</v>
      </c>
      <c r="D552" t="str">
        <v>Davies, Master. John Morgan Jr</v>
      </c>
      <c r="E552" t="str">
        <v>Hombre</v>
      </c>
      <c r="F552">
        <v>8</v>
      </c>
      <c r="G552">
        <v>1</v>
      </c>
      <c r="H552">
        <v>1</v>
      </c>
      <c r="I552">
        <v>3675</v>
      </c>
      <c r="J552">
        <v>0</v>
      </c>
      <c r="K552" t="str">
        <v>Southampton</v>
      </c>
    </row>
    <row r="553" spans="2:11" x14ac:dyDescent="0.2">
      <c r="B553">
        <v>1</v>
      </c>
      <c r="C553">
        <v>1</v>
      </c>
      <c r="D553" t="str">
        <v>Thayer, Mr. John Borland Jr</v>
      </c>
      <c r="E553" t="str">
        <v>Hombre</v>
      </c>
      <c r="F553">
        <v>17</v>
      </c>
      <c r="G553">
        <v>0</v>
      </c>
      <c r="H553">
        <v>2</v>
      </c>
      <c r="I553">
        <v>1108833</v>
      </c>
      <c r="J553">
        <v>1</v>
      </c>
      <c r="K553" t="str">
        <v>Cherburg</v>
      </c>
    </row>
    <row r="554" spans="2:11" x14ac:dyDescent="0.2">
      <c r="B554">
        <v>0</v>
      </c>
      <c r="C554">
        <v>2</v>
      </c>
      <c r="D554" t="str">
        <v>Sharp, Mr. Percival James R</v>
      </c>
      <c r="E554" t="str">
        <v>Hombre</v>
      </c>
      <c r="F554">
        <v>27</v>
      </c>
      <c r="G554">
        <v>0</v>
      </c>
      <c r="H554">
        <v>0</v>
      </c>
      <c r="I554">
        <v>26</v>
      </c>
      <c r="J554">
        <v>0</v>
      </c>
      <c r="K554" t="str">
        <v>Southampton</v>
      </c>
    </row>
    <row r="555" spans="2:11" x14ac:dyDescent="0.2">
      <c r="B555">
        <v>0</v>
      </c>
      <c r="C555">
        <v>3</v>
      </c>
      <c r="D555" t="str">
        <v>O'Brien, Mr. Timothy</v>
      </c>
      <c r="E555" t="str">
        <v>Hombre</v>
      </c>
      <c r="F555">
        <v>0</v>
      </c>
      <c r="G555">
        <v>0</v>
      </c>
      <c r="H555">
        <v>0</v>
      </c>
      <c r="I555">
        <v>78292</v>
      </c>
      <c r="J555">
        <v>0</v>
      </c>
      <c r="K555" t="str">
        <v>Queenstown</v>
      </c>
    </row>
    <row r="556" spans="2:11" x14ac:dyDescent="0.2">
      <c r="B556">
        <v>1</v>
      </c>
      <c r="C556">
        <v>3</v>
      </c>
      <c r="D556" t="str">
        <v>Leeni, Mr. Fahim ("Philip Zenni")</v>
      </c>
      <c r="E556" t="str">
        <v>Hombre</v>
      </c>
      <c r="F556">
        <v>22</v>
      </c>
      <c r="G556">
        <v>0</v>
      </c>
      <c r="H556">
        <v>0</v>
      </c>
      <c r="I556">
        <v>7225</v>
      </c>
      <c r="J556">
        <v>0</v>
      </c>
      <c r="K556" t="str">
        <v>Cherburg</v>
      </c>
    </row>
    <row r="557" spans="2:11" x14ac:dyDescent="0.2">
      <c r="B557">
        <v>1</v>
      </c>
      <c r="C557">
        <v>3</v>
      </c>
      <c r="D557" t="str">
        <v>Ohman, Miss. Velin</v>
      </c>
      <c r="E557" t="str">
        <v>Mujer</v>
      </c>
      <c r="F557">
        <v>22</v>
      </c>
      <c r="G557">
        <v>0</v>
      </c>
      <c r="H557">
        <v>0</v>
      </c>
      <c r="I557">
        <v>7775</v>
      </c>
      <c r="J557">
        <v>0</v>
      </c>
      <c r="K557" t="str">
        <v>Southampton</v>
      </c>
    </row>
    <row r="558" spans="2:11" x14ac:dyDescent="0.2">
      <c r="B558">
        <v>0</v>
      </c>
      <c r="C558">
        <v>1</v>
      </c>
      <c r="D558" t="str">
        <v>Wright, Mr. George</v>
      </c>
      <c r="E558" t="str">
        <v>Hombre</v>
      </c>
      <c r="F558">
        <v>62</v>
      </c>
      <c r="G558">
        <v>0</v>
      </c>
      <c r="H558">
        <v>0</v>
      </c>
      <c r="I558">
        <v>2655</v>
      </c>
      <c r="J558">
        <v>0</v>
      </c>
      <c r="K558" t="str">
        <v>Southampton</v>
      </c>
    </row>
    <row r="559" spans="2:11" x14ac:dyDescent="0.2">
      <c r="B559">
        <v>1</v>
      </c>
      <c r="C559">
        <v>1</v>
      </c>
      <c r="D559" t="str">
        <v>Duff Gordon, Lady. (Lucille Christiana Sutherland) ("Mrs Morgan")</v>
      </c>
      <c r="E559" t="str">
        <v>Mujer</v>
      </c>
      <c r="F559">
        <v>48</v>
      </c>
      <c r="G559">
        <v>1</v>
      </c>
      <c r="H559">
        <v>0</v>
      </c>
      <c r="I559">
        <v>396</v>
      </c>
      <c r="J559">
        <v>1</v>
      </c>
      <c r="K559" t="str">
        <v>Cherburg</v>
      </c>
    </row>
    <row r="560" spans="2:11" x14ac:dyDescent="0.2">
      <c r="B560">
        <v>0</v>
      </c>
      <c r="C560">
        <v>1</v>
      </c>
      <c r="D560" t="str">
        <v>Robbins, Mr. Victor</v>
      </c>
      <c r="E560" t="str">
        <v>Hombre</v>
      </c>
      <c r="F560">
        <v>0</v>
      </c>
      <c r="G560">
        <v>0</v>
      </c>
      <c r="H560">
        <v>0</v>
      </c>
      <c r="I560">
        <v>227525</v>
      </c>
      <c r="J560">
        <v>0</v>
      </c>
      <c r="K560" t="str">
        <v>Cherburg</v>
      </c>
    </row>
    <row r="561" spans="2:11" x14ac:dyDescent="0.2">
      <c r="B561">
        <v>1</v>
      </c>
      <c r="C561">
        <v>1</v>
      </c>
      <c r="D561" t="str">
        <v>Taussig, Mrs. Emil (Tillie Mandelbaum)</v>
      </c>
      <c r="E561" t="str">
        <v>Mujer</v>
      </c>
      <c r="F561">
        <v>39</v>
      </c>
      <c r="G561">
        <v>1</v>
      </c>
      <c r="H561">
        <v>1</v>
      </c>
      <c r="I561">
        <v>7965</v>
      </c>
      <c r="J561">
        <v>1</v>
      </c>
      <c r="K561" t="str">
        <v>Southampton</v>
      </c>
    </row>
    <row r="562" spans="2:11" x14ac:dyDescent="0.2">
      <c r="B562">
        <v>1</v>
      </c>
      <c r="C562">
        <v>3</v>
      </c>
      <c r="D562" t="str">
        <v>de Messemaeker, Mrs. Guillaume Joseph (Emma)</v>
      </c>
      <c r="E562" t="str">
        <v>Mujer</v>
      </c>
      <c r="F562">
        <v>36</v>
      </c>
      <c r="G562">
        <v>1</v>
      </c>
      <c r="H562">
        <v>0</v>
      </c>
      <c r="I562">
        <v>174</v>
      </c>
      <c r="J562">
        <v>0</v>
      </c>
      <c r="K562" t="str">
        <v>Southampton</v>
      </c>
    </row>
    <row r="563" spans="2:11" x14ac:dyDescent="0.2">
      <c r="B563">
        <v>0</v>
      </c>
      <c r="C563">
        <v>3</v>
      </c>
      <c r="D563" t="str">
        <v>Morrow, Mr. Thomas Rowan</v>
      </c>
      <c r="E563" t="str">
        <v>Hombre</v>
      </c>
      <c r="F563">
        <v>0</v>
      </c>
      <c r="G563">
        <v>0</v>
      </c>
      <c r="H563">
        <v>0</v>
      </c>
      <c r="I563">
        <v>775</v>
      </c>
      <c r="J563">
        <v>0</v>
      </c>
      <c r="K563" t="str">
        <v>Queenstown</v>
      </c>
    </row>
    <row r="564" spans="2:11" x14ac:dyDescent="0.2">
      <c r="B564">
        <v>0</v>
      </c>
      <c r="C564">
        <v>3</v>
      </c>
      <c r="D564" t="str">
        <v>Sivic, Mr. Husein</v>
      </c>
      <c r="E564" t="str">
        <v>Hombre</v>
      </c>
      <c r="F564">
        <v>40</v>
      </c>
      <c r="G564">
        <v>0</v>
      </c>
      <c r="H564">
        <v>0</v>
      </c>
      <c r="I564">
        <v>78958</v>
      </c>
      <c r="J564">
        <v>0</v>
      </c>
      <c r="K564" t="str">
        <v>Southampton</v>
      </c>
    </row>
    <row r="565" spans="2:11" x14ac:dyDescent="0.2">
      <c r="B565">
        <v>0</v>
      </c>
      <c r="C565">
        <v>2</v>
      </c>
      <c r="D565" t="str">
        <v>Norman, Mr. Robert Douglas</v>
      </c>
      <c r="E565" t="str">
        <v>Hombre</v>
      </c>
      <c r="F565">
        <v>28</v>
      </c>
      <c r="G565">
        <v>0</v>
      </c>
      <c r="H565">
        <v>0</v>
      </c>
      <c r="I565">
        <v>135</v>
      </c>
      <c r="J565">
        <v>0</v>
      </c>
      <c r="K565" t="str">
        <v>Southampton</v>
      </c>
    </row>
    <row r="566" spans="2:11" x14ac:dyDescent="0.2">
      <c r="B566">
        <v>0</v>
      </c>
      <c r="C566">
        <v>3</v>
      </c>
      <c r="D566" t="str">
        <v>Simmons, Mr. John</v>
      </c>
      <c r="E566" t="str">
        <v>Hombre</v>
      </c>
      <c r="F566">
        <v>0</v>
      </c>
      <c r="G566">
        <v>0</v>
      </c>
      <c r="H566">
        <v>0</v>
      </c>
      <c r="I566">
        <v>805</v>
      </c>
      <c r="J566">
        <v>0</v>
      </c>
      <c r="K566" t="str">
        <v>Southampton</v>
      </c>
    </row>
    <row r="567" spans="2:11" x14ac:dyDescent="0.2">
      <c r="B567">
        <v>0</v>
      </c>
      <c r="C567">
        <v>3</v>
      </c>
      <c r="D567" t="str">
        <v>Meanwell, Miss. (Marion Ogden)</v>
      </c>
      <c r="E567" t="str">
        <v>Mujer</v>
      </c>
      <c r="F567">
        <v>0</v>
      </c>
      <c r="G567">
        <v>0</v>
      </c>
      <c r="H567">
        <v>0</v>
      </c>
      <c r="I567">
        <v>805</v>
      </c>
      <c r="J567">
        <v>0</v>
      </c>
      <c r="K567" t="str">
        <v>Southampton</v>
      </c>
    </row>
    <row r="568" spans="2:11" x14ac:dyDescent="0.2">
      <c r="B568">
        <v>0</v>
      </c>
      <c r="C568">
        <v>3</v>
      </c>
      <c r="D568" t="str">
        <v>Davies, Mr. Alfred J</v>
      </c>
      <c r="E568" t="str">
        <v>Hombre</v>
      </c>
      <c r="F568">
        <v>24</v>
      </c>
      <c r="G568">
        <v>2</v>
      </c>
      <c r="H568">
        <v>0</v>
      </c>
      <c r="I568">
        <v>2415</v>
      </c>
      <c r="J568">
        <v>0</v>
      </c>
      <c r="K568" t="str">
        <v>Southampton</v>
      </c>
    </row>
    <row r="569" spans="2:11" x14ac:dyDescent="0.2">
      <c r="B569">
        <v>0</v>
      </c>
      <c r="C569">
        <v>3</v>
      </c>
      <c r="D569" t="str">
        <v>Stoytcheff, Mr. Ilia</v>
      </c>
      <c r="E569" t="str">
        <v>Hombre</v>
      </c>
      <c r="F569">
        <v>19</v>
      </c>
      <c r="G569">
        <v>0</v>
      </c>
      <c r="H569">
        <v>0</v>
      </c>
      <c r="I569">
        <v>78958</v>
      </c>
      <c r="J569">
        <v>0</v>
      </c>
      <c r="K569" t="str">
        <v>Southampton</v>
      </c>
    </row>
    <row r="570" spans="2:11" x14ac:dyDescent="0.2">
      <c r="B570">
        <v>0</v>
      </c>
      <c r="C570">
        <v>3</v>
      </c>
      <c r="D570" t="str">
        <v>Palsson, Mrs. Nils (Alma Cornelia Berglund)</v>
      </c>
      <c r="E570" t="str">
        <v>Mujer</v>
      </c>
      <c r="F570">
        <v>29</v>
      </c>
      <c r="G570">
        <v>0</v>
      </c>
      <c r="H570">
        <v>4</v>
      </c>
      <c r="I570">
        <v>21075</v>
      </c>
      <c r="J570">
        <v>0</v>
      </c>
      <c r="K570" t="str">
        <v>Southampton</v>
      </c>
    </row>
    <row r="571" spans="2:11" x14ac:dyDescent="0.2">
      <c r="B571">
        <v>0</v>
      </c>
      <c r="C571">
        <v>3</v>
      </c>
      <c r="D571" t="str">
        <v>Doharr, Mr. Tannous</v>
      </c>
      <c r="E571" t="str">
        <v>Hombre</v>
      </c>
      <c r="F571">
        <v>0</v>
      </c>
      <c r="G571">
        <v>0</v>
      </c>
      <c r="H571">
        <v>0</v>
      </c>
      <c r="I571">
        <v>72292</v>
      </c>
      <c r="J571">
        <v>0</v>
      </c>
      <c r="K571" t="str">
        <v>Cherburg</v>
      </c>
    </row>
    <row r="572" spans="2:11" x14ac:dyDescent="0.2">
      <c r="B572">
        <v>1</v>
      </c>
      <c r="C572">
        <v>3</v>
      </c>
      <c r="D572" t="str">
        <v>Jonsson, Mr. Carl</v>
      </c>
      <c r="E572" t="str">
        <v>Hombre</v>
      </c>
      <c r="F572">
        <v>32</v>
      </c>
      <c r="G572">
        <v>0</v>
      </c>
      <c r="H572">
        <v>0</v>
      </c>
      <c r="I572">
        <v>78542</v>
      </c>
      <c r="J572">
        <v>0</v>
      </c>
      <c r="K572" t="str">
        <v>Southampton</v>
      </c>
    </row>
    <row r="573" spans="2:11" x14ac:dyDescent="0.2">
      <c r="B573">
        <v>1</v>
      </c>
      <c r="C573">
        <v>2</v>
      </c>
      <c r="D573" t="str">
        <v>Harris, Mr. George</v>
      </c>
      <c r="E573" t="str">
        <v>Hombre</v>
      </c>
      <c r="F573">
        <v>62</v>
      </c>
      <c r="G573">
        <v>0</v>
      </c>
      <c r="H573">
        <v>0</v>
      </c>
      <c r="I573">
        <v>105</v>
      </c>
      <c r="J573">
        <v>0</v>
      </c>
      <c r="K573" t="str">
        <v>Southampton</v>
      </c>
    </row>
    <row r="574" spans="2:11" x14ac:dyDescent="0.2">
      <c r="B574">
        <v>1</v>
      </c>
      <c r="C574">
        <v>1</v>
      </c>
      <c r="D574" t="str">
        <v>Appleton, Mrs. Edward Dale (Charlotte Lamson)</v>
      </c>
      <c r="E574" t="str">
        <v>Mujer</v>
      </c>
      <c r="F574">
        <v>53</v>
      </c>
      <c r="G574">
        <v>2</v>
      </c>
      <c r="H574">
        <v>0</v>
      </c>
      <c r="I574">
        <v>514792</v>
      </c>
      <c r="J574">
        <v>1</v>
      </c>
      <c r="K574" t="str">
        <v>Southampton</v>
      </c>
    </row>
    <row r="575" spans="2:11" x14ac:dyDescent="0.2">
      <c r="B575">
        <v>1</v>
      </c>
      <c r="C575">
        <v>1</v>
      </c>
      <c r="D575" t="str">
        <v>Flynn, Mr. John Irwin ("Irving")</v>
      </c>
      <c r="E575" t="str">
        <v>Hombre</v>
      </c>
      <c r="F575">
        <v>36</v>
      </c>
      <c r="G575">
        <v>0</v>
      </c>
      <c r="H575">
        <v>0</v>
      </c>
      <c r="I575">
        <v>263875</v>
      </c>
      <c r="J575">
        <v>1</v>
      </c>
      <c r="K575" t="str">
        <v>Southampton</v>
      </c>
    </row>
    <row r="576" spans="2:11" x14ac:dyDescent="0.2">
      <c r="B576">
        <v>1</v>
      </c>
      <c r="C576">
        <v>3</v>
      </c>
      <c r="D576" t="str">
        <v>Kelly, Miss. Mary</v>
      </c>
      <c r="E576" t="str">
        <v>Mujer</v>
      </c>
      <c r="F576">
        <v>0</v>
      </c>
      <c r="G576">
        <v>0</v>
      </c>
      <c r="H576">
        <v>0</v>
      </c>
      <c r="I576">
        <v>775</v>
      </c>
      <c r="J576">
        <v>0</v>
      </c>
      <c r="K576" t="str">
        <v>Queenstown</v>
      </c>
    </row>
    <row r="577" spans="2:11" x14ac:dyDescent="0.2">
      <c r="B577">
        <v>0</v>
      </c>
      <c r="C577">
        <v>3</v>
      </c>
      <c r="D577" t="str">
        <v>Rush, Mr. Alfred George John</v>
      </c>
      <c r="E577" t="str">
        <v>Hombre</v>
      </c>
      <c r="F577">
        <v>16</v>
      </c>
      <c r="G577">
        <v>0</v>
      </c>
      <c r="H577">
        <v>0</v>
      </c>
      <c r="I577">
        <v>805</v>
      </c>
      <c r="J577">
        <v>0</v>
      </c>
      <c r="K577" t="str">
        <v>Southampton</v>
      </c>
    </row>
    <row r="578" spans="2:11" x14ac:dyDescent="0.2">
      <c r="B578">
        <v>0</v>
      </c>
      <c r="C578">
        <v>3</v>
      </c>
      <c r="D578" t="str">
        <v>Patchett, Mr. George</v>
      </c>
      <c r="E578" t="str">
        <v>Hombre</v>
      </c>
      <c r="F578">
        <v>19</v>
      </c>
      <c r="G578">
        <v>0</v>
      </c>
      <c r="H578">
        <v>0</v>
      </c>
      <c r="I578">
        <v>145</v>
      </c>
      <c r="J578">
        <v>0</v>
      </c>
      <c r="K578" t="str">
        <v>Southampton</v>
      </c>
    </row>
    <row r="579" spans="2:11" x14ac:dyDescent="0.2">
      <c r="B579">
        <v>1</v>
      </c>
      <c r="C579">
        <v>2</v>
      </c>
      <c r="D579" t="str">
        <v>Garside, Miss. Ethel</v>
      </c>
      <c r="E579" t="str">
        <v>Mujer</v>
      </c>
      <c r="F579">
        <v>34</v>
      </c>
      <c r="G579">
        <v>0</v>
      </c>
      <c r="H579">
        <v>0</v>
      </c>
      <c r="I579">
        <v>13</v>
      </c>
      <c r="J579">
        <v>0</v>
      </c>
      <c r="K579" t="str">
        <v>Southampton</v>
      </c>
    </row>
    <row r="580" spans="2:11" x14ac:dyDescent="0.2">
      <c r="B580">
        <v>1</v>
      </c>
      <c r="C580">
        <v>1</v>
      </c>
      <c r="D580" t="str">
        <v>Silvey, Mrs. William Baird (Alice Munger)</v>
      </c>
      <c r="E580" t="str">
        <v>Mujer</v>
      </c>
      <c r="F580">
        <v>39</v>
      </c>
      <c r="G580">
        <v>1</v>
      </c>
      <c r="H580">
        <v>0</v>
      </c>
      <c r="I580">
        <v>559</v>
      </c>
      <c r="J580">
        <v>1</v>
      </c>
      <c r="K580" t="str">
        <v>Southampton</v>
      </c>
    </row>
    <row r="581" spans="2:11" x14ac:dyDescent="0.2">
      <c r="B581">
        <v>0</v>
      </c>
      <c r="C581">
        <v>3</v>
      </c>
      <c r="D581" t="str">
        <v>Caram, Mrs. Joseph (Maria Elias)</v>
      </c>
      <c r="E581" t="str">
        <v>Mujer</v>
      </c>
      <c r="F581">
        <v>0</v>
      </c>
      <c r="G581">
        <v>1</v>
      </c>
      <c r="H581">
        <v>0</v>
      </c>
      <c r="I581">
        <v>144583</v>
      </c>
      <c r="J581">
        <v>0</v>
      </c>
      <c r="K581" t="str">
        <v>Cherburg</v>
      </c>
    </row>
    <row r="582" spans="2:11" x14ac:dyDescent="0.2">
      <c r="B582">
        <v>1</v>
      </c>
      <c r="C582">
        <v>3</v>
      </c>
      <c r="D582" t="str">
        <v>Jussila, Mr. Eiriik</v>
      </c>
      <c r="E582" t="str">
        <v>Hombre</v>
      </c>
      <c r="F582">
        <v>32</v>
      </c>
      <c r="G582">
        <v>0</v>
      </c>
      <c r="H582">
        <v>0</v>
      </c>
      <c r="I582">
        <v>7925</v>
      </c>
      <c r="J582">
        <v>0</v>
      </c>
      <c r="K582" t="str">
        <v>Southampton</v>
      </c>
    </row>
    <row r="583" spans="2:11" x14ac:dyDescent="0.2">
      <c r="B583">
        <v>1</v>
      </c>
      <c r="C583">
        <v>2</v>
      </c>
      <c r="D583" t="str">
        <v>Christy, Miss. Julie Rachel</v>
      </c>
      <c r="E583" t="str">
        <v>Mujer</v>
      </c>
      <c r="F583">
        <v>25</v>
      </c>
      <c r="G583">
        <v>1</v>
      </c>
      <c r="H583">
        <v>1</v>
      </c>
      <c r="I583">
        <v>30</v>
      </c>
      <c r="J583">
        <v>0</v>
      </c>
      <c r="K583" t="str">
        <v>Southampton</v>
      </c>
    </row>
    <row r="584" spans="2:11" x14ac:dyDescent="0.2">
      <c r="B584">
        <v>1</v>
      </c>
      <c r="C584">
        <v>1</v>
      </c>
      <c r="D584" t="str">
        <v>Thayer, Mrs. John Borland (Marian Longstreth Morris)</v>
      </c>
      <c r="E584" t="str">
        <v>Mujer</v>
      </c>
      <c r="F584">
        <v>39</v>
      </c>
      <c r="G584">
        <v>1</v>
      </c>
      <c r="H584">
        <v>1</v>
      </c>
      <c r="I584">
        <v>1108833</v>
      </c>
      <c r="J584">
        <v>1</v>
      </c>
      <c r="K584" t="str">
        <v>Cherburg</v>
      </c>
    </row>
    <row r="585" spans="2:11" x14ac:dyDescent="0.2">
      <c r="B585">
        <v>0</v>
      </c>
      <c r="C585">
        <v>2</v>
      </c>
      <c r="D585" t="str">
        <v>Downton, Mr. William James</v>
      </c>
      <c r="E585" t="str">
        <v>Hombre</v>
      </c>
      <c r="F585">
        <v>54</v>
      </c>
      <c r="G585">
        <v>0</v>
      </c>
      <c r="H585">
        <v>0</v>
      </c>
      <c r="I585">
        <v>26</v>
      </c>
      <c r="J585">
        <v>0</v>
      </c>
      <c r="K585" t="str">
        <v>Southampton</v>
      </c>
    </row>
    <row r="586" spans="2:11" x14ac:dyDescent="0.2">
      <c r="B586">
        <v>0</v>
      </c>
      <c r="C586">
        <v>1</v>
      </c>
      <c r="D586" t="str">
        <v>Ross, Mr. John Hugo</v>
      </c>
      <c r="E586" t="str">
        <v>Hombre</v>
      </c>
      <c r="F586">
        <v>36</v>
      </c>
      <c r="G586">
        <v>0</v>
      </c>
      <c r="H586">
        <v>0</v>
      </c>
      <c r="I586">
        <v>40125</v>
      </c>
      <c r="J586">
        <v>1</v>
      </c>
      <c r="K586" t="str">
        <v>Cherburg</v>
      </c>
    </row>
    <row r="587" spans="2:11" x14ac:dyDescent="0.2">
      <c r="B587">
        <v>0</v>
      </c>
      <c r="C587">
        <v>3</v>
      </c>
      <c r="D587" t="str">
        <v>Paulner, Mr. Uscher</v>
      </c>
      <c r="E587" t="str">
        <v>Hombre</v>
      </c>
      <c r="F587">
        <v>0</v>
      </c>
      <c r="G587">
        <v>0</v>
      </c>
      <c r="H587">
        <v>0</v>
      </c>
      <c r="I587">
        <v>87125</v>
      </c>
      <c r="J587">
        <v>0</v>
      </c>
      <c r="K587" t="str">
        <v>Cherburg</v>
      </c>
    </row>
    <row r="588" spans="2:11" x14ac:dyDescent="0.2">
      <c r="B588">
        <v>1</v>
      </c>
      <c r="C588">
        <v>1</v>
      </c>
      <c r="D588" t="str">
        <v>Taussig, Miss. Ruth</v>
      </c>
      <c r="E588" t="str">
        <v>Mujer</v>
      </c>
      <c r="F588">
        <v>18</v>
      </c>
      <c r="G588">
        <v>0</v>
      </c>
      <c r="H588">
        <v>2</v>
      </c>
      <c r="I588">
        <v>7965</v>
      </c>
      <c r="J588">
        <v>1</v>
      </c>
      <c r="K588" t="str">
        <v>Southampton</v>
      </c>
    </row>
    <row r="589" spans="2:11" x14ac:dyDescent="0.2">
      <c r="B589">
        <v>0</v>
      </c>
      <c r="C589">
        <v>2</v>
      </c>
      <c r="D589" t="str">
        <v>Jarvis, Mr. John Denzil</v>
      </c>
      <c r="E589" t="str">
        <v>Hombre</v>
      </c>
      <c r="F589">
        <v>47</v>
      </c>
      <c r="G589">
        <v>0</v>
      </c>
      <c r="H589">
        <v>0</v>
      </c>
      <c r="I589">
        <v>15</v>
      </c>
      <c r="J589">
        <v>0</v>
      </c>
      <c r="K589" t="str">
        <v>Southampton</v>
      </c>
    </row>
    <row r="590" spans="2:11" x14ac:dyDescent="0.2">
      <c r="B590">
        <v>1</v>
      </c>
      <c r="C590">
        <v>1</v>
      </c>
      <c r="D590" t="str">
        <v>Frolicher-Stehli, Mr. Maxmillian</v>
      </c>
      <c r="E590" t="str">
        <v>Hombre</v>
      </c>
      <c r="F590">
        <v>60</v>
      </c>
      <c r="G590">
        <v>1</v>
      </c>
      <c r="H590">
        <v>1</v>
      </c>
      <c r="I590">
        <v>792</v>
      </c>
      <c r="J590">
        <v>1</v>
      </c>
      <c r="K590" t="str">
        <v>Cherburg</v>
      </c>
    </row>
    <row r="591" spans="2:11" x14ac:dyDescent="0.2">
      <c r="B591">
        <v>0</v>
      </c>
      <c r="C591">
        <v>3</v>
      </c>
      <c r="D591" t="str">
        <v>Gilinski, Mr. Eliezer</v>
      </c>
      <c r="E591" t="str">
        <v>Hombre</v>
      </c>
      <c r="F591">
        <v>22</v>
      </c>
      <c r="G591">
        <v>0</v>
      </c>
      <c r="H591">
        <v>0</v>
      </c>
      <c r="I591">
        <v>805</v>
      </c>
      <c r="J591">
        <v>0</v>
      </c>
      <c r="K591" t="str">
        <v>Southampton</v>
      </c>
    </row>
    <row r="592" spans="2:11" x14ac:dyDescent="0.2">
      <c r="B592">
        <v>0</v>
      </c>
      <c r="C592">
        <v>3</v>
      </c>
      <c r="D592" t="str">
        <v>Murdlin, Mr. Joseph</v>
      </c>
      <c r="E592" t="str">
        <v>Hombre</v>
      </c>
      <c r="F592">
        <v>0</v>
      </c>
      <c r="G592">
        <v>0</v>
      </c>
      <c r="H592">
        <v>0</v>
      </c>
      <c r="I592">
        <v>805</v>
      </c>
      <c r="J592">
        <v>0</v>
      </c>
      <c r="K592" t="str">
        <v>Southampton</v>
      </c>
    </row>
    <row r="593" spans="2:11" x14ac:dyDescent="0.2">
      <c r="B593">
        <v>0</v>
      </c>
      <c r="C593">
        <v>3</v>
      </c>
      <c r="D593" t="str">
        <v>Rintamaki, Mr. Matti</v>
      </c>
      <c r="E593" t="str">
        <v>Hombre</v>
      </c>
      <c r="F593">
        <v>35</v>
      </c>
      <c r="G593">
        <v>0</v>
      </c>
      <c r="H593">
        <v>0</v>
      </c>
      <c r="I593">
        <v>7125</v>
      </c>
      <c r="J593">
        <v>0</v>
      </c>
      <c r="K593" t="str">
        <v>Southampton</v>
      </c>
    </row>
    <row r="594" spans="2:11" x14ac:dyDescent="0.2">
      <c r="B594">
        <v>1</v>
      </c>
      <c r="C594">
        <v>1</v>
      </c>
      <c r="D594" t="str">
        <v>Stephenson, Mrs. Walter Bertram (Martha Eustis)</v>
      </c>
      <c r="E594" t="str">
        <v>Mujer</v>
      </c>
      <c r="F594">
        <v>52</v>
      </c>
      <c r="G594">
        <v>1</v>
      </c>
      <c r="H594">
        <v>0</v>
      </c>
      <c r="I594">
        <v>782667</v>
      </c>
      <c r="J594">
        <v>1</v>
      </c>
      <c r="K594" t="str">
        <v>Cherburg</v>
      </c>
    </row>
    <row r="595" spans="2:11" x14ac:dyDescent="0.2">
      <c r="B595">
        <v>0</v>
      </c>
      <c r="C595">
        <v>3</v>
      </c>
      <c r="D595" t="str">
        <v>Elsbury, Mr. William James</v>
      </c>
      <c r="E595" t="str">
        <v>Hombre</v>
      </c>
      <c r="F595">
        <v>47</v>
      </c>
      <c r="G595">
        <v>0</v>
      </c>
      <c r="H595">
        <v>0</v>
      </c>
      <c r="I595">
        <v>725</v>
      </c>
      <c r="J595">
        <v>0</v>
      </c>
      <c r="K595" t="str">
        <v>Southampton</v>
      </c>
    </row>
    <row r="596" spans="2:11" x14ac:dyDescent="0.2">
      <c r="B596">
        <v>0</v>
      </c>
      <c r="C596">
        <v>3</v>
      </c>
      <c r="D596" t="str">
        <v>Bourke, Miss. Mary</v>
      </c>
      <c r="E596" t="str">
        <v>Mujer</v>
      </c>
      <c r="F596">
        <v>0</v>
      </c>
      <c r="G596">
        <v>0</v>
      </c>
      <c r="H596">
        <v>2</v>
      </c>
      <c r="I596">
        <v>775</v>
      </c>
      <c r="J596">
        <v>0</v>
      </c>
      <c r="K596" t="str">
        <v>Queenstown</v>
      </c>
    </row>
    <row r="597" spans="2:11" x14ac:dyDescent="0.2">
      <c r="B597">
        <v>0</v>
      </c>
      <c r="C597">
        <v>2</v>
      </c>
      <c r="D597" t="str">
        <v>Chapman, Mr. John Henry</v>
      </c>
      <c r="E597" t="str">
        <v>Hombre</v>
      </c>
      <c r="F597">
        <v>37</v>
      </c>
      <c r="G597">
        <v>1</v>
      </c>
      <c r="H597">
        <v>0</v>
      </c>
      <c r="I597">
        <v>26</v>
      </c>
      <c r="J597">
        <v>0</v>
      </c>
      <c r="K597" t="str">
        <v>Southampton</v>
      </c>
    </row>
    <row r="598" spans="2:11" x14ac:dyDescent="0.2">
      <c r="B598">
        <v>0</v>
      </c>
      <c r="C598">
        <v>3</v>
      </c>
      <c r="D598" t="str">
        <v>Van Impe, Mr. Jean Baptiste</v>
      </c>
      <c r="E598" t="str">
        <v>Hombre</v>
      </c>
      <c r="F598">
        <v>36</v>
      </c>
      <c r="G598">
        <v>1</v>
      </c>
      <c r="H598">
        <v>1</v>
      </c>
      <c r="I598">
        <v>2415</v>
      </c>
      <c r="J598">
        <v>0</v>
      </c>
      <c r="K598" t="str">
        <v>Southampton</v>
      </c>
    </row>
    <row r="599" spans="2:11" x14ac:dyDescent="0.2">
      <c r="B599">
        <v>1</v>
      </c>
      <c r="C599">
        <v>2</v>
      </c>
      <c r="D599" t="str">
        <v>Leitch, Miss. Jessie Wills</v>
      </c>
      <c r="E599" t="str">
        <v>Mujer</v>
      </c>
      <c r="F599">
        <v>0</v>
      </c>
      <c r="G599">
        <v>0</v>
      </c>
      <c r="H599">
        <v>0</v>
      </c>
      <c r="I599">
        <v>33</v>
      </c>
      <c r="J599">
        <v>0</v>
      </c>
      <c r="K599" t="str">
        <v>Southampton</v>
      </c>
    </row>
    <row r="600" spans="2:11" x14ac:dyDescent="0.2">
      <c r="B600">
        <v>0</v>
      </c>
      <c r="C600">
        <v>3</v>
      </c>
      <c r="D600" t="str">
        <v>Johnson, Mr. Alfred</v>
      </c>
      <c r="E600" t="str">
        <v>Hombre</v>
      </c>
      <c r="F600">
        <v>49</v>
      </c>
      <c r="G600">
        <v>0</v>
      </c>
      <c r="H600">
        <v>0</v>
      </c>
      <c r="I600">
        <v>0</v>
      </c>
      <c r="J600">
        <v>0</v>
      </c>
      <c r="K600" t="str">
        <v>Southampton</v>
      </c>
    </row>
    <row r="601" spans="2:11" x14ac:dyDescent="0.2">
      <c r="B601">
        <v>0</v>
      </c>
      <c r="C601">
        <v>3</v>
      </c>
      <c r="D601" t="str">
        <v>Boulos, Mr. Hanna</v>
      </c>
      <c r="E601" t="str">
        <v>Hombre</v>
      </c>
      <c r="F601">
        <v>0</v>
      </c>
      <c r="G601">
        <v>0</v>
      </c>
      <c r="H601">
        <v>0</v>
      </c>
      <c r="I601">
        <v>7225</v>
      </c>
      <c r="J601">
        <v>0</v>
      </c>
      <c r="K601" t="str">
        <v>Cherburg</v>
      </c>
    </row>
    <row r="602" spans="2:11" x14ac:dyDescent="0.2">
      <c r="B602">
        <v>1</v>
      </c>
      <c r="C602">
        <v>1</v>
      </c>
      <c r="D602" t="str">
        <v>Duff Gordon, Sir. Cosmo Edmund ("Mr Morgan")</v>
      </c>
      <c r="E602" t="str">
        <v>Hombre</v>
      </c>
      <c r="F602">
        <v>49</v>
      </c>
      <c r="G602">
        <v>1</v>
      </c>
      <c r="H602">
        <v>0</v>
      </c>
      <c r="I602">
        <v>569292</v>
      </c>
      <c r="J602">
        <v>1</v>
      </c>
      <c r="K602" t="str">
        <v>Cherburg</v>
      </c>
    </row>
    <row r="603" spans="2:11" x14ac:dyDescent="0.2">
      <c r="B603">
        <v>1</v>
      </c>
      <c r="C603">
        <v>2</v>
      </c>
      <c r="D603" t="str">
        <v>Jacobsohn, Mrs. Sidney Samuel (Amy Frances Christy)</v>
      </c>
      <c r="E603" t="str">
        <v>Mujer</v>
      </c>
      <c r="F603">
        <v>24</v>
      </c>
      <c r="G603">
        <v>2</v>
      </c>
      <c r="H603">
        <v>1</v>
      </c>
      <c r="I603">
        <v>27</v>
      </c>
      <c r="J603">
        <v>0</v>
      </c>
      <c r="K603" t="str">
        <v>Southampton</v>
      </c>
    </row>
    <row r="604" spans="2:11" x14ac:dyDescent="0.2">
      <c r="B604">
        <v>0</v>
      </c>
      <c r="C604">
        <v>3</v>
      </c>
      <c r="D604" t="str">
        <v>Slabenoff, Mr. Petco</v>
      </c>
      <c r="E604" t="str">
        <v>Hombre</v>
      </c>
      <c r="F604">
        <v>0</v>
      </c>
      <c r="G604">
        <v>0</v>
      </c>
      <c r="H604">
        <v>0</v>
      </c>
      <c r="I604">
        <v>78958</v>
      </c>
      <c r="J604">
        <v>0</v>
      </c>
      <c r="K604" t="str">
        <v>Southampton</v>
      </c>
    </row>
    <row r="605" spans="2:11" x14ac:dyDescent="0.2">
      <c r="B605">
        <v>0</v>
      </c>
      <c r="C605">
        <v>1</v>
      </c>
      <c r="D605" t="str">
        <v>Harrington, Mr. Charles H</v>
      </c>
      <c r="E605" t="str">
        <v>Hombre</v>
      </c>
      <c r="F605">
        <v>0</v>
      </c>
      <c r="G605">
        <v>0</v>
      </c>
      <c r="H605">
        <v>0</v>
      </c>
      <c r="I605">
        <v>424</v>
      </c>
      <c r="J605">
        <v>0</v>
      </c>
      <c r="K605" t="str">
        <v>Southampton</v>
      </c>
    </row>
    <row r="606" spans="2:11" x14ac:dyDescent="0.2">
      <c r="B606">
        <v>0</v>
      </c>
      <c r="C606">
        <v>3</v>
      </c>
      <c r="D606" t="str">
        <v>Torber, Mr. Ernst William</v>
      </c>
      <c r="E606" t="str">
        <v>Hombre</v>
      </c>
      <c r="F606">
        <v>44</v>
      </c>
      <c r="G606">
        <v>0</v>
      </c>
      <c r="H606">
        <v>0</v>
      </c>
      <c r="I606">
        <v>805</v>
      </c>
      <c r="J606">
        <v>0</v>
      </c>
      <c r="K606" t="str">
        <v>Southampton</v>
      </c>
    </row>
    <row r="607" spans="2:11" x14ac:dyDescent="0.2">
      <c r="B607">
        <v>1</v>
      </c>
      <c r="C607">
        <v>1</v>
      </c>
      <c r="D607" t="str">
        <v>Homer, Mr. Harry ("Mr E Haven")</v>
      </c>
      <c r="E607" t="str">
        <v>Hombre</v>
      </c>
      <c r="F607">
        <v>35</v>
      </c>
      <c r="G607">
        <v>0</v>
      </c>
      <c r="H607">
        <v>0</v>
      </c>
      <c r="I607">
        <v>2655</v>
      </c>
      <c r="J607">
        <v>0</v>
      </c>
      <c r="K607" t="str">
        <v>Cherburg</v>
      </c>
    </row>
    <row r="608" spans="2:11" x14ac:dyDescent="0.2">
      <c r="B608">
        <v>0</v>
      </c>
      <c r="C608">
        <v>3</v>
      </c>
      <c r="D608" t="str">
        <v>Lindell, Mr. Edvard Bengtsson</v>
      </c>
      <c r="E608" t="str">
        <v>Hombre</v>
      </c>
      <c r="F608">
        <v>36</v>
      </c>
      <c r="G608">
        <v>1</v>
      </c>
      <c r="H608">
        <v>0</v>
      </c>
      <c r="I608">
        <v>1555</v>
      </c>
      <c r="J608">
        <v>0</v>
      </c>
      <c r="K608" t="str">
        <v>Southampton</v>
      </c>
    </row>
    <row r="609" spans="2:11" x14ac:dyDescent="0.2">
      <c r="B609">
        <v>0</v>
      </c>
      <c r="C609">
        <v>3</v>
      </c>
      <c r="D609" t="str">
        <v>Karaic, Mr. Milan</v>
      </c>
      <c r="E609" t="str">
        <v>Hombre</v>
      </c>
      <c r="F609">
        <v>30</v>
      </c>
      <c r="G609">
        <v>0</v>
      </c>
      <c r="H609">
        <v>0</v>
      </c>
      <c r="I609">
        <v>78958</v>
      </c>
      <c r="J609">
        <v>0</v>
      </c>
      <c r="K609" t="str">
        <v>Southampton</v>
      </c>
    </row>
    <row r="610" spans="2:11" x14ac:dyDescent="0.2">
      <c r="B610">
        <v>1</v>
      </c>
      <c r="C610">
        <v>1</v>
      </c>
      <c r="D610" t="str">
        <v>Daniel, Mr. Robert Williams</v>
      </c>
      <c r="E610" t="str">
        <v>Hombre</v>
      </c>
      <c r="F610">
        <v>27</v>
      </c>
      <c r="G610">
        <v>0</v>
      </c>
      <c r="H610">
        <v>0</v>
      </c>
      <c r="I610">
        <v>305</v>
      </c>
      <c r="J610">
        <v>0</v>
      </c>
      <c r="K610" t="str">
        <v>Southampton</v>
      </c>
    </row>
    <row r="611" spans="2:11" x14ac:dyDescent="0.2">
      <c r="B611">
        <v>1</v>
      </c>
      <c r="C611">
        <v>2</v>
      </c>
      <c r="D611" t="str">
        <v>Laroche, Mrs. Joseph (Juliette Marie Louise Lafargue)</v>
      </c>
      <c r="E611" t="str">
        <v>Mujer</v>
      </c>
      <c r="F611">
        <v>22</v>
      </c>
      <c r="G611">
        <v>1</v>
      </c>
      <c r="H611">
        <v>2</v>
      </c>
      <c r="I611">
        <v>415792</v>
      </c>
      <c r="J611">
        <v>0</v>
      </c>
      <c r="K611" t="str">
        <v>Cherburg</v>
      </c>
    </row>
    <row r="612" spans="2:11" x14ac:dyDescent="0.2">
      <c r="B612">
        <v>1</v>
      </c>
      <c r="C612">
        <v>1</v>
      </c>
      <c r="D612" t="str">
        <v>Shutes, Miss. Elizabeth W</v>
      </c>
      <c r="E612" t="str">
        <v>Mujer</v>
      </c>
      <c r="F612">
        <v>40</v>
      </c>
      <c r="G612">
        <v>0</v>
      </c>
      <c r="H612">
        <v>0</v>
      </c>
      <c r="I612">
        <v>1534625</v>
      </c>
      <c r="J612">
        <v>1</v>
      </c>
      <c r="K612" t="str">
        <v>Southampton</v>
      </c>
    </row>
    <row r="613" spans="2:11" x14ac:dyDescent="0.2">
      <c r="B613">
        <v>0</v>
      </c>
      <c r="C613">
        <v>3</v>
      </c>
      <c r="D613" t="str">
        <v>Andersson, Mrs. Anders Johan (Alfrida Konstantia Brogren)</v>
      </c>
      <c r="E613" t="str">
        <v>Mujer</v>
      </c>
      <c r="F613">
        <v>39</v>
      </c>
      <c r="G613">
        <v>1</v>
      </c>
      <c r="H613">
        <v>5</v>
      </c>
      <c r="I613">
        <v>31275</v>
      </c>
      <c r="J613">
        <v>0</v>
      </c>
      <c r="K613" t="str">
        <v>Southampton</v>
      </c>
    </row>
    <row r="614" spans="2:11" x14ac:dyDescent="0.2">
      <c r="B614">
        <v>0</v>
      </c>
      <c r="C614">
        <v>3</v>
      </c>
      <c r="D614" t="str">
        <v>Jardin, Mr. Jose Neto</v>
      </c>
      <c r="E614" t="str">
        <v>Hombre</v>
      </c>
      <c r="F614">
        <v>0</v>
      </c>
      <c r="G614">
        <v>0</v>
      </c>
      <c r="H614">
        <v>0</v>
      </c>
      <c r="I614">
        <v>705</v>
      </c>
      <c r="J614">
        <v>0</v>
      </c>
      <c r="K614" t="str">
        <v>Southampton</v>
      </c>
    </row>
    <row r="615" spans="2:11" x14ac:dyDescent="0.2">
      <c r="B615">
        <v>1</v>
      </c>
      <c r="C615">
        <v>3</v>
      </c>
      <c r="D615" t="str">
        <v>Murphy, Miss. Margaret Jane</v>
      </c>
      <c r="E615" t="str">
        <v>Mujer</v>
      </c>
      <c r="F615">
        <v>0</v>
      </c>
      <c r="G615">
        <v>1</v>
      </c>
      <c r="H615">
        <v>0</v>
      </c>
      <c r="I615">
        <v>155</v>
      </c>
      <c r="J615">
        <v>0</v>
      </c>
      <c r="K615" t="str">
        <v>Queenstown</v>
      </c>
    </row>
    <row r="616" spans="2:11" x14ac:dyDescent="0.2">
      <c r="B616">
        <v>0</v>
      </c>
      <c r="C616">
        <v>3</v>
      </c>
      <c r="D616" t="str">
        <v>Horgan, Mr. John</v>
      </c>
      <c r="E616" t="str">
        <v>Hombre</v>
      </c>
      <c r="F616">
        <v>0</v>
      </c>
      <c r="G616">
        <v>0</v>
      </c>
      <c r="H616">
        <v>0</v>
      </c>
      <c r="I616">
        <v>775</v>
      </c>
      <c r="J616">
        <v>0</v>
      </c>
      <c r="K616" t="str">
        <v>Queenstown</v>
      </c>
    </row>
    <row r="617" spans="2:11" x14ac:dyDescent="0.2">
      <c r="B617">
        <v>0</v>
      </c>
      <c r="C617">
        <v>3</v>
      </c>
      <c r="D617" t="str">
        <v>Brocklebank, Mr. William Alfred</v>
      </c>
      <c r="E617" t="str">
        <v>Hombre</v>
      </c>
      <c r="F617">
        <v>35</v>
      </c>
      <c r="G617">
        <v>0</v>
      </c>
      <c r="H617">
        <v>0</v>
      </c>
      <c r="I617">
        <v>805</v>
      </c>
      <c r="J617">
        <v>0</v>
      </c>
      <c r="K617" t="str">
        <v>Southampton</v>
      </c>
    </row>
    <row r="618" spans="2:11" x14ac:dyDescent="0.2">
      <c r="B618">
        <v>1</v>
      </c>
      <c r="C618">
        <v>2</v>
      </c>
      <c r="D618" t="str">
        <v>Herman, Miss. Alice</v>
      </c>
      <c r="E618" t="str">
        <v>Mujer</v>
      </c>
      <c r="F618">
        <v>24</v>
      </c>
      <c r="G618">
        <v>1</v>
      </c>
      <c r="H618">
        <v>2</v>
      </c>
      <c r="I618">
        <v>65</v>
      </c>
      <c r="J618">
        <v>0</v>
      </c>
      <c r="K618" t="str">
        <v>Southampton</v>
      </c>
    </row>
    <row r="619" spans="2:11" x14ac:dyDescent="0.2">
      <c r="B619">
        <v>0</v>
      </c>
      <c r="C619">
        <v>3</v>
      </c>
      <c r="D619" t="str">
        <v>Danbom, Mr. Ernst Gilbert</v>
      </c>
      <c r="E619" t="str">
        <v>Hombre</v>
      </c>
      <c r="F619">
        <v>34</v>
      </c>
      <c r="G619">
        <v>1</v>
      </c>
      <c r="H619">
        <v>1</v>
      </c>
      <c r="I619">
        <v>144</v>
      </c>
      <c r="J619">
        <v>0</v>
      </c>
      <c r="K619" t="str">
        <v>Southampton</v>
      </c>
    </row>
    <row r="620" spans="2:11" x14ac:dyDescent="0.2">
      <c r="B620">
        <v>0</v>
      </c>
      <c r="C620">
        <v>3</v>
      </c>
      <c r="D620" t="str">
        <v>Lobb, Mrs. William Arthur (Cordelia K Stanlick)</v>
      </c>
      <c r="E620" t="str">
        <v>Mujer</v>
      </c>
      <c r="F620">
        <v>26</v>
      </c>
      <c r="G620">
        <v>1</v>
      </c>
      <c r="H620">
        <v>0</v>
      </c>
      <c r="I620">
        <v>161</v>
      </c>
      <c r="J620">
        <v>0</v>
      </c>
      <c r="K620" t="str">
        <v>Southampton</v>
      </c>
    </row>
    <row r="621" spans="2:11" x14ac:dyDescent="0.2">
      <c r="B621">
        <v>1</v>
      </c>
      <c r="C621">
        <v>2</v>
      </c>
      <c r="D621" t="str">
        <v>Becker, Miss. Marion Louise</v>
      </c>
      <c r="E621" t="str">
        <v>Mujer</v>
      </c>
      <c r="F621">
        <v>4</v>
      </c>
      <c r="G621">
        <v>2</v>
      </c>
      <c r="H621">
        <v>1</v>
      </c>
      <c r="I621">
        <v>39</v>
      </c>
      <c r="J621">
        <v>1</v>
      </c>
      <c r="K621" t="str">
        <v>Southampton</v>
      </c>
    </row>
    <row r="622" spans="2:11" x14ac:dyDescent="0.2">
      <c r="B622">
        <v>0</v>
      </c>
      <c r="C622">
        <v>2</v>
      </c>
      <c r="D622" t="str">
        <v>Gavey, Mr. Lawrence</v>
      </c>
      <c r="E622" t="str">
        <v>Hombre</v>
      </c>
      <c r="F622">
        <v>26</v>
      </c>
      <c r="G622">
        <v>0</v>
      </c>
      <c r="H622">
        <v>0</v>
      </c>
      <c r="I622">
        <v>105</v>
      </c>
      <c r="J622">
        <v>0</v>
      </c>
      <c r="K622" t="str">
        <v>Southampton</v>
      </c>
    </row>
    <row r="623" spans="2:11" x14ac:dyDescent="0.2">
      <c r="B623">
        <v>0</v>
      </c>
      <c r="C623">
        <v>3</v>
      </c>
      <c r="D623" t="str">
        <v>Yasbeck, Mr. Antoni</v>
      </c>
      <c r="E623" t="str">
        <v>Hombre</v>
      </c>
      <c r="F623">
        <v>27</v>
      </c>
      <c r="G623">
        <v>1</v>
      </c>
      <c r="H623">
        <v>0</v>
      </c>
      <c r="I623">
        <v>144542</v>
      </c>
      <c r="J623">
        <v>0</v>
      </c>
      <c r="K623" t="str">
        <v>Cherburg</v>
      </c>
    </row>
    <row r="624" spans="2:11" x14ac:dyDescent="0.2">
      <c r="B624">
        <v>1</v>
      </c>
      <c r="C624">
        <v>1</v>
      </c>
      <c r="D624" t="str">
        <v>Kimball, Mr. Edwin Nelson Jr</v>
      </c>
      <c r="E624" t="str">
        <v>Hombre</v>
      </c>
      <c r="F624">
        <v>42</v>
      </c>
      <c r="G624">
        <v>1</v>
      </c>
      <c r="H624">
        <v>0</v>
      </c>
      <c r="I624">
        <v>525542</v>
      </c>
      <c r="J624">
        <v>1</v>
      </c>
      <c r="K624" t="str">
        <v>Southampton</v>
      </c>
    </row>
    <row r="625" spans="2:11" x14ac:dyDescent="0.2">
      <c r="B625">
        <v>1</v>
      </c>
      <c r="C625">
        <v>3</v>
      </c>
      <c r="D625" t="str">
        <v>Nakid, Mr. Sahid</v>
      </c>
      <c r="E625" t="str">
        <v>Hombre</v>
      </c>
      <c r="F625">
        <v>20</v>
      </c>
      <c r="G625">
        <v>1</v>
      </c>
      <c r="H625">
        <v>1</v>
      </c>
      <c r="I625">
        <v>157417</v>
      </c>
      <c r="J625">
        <v>0</v>
      </c>
      <c r="K625" t="str">
        <v>Cherburg</v>
      </c>
    </row>
    <row r="626" spans="2:11" x14ac:dyDescent="0.2">
      <c r="B626">
        <v>0</v>
      </c>
      <c r="C626">
        <v>3</v>
      </c>
      <c r="D626" t="str">
        <v>Hansen, Mr. Henry Damsgaard</v>
      </c>
      <c r="E626" t="str">
        <v>Hombre</v>
      </c>
      <c r="F626">
        <v>21</v>
      </c>
      <c r="G626">
        <v>0</v>
      </c>
      <c r="H626">
        <v>0</v>
      </c>
      <c r="I626">
        <v>78542</v>
      </c>
      <c r="J626">
        <v>0</v>
      </c>
      <c r="K626" t="str">
        <v>Southampton</v>
      </c>
    </row>
    <row r="627" spans="2:11" x14ac:dyDescent="0.2">
      <c r="B627">
        <v>0</v>
      </c>
      <c r="C627">
        <v>3</v>
      </c>
      <c r="D627" t="str">
        <v>Bowen, Mr. David John "Dai"</v>
      </c>
      <c r="E627" t="str">
        <v>Hombre</v>
      </c>
      <c r="F627">
        <v>21</v>
      </c>
      <c r="G627">
        <v>0</v>
      </c>
      <c r="H627">
        <v>0</v>
      </c>
      <c r="I627">
        <v>161</v>
      </c>
      <c r="J627">
        <v>0</v>
      </c>
      <c r="K627" t="str">
        <v>Southampton</v>
      </c>
    </row>
    <row r="628" spans="2:11" x14ac:dyDescent="0.2">
      <c r="B628">
        <v>0</v>
      </c>
      <c r="C628">
        <v>1</v>
      </c>
      <c r="D628" t="str">
        <v>Sutton, Mr. Frederick</v>
      </c>
      <c r="E628" t="str">
        <v>Hombre</v>
      </c>
      <c r="F628">
        <v>61</v>
      </c>
      <c r="G628">
        <v>0</v>
      </c>
      <c r="H628">
        <v>0</v>
      </c>
      <c r="I628">
        <v>323208</v>
      </c>
      <c r="J628">
        <v>1</v>
      </c>
      <c r="K628" t="str">
        <v>Southampton</v>
      </c>
    </row>
    <row r="629" spans="2:11" x14ac:dyDescent="0.2">
      <c r="B629">
        <v>0</v>
      </c>
      <c r="C629">
        <v>2</v>
      </c>
      <c r="D629" t="str">
        <v>Kirkland, Rev. Charles Leonard</v>
      </c>
      <c r="E629" t="str">
        <v>Hombre</v>
      </c>
      <c r="F629">
        <v>57</v>
      </c>
      <c r="G629">
        <v>0</v>
      </c>
      <c r="H629">
        <v>0</v>
      </c>
      <c r="I629">
        <v>1235</v>
      </c>
      <c r="J629">
        <v>0</v>
      </c>
      <c r="K629" t="str">
        <v>Queenstown</v>
      </c>
    </row>
    <row r="630" spans="2:11" x14ac:dyDescent="0.2">
      <c r="B630">
        <v>1</v>
      </c>
      <c r="C630">
        <v>1</v>
      </c>
      <c r="D630" t="str">
        <v>Longley, Miss. Gretchen Fiske</v>
      </c>
      <c r="E630" t="str">
        <v>Mujer</v>
      </c>
      <c r="F630">
        <v>21</v>
      </c>
      <c r="G630">
        <v>0</v>
      </c>
      <c r="H630">
        <v>0</v>
      </c>
      <c r="I630">
        <v>779583</v>
      </c>
      <c r="J630">
        <v>1</v>
      </c>
      <c r="K630" t="str">
        <v>Southampton</v>
      </c>
    </row>
    <row r="631" spans="2:11" x14ac:dyDescent="0.2">
      <c r="B631">
        <v>0</v>
      </c>
      <c r="C631">
        <v>3</v>
      </c>
      <c r="D631" t="str">
        <v>Bostandyeff, Mr. Guentcho</v>
      </c>
      <c r="E631" t="str">
        <v>Hombre</v>
      </c>
      <c r="F631">
        <v>26</v>
      </c>
      <c r="G631">
        <v>0</v>
      </c>
      <c r="H631">
        <v>0</v>
      </c>
      <c r="I631">
        <v>78958</v>
      </c>
      <c r="J631">
        <v>0</v>
      </c>
      <c r="K631" t="str">
        <v>Southampton</v>
      </c>
    </row>
    <row r="632" spans="2:11" x14ac:dyDescent="0.2">
      <c r="B632">
        <v>0</v>
      </c>
      <c r="C632">
        <v>3</v>
      </c>
      <c r="D632" t="str">
        <v>O'Connell, Mr. Patrick D</v>
      </c>
      <c r="E632" t="str">
        <v>Hombre</v>
      </c>
      <c r="F632">
        <v>0</v>
      </c>
      <c r="G632">
        <v>0</v>
      </c>
      <c r="H632">
        <v>0</v>
      </c>
      <c r="I632">
        <v>77333</v>
      </c>
      <c r="J632">
        <v>0</v>
      </c>
      <c r="K632" t="str">
        <v>Queenstown</v>
      </c>
    </row>
    <row r="633" spans="2:11" x14ac:dyDescent="0.2">
      <c r="B633">
        <v>1</v>
      </c>
      <c r="C633">
        <v>1</v>
      </c>
      <c r="D633" t="str">
        <v>Barkworth, Mr. Algernon Henry Wilson</v>
      </c>
      <c r="E633" t="str">
        <v>Hombre</v>
      </c>
      <c r="F633">
        <v>80</v>
      </c>
      <c r="G633">
        <v>0</v>
      </c>
      <c r="H633">
        <v>0</v>
      </c>
      <c r="I633">
        <v>30</v>
      </c>
      <c r="J633">
        <v>1</v>
      </c>
      <c r="K633" t="str">
        <v>Southampton</v>
      </c>
    </row>
    <row r="634" spans="2:11" x14ac:dyDescent="0.2">
      <c r="B634">
        <v>0</v>
      </c>
      <c r="C634">
        <v>3</v>
      </c>
      <c r="D634" t="str">
        <v>Lundahl, Mr. Johan Svensson</v>
      </c>
      <c r="E634" t="str">
        <v>Hombre</v>
      </c>
      <c r="F634">
        <v>51</v>
      </c>
      <c r="G634">
        <v>0</v>
      </c>
      <c r="H634">
        <v>0</v>
      </c>
      <c r="I634">
        <v>70542</v>
      </c>
      <c r="J634">
        <v>0</v>
      </c>
      <c r="K634" t="str">
        <v>Southampton</v>
      </c>
    </row>
    <row r="635" spans="2:11" x14ac:dyDescent="0.2">
      <c r="B635">
        <v>1</v>
      </c>
      <c r="C635">
        <v>1</v>
      </c>
      <c r="D635" t="str">
        <v>Stahelin-Maeglin, Dr. Max</v>
      </c>
      <c r="E635" t="str">
        <v>Hombre</v>
      </c>
      <c r="F635">
        <v>32</v>
      </c>
      <c r="G635">
        <v>0</v>
      </c>
      <c r="H635">
        <v>0</v>
      </c>
      <c r="I635">
        <v>305</v>
      </c>
      <c r="J635">
        <v>1</v>
      </c>
      <c r="K635" t="str">
        <v>Cherburg</v>
      </c>
    </row>
    <row r="636" spans="2:11" x14ac:dyDescent="0.2">
      <c r="B636">
        <v>0</v>
      </c>
      <c r="C636">
        <v>1</v>
      </c>
      <c r="D636" t="str">
        <v>Parr, Mr. William Henry Marsh</v>
      </c>
      <c r="E636" t="str">
        <v>Hombre</v>
      </c>
      <c r="F636">
        <v>0</v>
      </c>
      <c r="G636">
        <v>0</v>
      </c>
      <c r="H636">
        <v>0</v>
      </c>
      <c r="I636">
        <v>0</v>
      </c>
      <c r="J636">
        <v>0</v>
      </c>
      <c r="K636" t="str">
        <v>Southampton</v>
      </c>
    </row>
    <row r="637" spans="2:11" x14ac:dyDescent="0.2">
      <c r="B637">
        <v>0</v>
      </c>
      <c r="C637">
        <v>3</v>
      </c>
      <c r="D637" t="str">
        <v>Skoog, Miss. Mabel</v>
      </c>
      <c r="E637" t="str">
        <v>Mujer</v>
      </c>
      <c r="F637">
        <v>9</v>
      </c>
      <c r="G637">
        <v>3</v>
      </c>
      <c r="H637">
        <v>2</v>
      </c>
      <c r="I637">
        <v>279</v>
      </c>
      <c r="J637">
        <v>0</v>
      </c>
      <c r="K637" t="str">
        <v>Southampton</v>
      </c>
    </row>
    <row r="638" spans="2:11" x14ac:dyDescent="0.2">
      <c r="B638">
        <v>1</v>
      </c>
      <c r="C638">
        <v>2</v>
      </c>
      <c r="D638" t="str">
        <v>Davis, Miss. Mary</v>
      </c>
      <c r="E638" t="str">
        <v>Mujer</v>
      </c>
      <c r="F638">
        <v>28</v>
      </c>
      <c r="G638">
        <v>0</v>
      </c>
      <c r="H638">
        <v>0</v>
      </c>
      <c r="I638">
        <v>13</v>
      </c>
      <c r="J638">
        <v>0</v>
      </c>
      <c r="K638" t="str">
        <v>Southampton</v>
      </c>
    </row>
    <row r="639" spans="2:11" x14ac:dyDescent="0.2">
      <c r="B639">
        <v>0</v>
      </c>
      <c r="C639">
        <v>3</v>
      </c>
      <c r="D639" t="str">
        <v>Leinonen, Mr. Antti Gustaf</v>
      </c>
      <c r="E639" t="str">
        <v>Hombre</v>
      </c>
      <c r="F639">
        <v>32</v>
      </c>
      <c r="G639">
        <v>0</v>
      </c>
      <c r="H639">
        <v>0</v>
      </c>
      <c r="I639">
        <v>7925</v>
      </c>
      <c r="J639">
        <v>0</v>
      </c>
      <c r="K639" t="str">
        <v>Southampton</v>
      </c>
    </row>
    <row r="640" spans="2:11" x14ac:dyDescent="0.2">
      <c r="B640">
        <v>0</v>
      </c>
      <c r="C640">
        <v>2</v>
      </c>
      <c r="D640" t="str">
        <v>Collyer, Mr. Harvey</v>
      </c>
      <c r="E640" t="str">
        <v>Hombre</v>
      </c>
      <c r="F640">
        <v>31</v>
      </c>
      <c r="G640">
        <v>1</v>
      </c>
      <c r="H640">
        <v>1</v>
      </c>
      <c r="I640">
        <v>2625</v>
      </c>
      <c r="J640">
        <v>0</v>
      </c>
      <c r="K640" t="str">
        <v>Southampton</v>
      </c>
    </row>
    <row r="641" spans="2:11" x14ac:dyDescent="0.2">
      <c r="B641">
        <v>0</v>
      </c>
      <c r="C641">
        <v>3</v>
      </c>
      <c r="D641" t="str">
        <v>Panula, Mrs. Juha (Maria Emilia Ojala)</v>
      </c>
      <c r="E641" t="str">
        <v>Mujer</v>
      </c>
      <c r="F641">
        <v>41</v>
      </c>
      <c r="G641">
        <v>0</v>
      </c>
      <c r="H641">
        <v>5</v>
      </c>
      <c r="I641">
        <v>396875</v>
      </c>
      <c r="J641">
        <v>0</v>
      </c>
      <c r="K641" t="str">
        <v>Southampton</v>
      </c>
    </row>
    <row r="642" spans="2:11" x14ac:dyDescent="0.2">
      <c r="B642">
        <v>0</v>
      </c>
      <c r="C642">
        <v>3</v>
      </c>
      <c r="D642" t="str">
        <v>Thorneycroft, Mr. Percival</v>
      </c>
      <c r="E642" t="str">
        <v>Hombre</v>
      </c>
      <c r="F642">
        <v>0</v>
      </c>
      <c r="G642">
        <v>1</v>
      </c>
      <c r="H642">
        <v>0</v>
      </c>
      <c r="I642">
        <v>161</v>
      </c>
      <c r="J642">
        <v>0</v>
      </c>
      <c r="K642" t="str">
        <v>Southampton</v>
      </c>
    </row>
    <row r="643" spans="2:11" x14ac:dyDescent="0.2">
      <c r="B643">
        <v>0</v>
      </c>
      <c r="C643">
        <v>3</v>
      </c>
      <c r="D643" t="str">
        <v>Jensen, Mr. Hans Peder</v>
      </c>
      <c r="E643" t="str">
        <v>Hombre</v>
      </c>
      <c r="F643">
        <v>20</v>
      </c>
      <c r="G643">
        <v>0</v>
      </c>
      <c r="H643">
        <v>0</v>
      </c>
      <c r="I643">
        <v>78542</v>
      </c>
      <c r="J643">
        <v>0</v>
      </c>
      <c r="K643" t="str">
        <v>Southampton</v>
      </c>
    </row>
    <row r="644" spans="2:11" x14ac:dyDescent="0.2">
      <c r="B644">
        <v>1</v>
      </c>
      <c r="C644">
        <v>1</v>
      </c>
      <c r="D644" t="str">
        <v>Sagesser, Mlle. Emma</v>
      </c>
      <c r="E644" t="str">
        <v>Mujer</v>
      </c>
      <c r="F644">
        <v>24</v>
      </c>
      <c r="G644">
        <v>0</v>
      </c>
      <c r="H644">
        <v>0</v>
      </c>
      <c r="I644">
        <v>693</v>
      </c>
      <c r="J644">
        <v>1</v>
      </c>
      <c r="K644" t="str">
        <v>Cherburg</v>
      </c>
    </row>
    <row r="645" spans="2:11" x14ac:dyDescent="0.2">
      <c r="B645">
        <v>0</v>
      </c>
      <c r="C645">
        <v>3</v>
      </c>
      <c r="D645" t="str">
        <v>Skoog, Miss. Margit Elizabeth</v>
      </c>
      <c r="E645" t="str">
        <v>Mujer</v>
      </c>
      <c r="F645">
        <v>2</v>
      </c>
      <c r="G645">
        <v>3</v>
      </c>
      <c r="H645">
        <v>2</v>
      </c>
      <c r="I645">
        <v>279</v>
      </c>
      <c r="J645">
        <v>0</v>
      </c>
      <c r="K645" t="str">
        <v>Southampton</v>
      </c>
    </row>
    <row r="646" spans="2:11" x14ac:dyDescent="0.2">
      <c r="B646">
        <v>1</v>
      </c>
      <c r="C646">
        <v>3</v>
      </c>
      <c r="D646" t="str">
        <v>Foo, Mr. Choong</v>
      </c>
      <c r="E646" t="str">
        <v>Hombre</v>
      </c>
      <c r="F646">
        <v>0</v>
      </c>
      <c r="G646">
        <v>0</v>
      </c>
      <c r="H646">
        <v>0</v>
      </c>
      <c r="I646">
        <v>564958</v>
      </c>
      <c r="J646">
        <v>0</v>
      </c>
      <c r="K646" t="str">
        <v>Southampton</v>
      </c>
    </row>
    <row r="647" spans="2:11" x14ac:dyDescent="0.2">
      <c r="B647">
        <v>1</v>
      </c>
      <c r="C647">
        <v>3</v>
      </c>
      <c r="D647" t="str">
        <v>Baclini, Miss. Eugenie</v>
      </c>
      <c r="E647" t="str">
        <v>Mujer</v>
      </c>
      <c r="F647">
        <v>75</v>
      </c>
      <c r="G647">
        <v>2</v>
      </c>
      <c r="H647">
        <v>1</v>
      </c>
      <c r="I647">
        <v>192583</v>
      </c>
      <c r="J647">
        <v>0</v>
      </c>
      <c r="K647" t="str">
        <v>Cherburg</v>
      </c>
    </row>
    <row r="648" spans="2:11" x14ac:dyDescent="0.2">
      <c r="B648">
        <v>1</v>
      </c>
      <c r="C648">
        <v>1</v>
      </c>
      <c r="D648" t="str">
        <v>Harper, Mr. Henry Sleeper</v>
      </c>
      <c r="E648" t="str">
        <v>Hombre</v>
      </c>
      <c r="F648">
        <v>48</v>
      </c>
      <c r="G648">
        <v>1</v>
      </c>
      <c r="H648">
        <v>0</v>
      </c>
      <c r="I648">
        <v>767292</v>
      </c>
      <c r="J648">
        <v>1</v>
      </c>
      <c r="K648" t="str">
        <v>Cherburg</v>
      </c>
    </row>
    <row r="649" spans="2:11" x14ac:dyDescent="0.2">
      <c r="B649">
        <v>0</v>
      </c>
      <c r="C649">
        <v>3</v>
      </c>
      <c r="D649" t="str">
        <v>Cor, Mr. Liudevit</v>
      </c>
      <c r="E649" t="str">
        <v>Hombre</v>
      </c>
      <c r="F649">
        <v>19</v>
      </c>
      <c r="G649">
        <v>0</v>
      </c>
      <c r="H649">
        <v>0</v>
      </c>
      <c r="I649">
        <v>78958</v>
      </c>
      <c r="J649">
        <v>0</v>
      </c>
      <c r="K649" t="str">
        <v>Southampton</v>
      </c>
    </row>
    <row r="650" spans="2:11" x14ac:dyDescent="0.2">
      <c r="B650">
        <v>1</v>
      </c>
      <c r="C650">
        <v>1</v>
      </c>
      <c r="D650" t="str">
        <v>Simonius-Blumer, Col. Oberst Alfons</v>
      </c>
      <c r="E650" t="str">
        <v>Hombre</v>
      </c>
      <c r="F650">
        <v>56</v>
      </c>
      <c r="G650">
        <v>0</v>
      </c>
      <c r="H650">
        <v>0</v>
      </c>
      <c r="I650">
        <v>355</v>
      </c>
      <c r="J650">
        <v>1</v>
      </c>
      <c r="K650" t="str">
        <v>Cherburg</v>
      </c>
    </row>
    <row r="651" spans="2:11" x14ac:dyDescent="0.2">
      <c r="B651">
        <v>0</v>
      </c>
      <c r="C651">
        <v>3</v>
      </c>
      <c r="D651" t="str">
        <v>Willey, Mr. Edward</v>
      </c>
      <c r="E651" t="str">
        <v>Hombre</v>
      </c>
      <c r="F651">
        <v>0</v>
      </c>
      <c r="G651">
        <v>0</v>
      </c>
      <c r="H651">
        <v>0</v>
      </c>
      <c r="I651">
        <v>755</v>
      </c>
      <c r="J651">
        <v>0</v>
      </c>
      <c r="K651" t="str">
        <v>Southampton</v>
      </c>
    </row>
    <row r="652" spans="2:11" x14ac:dyDescent="0.2">
      <c r="B652">
        <v>1</v>
      </c>
      <c r="C652">
        <v>3</v>
      </c>
      <c r="D652" t="str">
        <v>Stanley, Miss. Amy Zillah Elsie</v>
      </c>
      <c r="E652" t="str">
        <v>Mujer</v>
      </c>
      <c r="F652">
        <v>23</v>
      </c>
      <c r="G652">
        <v>0</v>
      </c>
      <c r="H652">
        <v>0</v>
      </c>
      <c r="I652">
        <v>755</v>
      </c>
      <c r="J652">
        <v>0</v>
      </c>
      <c r="K652" t="str">
        <v>Southampton</v>
      </c>
    </row>
    <row r="653" spans="2:11" x14ac:dyDescent="0.2">
      <c r="B653">
        <v>0</v>
      </c>
      <c r="C653">
        <v>3</v>
      </c>
      <c r="D653" t="str">
        <v>Mitkoff, Mr. Mito</v>
      </c>
      <c r="E653" t="str">
        <v>Hombre</v>
      </c>
      <c r="F653">
        <v>0</v>
      </c>
      <c r="G653">
        <v>0</v>
      </c>
      <c r="H653">
        <v>0</v>
      </c>
      <c r="I653">
        <v>78958</v>
      </c>
      <c r="J653">
        <v>0</v>
      </c>
      <c r="K653" t="str">
        <v>Southampton</v>
      </c>
    </row>
    <row r="654" spans="2:11" x14ac:dyDescent="0.2">
      <c r="B654">
        <v>1</v>
      </c>
      <c r="C654">
        <v>2</v>
      </c>
      <c r="D654" t="str">
        <v>Doling, Miss. Elsie</v>
      </c>
      <c r="E654" t="str">
        <v>Mujer</v>
      </c>
      <c r="F654">
        <v>18</v>
      </c>
      <c r="G654">
        <v>0</v>
      </c>
      <c r="H654">
        <v>1</v>
      </c>
      <c r="I654">
        <v>23</v>
      </c>
      <c r="J654">
        <v>0</v>
      </c>
      <c r="K654" t="str">
        <v>Southampton</v>
      </c>
    </row>
    <row r="655" spans="2:11" x14ac:dyDescent="0.2">
      <c r="B655">
        <v>0</v>
      </c>
      <c r="C655">
        <v>3</v>
      </c>
      <c r="D655" t="str">
        <v>Kalvik, Mr. Johannes Halvorsen</v>
      </c>
      <c r="E655" t="str">
        <v>Hombre</v>
      </c>
      <c r="F655">
        <v>21</v>
      </c>
      <c r="G655">
        <v>0</v>
      </c>
      <c r="H655">
        <v>0</v>
      </c>
      <c r="I655">
        <v>84333</v>
      </c>
      <c r="J655">
        <v>0</v>
      </c>
      <c r="K655" t="str">
        <v>Southampton</v>
      </c>
    </row>
    <row r="656" spans="2:11" x14ac:dyDescent="0.2">
      <c r="B656">
        <v>1</v>
      </c>
      <c r="C656">
        <v>3</v>
      </c>
      <c r="D656" t="str">
        <v>O'Leary, Miss. Hanora "Norah"</v>
      </c>
      <c r="E656" t="str">
        <v>Mujer</v>
      </c>
      <c r="F656">
        <v>0</v>
      </c>
      <c r="G656">
        <v>0</v>
      </c>
      <c r="H656">
        <v>0</v>
      </c>
      <c r="I656">
        <v>78292</v>
      </c>
      <c r="J656">
        <v>0</v>
      </c>
      <c r="K656" t="str">
        <v>Queenstown</v>
      </c>
    </row>
    <row r="657" spans="2:11" x14ac:dyDescent="0.2">
      <c r="B657">
        <v>0</v>
      </c>
      <c r="C657">
        <v>3</v>
      </c>
      <c r="D657" t="str">
        <v>Hegarty, Miss. Hanora "Nora"</v>
      </c>
      <c r="E657" t="str">
        <v>Mujer</v>
      </c>
      <c r="F657">
        <v>18</v>
      </c>
      <c r="G657">
        <v>0</v>
      </c>
      <c r="H657">
        <v>0</v>
      </c>
      <c r="I657">
        <v>675</v>
      </c>
      <c r="J657">
        <v>0</v>
      </c>
      <c r="K657" t="str">
        <v>Queenstown</v>
      </c>
    </row>
    <row r="658" spans="2:11" x14ac:dyDescent="0.2">
      <c r="B658">
        <v>0</v>
      </c>
      <c r="C658">
        <v>2</v>
      </c>
      <c r="D658" t="str">
        <v>Hickman, Mr. Leonard Mark</v>
      </c>
      <c r="E658" t="str">
        <v>Hombre</v>
      </c>
      <c r="F658">
        <v>24</v>
      </c>
      <c r="G658">
        <v>2</v>
      </c>
      <c r="H658">
        <v>0</v>
      </c>
      <c r="I658">
        <v>735</v>
      </c>
      <c r="J658">
        <v>0</v>
      </c>
      <c r="K658" t="str">
        <v>Southampton</v>
      </c>
    </row>
    <row r="659" spans="2:11" x14ac:dyDescent="0.2">
      <c r="B659">
        <v>0</v>
      </c>
      <c r="C659">
        <v>3</v>
      </c>
      <c r="D659" t="str">
        <v>Radeff, Mr. Alexander</v>
      </c>
      <c r="E659" t="str">
        <v>Hombre</v>
      </c>
      <c r="F659">
        <v>0</v>
      </c>
      <c r="G659">
        <v>0</v>
      </c>
      <c r="H659">
        <v>0</v>
      </c>
      <c r="I659">
        <v>78958</v>
      </c>
      <c r="J659">
        <v>0</v>
      </c>
      <c r="K659" t="str">
        <v>Southampton</v>
      </c>
    </row>
    <row r="660" spans="2:11" x14ac:dyDescent="0.2">
      <c r="B660">
        <v>0</v>
      </c>
      <c r="C660">
        <v>3</v>
      </c>
      <c r="D660" t="str">
        <v>Bourke, Mrs. John (Catherine)</v>
      </c>
      <c r="E660" t="str">
        <v>Mujer</v>
      </c>
      <c r="F660">
        <v>32</v>
      </c>
      <c r="G660">
        <v>1</v>
      </c>
      <c r="H660">
        <v>1</v>
      </c>
      <c r="I660">
        <v>155</v>
      </c>
      <c r="J660">
        <v>0</v>
      </c>
      <c r="K660" t="str">
        <v>Queenstown</v>
      </c>
    </row>
    <row r="661" spans="2:11" x14ac:dyDescent="0.2">
      <c r="B661">
        <v>0</v>
      </c>
      <c r="C661">
        <v>2</v>
      </c>
      <c r="D661" t="str">
        <v>Eitemiller, Mr. George Floyd</v>
      </c>
      <c r="E661" t="str">
        <v>Hombre</v>
      </c>
      <c r="F661">
        <v>23</v>
      </c>
      <c r="G661">
        <v>0</v>
      </c>
      <c r="H661">
        <v>0</v>
      </c>
      <c r="I661">
        <v>13</v>
      </c>
      <c r="J661">
        <v>0</v>
      </c>
      <c r="K661" t="str">
        <v>Southampton</v>
      </c>
    </row>
    <row r="662" spans="2:11" x14ac:dyDescent="0.2">
      <c r="B662">
        <v>0</v>
      </c>
      <c r="C662">
        <v>1</v>
      </c>
      <c r="D662" t="str">
        <v>Newell, Mr. Arthur Webster</v>
      </c>
      <c r="E662" t="str">
        <v>Hombre</v>
      </c>
      <c r="F662">
        <v>58</v>
      </c>
      <c r="G662">
        <v>0</v>
      </c>
      <c r="H662">
        <v>2</v>
      </c>
      <c r="I662">
        <v>113275</v>
      </c>
      <c r="J662">
        <v>1</v>
      </c>
      <c r="K662" t="str">
        <v>Cherburg</v>
      </c>
    </row>
    <row r="663" spans="2:11" x14ac:dyDescent="0.2">
      <c r="B663">
        <v>1</v>
      </c>
      <c r="C663">
        <v>1</v>
      </c>
      <c r="D663" t="str">
        <v>Frauenthal, Dr. Henry William</v>
      </c>
      <c r="E663" t="str">
        <v>Hombre</v>
      </c>
      <c r="F663">
        <v>50</v>
      </c>
      <c r="G663">
        <v>2</v>
      </c>
      <c r="H663">
        <v>0</v>
      </c>
      <c r="I663">
        <v>13365</v>
      </c>
      <c r="J663">
        <v>0</v>
      </c>
      <c r="K663" t="str">
        <v>Southampton</v>
      </c>
    </row>
    <row r="664" spans="2:11" x14ac:dyDescent="0.2">
      <c r="B664">
        <v>0</v>
      </c>
      <c r="C664">
        <v>3</v>
      </c>
      <c r="D664" t="str">
        <v>Badt, Mr. Mohamed</v>
      </c>
      <c r="E664" t="str">
        <v>Hombre</v>
      </c>
      <c r="F664">
        <v>40</v>
      </c>
      <c r="G664">
        <v>0</v>
      </c>
      <c r="H664">
        <v>0</v>
      </c>
      <c r="I664">
        <v>7225</v>
      </c>
      <c r="J664">
        <v>0</v>
      </c>
      <c r="K664" t="str">
        <v>Cherburg</v>
      </c>
    </row>
    <row r="665" spans="2:11" x14ac:dyDescent="0.2">
      <c r="B665">
        <v>0</v>
      </c>
      <c r="C665">
        <v>1</v>
      </c>
      <c r="D665" t="str">
        <v>Colley, Mr. Edward Pomeroy</v>
      </c>
      <c r="E665" t="str">
        <v>Hombre</v>
      </c>
      <c r="F665">
        <v>47</v>
      </c>
      <c r="G665">
        <v>0</v>
      </c>
      <c r="H665">
        <v>0</v>
      </c>
      <c r="I665">
        <v>255875</v>
      </c>
      <c r="J665">
        <v>1</v>
      </c>
      <c r="K665" t="str">
        <v>Southampton</v>
      </c>
    </row>
    <row r="666" spans="2:11" x14ac:dyDescent="0.2">
      <c r="B666">
        <v>0</v>
      </c>
      <c r="C666">
        <v>3</v>
      </c>
      <c r="D666" t="str">
        <v>Coleff, Mr. Peju</v>
      </c>
      <c r="E666" t="str">
        <v>Hombre</v>
      </c>
      <c r="F666">
        <v>36</v>
      </c>
      <c r="G666">
        <v>0</v>
      </c>
      <c r="H666">
        <v>0</v>
      </c>
      <c r="I666">
        <v>74958</v>
      </c>
      <c r="J666">
        <v>0</v>
      </c>
      <c r="K666" t="str">
        <v>Southampton</v>
      </c>
    </row>
    <row r="667" spans="2:11" x14ac:dyDescent="0.2">
      <c r="B667">
        <v>1</v>
      </c>
      <c r="C667">
        <v>3</v>
      </c>
      <c r="D667" t="str">
        <v>Lindqvist, Mr. Eino William</v>
      </c>
      <c r="E667" t="str">
        <v>Hombre</v>
      </c>
      <c r="F667">
        <v>20</v>
      </c>
      <c r="G667">
        <v>1</v>
      </c>
      <c r="H667">
        <v>0</v>
      </c>
      <c r="I667">
        <v>7925</v>
      </c>
      <c r="J667">
        <v>0</v>
      </c>
      <c r="K667" t="str">
        <v>Southampton</v>
      </c>
    </row>
    <row r="668" spans="2:11" x14ac:dyDescent="0.2">
      <c r="B668">
        <v>0</v>
      </c>
      <c r="C668">
        <v>2</v>
      </c>
      <c r="D668" t="str">
        <v>Hickman, Mr. Lewis</v>
      </c>
      <c r="E668" t="str">
        <v>Hombre</v>
      </c>
      <c r="F668">
        <v>32</v>
      </c>
      <c r="G668">
        <v>2</v>
      </c>
      <c r="H668">
        <v>0</v>
      </c>
      <c r="I668">
        <v>735</v>
      </c>
      <c r="J668">
        <v>0</v>
      </c>
      <c r="K668" t="str">
        <v>Southampton</v>
      </c>
    </row>
    <row r="669" spans="2:11" x14ac:dyDescent="0.2">
      <c r="B669">
        <v>0</v>
      </c>
      <c r="C669">
        <v>2</v>
      </c>
      <c r="D669" t="str">
        <v>Butler, Mr. Reginald Fenton</v>
      </c>
      <c r="E669" t="str">
        <v>Hombre</v>
      </c>
      <c r="F669">
        <v>25</v>
      </c>
      <c r="G669">
        <v>0</v>
      </c>
      <c r="H669">
        <v>0</v>
      </c>
      <c r="I669">
        <v>13</v>
      </c>
      <c r="J669">
        <v>0</v>
      </c>
      <c r="K669" t="str">
        <v>Southampton</v>
      </c>
    </row>
    <row r="670" spans="2:11" x14ac:dyDescent="0.2">
      <c r="B670">
        <v>0</v>
      </c>
      <c r="C670">
        <v>3</v>
      </c>
      <c r="D670" t="str">
        <v>Rommetvedt, Mr. Knud Paust</v>
      </c>
      <c r="E670" t="str">
        <v>Hombre</v>
      </c>
      <c r="F670">
        <v>0</v>
      </c>
      <c r="G670">
        <v>0</v>
      </c>
      <c r="H670">
        <v>0</v>
      </c>
      <c r="I670">
        <v>7775</v>
      </c>
      <c r="J670">
        <v>0</v>
      </c>
      <c r="K670" t="str">
        <v>Southampton</v>
      </c>
    </row>
    <row r="671" spans="2:11" x14ac:dyDescent="0.2">
      <c r="B671">
        <v>0</v>
      </c>
      <c r="C671">
        <v>3</v>
      </c>
      <c r="D671" t="str">
        <v>Cook, Mr. Jacob</v>
      </c>
      <c r="E671" t="str">
        <v>Hombre</v>
      </c>
      <c r="F671">
        <v>43</v>
      </c>
      <c r="G671">
        <v>0</v>
      </c>
      <c r="H671">
        <v>0</v>
      </c>
      <c r="I671">
        <v>805</v>
      </c>
      <c r="J671">
        <v>0</v>
      </c>
      <c r="K671" t="str">
        <v>Southampton</v>
      </c>
    </row>
    <row r="672" spans="2:11" x14ac:dyDescent="0.2">
      <c r="B672">
        <v>1</v>
      </c>
      <c r="C672">
        <v>1</v>
      </c>
      <c r="D672" t="str">
        <v>Taylor, Mrs. Elmer Zebley (Juliet Cummins Wright)</v>
      </c>
      <c r="E672" t="str">
        <v>Mujer</v>
      </c>
      <c r="F672">
        <v>0</v>
      </c>
      <c r="G672">
        <v>1</v>
      </c>
      <c r="H672">
        <v>0</v>
      </c>
      <c r="I672">
        <v>52</v>
      </c>
      <c r="J672">
        <v>1</v>
      </c>
      <c r="K672" t="str">
        <v>Southampton</v>
      </c>
    </row>
    <row r="673" spans="2:11" x14ac:dyDescent="0.2">
      <c r="B673">
        <v>1</v>
      </c>
      <c r="C673">
        <v>2</v>
      </c>
      <c r="D673" t="str">
        <v>Brown, Mrs. Thomas William Solomon (Elizabeth Catherine Ford)</v>
      </c>
      <c r="E673" t="str">
        <v>Mujer</v>
      </c>
      <c r="F673">
        <v>40</v>
      </c>
      <c r="G673">
        <v>1</v>
      </c>
      <c r="H673">
        <v>1</v>
      </c>
      <c r="I673">
        <v>39</v>
      </c>
      <c r="J673">
        <v>0</v>
      </c>
      <c r="K673" t="str">
        <v>Southampton</v>
      </c>
    </row>
    <row r="674" spans="2:11" x14ac:dyDescent="0.2">
      <c r="B674">
        <v>0</v>
      </c>
      <c r="C674">
        <v>1</v>
      </c>
      <c r="D674" t="str">
        <v>Davidson, Mr. Thornton</v>
      </c>
      <c r="E674" t="str">
        <v>Hombre</v>
      </c>
      <c r="F674">
        <v>31</v>
      </c>
      <c r="G674">
        <v>1</v>
      </c>
      <c r="H674">
        <v>0</v>
      </c>
      <c r="I674">
        <v>52</v>
      </c>
      <c r="J674">
        <v>1</v>
      </c>
      <c r="K674" t="str">
        <v>Southampton</v>
      </c>
    </row>
    <row r="675" spans="2:11" x14ac:dyDescent="0.2">
      <c r="B675">
        <v>0</v>
      </c>
      <c r="C675">
        <v>2</v>
      </c>
      <c r="D675" t="str">
        <v>Mitchell, Mr. Henry Michael</v>
      </c>
      <c r="E675" t="str">
        <v>Hombre</v>
      </c>
      <c r="F675">
        <v>70</v>
      </c>
      <c r="G675">
        <v>0</v>
      </c>
      <c r="H675">
        <v>0</v>
      </c>
      <c r="I675">
        <v>105</v>
      </c>
      <c r="J675">
        <v>0</v>
      </c>
      <c r="K675" t="str">
        <v>Southampton</v>
      </c>
    </row>
    <row r="676" spans="2:11" x14ac:dyDescent="0.2">
      <c r="B676">
        <v>1</v>
      </c>
      <c r="C676">
        <v>2</v>
      </c>
      <c r="D676" t="str">
        <v>Wilhelms, Mr. Charles</v>
      </c>
      <c r="E676" t="str">
        <v>Hombre</v>
      </c>
      <c r="F676">
        <v>31</v>
      </c>
      <c r="G676">
        <v>0</v>
      </c>
      <c r="H676">
        <v>0</v>
      </c>
      <c r="I676">
        <v>13</v>
      </c>
      <c r="J676">
        <v>0</v>
      </c>
      <c r="K676" t="str">
        <v>Southampton</v>
      </c>
    </row>
    <row r="677" spans="2:11" x14ac:dyDescent="0.2">
      <c r="B677">
        <v>0</v>
      </c>
      <c r="C677">
        <v>2</v>
      </c>
      <c r="D677" t="str">
        <v>Watson, Mr. Ennis Hastings</v>
      </c>
      <c r="E677" t="str">
        <v>Hombre</v>
      </c>
      <c r="F677">
        <v>0</v>
      </c>
      <c r="G677">
        <v>0</v>
      </c>
      <c r="H677">
        <v>0</v>
      </c>
      <c r="I677">
        <v>0</v>
      </c>
      <c r="J677">
        <v>0</v>
      </c>
      <c r="K677" t="str">
        <v>Southampton</v>
      </c>
    </row>
    <row r="678" spans="2:11" x14ac:dyDescent="0.2">
      <c r="B678">
        <v>0</v>
      </c>
      <c r="C678">
        <v>3</v>
      </c>
      <c r="D678" t="str">
        <v>Edvardsson, Mr. Gustaf Hjalmar</v>
      </c>
      <c r="E678" t="str">
        <v>Hombre</v>
      </c>
      <c r="F678">
        <v>18</v>
      </c>
      <c r="G678">
        <v>0</v>
      </c>
      <c r="H678">
        <v>0</v>
      </c>
      <c r="I678">
        <v>7775</v>
      </c>
      <c r="J678">
        <v>0</v>
      </c>
      <c r="K678" t="str">
        <v>Southampton</v>
      </c>
    </row>
    <row r="679" spans="2:11" x14ac:dyDescent="0.2">
      <c r="B679">
        <v>0</v>
      </c>
      <c r="C679">
        <v>3</v>
      </c>
      <c r="D679" t="str">
        <v>Sawyer, Mr. Frederick Charles</v>
      </c>
      <c r="E679" t="str">
        <v>Hombre</v>
      </c>
      <c r="F679">
        <v>245</v>
      </c>
      <c r="G679">
        <v>0</v>
      </c>
      <c r="H679">
        <v>0</v>
      </c>
      <c r="I679">
        <v>805</v>
      </c>
      <c r="J679">
        <v>0</v>
      </c>
      <c r="K679" t="str">
        <v>Southampton</v>
      </c>
    </row>
    <row r="680" spans="2:11" x14ac:dyDescent="0.2">
      <c r="B680">
        <v>1</v>
      </c>
      <c r="C680">
        <v>3</v>
      </c>
      <c r="D680" t="str">
        <v>Turja, Miss. Anna Sofia</v>
      </c>
      <c r="E680" t="str">
        <v>Mujer</v>
      </c>
      <c r="F680">
        <v>18</v>
      </c>
      <c r="G680">
        <v>0</v>
      </c>
      <c r="H680">
        <v>0</v>
      </c>
      <c r="I680">
        <v>98417</v>
      </c>
      <c r="J680">
        <v>0</v>
      </c>
      <c r="K680" t="str">
        <v>Southampton</v>
      </c>
    </row>
    <row r="681" spans="2:11" x14ac:dyDescent="0.2">
      <c r="B681">
        <v>0</v>
      </c>
      <c r="C681">
        <v>3</v>
      </c>
      <c r="D681" t="str">
        <v>Goodwin, Mrs. Frederick (Augusta Tyler)</v>
      </c>
      <c r="E681" t="str">
        <v>Mujer</v>
      </c>
      <c r="F681">
        <v>43</v>
      </c>
      <c r="G681">
        <v>1</v>
      </c>
      <c r="H681">
        <v>6</v>
      </c>
      <c r="I681">
        <v>469</v>
      </c>
      <c r="J681">
        <v>0</v>
      </c>
      <c r="K681" t="str">
        <v>Southampton</v>
      </c>
    </row>
    <row r="682" spans="2:11" x14ac:dyDescent="0.2">
      <c r="B682">
        <v>1</v>
      </c>
      <c r="C682">
        <v>1</v>
      </c>
      <c r="D682" t="str">
        <v>Cardeza, Mr. Thomas Drake Martinez</v>
      </c>
      <c r="E682" t="str">
        <v>Hombre</v>
      </c>
      <c r="F682">
        <v>36</v>
      </c>
      <c r="G682">
        <v>0</v>
      </c>
      <c r="H682">
        <v>1</v>
      </c>
      <c r="I682">
        <v>5123292</v>
      </c>
      <c r="J682">
        <v>1</v>
      </c>
      <c r="K682" t="str">
        <v>Cherburg</v>
      </c>
    </row>
    <row r="683" spans="2:11" x14ac:dyDescent="0.2">
      <c r="B683">
        <v>0</v>
      </c>
      <c r="C683">
        <v>3</v>
      </c>
      <c r="D683" t="str">
        <v>Peters, Miss. Katie</v>
      </c>
      <c r="E683" t="str">
        <v>Mujer</v>
      </c>
      <c r="F683">
        <v>0</v>
      </c>
      <c r="G683">
        <v>0</v>
      </c>
      <c r="H683">
        <v>0</v>
      </c>
      <c r="I683">
        <v>81375</v>
      </c>
      <c r="J683">
        <v>0</v>
      </c>
      <c r="K683" t="str">
        <v>Queenstown</v>
      </c>
    </row>
    <row r="684" spans="2:11" x14ac:dyDescent="0.2">
      <c r="B684">
        <v>1</v>
      </c>
      <c r="C684">
        <v>1</v>
      </c>
      <c r="D684" t="str">
        <v>Hassab, Mr. Hammad</v>
      </c>
      <c r="E684" t="str">
        <v>Hombre</v>
      </c>
      <c r="F684">
        <v>27</v>
      </c>
      <c r="G684">
        <v>0</v>
      </c>
      <c r="H684">
        <v>0</v>
      </c>
      <c r="I684">
        <v>767292</v>
      </c>
      <c r="J684">
        <v>1</v>
      </c>
      <c r="K684" t="str">
        <v>Cherburg</v>
      </c>
    </row>
    <row r="685" spans="2:11" x14ac:dyDescent="0.2">
      <c r="B685">
        <v>0</v>
      </c>
      <c r="C685">
        <v>3</v>
      </c>
      <c r="D685" t="str">
        <v>Olsvigen, Mr. Thor Anderson</v>
      </c>
      <c r="E685" t="str">
        <v>Hombre</v>
      </c>
      <c r="F685">
        <v>20</v>
      </c>
      <c r="G685">
        <v>0</v>
      </c>
      <c r="H685">
        <v>0</v>
      </c>
      <c r="I685">
        <v>9225</v>
      </c>
      <c r="J685">
        <v>0</v>
      </c>
      <c r="K685" t="str">
        <v>Southampton</v>
      </c>
    </row>
    <row r="686" spans="2:11" x14ac:dyDescent="0.2">
      <c r="B686">
        <v>0</v>
      </c>
      <c r="C686">
        <v>3</v>
      </c>
      <c r="D686" t="str">
        <v>Goodwin, Mr. Charles Edward</v>
      </c>
      <c r="E686" t="str">
        <v>Hombre</v>
      </c>
      <c r="F686">
        <v>14</v>
      </c>
      <c r="G686">
        <v>5</v>
      </c>
      <c r="H686">
        <v>2</v>
      </c>
      <c r="I686">
        <v>469</v>
      </c>
      <c r="J686">
        <v>0</v>
      </c>
      <c r="K686" t="str">
        <v>Southampton</v>
      </c>
    </row>
    <row r="687" spans="2:11" x14ac:dyDescent="0.2">
      <c r="B687">
        <v>0</v>
      </c>
      <c r="C687">
        <v>2</v>
      </c>
      <c r="D687" t="str">
        <v>Brown, Mr. Thomas William Solomon</v>
      </c>
      <c r="E687" t="str">
        <v>Hombre</v>
      </c>
      <c r="F687">
        <v>60</v>
      </c>
      <c r="G687">
        <v>1</v>
      </c>
      <c r="H687">
        <v>1</v>
      </c>
      <c r="I687">
        <v>39</v>
      </c>
      <c r="J687">
        <v>0</v>
      </c>
      <c r="K687" t="str">
        <v>Southampton</v>
      </c>
    </row>
    <row r="688" spans="2:11" x14ac:dyDescent="0.2">
      <c r="B688">
        <v>0</v>
      </c>
      <c r="C688">
        <v>2</v>
      </c>
      <c r="D688" t="str">
        <v>Laroche, Mr. Joseph Philippe Lemercier</v>
      </c>
      <c r="E688" t="str">
        <v>Hombre</v>
      </c>
      <c r="F688">
        <v>25</v>
      </c>
      <c r="G688">
        <v>1</v>
      </c>
      <c r="H688">
        <v>2</v>
      </c>
      <c r="I688">
        <v>415792</v>
      </c>
      <c r="J688">
        <v>0</v>
      </c>
      <c r="K688" t="str">
        <v>Cherburg</v>
      </c>
    </row>
    <row r="689" spans="2:11" x14ac:dyDescent="0.2">
      <c r="B689">
        <v>0</v>
      </c>
      <c r="C689">
        <v>3</v>
      </c>
      <c r="D689" t="str">
        <v>Panula, Mr. Jaako Arnold</v>
      </c>
      <c r="E689" t="str">
        <v>Hombre</v>
      </c>
      <c r="F689">
        <v>14</v>
      </c>
      <c r="G689">
        <v>4</v>
      </c>
      <c r="H689">
        <v>1</v>
      </c>
      <c r="I689">
        <v>396875</v>
      </c>
      <c r="J689">
        <v>0</v>
      </c>
      <c r="K689" t="str">
        <v>Southampton</v>
      </c>
    </row>
    <row r="690" spans="2:11" x14ac:dyDescent="0.2">
      <c r="B690">
        <v>0</v>
      </c>
      <c r="C690">
        <v>3</v>
      </c>
      <c r="D690" t="str">
        <v>Dakic, Mr. Branko</v>
      </c>
      <c r="E690" t="str">
        <v>Hombre</v>
      </c>
      <c r="F690">
        <v>19</v>
      </c>
      <c r="G690">
        <v>0</v>
      </c>
      <c r="H690">
        <v>0</v>
      </c>
      <c r="I690">
        <v>101708</v>
      </c>
      <c r="J690">
        <v>0</v>
      </c>
      <c r="K690" t="str">
        <v>Southampton</v>
      </c>
    </row>
    <row r="691" spans="2:11" x14ac:dyDescent="0.2">
      <c r="B691">
        <v>0</v>
      </c>
      <c r="C691">
        <v>3</v>
      </c>
      <c r="D691" t="str">
        <v>Fischer, Mr. Eberhard Thelander</v>
      </c>
      <c r="E691" t="str">
        <v>Hombre</v>
      </c>
      <c r="F691">
        <v>18</v>
      </c>
      <c r="G691">
        <v>0</v>
      </c>
      <c r="H691">
        <v>0</v>
      </c>
      <c r="I691">
        <v>77958</v>
      </c>
      <c r="J691">
        <v>0</v>
      </c>
      <c r="K691" t="str">
        <v>Southampton</v>
      </c>
    </row>
    <row r="692" spans="2:11" x14ac:dyDescent="0.2">
      <c r="B692">
        <v>1</v>
      </c>
      <c r="C692">
        <v>1</v>
      </c>
      <c r="D692" t="str">
        <v>Madill, Miss. Georgette Alexandra</v>
      </c>
      <c r="E692" t="str">
        <v>Mujer</v>
      </c>
      <c r="F692">
        <v>15</v>
      </c>
      <c r="G692">
        <v>0</v>
      </c>
      <c r="H692">
        <v>1</v>
      </c>
      <c r="I692">
        <v>2113375</v>
      </c>
      <c r="J692">
        <v>1</v>
      </c>
      <c r="K692" t="str">
        <v>Southampton</v>
      </c>
    </row>
    <row r="693" spans="2:11" x14ac:dyDescent="0.2">
      <c r="B693">
        <v>1</v>
      </c>
      <c r="C693">
        <v>1</v>
      </c>
      <c r="D693" t="str">
        <v>Dick, Mr. Albert Adrian</v>
      </c>
      <c r="E693" t="str">
        <v>Hombre</v>
      </c>
      <c r="F693">
        <v>31</v>
      </c>
      <c r="G693">
        <v>1</v>
      </c>
      <c r="H693">
        <v>0</v>
      </c>
      <c r="I693">
        <v>57</v>
      </c>
      <c r="J693">
        <v>1</v>
      </c>
      <c r="K693" t="str">
        <v>Southampton</v>
      </c>
    </row>
    <row r="694" spans="2:11" x14ac:dyDescent="0.2">
      <c r="B694">
        <v>1</v>
      </c>
      <c r="C694">
        <v>3</v>
      </c>
      <c r="D694" t="str">
        <v>Karun, Miss. Manca</v>
      </c>
      <c r="E694" t="str">
        <v>Mujer</v>
      </c>
      <c r="F694">
        <v>4</v>
      </c>
      <c r="G694">
        <v>0</v>
      </c>
      <c r="H694">
        <v>1</v>
      </c>
      <c r="I694">
        <v>134167</v>
      </c>
      <c r="J694">
        <v>0</v>
      </c>
      <c r="K694" t="str">
        <v>Cherburg</v>
      </c>
    </row>
    <row r="695" spans="2:11" x14ac:dyDescent="0.2">
      <c r="B695">
        <v>1</v>
      </c>
      <c r="C695">
        <v>3</v>
      </c>
      <c r="D695" t="str">
        <v>Lam, Mr. Ali</v>
      </c>
      <c r="E695" t="str">
        <v>Hombre</v>
      </c>
      <c r="F695">
        <v>0</v>
      </c>
      <c r="G695">
        <v>0</v>
      </c>
      <c r="H695">
        <v>0</v>
      </c>
      <c r="I695">
        <v>564958</v>
      </c>
      <c r="J695">
        <v>0</v>
      </c>
      <c r="K695" t="str">
        <v>Southampton</v>
      </c>
    </row>
    <row r="696" spans="2:11" x14ac:dyDescent="0.2">
      <c r="B696">
        <v>0</v>
      </c>
      <c r="C696">
        <v>3</v>
      </c>
      <c r="D696" t="str">
        <v>Saad, Mr. Khalil</v>
      </c>
      <c r="E696" t="str">
        <v>Hombre</v>
      </c>
      <c r="F696">
        <v>25</v>
      </c>
      <c r="G696">
        <v>0</v>
      </c>
      <c r="H696">
        <v>0</v>
      </c>
      <c r="I696">
        <v>7225</v>
      </c>
      <c r="J696">
        <v>0</v>
      </c>
      <c r="K696" t="str">
        <v>Cherburg</v>
      </c>
    </row>
    <row r="697" spans="2:11" x14ac:dyDescent="0.2">
      <c r="B697">
        <v>0</v>
      </c>
      <c r="C697">
        <v>1</v>
      </c>
      <c r="D697" t="str">
        <v>Weir, Col. John</v>
      </c>
      <c r="E697" t="str">
        <v>Hombre</v>
      </c>
      <c r="F697">
        <v>60</v>
      </c>
      <c r="G697">
        <v>0</v>
      </c>
      <c r="H697">
        <v>0</v>
      </c>
      <c r="I697">
        <v>2655</v>
      </c>
      <c r="J697">
        <v>0</v>
      </c>
      <c r="K697" t="str">
        <v>Southampton</v>
      </c>
    </row>
    <row r="698" spans="2:11" x14ac:dyDescent="0.2">
      <c r="B698">
        <v>0</v>
      </c>
      <c r="C698">
        <v>2</v>
      </c>
      <c r="D698" t="str">
        <v>Chapman, Mr. Charles Henry</v>
      </c>
      <c r="E698" t="str">
        <v>Hombre</v>
      </c>
      <c r="F698">
        <v>52</v>
      </c>
      <c r="G698">
        <v>0</v>
      </c>
      <c r="H698">
        <v>0</v>
      </c>
      <c r="I698">
        <v>135</v>
      </c>
      <c r="J698">
        <v>0</v>
      </c>
      <c r="K698" t="str">
        <v>Southampton</v>
      </c>
    </row>
    <row r="699" spans="2:11" x14ac:dyDescent="0.2">
      <c r="B699">
        <v>0</v>
      </c>
      <c r="C699">
        <v>3</v>
      </c>
      <c r="D699" t="str">
        <v>Kelly, Mr. James</v>
      </c>
      <c r="E699" t="str">
        <v>Hombre</v>
      </c>
      <c r="F699">
        <v>44</v>
      </c>
      <c r="G699">
        <v>0</v>
      </c>
      <c r="H699">
        <v>0</v>
      </c>
      <c r="I699">
        <v>805</v>
      </c>
      <c r="J699">
        <v>0</v>
      </c>
      <c r="K699" t="str">
        <v>Southampton</v>
      </c>
    </row>
    <row r="700" spans="2:11" x14ac:dyDescent="0.2">
      <c r="B700">
        <v>1</v>
      </c>
      <c r="C700">
        <v>3</v>
      </c>
      <c r="D700" t="str">
        <v>Mullens, Miss. Katherine "Katie"</v>
      </c>
      <c r="E700" t="str">
        <v>Mujer</v>
      </c>
      <c r="F700">
        <v>0</v>
      </c>
      <c r="G700">
        <v>0</v>
      </c>
      <c r="H700">
        <v>0</v>
      </c>
      <c r="I700">
        <v>77333</v>
      </c>
      <c r="J700">
        <v>0</v>
      </c>
      <c r="K700" t="str">
        <v>Queenstown</v>
      </c>
    </row>
    <row r="701" spans="2:11" x14ac:dyDescent="0.2">
      <c r="B701">
        <v>0</v>
      </c>
      <c r="C701">
        <v>1</v>
      </c>
      <c r="D701" t="str">
        <v>Thayer, Mr. John Borland</v>
      </c>
      <c r="E701" t="str">
        <v>Hombre</v>
      </c>
      <c r="F701">
        <v>49</v>
      </c>
      <c r="G701">
        <v>1</v>
      </c>
      <c r="H701">
        <v>1</v>
      </c>
      <c r="I701">
        <v>1108833</v>
      </c>
      <c r="J701">
        <v>1</v>
      </c>
      <c r="K701" t="str">
        <v>Cherburg</v>
      </c>
    </row>
    <row r="702" spans="2:11" x14ac:dyDescent="0.2">
      <c r="B702">
        <v>0</v>
      </c>
      <c r="C702">
        <v>3</v>
      </c>
      <c r="D702" t="str">
        <v>Humblen, Mr. Adolf Mathias Nicolai Olsen</v>
      </c>
      <c r="E702" t="str">
        <v>Hombre</v>
      </c>
      <c r="F702">
        <v>42</v>
      </c>
      <c r="G702">
        <v>0</v>
      </c>
      <c r="H702">
        <v>0</v>
      </c>
      <c r="I702">
        <v>765</v>
      </c>
      <c r="J702">
        <v>1</v>
      </c>
      <c r="K702" t="str">
        <v>Southampton</v>
      </c>
    </row>
    <row r="703" spans="2:11" x14ac:dyDescent="0.2">
      <c r="B703">
        <v>1</v>
      </c>
      <c r="C703">
        <v>1</v>
      </c>
      <c r="D703" t="str">
        <v>Astor, Mrs. John Jacob (Madeleine Talmadge Force)</v>
      </c>
      <c r="E703" t="str">
        <v>Mujer</v>
      </c>
      <c r="F703">
        <v>18</v>
      </c>
      <c r="G703">
        <v>1</v>
      </c>
      <c r="H703">
        <v>0</v>
      </c>
      <c r="I703">
        <v>227525</v>
      </c>
      <c r="J703">
        <v>1</v>
      </c>
      <c r="K703" t="str">
        <v>Cherburg</v>
      </c>
    </row>
    <row r="704" spans="2:11" x14ac:dyDescent="0.2">
      <c r="B704">
        <v>1</v>
      </c>
      <c r="C704">
        <v>1</v>
      </c>
      <c r="D704" t="str">
        <v>Silverthorne, Mr. Spencer Victor</v>
      </c>
      <c r="E704" t="str">
        <v>Hombre</v>
      </c>
      <c r="F704">
        <v>35</v>
      </c>
      <c r="G704">
        <v>0</v>
      </c>
      <c r="H704">
        <v>0</v>
      </c>
      <c r="I704">
        <v>262875</v>
      </c>
      <c r="J704">
        <v>1</v>
      </c>
      <c r="K704" t="str">
        <v>Southampton</v>
      </c>
    </row>
    <row r="705" spans="2:11" x14ac:dyDescent="0.2">
      <c r="B705">
        <v>0</v>
      </c>
      <c r="C705">
        <v>3</v>
      </c>
      <c r="D705" t="str">
        <v>Barbara, Miss. Saiide</v>
      </c>
      <c r="E705" t="str">
        <v>Mujer</v>
      </c>
      <c r="F705">
        <v>18</v>
      </c>
      <c r="G705">
        <v>0</v>
      </c>
      <c r="H705">
        <v>1</v>
      </c>
      <c r="I705">
        <v>144542</v>
      </c>
      <c r="J705">
        <v>0</v>
      </c>
      <c r="K705" t="str">
        <v>Cherburg</v>
      </c>
    </row>
    <row r="706" spans="2:11" x14ac:dyDescent="0.2">
      <c r="B706">
        <v>0</v>
      </c>
      <c r="C706">
        <v>3</v>
      </c>
      <c r="D706" t="str">
        <v>Gallagher, Mr. Martin</v>
      </c>
      <c r="E706" t="str">
        <v>Hombre</v>
      </c>
      <c r="F706">
        <v>25</v>
      </c>
      <c r="G706">
        <v>0</v>
      </c>
      <c r="H706">
        <v>0</v>
      </c>
      <c r="I706">
        <v>77417</v>
      </c>
      <c r="J706">
        <v>0</v>
      </c>
      <c r="K706" t="str">
        <v>Queenstown</v>
      </c>
    </row>
    <row r="707" spans="2:11" x14ac:dyDescent="0.2">
      <c r="B707">
        <v>0</v>
      </c>
      <c r="C707">
        <v>3</v>
      </c>
      <c r="D707" t="str">
        <v>Hansen, Mr. Henrik Juul</v>
      </c>
      <c r="E707" t="str">
        <v>Hombre</v>
      </c>
      <c r="F707">
        <v>26</v>
      </c>
      <c r="G707">
        <v>1</v>
      </c>
      <c r="H707">
        <v>0</v>
      </c>
      <c r="I707">
        <v>78542</v>
      </c>
      <c r="J707">
        <v>0</v>
      </c>
      <c r="K707" t="str">
        <v>Southampton</v>
      </c>
    </row>
    <row r="708" spans="2:11" x14ac:dyDescent="0.2">
      <c r="B708">
        <v>0</v>
      </c>
      <c r="C708">
        <v>2</v>
      </c>
      <c r="D708" t="str">
        <v>Morley, Mr. Henry Samuel ("Mr Henry Marshall")</v>
      </c>
      <c r="E708" t="str">
        <v>Hombre</v>
      </c>
      <c r="F708">
        <v>39</v>
      </c>
      <c r="G708">
        <v>0</v>
      </c>
      <c r="H708">
        <v>0</v>
      </c>
      <c r="I708">
        <v>26</v>
      </c>
      <c r="J708">
        <v>0</v>
      </c>
      <c r="K708" t="str">
        <v>Southampton</v>
      </c>
    </row>
    <row r="709" spans="2:11" x14ac:dyDescent="0.2">
      <c r="B709">
        <v>1</v>
      </c>
      <c r="C709">
        <v>2</v>
      </c>
      <c r="D709" t="str">
        <v>Kelly, Mrs. Florence "Fannie"</v>
      </c>
      <c r="E709" t="str">
        <v>Mujer</v>
      </c>
      <c r="F709">
        <v>45</v>
      </c>
      <c r="G709">
        <v>0</v>
      </c>
      <c r="H709">
        <v>0</v>
      </c>
      <c r="I709">
        <v>135</v>
      </c>
      <c r="J709">
        <v>0</v>
      </c>
      <c r="K709" t="str">
        <v>Southampton</v>
      </c>
    </row>
    <row r="710" spans="2:11" x14ac:dyDescent="0.2">
      <c r="B710">
        <v>1</v>
      </c>
      <c r="C710">
        <v>1</v>
      </c>
      <c r="D710" t="str">
        <v>Calderhead, Mr. Edward Pennington</v>
      </c>
      <c r="E710" t="str">
        <v>Hombre</v>
      </c>
      <c r="F710">
        <v>42</v>
      </c>
      <c r="G710">
        <v>0</v>
      </c>
      <c r="H710">
        <v>0</v>
      </c>
      <c r="I710">
        <v>262875</v>
      </c>
      <c r="J710">
        <v>1</v>
      </c>
      <c r="K710" t="str">
        <v>Southampton</v>
      </c>
    </row>
    <row r="711" spans="2:11" x14ac:dyDescent="0.2">
      <c r="B711">
        <v>1</v>
      </c>
      <c r="C711">
        <v>1</v>
      </c>
      <c r="D711" t="str">
        <v>Cleaver, Miss. Alice</v>
      </c>
      <c r="E711" t="str">
        <v>Mujer</v>
      </c>
      <c r="F711">
        <v>22</v>
      </c>
      <c r="G711">
        <v>0</v>
      </c>
      <c r="H711">
        <v>0</v>
      </c>
      <c r="I711">
        <v>15155</v>
      </c>
      <c r="J711">
        <v>0</v>
      </c>
      <c r="K711" t="str">
        <v>Southampton</v>
      </c>
    </row>
    <row r="712" spans="2:11" x14ac:dyDescent="0.2">
      <c r="B712">
        <v>1</v>
      </c>
      <c r="C712">
        <v>3</v>
      </c>
      <c r="D712" t="str">
        <v>Moubarek, Master. Halim Gonios ("William George")</v>
      </c>
      <c r="E712" t="str">
        <v>Hombre</v>
      </c>
      <c r="F712">
        <v>0</v>
      </c>
      <c r="G712">
        <v>1</v>
      </c>
      <c r="H712">
        <v>1</v>
      </c>
      <c r="I712">
        <v>152458</v>
      </c>
      <c r="J712">
        <v>0</v>
      </c>
      <c r="K712" t="str">
        <v>Cherburg</v>
      </c>
    </row>
    <row r="713" spans="2:11" x14ac:dyDescent="0.2">
      <c r="B713">
        <v>1</v>
      </c>
      <c r="C713">
        <v>1</v>
      </c>
      <c r="D713" t="str">
        <v>Mayne, Mlle. Berthe Antonine ("Mrs de Villiers")</v>
      </c>
      <c r="E713" t="str">
        <v>Mujer</v>
      </c>
      <c r="F713">
        <v>24</v>
      </c>
      <c r="G713">
        <v>0</v>
      </c>
      <c r="H713">
        <v>0</v>
      </c>
      <c r="I713">
        <v>495042</v>
      </c>
      <c r="J713">
        <v>1</v>
      </c>
      <c r="K713" t="str">
        <v>Cherburg</v>
      </c>
    </row>
    <row r="714" spans="2:11" x14ac:dyDescent="0.2">
      <c r="B714">
        <v>0</v>
      </c>
      <c r="C714">
        <v>1</v>
      </c>
      <c r="D714" t="str">
        <v>Klaber, Mr. Herman</v>
      </c>
      <c r="E714" t="str">
        <v>Hombre</v>
      </c>
      <c r="F714">
        <v>0</v>
      </c>
      <c r="G714">
        <v>0</v>
      </c>
      <c r="H714">
        <v>0</v>
      </c>
      <c r="I714">
        <v>2655</v>
      </c>
      <c r="J714">
        <v>1</v>
      </c>
      <c r="K714" t="str">
        <v>Southampton</v>
      </c>
    </row>
    <row r="715" spans="2:11" x14ac:dyDescent="0.2">
      <c r="B715">
        <v>1</v>
      </c>
      <c r="C715">
        <v>1</v>
      </c>
      <c r="D715" t="str">
        <v>Taylor, Mr. Elmer Zebley</v>
      </c>
      <c r="E715" t="str">
        <v>Hombre</v>
      </c>
      <c r="F715">
        <v>48</v>
      </c>
      <c r="G715">
        <v>1</v>
      </c>
      <c r="H715">
        <v>0</v>
      </c>
      <c r="I715">
        <v>52</v>
      </c>
      <c r="J715">
        <v>1</v>
      </c>
      <c r="K715" t="str">
        <v>Southampton</v>
      </c>
    </row>
    <row r="716" spans="2:11" x14ac:dyDescent="0.2">
      <c r="B716">
        <v>0</v>
      </c>
      <c r="C716">
        <v>3</v>
      </c>
      <c r="D716" t="str">
        <v>Larsson, Mr. August Viktor</v>
      </c>
      <c r="E716" t="str">
        <v>Hombre</v>
      </c>
      <c r="F716">
        <v>29</v>
      </c>
      <c r="G716">
        <v>0</v>
      </c>
      <c r="H716">
        <v>0</v>
      </c>
      <c r="I716">
        <v>94833</v>
      </c>
      <c r="J716">
        <v>0</v>
      </c>
      <c r="K716" t="str">
        <v>Southampton</v>
      </c>
    </row>
    <row r="717" spans="2:11" x14ac:dyDescent="0.2">
      <c r="B717">
        <v>0</v>
      </c>
      <c r="C717">
        <v>2</v>
      </c>
      <c r="D717" t="str">
        <v>Greenberg, Mr. Samuel</v>
      </c>
      <c r="E717" t="str">
        <v>Hombre</v>
      </c>
      <c r="F717">
        <v>52</v>
      </c>
      <c r="G717">
        <v>0</v>
      </c>
      <c r="H717">
        <v>0</v>
      </c>
      <c r="I717">
        <v>13</v>
      </c>
      <c r="J717">
        <v>0</v>
      </c>
      <c r="K717" t="str">
        <v>Southampton</v>
      </c>
    </row>
    <row r="718" spans="2:11" x14ac:dyDescent="0.2">
      <c r="B718">
        <v>0</v>
      </c>
      <c r="C718">
        <v>3</v>
      </c>
      <c r="D718" t="str">
        <v>Soholt, Mr. Peter Andreas Lauritz Andersen</v>
      </c>
      <c r="E718" t="str">
        <v>Hombre</v>
      </c>
      <c r="F718">
        <v>19</v>
      </c>
      <c r="G718">
        <v>0</v>
      </c>
      <c r="H718">
        <v>0</v>
      </c>
      <c r="I718">
        <v>765</v>
      </c>
      <c r="J718">
        <v>1</v>
      </c>
      <c r="K718" t="str">
        <v>Southampton</v>
      </c>
    </row>
    <row r="719" spans="2:11" x14ac:dyDescent="0.2">
      <c r="B719">
        <v>1</v>
      </c>
      <c r="C719">
        <v>1</v>
      </c>
      <c r="D719" t="str">
        <v>Endres, Miss. Caroline Louise</v>
      </c>
      <c r="E719" t="str">
        <v>Mujer</v>
      </c>
      <c r="F719">
        <v>38</v>
      </c>
      <c r="G719">
        <v>0</v>
      </c>
      <c r="H719">
        <v>0</v>
      </c>
      <c r="I719">
        <v>227525</v>
      </c>
      <c r="J719">
        <v>1</v>
      </c>
      <c r="K719" t="str">
        <v>Cherburg</v>
      </c>
    </row>
    <row r="720" spans="2:11" x14ac:dyDescent="0.2">
      <c r="B720">
        <v>1</v>
      </c>
      <c r="C720">
        <v>2</v>
      </c>
      <c r="D720" t="str">
        <v>Troutt, Miss. Edwina Celia "Winnie"</v>
      </c>
      <c r="E720" t="str">
        <v>Mujer</v>
      </c>
      <c r="F720">
        <v>27</v>
      </c>
      <c r="G720">
        <v>0</v>
      </c>
      <c r="H720">
        <v>0</v>
      </c>
      <c r="I720">
        <v>105</v>
      </c>
      <c r="J720">
        <v>1</v>
      </c>
      <c r="K720" t="str">
        <v>Southampton</v>
      </c>
    </row>
    <row r="721" spans="2:11" x14ac:dyDescent="0.2">
      <c r="B721">
        <v>0</v>
      </c>
      <c r="C721">
        <v>3</v>
      </c>
      <c r="D721" t="str">
        <v>McEvoy, Mr. Michael</v>
      </c>
      <c r="E721" t="str">
        <v>Hombre</v>
      </c>
      <c r="F721">
        <v>0</v>
      </c>
      <c r="G721">
        <v>0</v>
      </c>
      <c r="H721">
        <v>0</v>
      </c>
      <c r="I721">
        <v>155</v>
      </c>
      <c r="J721">
        <v>0</v>
      </c>
      <c r="K721" t="str">
        <v>Queenstown</v>
      </c>
    </row>
    <row r="722" spans="2:11" x14ac:dyDescent="0.2">
      <c r="B722">
        <v>0</v>
      </c>
      <c r="C722">
        <v>3</v>
      </c>
      <c r="D722" t="str">
        <v>Johnson, Mr. Malkolm Joackim</v>
      </c>
      <c r="E722" t="str">
        <v>Hombre</v>
      </c>
      <c r="F722">
        <v>33</v>
      </c>
      <c r="G722">
        <v>0</v>
      </c>
      <c r="H722">
        <v>0</v>
      </c>
      <c r="I722">
        <v>7775</v>
      </c>
      <c r="J722">
        <v>0</v>
      </c>
      <c r="K722" t="str">
        <v>Southampton</v>
      </c>
    </row>
    <row r="723" spans="2:11" x14ac:dyDescent="0.2">
      <c r="B723">
        <v>1</v>
      </c>
      <c r="C723">
        <v>2</v>
      </c>
      <c r="D723" t="str">
        <v>Harper, Miss. Annie Jessie "Nina"</v>
      </c>
      <c r="E723" t="str">
        <v>Mujer</v>
      </c>
      <c r="F723">
        <v>6</v>
      </c>
      <c r="G723">
        <v>0</v>
      </c>
      <c r="H723">
        <v>1</v>
      </c>
      <c r="I723">
        <v>33</v>
      </c>
      <c r="J723">
        <v>0</v>
      </c>
      <c r="K723" t="str">
        <v>Southampton</v>
      </c>
    </row>
    <row r="724" spans="2:11" x14ac:dyDescent="0.2">
      <c r="B724">
        <v>0</v>
      </c>
      <c r="C724">
        <v>3</v>
      </c>
      <c r="D724" t="str">
        <v>Jensen, Mr. Svend Lauritz</v>
      </c>
      <c r="E724" t="str">
        <v>Hombre</v>
      </c>
      <c r="F724">
        <v>17</v>
      </c>
      <c r="G724">
        <v>1</v>
      </c>
      <c r="H724">
        <v>0</v>
      </c>
      <c r="I724">
        <v>70542</v>
      </c>
      <c r="J724">
        <v>0</v>
      </c>
      <c r="K724" t="str">
        <v>Southampton</v>
      </c>
    </row>
    <row r="725" spans="2:11" x14ac:dyDescent="0.2">
      <c r="B725">
        <v>0</v>
      </c>
      <c r="C725">
        <v>2</v>
      </c>
      <c r="D725" t="str">
        <v>Gillespie, Mr. William Henry</v>
      </c>
      <c r="E725" t="str">
        <v>Hombre</v>
      </c>
      <c r="F725">
        <v>34</v>
      </c>
      <c r="G725">
        <v>0</v>
      </c>
      <c r="H725">
        <v>0</v>
      </c>
      <c r="I725">
        <v>13</v>
      </c>
      <c r="J725">
        <v>0</v>
      </c>
      <c r="K725" t="str">
        <v>Southampton</v>
      </c>
    </row>
    <row r="726" spans="2:11" x14ac:dyDescent="0.2">
      <c r="B726">
        <v>0</v>
      </c>
      <c r="C726">
        <v>2</v>
      </c>
      <c r="D726" t="str">
        <v>Hodges, Mr. Henry Price</v>
      </c>
      <c r="E726" t="str">
        <v>Hombre</v>
      </c>
      <c r="F726">
        <v>50</v>
      </c>
      <c r="G726">
        <v>0</v>
      </c>
      <c r="H726">
        <v>0</v>
      </c>
      <c r="I726">
        <v>13</v>
      </c>
      <c r="J726">
        <v>0</v>
      </c>
      <c r="K726" t="str">
        <v>Southampton</v>
      </c>
    </row>
    <row r="727" spans="2:11" x14ac:dyDescent="0.2">
      <c r="B727">
        <v>1</v>
      </c>
      <c r="C727">
        <v>1</v>
      </c>
      <c r="D727" t="str">
        <v>Chambers, Mr. Norman Campbell</v>
      </c>
      <c r="E727" t="str">
        <v>Hombre</v>
      </c>
      <c r="F727">
        <v>27</v>
      </c>
      <c r="G727">
        <v>1</v>
      </c>
      <c r="H727">
        <v>0</v>
      </c>
      <c r="I727">
        <v>531</v>
      </c>
      <c r="J727">
        <v>1</v>
      </c>
      <c r="K727" t="str">
        <v>Southampton</v>
      </c>
    </row>
    <row r="728" spans="2:11" x14ac:dyDescent="0.2">
      <c r="B728">
        <v>0</v>
      </c>
      <c r="C728">
        <v>3</v>
      </c>
      <c r="D728" t="str">
        <v>Oreskovic, Mr. Luka</v>
      </c>
      <c r="E728" t="str">
        <v>Hombre</v>
      </c>
      <c r="F728">
        <v>20</v>
      </c>
      <c r="G728">
        <v>0</v>
      </c>
      <c r="H728">
        <v>0</v>
      </c>
      <c r="I728">
        <v>86625</v>
      </c>
      <c r="J728">
        <v>0</v>
      </c>
      <c r="K728" t="str">
        <v>Southampton</v>
      </c>
    </row>
    <row r="729" spans="2:11" x14ac:dyDescent="0.2">
      <c r="B729">
        <v>1</v>
      </c>
      <c r="C729">
        <v>2</v>
      </c>
      <c r="D729" t="str">
        <v>Renouf, Mrs. Peter Henry (Lillian Jefferys)</v>
      </c>
      <c r="E729" t="str">
        <v>Mujer</v>
      </c>
      <c r="F729">
        <v>30</v>
      </c>
      <c r="G729">
        <v>3</v>
      </c>
      <c r="H729">
        <v>0</v>
      </c>
      <c r="I729">
        <v>21</v>
      </c>
      <c r="J729">
        <v>0</v>
      </c>
      <c r="K729" t="str">
        <v>Southampton</v>
      </c>
    </row>
    <row r="730" spans="2:11" x14ac:dyDescent="0.2">
      <c r="B730">
        <v>1</v>
      </c>
      <c r="C730">
        <v>3</v>
      </c>
      <c r="D730" t="str">
        <v>Mannion, Miss. Margareth</v>
      </c>
      <c r="E730" t="str">
        <v>Mujer</v>
      </c>
      <c r="F730">
        <v>0</v>
      </c>
      <c r="G730">
        <v>0</v>
      </c>
      <c r="H730">
        <v>0</v>
      </c>
      <c r="I730">
        <v>77375</v>
      </c>
      <c r="J730">
        <v>0</v>
      </c>
      <c r="K730" t="str">
        <v>Queenstown</v>
      </c>
    </row>
    <row r="731" spans="2:11" x14ac:dyDescent="0.2">
      <c r="B731">
        <v>0</v>
      </c>
      <c r="C731">
        <v>2</v>
      </c>
      <c r="D731" t="str">
        <v>Bryhl, Mr. Kurt Arnold Gottfrid</v>
      </c>
      <c r="E731" t="str">
        <v>Hombre</v>
      </c>
      <c r="F731">
        <v>25</v>
      </c>
      <c r="G731">
        <v>1</v>
      </c>
      <c r="H731">
        <v>0</v>
      </c>
      <c r="I731">
        <v>26</v>
      </c>
      <c r="J731">
        <v>0</v>
      </c>
      <c r="K731" t="str">
        <v>Southampton</v>
      </c>
    </row>
    <row r="732" spans="2:11" x14ac:dyDescent="0.2">
      <c r="B732">
        <v>0</v>
      </c>
      <c r="C732">
        <v>3</v>
      </c>
      <c r="D732" t="str">
        <v>Ilmakangas, Miss. Pieta Sofia</v>
      </c>
      <c r="E732" t="str">
        <v>Mujer</v>
      </c>
      <c r="F732">
        <v>25</v>
      </c>
      <c r="G732">
        <v>1</v>
      </c>
      <c r="H732">
        <v>0</v>
      </c>
      <c r="I732">
        <v>7925</v>
      </c>
      <c r="J732">
        <v>0</v>
      </c>
      <c r="K732" t="str">
        <v>Southampton</v>
      </c>
    </row>
    <row r="733" spans="2:11" x14ac:dyDescent="0.2">
      <c r="B733">
        <v>1</v>
      </c>
      <c r="C733">
        <v>1</v>
      </c>
      <c r="D733" t="str">
        <v>Allen, Miss. Elisabeth Walton</v>
      </c>
      <c r="E733" t="str">
        <v>Mujer</v>
      </c>
      <c r="F733">
        <v>29</v>
      </c>
      <c r="G733">
        <v>0</v>
      </c>
      <c r="H733">
        <v>0</v>
      </c>
      <c r="I733">
        <v>2113375</v>
      </c>
      <c r="J733">
        <v>1</v>
      </c>
      <c r="K733" t="str">
        <v>Southampton</v>
      </c>
    </row>
    <row r="734" spans="2:11" x14ac:dyDescent="0.2">
      <c r="B734">
        <v>0</v>
      </c>
      <c r="C734">
        <v>3</v>
      </c>
      <c r="D734" t="str">
        <v>Hassan, Mr. Houssein G N</v>
      </c>
      <c r="E734" t="str">
        <v>Hombre</v>
      </c>
      <c r="F734">
        <v>11</v>
      </c>
      <c r="G734">
        <v>0</v>
      </c>
      <c r="H734">
        <v>0</v>
      </c>
      <c r="I734">
        <v>187875</v>
      </c>
      <c r="J734">
        <v>0</v>
      </c>
      <c r="K734" t="str">
        <v>Cherburg</v>
      </c>
    </row>
    <row r="735" spans="2:11" x14ac:dyDescent="0.2">
      <c r="B735">
        <v>0</v>
      </c>
      <c r="C735">
        <v>2</v>
      </c>
      <c r="D735" t="str">
        <v>Knight, Mr. Robert J</v>
      </c>
      <c r="E735" t="str">
        <v>Hombre</v>
      </c>
      <c r="F735">
        <v>0</v>
      </c>
      <c r="G735">
        <v>0</v>
      </c>
      <c r="H735">
        <v>0</v>
      </c>
      <c r="I735">
        <v>0</v>
      </c>
      <c r="J735">
        <v>0</v>
      </c>
      <c r="K735" t="str">
        <v>Southampton</v>
      </c>
    </row>
    <row r="736" spans="2:11" x14ac:dyDescent="0.2">
      <c r="B736">
        <v>0</v>
      </c>
      <c r="C736">
        <v>2</v>
      </c>
      <c r="D736" t="str">
        <v>Berriman, Mr. William John</v>
      </c>
      <c r="E736" t="str">
        <v>Hombre</v>
      </c>
      <c r="F736">
        <v>23</v>
      </c>
      <c r="G736">
        <v>0</v>
      </c>
      <c r="H736">
        <v>0</v>
      </c>
      <c r="I736">
        <v>13</v>
      </c>
      <c r="J736">
        <v>0</v>
      </c>
      <c r="K736" t="str">
        <v>Southampton</v>
      </c>
    </row>
    <row r="737" spans="2:11" x14ac:dyDescent="0.2">
      <c r="B737">
        <v>0</v>
      </c>
      <c r="C737">
        <v>2</v>
      </c>
      <c r="D737" t="str">
        <v>Troupiansky, Mr. Moses Aaron</v>
      </c>
      <c r="E737" t="str">
        <v>Hombre</v>
      </c>
      <c r="F737">
        <v>23</v>
      </c>
      <c r="G737">
        <v>0</v>
      </c>
      <c r="H737">
        <v>0</v>
      </c>
      <c r="I737">
        <v>13</v>
      </c>
      <c r="J737">
        <v>0</v>
      </c>
      <c r="K737" t="str">
        <v>Southampton</v>
      </c>
    </row>
    <row r="738" spans="2:11" x14ac:dyDescent="0.2">
      <c r="B738">
        <v>0</v>
      </c>
      <c r="C738">
        <v>3</v>
      </c>
      <c r="D738" t="str">
        <v>Williams, Mr. Leslie</v>
      </c>
      <c r="E738" t="str">
        <v>Hombre</v>
      </c>
      <c r="F738">
        <v>285</v>
      </c>
      <c r="G738">
        <v>0</v>
      </c>
      <c r="H738">
        <v>0</v>
      </c>
      <c r="I738">
        <v>161</v>
      </c>
      <c r="J738">
        <v>0</v>
      </c>
      <c r="K738" t="str">
        <v>Southampton</v>
      </c>
    </row>
    <row r="739" spans="2:11" x14ac:dyDescent="0.2">
      <c r="B739">
        <v>0</v>
      </c>
      <c r="C739">
        <v>3</v>
      </c>
      <c r="D739" t="str">
        <v>Ford, Mrs. Edward (Margaret Ann Watson)</v>
      </c>
      <c r="E739" t="str">
        <v>Mujer</v>
      </c>
      <c r="F739">
        <v>48</v>
      </c>
      <c r="G739">
        <v>1</v>
      </c>
      <c r="H739">
        <v>3</v>
      </c>
      <c r="I739">
        <v>34375</v>
      </c>
      <c r="J739">
        <v>0</v>
      </c>
      <c r="K739" t="str">
        <v>Southampton</v>
      </c>
    </row>
    <row r="740" spans="2:11" x14ac:dyDescent="0.2">
      <c r="B740">
        <v>1</v>
      </c>
      <c r="C740">
        <v>1</v>
      </c>
      <c r="D740" t="str">
        <v>Lesurer, Mr. Gustave J</v>
      </c>
      <c r="E740" t="str">
        <v>Hombre</v>
      </c>
      <c r="F740">
        <v>35</v>
      </c>
      <c r="G740">
        <v>0</v>
      </c>
      <c r="H740">
        <v>0</v>
      </c>
      <c r="I740">
        <v>5123292</v>
      </c>
      <c r="J740">
        <v>1</v>
      </c>
      <c r="K740" t="str">
        <v>Cherburg</v>
      </c>
    </row>
    <row r="741" spans="2:11" x14ac:dyDescent="0.2">
      <c r="B741">
        <v>0</v>
      </c>
      <c r="C741">
        <v>3</v>
      </c>
      <c r="D741" t="str">
        <v>Ivanoff, Mr. Kanio</v>
      </c>
      <c r="E741" t="str">
        <v>Hombre</v>
      </c>
      <c r="F741">
        <v>0</v>
      </c>
      <c r="G741">
        <v>0</v>
      </c>
      <c r="H741">
        <v>0</v>
      </c>
      <c r="I741">
        <v>78958</v>
      </c>
      <c r="J741">
        <v>0</v>
      </c>
      <c r="K741" t="str">
        <v>Southampton</v>
      </c>
    </row>
    <row r="742" spans="2:11" x14ac:dyDescent="0.2">
      <c r="B742">
        <v>0</v>
      </c>
      <c r="C742">
        <v>3</v>
      </c>
      <c r="D742" t="str">
        <v>Nankoff, Mr. Minko</v>
      </c>
      <c r="E742" t="str">
        <v>Hombre</v>
      </c>
      <c r="F742">
        <v>0</v>
      </c>
      <c r="G742">
        <v>0</v>
      </c>
      <c r="H742">
        <v>0</v>
      </c>
      <c r="I742">
        <v>78958</v>
      </c>
      <c r="J742">
        <v>0</v>
      </c>
      <c r="K742" t="str">
        <v>Southampton</v>
      </c>
    </row>
    <row r="743" spans="2:11" x14ac:dyDescent="0.2">
      <c r="B743">
        <v>1</v>
      </c>
      <c r="C743">
        <v>1</v>
      </c>
      <c r="D743" t="str">
        <v>Hawksford, Mr. Walter James</v>
      </c>
      <c r="E743" t="str">
        <v>Hombre</v>
      </c>
      <c r="F743">
        <v>0</v>
      </c>
      <c r="G743">
        <v>0</v>
      </c>
      <c r="H743">
        <v>0</v>
      </c>
      <c r="I743">
        <v>30</v>
      </c>
      <c r="J743">
        <v>1</v>
      </c>
      <c r="K743" t="str">
        <v>Southampton</v>
      </c>
    </row>
    <row r="744" spans="2:11" x14ac:dyDescent="0.2">
      <c r="B744">
        <v>0</v>
      </c>
      <c r="C744">
        <v>1</v>
      </c>
      <c r="D744" t="str">
        <v>Cavendish, Mr. Tyrell William</v>
      </c>
      <c r="E744" t="str">
        <v>Hombre</v>
      </c>
      <c r="F744">
        <v>36</v>
      </c>
      <c r="G744">
        <v>1</v>
      </c>
      <c r="H744">
        <v>0</v>
      </c>
      <c r="I744">
        <v>7885</v>
      </c>
      <c r="J744">
        <v>1</v>
      </c>
      <c r="K744" t="str">
        <v>Southampton</v>
      </c>
    </row>
    <row r="745" spans="2:11" x14ac:dyDescent="0.2">
      <c r="B745">
        <v>1</v>
      </c>
      <c r="C745">
        <v>1</v>
      </c>
      <c r="D745" t="str">
        <v>Ryerson, Miss. Susan Parker "Suzette"</v>
      </c>
      <c r="E745" t="str">
        <v>Mujer</v>
      </c>
      <c r="F745">
        <v>21</v>
      </c>
      <c r="G745">
        <v>2</v>
      </c>
      <c r="H745">
        <v>2</v>
      </c>
      <c r="I745">
        <v>262375</v>
      </c>
      <c r="J745">
        <v>1</v>
      </c>
      <c r="K745" t="str">
        <v>Cherburg</v>
      </c>
    </row>
    <row r="746" spans="2:11" x14ac:dyDescent="0.2">
      <c r="B746">
        <v>0</v>
      </c>
      <c r="C746">
        <v>3</v>
      </c>
      <c r="D746" t="str">
        <v>McNamee, Mr. Neal</v>
      </c>
      <c r="E746" t="str">
        <v>Hombre</v>
      </c>
      <c r="F746">
        <v>24</v>
      </c>
      <c r="G746">
        <v>1</v>
      </c>
      <c r="H746">
        <v>0</v>
      </c>
      <c r="I746">
        <v>161</v>
      </c>
      <c r="J746">
        <v>0</v>
      </c>
      <c r="K746" t="str">
        <v>Southampton</v>
      </c>
    </row>
    <row r="747" spans="2:11" x14ac:dyDescent="0.2">
      <c r="B747">
        <v>1</v>
      </c>
      <c r="C747">
        <v>3</v>
      </c>
      <c r="D747" t="str">
        <v>Stranden, Mr. Juho</v>
      </c>
      <c r="E747" t="str">
        <v>Hombre</v>
      </c>
      <c r="F747">
        <v>31</v>
      </c>
      <c r="G747">
        <v>0</v>
      </c>
      <c r="H747">
        <v>0</v>
      </c>
      <c r="I747">
        <v>7925</v>
      </c>
      <c r="J747">
        <v>0</v>
      </c>
      <c r="K747" t="str">
        <v>Southampton</v>
      </c>
    </row>
    <row r="748" spans="2:11" x14ac:dyDescent="0.2">
      <c r="B748">
        <v>0</v>
      </c>
      <c r="C748">
        <v>1</v>
      </c>
      <c r="D748" t="str">
        <v>Crosby, Capt. Edward Gifford</v>
      </c>
      <c r="E748" t="str">
        <v>Hombre</v>
      </c>
      <c r="F748">
        <v>70</v>
      </c>
      <c r="G748">
        <v>1</v>
      </c>
      <c r="H748">
        <v>1</v>
      </c>
      <c r="I748">
        <v>71</v>
      </c>
      <c r="J748">
        <v>1</v>
      </c>
      <c r="K748" t="str">
        <v>Southampton</v>
      </c>
    </row>
    <row r="749" spans="2:11" x14ac:dyDescent="0.2">
      <c r="B749">
        <v>0</v>
      </c>
      <c r="C749">
        <v>3</v>
      </c>
      <c r="D749" t="str">
        <v>Abbott, Mr. Rossmore Edward</v>
      </c>
      <c r="E749" t="str">
        <v>Hombre</v>
      </c>
      <c r="F749">
        <v>16</v>
      </c>
      <c r="G749">
        <v>1</v>
      </c>
      <c r="H749">
        <v>1</v>
      </c>
      <c r="I749">
        <v>2025</v>
      </c>
      <c r="J749">
        <v>0</v>
      </c>
      <c r="K749" t="str">
        <v>Southampton</v>
      </c>
    </row>
    <row r="750" spans="2:11" x14ac:dyDescent="0.2">
      <c r="B750">
        <v>1</v>
      </c>
      <c r="C750">
        <v>2</v>
      </c>
      <c r="D750" t="str">
        <v>Sinkkonen, Miss. Anna</v>
      </c>
      <c r="E750" t="str">
        <v>Mujer</v>
      </c>
      <c r="F750">
        <v>30</v>
      </c>
      <c r="G750">
        <v>0</v>
      </c>
      <c r="H750">
        <v>0</v>
      </c>
      <c r="I750">
        <v>13</v>
      </c>
      <c r="J750">
        <v>0</v>
      </c>
      <c r="K750" t="str">
        <v>Southampton</v>
      </c>
    </row>
    <row r="751" spans="2:11" x14ac:dyDescent="0.2">
      <c r="B751">
        <v>0</v>
      </c>
      <c r="C751">
        <v>1</v>
      </c>
      <c r="D751" t="str">
        <v>Marvin, Mr. Daniel Warner</v>
      </c>
      <c r="E751" t="str">
        <v>Hombre</v>
      </c>
      <c r="F751">
        <v>19</v>
      </c>
      <c r="G751">
        <v>1</v>
      </c>
      <c r="H751">
        <v>0</v>
      </c>
      <c r="I751">
        <v>531</v>
      </c>
      <c r="J751">
        <v>1</v>
      </c>
      <c r="K751" t="str">
        <v>Southampton</v>
      </c>
    </row>
    <row r="752" spans="2:11" x14ac:dyDescent="0.2">
      <c r="B752">
        <v>0</v>
      </c>
      <c r="C752">
        <v>3</v>
      </c>
      <c r="D752" t="str">
        <v>Connaghton, Mr. Michael</v>
      </c>
      <c r="E752" t="str">
        <v>Hombre</v>
      </c>
      <c r="F752">
        <v>31</v>
      </c>
      <c r="G752">
        <v>0</v>
      </c>
      <c r="H752">
        <v>0</v>
      </c>
      <c r="I752">
        <v>775</v>
      </c>
      <c r="J752">
        <v>0</v>
      </c>
      <c r="K752" t="str">
        <v>Queenstown</v>
      </c>
    </row>
    <row r="753" spans="2:11" x14ac:dyDescent="0.2">
      <c r="B753">
        <v>1</v>
      </c>
      <c r="C753">
        <v>2</v>
      </c>
      <c r="D753" t="str">
        <v>Wells, Miss. Joan</v>
      </c>
      <c r="E753" t="str">
        <v>Mujer</v>
      </c>
      <c r="F753">
        <v>4</v>
      </c>
      <c r="G753">
        <v>1</v>
      </c>
      <c r="H753">
        <v>1</v>
      </c>
      <c r="I753">
        <v>23</v>
      </c>
      <c r="J753">
        <v>0</v>
      </c>
      <c r="K753" t="str">
        <v>Southampton</v>
      </c>
    </row>
    <row r="754" spans="2:11" x14ac:dyDescent="0.2">
      <c r="B754">
        <v>1</v>
      </c>
      <c r="C754">
        <v>3</v>
      </c>
      <c r="D754" t="str">
        <v>Moor, Master. Meier</v>
      </c>
      <c r="E754" t="str">
        <v>Hombre</v>
      </c>
      <c r="F754">
        <v>6</v>
      </c>
      <c r="G754">
        <v>0</v>
      </c>
      <c r="H754">
        <v>1</v>
      </c>
      <c r="I754">
        <v>12475</v>
      </c>
      <c r="J754">
        <v>1</v>
      </c>
      <c r="K754" t="str">
        <v>Southampton</v>
      </c>
    </row>
    <row r="755" spans="2:11" x14ac:dyDescent="0.2">
      <c r="B755">
        <v>0</v>
      </c>
      <c r="C755">
        <v>3</v>
      </c>
      <c r="D755" t="str">
        <v>Vande Velde, Mr. Johannes Joseph</v>
      </c>
      <c r="E755" t="str">
        <v>Hombre</v>
      </c>
      <c r="F755">
        <v>33</v>
      </c>
      <c r="G755">
        <v>0</v>
      </c>
      <c r="H755">
        <v>0</v>
      </c>
      <c r="I755">
        <v>95</v>
      </c>
      <c r="J755">
        <v>0</v>
      </c>
      <c r="K755" t="str">
        <v>Southampton</v>
      </c>
    </row>
    <row r="756" spans="2:11" x14ac:dyDescent="0.2">
      <c r="B756">
        <v>0</v>
      </c>
      <c r="C756">
        <v>3</v>
      </c>
      <c r="D756" t="str">
        <v>Jonkoff, Mr. Lalio</v>
      </c>
      <c r="E756" t="str">
        <v>Hombre</v>
      </c>
      <c r="F756">
        <v>23</v>
      </c>
      <c r="G756">
        <v>0</v>
      </c>
      <c r="H756">
        <v>0</v>
      </c>
      <c r="I756">
        <v>78958</v>
      </c>
      <c r="J756">
        <v>0</v>
      </c>
      <c r="K756" t="str">
        <v>Southampton</v>
      </c>
    </row>
    <row r="757" spans="2:11" x14ac:dyDescent="0.2">
      <c r="B757">
        <v>1</v>
      </c>
      <c r="C757">
        <v>2</v>
      </c>
      <c r="D757" t="str">
        <v>Herman, Mrs. Samuel (Jane Laver)</v>
      </c>
      <c r="E757" t="str">
        <v>Mujer</v>
      </c>
      <c r="F757">
        <v>48</v>
      </c>
      <c r="G757">
        <v>1</v>
      </c>
      <c r="H757">
        <v>2</v>
      </c>
      <c r="I757">
        <v>65</v>
      </c>
      <c r="J757">
        <v>0</v>
      </c>
      <c r="K757" t="str">
        <v>Southampton</v>
      </c>
    </row>
    <row r="758" spans="2:11" x14ac:dyDescent="0.2">
      <c r="B758">
        <v>1</v>
      </c>
      <c r="C758">
        <v>2</v>
      </c>
      <c r="D758" t="str">
        <v>Hamalainen, Master. Viljo</v>
      </c>
      <c r="E758" t="str">
        <v>Hombre</v>
      </c>
      <c r="F758">
        <v>67</v>
      </c>
      <c r="G758">
        <v>1</v>
      </c>
      <c r="H758">
        <v>1</v>
      </c>
      <c r="I758">
        <v>145</v>
      </c>
      <c r="J758">
        <v>0</v>
      </c>
      <c r="K758" t="str">
        <v>Southampton</v>
      </c>
    </row>
    <row r="759" spans="2:11" x14ac:dyDescent="0.2">
      <c r="B759">
        <v>0</v>
      </c>
      <c r="C759">
        <v>3</v>
      </c>
      <c r="D759" t="str">
        <v>Carlsson, Mr. August Sigfrid</v>
      </c>
      <c r="E759" t="str">
        <v>Hombre</v>
      </c>
      <c r="F759">
        <v>28</v>
      </c>
      <c r="G759">
        <v>0</v>
      </c>
      <c r="H759">
        <v>0</v>
      </c>
      <c r="I759">
        <v>77958</v>
      </c>
      <c r="J759">
        <v>0</v>
      </c>
      <c r="K759" t="str">
        <v>Southampton</v>
      </c>
    </row>
    <row r="760" spans="2:11" x14ac:dyDescent="0.2">
      <c r="B760">
        <v>0</v>
      </c>
      <c r="C760">
        <v>2</v>
      </c>
      <c r="D760" t="str">
        <v>Bailey, Mr. Percy Andrew</v>
      </c>
      <c r="E760" t="str">
        <v>Hombre</v>
      </c>
      <c r="F760">
        <v>18</v>
      </c>
      <c r="G760">
        <v>0</v>
      </c>
      <c r="H760">
        <v>0</v>
      </c>
      <c r="I760">
        <v>115</v>
      </c>
      <c r="J760">
        <v>0</v>
      </c>
      <c r="K760" t="str">
        <v>Southampton</v>
      </c>
    </row>
    <row r="761" spans="2:11" x14ac:dyDescent="0.2">
      <c r="B761">
        <v>0</v>
      </c>
      <c r="C761">
        <v>3</v>
      </c>
      <c r="D761" t="str">
        <v>Theobald, Mr. Thomas Leonard</v>
      </c>
      <c r="E761" t="str">
        <v>Hombre</v>
      </c>
      <c r="F761">
        <v>34</v>
      </c>
      <c r="G761">
        <v>0</v>
      </c>
      <c r="H761">
        <v>0</v>
      </c>
      <c r="I761">
        <v>805</v>
      </c>
      <c r="J761">
        <v>0</v>
      </c>
      <c r="K761" t="str">
        <v>Southampton</v>
      </c>
    </row>
    <row r="762" spans="2:11" x14ac:dyDescent="0.2">
      <c r="B762">
        <v>1</v>
      </c>
      <c r="C762">
        <v>1</v>
      </c>
      <c r="D762" t="str">
        <v>Rothes, the Countess. of (Lucy Noel Martha Dyer-Edwards)</v>
      </c>
      <c r="E762" t="str">
        <v>Mujer</v>
      </c>
      <c r="F762">
        <v>33</v>
      </c>
      <c r="G762">
        <v>0</v>
      </c>
      <c r="H762">
        <v>0</v>
      </c>
      <c r="I762">
        <v>865</v>
      </c>
      <c r="J762">
        <v>1</v>
      </c>
      <c r="K762" t="str">
        <v>Southampton</v>
      </c>
    </row>
    <row r="763" spans="2:11" x14ac:dyDescent="0.2">
      <c r="B763">
        <v>0</v>
      </c>
      <c r="C763">
        <v>3</v>
      </c>
      <c r="D763" t="str">
        <v>Garfirth, Mr. John</v>
      </c>
      <c r="E763" t="str">
        <v>Hombre</v>
      </c>
      <c r="F763">
        <v>0</v>
      </c>
      <c r="G763">
        <v>0</v>
      </c>
      <c r="H763">
        <v>0</v>
      </c>
      <c r="I763">
        <v>145</v>
      </c>
      <c r="J763">
        <v>0</v>
      </c>
      <c r="K763" t="str">
        <v>Southampton</v>
      </c>
    </row>
    <row r="764" spans="2:11" x14ac:dyDescent="0.2">
      <c r="B764">
        <v>0</v>
      </c>
      <c r="C764">
        <v>3</v>
      </c>
      <c r="D764" t="str">
        <v>Nirva, Mr. Iisakki Antino Aijo</v>
      </c>
      <c r="E764" t="str">
        <v>Hombre</v>
      </c>
      <c r="F764">
        <v>41</v>
      </c>
      <c r="G764">
        <v>0</v>
      </c>
      <c r="H764">
        <v>0</v>
      </c>
      <c r="I764">
        <v>7125</v>
      </c>
      <c r="J764">
        <v>0</v>
      </c>
      <c r="K764" t="str">
        <v>Southampton</v>
      </c>
    </row>
    <row r="765" spans="2:11" x14ac:dyDescent="0.2">
      <c r="B765">
        <v>1</v>
      </c>
      <c r="C765">
        <v>3</v>
      </c>
      <c r="D765" t="str">
        <v>Barah, Mr. Hanna Assi</v>
      </c>
      <c r="E765" t="str">
        <v>Hombre</v>
      </c>
      <c r="F765">
        <v>20</v>
      </c>
      <c r="G765">
        <v>0</v>
      </c>
      <c r="H765">
        <v>0</v>
      </c>
      <c r="I765">
        <v>72292</v>
      </c>
      <c r="J765">
        <v>0</v>
      </c>
      <c r="K765" t="str">
        <v>Cherburg</v>
      </c>
    </row>
    <row r="766" spans="2:11" x14ac:dyDescent="0.2">
      <c r="B766">
        <v>1</v>
      </c>
      <c r="C766">
        <v>1</v>
      </c>
      <c r="D766" t="str">
        <v>Carter, Mrs. William Ernest (Lucile Polk)</v>
      </c>
      <c r="E766" t="str">
        <v>Mujer</v>
      </c>
      <c r="F766">
        <v>36</v>
      </c>
      <c r="G766">
        <v>1</v>
      </c>
      <c r="H766">
        <v>2</v>
      </c>
      <c r="I766">
        <v>120</v>
      </c>
      <c r="J766">
        <v>1</v>
      </c>
      <c r="K766" t="str">
        <v>Southampton</v>
      </c>
    </row>
    <row r="767" spans="2:11" x14ac:dyDescent="0.2">
      <c r="B767">
        <v>0</v>
      </c>
      <c r="C767">
        <v>3</v>
      </c>
      <c r="D767" t="str">
        <v>Eklund, Mr. Hans Linus</v>
      </c>
      <c r="E767" t="str">
        <v>Hombre</v>
      </c>
      <c r="F767">
        <v>16</v>
      </c>
      <c r="G767">
        <v>0</v>
      </c>
      <c r="H767">
        <v>0</v>
      </c>
      <c r="I767">
        <v>7775</v>
      </c>
      <c r="J767">
        <v>0</v>
      </c>
      <c r="K767" t="str">
        <v>Southampton</v>
      </c>
    </row>
    <row r="768" spans="2:11" x14ac:dyDescent="0.2">
      <c r="B768">
        <v>1</v>
      </c>
      <c r="C768">
        <v>1</v>
      </c>
      <c r="D768" t="str">
        <v>Hogeboom, Mrs. John C (Anna Andrews)</v>
      </c>
      <c r="E768" t="str">
        <v>Mujer</v>
      </c>
      <c r="F768">
        <v>51</v>
      </c>
      <c r="G768">
        <v>1</v>
      </c>
      <c r="H768">
        <v>0</v>
      </c>
      <c r="I768">
        <v>779583</v>
      </c>
      <c r="J768">
        <v>1</v>
      </c>
      <c r="K768" t="str">
        <v>Southampton</v>
      </c>
    </row>
    <row r="769" spans="2:11" x14ac:dyDescent="0.2">
      <c r="B769">
        <v>0</v>
      </c>
      <c r="C769">
        <v>1</v>
      </c>
      <c r="D769" t="str">
        <v>Brewe, Dr. Arthur Jackson</v>
      </c>
      <c r="E769" t="str">
        <v>Hombre</v>
      </c>
      <c r="F769">
        <v>0</v>
      </c>
      <c r="G769">
        <v>0</v>
      </c>
      <c r="H769">
        <v>0</v>
      </c>
      <c r="I769">
        <v>396</v>
      </c>
      <c r="J769">
        <v>0</v>
      </c>
      <c r="K769" t="str">
        <v>Cherburg</v>
      </c>
    </row>
    <row r="770" spans="2:11" x14ac:dyDescent="0.2">
      <c r="B770">
        <v>0</v>
      </c>
      <c r="C770">
        <v>3</v>
      </c>
      <c r="D770" t="str">
        <v>Mangan, Miss. Mary</v>
      </c>
      <c r="E770" t="str">
        <v>Mujer</v>
      </c>
      <c r="F770">
        <v>305</v>
      </c>
      <c r="G770">
        <v>0</v>
      </c>
      <c r="H770">
        <v>0</v>
      </c>
      <c r="I770">
        <v>775</v>
      </c>
      <c r="J770">
        <v>0</v>
      </c>
      <c r="K770" t="str">
        <v>Queenstown</v>
      </c>
    </row>
    <row r="771" spans="2:11" x14ac:dyDescent="0.2">
      <c r="B771">
        <v>0</v>
      </c>
      <c r="C771">
        <v>3</v>
      </c>
      <c r="D771" t="str">
        <v>Moran, Mr. Daniel J</v>
      </c>
      <c r="E771" t="str">
        <v>Hombre</v>
      </c>
      <c r="F771">
        <v>0</v>
      </c>
      <c r="G771">
        <v>1</v>
      </c>
      <c r="H771">
        <v>0</v>
      </c>
      <c r="I771">
        <v>2415</v>
      </c>
      <c r="J771">
        <v>0</v>
      </c>
      <c r="K771" t="str">
        <v>Queenstown</v>
      </c>
    </row>
    <row r="772" spans="2:11" x14ac:dyDescent="0.2">
      <c r="B772">
        <v>0</v>
      </c>
      <c r="C772">
        <v>3</v>
      </c>
      <c r="D772" t="str">
        <v>Gronnestad, Mr. Daniel Danielsen</v>
      </c>
      <c r="E772" t="str">
        <v>Hombre</v>
      </c>
      <c r="F772">
        <v>32</v>
      </c>
      <c r="G772">
        <v>0</v>
      </c>
      <c r="H772">
        <v>0</v>
      </c>
      <c r="I772">
        <v>83625</v>
      </c>
      <c r="J772">
        <v>0</v>
      </c>
      <c r="K772" t="str">
        <v>Southampton</v>
      </c>
    </row>
    <row r="773" spans="2:11" x14ac:dyDescent="0.2">
      <c r="B773">
        <v>0</v>
      </c>
      <c r="C773">
        <v>3</v>
      </c>
      <c r="D773" t="str">
        <v>Lievens, Mr. Rene Aime</v>
      </c>
      <c r="E773" t="str">
        <v>Hombre</v>
      </c>
      <c r="F773">
        <v>24</v>
      </c>
      <c r="G773">
        <v>0</v>
      </c>
      <c r="H773">
        <v>0</v>
      </c>
      <c r="I773">
        <v>95</v>
      </c>
      <c r="J773">
        <v>0</v>
      </c>
      <c r="K773" t="str">
        <v>Southampton</v>
      </c>
    </row>
    <row r="774" spans="2:11" x14ac:dyDescent="0.2">
      <c r="B774">
        <v>0</v>
      </c>
      <c r="C774">
        <v>3</v>
      </c>
      <c r="D774" t="str">
        <v>Jensen, Mr. Niels Peder</v>
      </c>
      <c r="E774" t="str">
        <v>Hombre</v>
      </c>
      <c r="F774">
        <v>48</v>
      </c>
      <c r="G774">
        <v>0</v>
      </c>
      <c r="H774">
        <v>0</v>
      </c>
      <c r="I774">
        <v>78542</v>
      </c>
      <c r="J774">
        <v>0</v>
      </c>
      <c r="K774" t="str">
        <v>Southampton</v>
      </c>
    </row>
    <row r="775" spans="2:11" x14ac:dyDescent="0.2">
      <c r="B775">
        <v>0</v>
      </c>
      <c r="C775">
        <v>2</v>
      </c>
      <c r="D775" t="str">
        <v>Mack, Mrs. (Mary)</v>
      </c>
      <c r="E775" t="str">
        <v>Mujer</v>
      </c>
      <c r="F775">
        <v>57</v>
      </c>
      <c r="G775">
        <v>0</v>
      </c>
      <c r="H775">
        <v>0</v>
      </c>
      <c r="I775">
        <v>105</v>
      </c>
      <c r="J775">
        <v>1</v>
      </c>
      <c r="K775" t="str">
        <v>Southampton</v>
      </c>
    </row>
    <row r="776" spans="2:11" x14ac:dyDescent="0.2">
      <c r="B776">
        <v>0</v>
      </c>
      <c r="C776">
        <v>3</v>
      </c>
      <c r="D776" t="str">
        <v>Elias, Mr. Dibo</v>
      </c>
      <c r="E776" t="str">
        <v>Hombre</v>
      </c>
      <c r="F776">
        <v>0</v>
      </c>
      <c r="G776">
        <v>0</v>
      </c>
      <c r="H776">
        <v>0</v>
      </c>
      <c r="I776">
        <v>7225</v>
      </c>
      <c r="J776">
        <v>0</v>
      </c>
      <c r="K776" t="str">
        <v>Cherburg</v>
      </c>
    </row>
    <row r="777" spans="2:11" x14ac:dyDescent="0.2">
      <c r="B777">
        <v>1</v>
      </c>
      <c r="C777">
        <v>2</v>
      </c>
      <c r="D777" t="str">
        <v>Hocking, Mrs. Elizabeth (Eliza Needs)</v>
      </c>
      <c r="E777" t="str">
        <v>Mujer</v>
      </c>
      <c r="F777">
        <v>54</v>
      </c>
      <c r="G777">
        <v>1</v>
      </c>
      <c r="H777">
        <v>3</v>
      </c>
      <c r="I777">
        <v>23</v>
      </c>
      <c r="J777">
        <v>0</v>
      </c>
      <c r="K777" t="str">
        <v>Southampton</v>
      </c>
    </row>
    <row r="778" spans="2:11" x14ac:dyDescent="0.2">
      <c r="B778">
        <v>0</v>
      </c>
      <c r="C778">
        <v>3</v>
      </c>
      <c r="D778" t="str">
        <v>Myhrman, Mr. Pehr Fabian Oliver Malkolm</v>
      </c>
      <c r="E778" t="str">
        <v>Hombre</v>
      </c>
      <c r="F778">
        <v>18</v>
      </c>
      <c r="G778">
        <v>0</v>
      </c>
      <c r="H778">
        <v>0</v>
      </c>
      <c r="I778">
        <v>775</v>
      </c>
      <c r="J778">
        <v>0</v>
      </c>
      <c r="K778" t="str">
        <v>Southampton</v>
      </c>
    </row>
    <row r="779" spans="2:11" x14ac:dyDescent="0.2">
      <c r="B779">
        <v>0</v>
      </c>
      <c r="C779">
        <v>3</v>
      </c>
      <c r="D779" t="str">
        <v>Tobin, Mr. Roger</v>
      </c>
      <c r="E779" t="str">
        <v>Hombre</v>
      </c>
      <c r="F779">
        <v>0</v>
      </c>
      <c r="G779">
        <v>0</v>
      </c>
      <c r="H779">
        <v>0</v>
      </c>
      <c r="I779">
        <v>775</v>
      </c>
      <c r="J779">
        <v>1</v>
      </c>
      <c r="K779" t="str">
        <v>Queenstown</v>
      </c>
    </row>
    <row r="780" spans="2:11" x14ac:dyDescent="0.2">
      <c r="B780">
        <v>1</v>
      </c>
      <c r="C780">
        <v>3</v>
      </c>
      <c r="D780" t="str">
        <v>Emanuel, Miss. Virginia Ethel</v>
      </c>
      <c r="E780" t="str">
        <v>Mujer</v>
      </c>
      <c r="F780">
        <v>5</v>
      </c>
      <c r="G780">
        <v>0</v>
      </c>
      <c r="H780">
        <v>0</v>
      </c>
      <c r="I780">
        <v>12475</v>
      </c>
      <c r="J780">
        <v>0</v>
      </c>
      <c r="K780" t="str">
        <v>Southampton</v>
      </c>
    </row>
    <row r="781" spans="2:11" x14ac:dyDescent="0.2">
      <c r="B781">
        <v>0</v>
      </c>
      <c r="C781">
        <v>3</v>
      </c>
      <c r="D781" t="str">
        <v>Kilgannon, Mr. Thomas J</v>
      </c>
      <c r="E781" t="str">
        <v>Hombre</v>
      </c>
      <c r="F781">
        <v>0</v>
      </c>
      <c r="G781">
        <v>0</v>
      </c>
      <c r="H781">
        <v>0</v>
      </c>
      <c r="I781">
        <v>77375</v>
      </c>
      <c r="J781">
        <v>0</v>
      </c>
      <c r="K781" t="str">
        <v>Queenstown</v>
      </c>
    </row>
    <row r="782" spans="2:11" x14ac:dyDescent="0.2">
      <c r="B782">
        <v>1</v>
      </c>
      <c r="C782">
        <v>1</v>
      </c>
      <c r="D782" t="str">
        <v>Robert, Mrs. Edward Scott (Elisabeth Walton McMillan)</v>
      </c>
      <c r="E782" t="str">
        <v>Mujer</v>
      </c>
      <c r="F782">
        <v>43</v>
      </c>
      <c r="G782">
        <v>0</v>
      </c>
      <c r="H782">
        <v>1</v>
      </c>
      <c r="I782">
        <v>2113375</v>
      </c>
      <c r="J782">
        <v>1</v>
      </c>
      <c r="K782" t="str">
        <v>Southampton</v>
      </c>
    </row>
    <row r="783" spans="2:11" x14ac:dyDescent="0.2">
      <c r="B783">
        <v>1</v>
      </c>
      <c r="C783">
        <v>3</v>
      </c>
      <c r="D783" t="str">
        <v>Ayoub, Miss. Banoura</v>
      </c>
      <c r="E783" t="str">
        <v>Mujer</v>
      </c>
      <c r="F783">
        <v>13</v>
      </c>
      <c r="G783">
        <v>0</v>
      </c>
      <c r="H783">
        <v>0</v>
      </c>
      <c r="I783">
        <v>72292</v>
      </c>
      <c r="J783">
        <v>0</v>
      </c>
      <c r="K783" t="str">
        <v>Cherburg</v>
      </c>
    </row>
    <row r="784" spans="2:11" x14ac:dyDescent="0.2">
      <c r="B784">
        <v>1</v>
      </c>
      <c r="C784">
        <v>1</v>
      </c>
      <c r="D784" t="str">
        <v>Dick, Mrs. Albert Adrian (Vera Gillespie)</v>
      </c>
      <c r="E784" t="str">
        <v>Mujer</v>
      </c>
      <c r="F784">
        <v>17</v>
      </c>
      <c r="G784">
        <v>1</v>
      </c>
      <c r="H784">
        <v>0</v>
      </c>
      <c r="I784">
        <v>57</v>
      </c>
      <c r="J784">
        <v>1</v>
      </c>
      <c r="K784" t="str">
        <v>Southampton</v>
      </c>
    </row>
    <row r="785" spans="2:11" x14ac:dyDescent="0.2">
      <c r="B785">
        <v>0</v>
      </c>
      <c r="C785">
        <v>1</v>
      </c>
      <c r="D785" t="str">
        <v>Long, Mr. Milton Clyde</v>
      </c>
      <c r="E785" t="str">
        <v>Hombre</v>
      </c>
      <c r="F785">
        <v>29</v>
      </c>
      <c r="G785">
        <v>0</v>
      </c>
      <c r="H785">
        <v>0</v>
      </c>
      <c r="I785">
        <v>30</v>
      </c>
      <c r="J785">
        <v>1</v>
      </c>
      <c r="K785" t="str">
        <v>Southampton</v>
      </c>
    </row>
    <row r="786" spans="2:11" x14ac:dyDescent="0.2">
      <c r="B786">
        <v>0</v>
      </c>
      <c r="C786">
        <v>3</v>
      </c>
      <c r="D786" t="str">
        <v>Johnston, Mr. Andrew G</v>
      </c>
      <c r="E786" t="str">
        <v>Hombre</v>
      </c>
      <c r="F786">
        <v>0</v>
      </c>
      <c r="G786">
        <v>1</v>
      </c>
      <c r="H786">
        <v>2</v>
      </c>
      <c r="I786">
        <v>2345</v>
      </c>
      <c r="J786">
        <v>0</v>
      </c>
      <c r="K786" t="str">
        <v>Southampton</v>
      </c>
    </row>
    <row r="787" spans="2:11" x14ac:dyDescent="0.2">
      <c r="B787">
        <v>0</v>
      </c>
      <c r="C787">
        <v>3</v>
      </c>
      <c r="D787" t="str">
        <v>Ali, Mr. William</v>
      </c>
      <c r="E787" t="str">
        <v>Hombre</v>
      </c>
      <c r="F787">
        <v>25</v>
      </c>
      <c r="G787">
        <v>0</v>
      </c>
      <c r="H787">
        <v>0</v>
      </c>
      <c r="I787">
        <v>705</v>
      </c>
      <c r="J787">
        <v>0</v>
      </c>
      <c r="K787" t="str">
        <v>Southampton</v>
      </c>
    </row>
    <row r="788" spans="2:11" x14ac:dyDescent="0.2">
      <c r="B788">
        <v>0</v>
      </c>
      <c r="C788">
        <v>3</v>
      </c>
      <c r="D788" t="str">
        <v>Harmer, Mr. Abraham (David Lishin)</v>
      </c>
      <c r="E788" t="str">
        <v>Hombre</v>
      </c>
      <c r="F788">
        <v>25</v>
      </c>
      <c r="G788">
        <v>0</v>
      </c>
      <c r="H788">
        <v>0</v>
      </c>
      <c r="I788">
        <v>725</v>
      </c>
      <c r="J788">
        <v>0</v>
      </c>
      <c r="K788" t="str">
        <v>Southampton</v>
      </c>
    </row>
    <row r="789" spans="2:11" x14ac:dyDescent="0.2">
      <c r="B789">
        <v>1</v>
      </c>
      <c r="C789">
        <v>3</v>
      </c>
      <c r="D789" t="str">
        <v>Sjoblom, Miss. Anna Sofia</v>
      </c>
      <c r="E789" t="str">
        <v>Mujer</v>
      </c>
      <c r="F789">
        <v>18</v>
      </c>
      <c r="G789">
        <v>0</v>
      </c>
      <c r="H789">
        <v>0</v>
      </c>
      <c r="I789">
        <v>74958</v>
      </c>
      <c r="J789">
        <v>0</v>
      </c>
      <c r="K789" t="str">
        <v>Southampton</v>
      </c>
    </row>
    <row r="790" spans="2:11" x14ac:dyDescent="0.2">
      <c r="B790">
        <v>0</v>
      </c>
      <c r="C790">
        <v>3</v>
      </c>
      <c r="D790" t="str">
        <v>Rice, Master. George Hugh</v>
      </c>
      <c r="E790" t="str">
        <v>Hombre</v>
      </c>
      <c r="F790">
        <v>8</v>
      </c>
      <c r="G790">
        <v>4</v>
      </c>
      <c r="H790">
        <v>1</v>
      </c>
      <c r="I790">
        <v>29125</v>
      </c>
      <c r="J790">
        <v>0</v>
      </c>
      <c r="K790" t="str">
        <v>Queenstown</v>
      </c>
    </row>
    <row r="791" spans="2:11" x14ac:dyDescent="0.2">
      <c r="B791">
        <v>1</v>
      </c>
      <c r="C791">
        <v>3</v>
      </c>
      <c r="D791" t="str">
        <v>Dean, Master. Bertram Vere</v>
      </c>
      <c r="E791" t="str">
        <v>Hombre</v>
      </c>
      <c r="F791">
        <v>1</v>
      </c>
      <c r="G791">
        <v>1</v>
      </c>
      <c r="H791">
        <v>2</v>
      </c>
      <c r="I791">
        <v>20575</v>
      </c>
      <c r="J791">
        <v>0</v>
      </c>
      <c r="K791" t="str">
        <v>Southampton</v>
      </c>
    </row>
    <row r="792" spans="2:11" x14ac:dyDescent="0.2">
      <c r="B792">
        <v>0</v>
      </c>
      <c r="C792">
        <v>1</v>
      </c>
      <c r="D792" t="str">
        <v>Guggenheim, Mr. Benjamin</v>
      </c>
      <c r="E792" t="str">
        <v>Hombre</v>
      </c>
      <c r="F792">
        <v>46</v>
      </c>
      <c r="G792">
        <v>0</v>
      </c>
      <c r="H792">
        <v>0</v>
      </c>
      <c r="I792">
        <v>792</v>
      </c>
      <c r="J792">
        <v>1</v>
      </c>
      <c r="K792" t="str">
        <v>Cherburg</v>
      </c>
    </row>
    <row r="793" spans="2:11" x14ac:dyDescent="0.2">
      <c r="B793">
        <v>0</v>
      </c>
      <c r="C793">
        <v>3</v>
      </c>
      <c r="D793" t="str">
        <v>Keane, Mr. Andrew "Andy"</v>
      </c>
      <c r="E793" t="str">
        <v>Hombre</v>
      </c>
      <c r="F793">
        <v>0</v>
      </c>
      <c r="G793">
        <v>0</v>
      </c>
      <c r="H793">
        <v>0</v>
      </c>
      <c r="I793">
        <v>775</v>
      </c>
      <c r="J793">
        <v>0</v>
      </c>
      <c r="K793" t="str">
        <v>Queenstown</v>
      </c>
    </row>
    <row r="794" spans="2:11" x14ac:dyDescent="0.2">
      <c r="B794">
        <v>0</v>
      </c>
      <c r="C794">
        <v>2</v>
      </c>
      <c r="D794" t="str">
        <v>Gaskell, Mr. Alfred</v>
      </c>
      <c r="E794" t="str">
        <v>Hombre</v>
      </c>
      <c r="F794">
        <v>16</v>
      </c>
      <c r="G794">
        <v>0</v>
      </c>
      <c r="H794">
        <v>0</v>
      </c>
      <c r="I794">
        <v>26</v>
      </c>
      <c r="J794">
        <v>0</v>
      </c>
      <c r="K794" t="str">
        <v>Southampton</v>
      </c>
    </row>
    <row r="795" spans="2:11" x14ac:dyDescent="0.2">
      <c r="B795">
        <v>0</v>
      </c>
      <c r="C795">
        <v>3</v>
      </c>
      <c r="D795" t="str">
        <v>Sage, Miss. Stella Anna</v>
      </c>
      <c r="E795" t="str">
        <v>Mujer</v>
      </c>
      <c r="F795">
        <v>0</v>
      </c>
      <c r="G795">
        <v>8</v>
      </c>
      <c r="H795">
        <v>2</v>
      </c>
      <c r="I795">
        <v>6955</v>
      </c>
      <c r="J795">
        <v>0</v>
      </c>
      <c r="K795" t="str">
        <v>Southampton</v>
      </c>
    </row>
    <row r="796" spans="2:11" x14ac:dyDescent="0.2">
      <c r="B796">
        <v>0</v>
      </c>
      <c r="C796">
        <v>1</v>
      </c>
      <c r="D796" t="str">
        <v>Hoyt, Mr. William Fisher</v>
      </c>
      <c r="E796" t="str">
        <v>Hombre</v>
      </c>
      <c r="F796">
        <v>0</v>
      </c>
      <c r="G796">
        <v>0</v>
      </c>
      <c r="H796">
        <v>0</v>
      </c>
      <c r="I796">
        <v>306958</v>
      </c>
      <c r="J796">
        <v>0</v>
      </c>
      <c r="K796" t="str">
        <v>Cherburg</v>
      </c>
    </row>
    <row r="797" spans="2:11" x14ac:dyDescent="0.2">
      <c r="B797">
        <v>0</v>
      </c>
      <c r="C797">
        <v>3</v>
      </c>
      <c r="D797" t="str">
        <v>Dantcheff, Mr. Ristiu</v>
      </c>
      <c r="E797" t="str">
        <v>Hombre</v>
      </c>
      <c r="F797">
        <v>25</v>
      </c>
      <c r="G797">
        <v>0</v>
      </c>
      <c r="H797">
        <v>0</v>
      </c>
      <c r="I797">
        <v>78958</v>
      </c>
      <c r="J797">
        <v>0</v>
      </c>
      <c r="K797" t="str">
        <v>Southampton</v>
      </c>
    </row>
    <row r="798" spans="2:11" x14ac:dyDescent="0.2">
      <c r="B798">
        <v>0</v>
      </c>
      <c r="C798">
        <v>2</v>
      </c>
      <c r="D798" t="str">
        <v>Otter, Mr. Richard</v>
      </c>
      <c r="E798" t="str">
        <v>Hombre</v>
      </c>
      <c r="F798">
        <v>39</v>
      </c>
      <c r="G798">
        <v>0</v>
      </c>
      <c r="H798">
        <v>0</v>
      </c>
      <c r="I798">
        <v>13</v>
      </c>
      <c r="J798">
        <v>0</v>
      </c>
      <c r="K798" t="str">
        <v>Southampton</v>
      </c>
    </row>
    <row r="799" spans="2:11" x14ac:dyDescent="0.2">
      <c r="B799">
        <v>1</v>
      </c>
      <c r="C799">
        <v>1</v>
      </c>
      <c r="D799" t="str">
        <v>Leader, Dr. Alice (Farnham)</v>
      </c>
      <c r="E799" t="str">
        <v>Mujer</v>
      </c>
      <c r="F799">
        <v>49</v>
      </c>
      <c r="G799">
        <v>0</v>
      </c>
      <c r="H799">
        <v>0</v>
      </c>
      <c r="I799">
        <v>259292</v>
      </c>
      <c r="J799">
        <v>1</v>
      </c>
      <c r="K799" t="str">
        <v>Southampton</v>
      </c>
    </row>
    <row r="800" spans="2:11" x14ac:dyDescent="0.2">
      <c r="B800">
        <v>1</v>
      </c>
      <c r="C800">
        <v>3</v>
      </c>
      <c r="D800" t="str">
        <v>Osman, Mrs. Mara</v>
      </c>
      <c r="E800" t="str">
        <v>Mujer</v>
      </c>
      <c r="F800">
        <v>31</v>
      </c>
      <c r="G800">
        <v>0</v>
      </c>
      <c r="H800">
        <v>0</v>
      </c>
      <c r="I800">
        <v>86833</v>
      </c>
      <c r="J800">
        <v>0</v>
      </c>
      <c r="K800" t="str">
        <v>Southampton</v>
      </c>
    </row>
    <row r="801" spans="2:11" x14ac:dyDescent="0.2">
      <c r="B801">
        <v>0</v>
      </c>
      <c r="C801">
        <v>3</v>
      </c>
      <c r="D801" t="str">
        <v>Ibrahim Shawah, Mr. Yousseff</v>
      </c>
      <c r="E801" t="str">
        <v>Hombre</v>
      </c>
      <c r="F801">
        <v>30</v>
      </c>
      <c r="G801">
        <v>0</v>
      </c>
      <c r="H801">
        <v>0</v>
      </c>
      <c r="I801">
        <v>72292</v>
      </c>
      <c r="J801">
        <v>0</v>
      </c>
      <c r="K801" t="str">
        <v>Cherburg</v>
      </c>
    </row>
    <row r="802" spans="2:11" x14ac:dyDescent="0.2">
      <c r="B802">
        <v>0</v>
      </c>
      <c r="C802">
        <v>3</v>
      </c>
      <c r="D802" t="str">
        <v>Van Impe, Mrs. Jean Baptiste (Rosalie Paula Govaert)</v>
      </c>
      <c r="E802" t="str">
        <v>Mujer</v>
      </c>
      <c r="F802">
        <v>30</v>
      </c>
      <c r="G802">
        <v>1</v>
      </c>
      <c r="H802">
        <v>1</v>
      </c>
      <c r="I802">
        <v>2415</v>
      </c>
      <c r="J802">
        <v>0</v>
      </c>
      <c r="K802" t="str">
        <v>Southampton</v>
      </c>
    </row>
    <row r="803" spans="2:11" x14ac:dyDescent="0.2">
      <c r="B803">
        <v>0</v>
      </c>
      <c r="C803">
        <v>2</v>
      </c>
      <c r="D803" t="str">
        <v>Ponesell, Mr. Martin</v>
      </c>
      <c r="E803" t="str">
        <v>Hombre</v>
      </c>
      <c r="F803">
        <v>34</v>
      </c>
      <c r="G803">
        <v>0</v>
      </c>
      <c r="H803">
        <v>0</v>
      </c>
      <c r="I803">
        <v>13</v>
      </c>
      <c r="J803">
        <v>0</v>
      </c>
      <c r="K803" t="str">
        <v>Southampton</v>
      </c>
    </row>
    <row r="804" spans="2:11" x14ac:dyDescent="0.2">
      <c r="B804">
        <v>1</v>
      </c>
      <c r="C804">
        <v>2</v>
      </c>
      <c r="D804" t="str">
        <v>Collyer, Mrs. Harvey (Charlotte Annie Tate)</v>
      </c>
      <c r="E804" t="str">
        <v>Mujer</v>
      </c>
      <c r="F804">
        <v>31</v>
      </c>
      <c r="G804">
        <v>1</v>
      </c>
      <c r="H804">
        <v>1</v>
      </c>
      <c r="I804">
        <v>2625</v>
      </c>
      <c r="J804">
        <v>0</v>
      </c>
      <c r="K804" t="str">
        <v>Southampton</v>
      </c>
    </row>
    <row r="805" spans="2:11" x14ac:dyDescent="0.2">
      <c r="B805">
        <v>1</v>
      </c>
      <c r="C805">
        <v>1</v>
      </c>
      <c r="D805" t="str">
        <v>Carter, Master. William Thornton II</v>
      </c>
      <c r="E805" t="str">
        <v>Hombre</v>
      </c>
      <c r="F805">
        <v>11</v>
      </c>
      <c r="G805">
        <v>1</v>
      </c>
      <c r="H805">
        <v>2</v>
      </c>
      <c r="I805">
        <v>120</v>
      </c>
      <c r="J805">
        <v>1</v>
      </c>
      <c r="K805" t="str">
        <v>Southampton</v>
      </c>
    </row>
    <row r="806" spans="2:11" x14ac:dyDescent="0.2">
      <c r="B806">
        <v>1</v>
      </c>
      <c r="C806">
        <v>3</v>
      </c>
      <c r="D806" t="str">
        <v>Thomas, Master. Assad Alexander</v>
      </c>
      <c r="E806" t="str">
        <v>Hombre</v>
      </c>
      <c r="F806">
        <v>42</v>
      </c>
      <c r="G806">
        <v>0</v>
      </c>
      <c r="H806">
        <v>1</v>
      </c>
      <c r="I806">
        <v>85167</v>
      </c>
      <c r="J806">
        <v>0</v>
      </c>
      <c r="K806" t="str">
        <v>Cherburg</v>
      </c>
    </row>
    <row r="807" spans="2:11" x14ac:dyDescent="0.2">
      <c r="B807">
        <v>1</v>
      </c>
      <c r="C807">
        <v>3</v>
      </c>
      <c r="D807" t="str">
        <v>Hedman, Mr. Oskar Arvid</v>
      </c>
      <c r="E807" t="str">
        <v>Hombre</v>
      </c>
      <c r="F807">
        <v>27</v>
      </c>
      <c r="G807">
        <v>0</v>
      </c>
      <c r="H807">
        <v>0</v>
      </c>
      <c r="I807">
        <v>6975</v>
      </c>
      <c r="J807">
        <v>0</v>
      </c>
      <c r="K807" t="str">
        <v>Southampton</v>
      </c>
    </row>
    <row r="808" spans="2:11" x14ac:dyDescent="0.2">
      <c r="B808">
        <v>0</v>
      </c>
      <c r="C808">
        <v>3</v>
      </c>
      <c r="D808" t="str">
        <v>Johansson, Mr. Karl Johan</v>
      </c>
      <c r="E808" t="str">
        <v>Hombre</v>
      </c>
      <c r="F808">
        <v>31</v>
      </c>
      <c r="G808">
        <v>0</v>
      </c>
      <c r="H808">
        <v>0</v>
      </c>
      <c r="I808">
        <v>7775</v>
      </c>
      <c r="J808">
        <v>0</v>
      </c>
      <c r="K808" t="str">
        <v>Southampton</v>
      </c>
    </row>
    <row r="809" spans="2:11" x14ac:dyDescent="0.2">
      <c r="B809">
        <v>0</v>
      </c>
      <c r="C809">
        <v>1</v>
      </c>
      <c r="D809" t="str">
        <v>Andrews, Mr. Thomas Jr</v>
      </c>
      <c r="E809" t="str">
        <v>Hombre</v>
      </c>
      <c r="F809">
        <v>39</v>
      </c>
      <c r="G809">
        <v>0</v>
      </c>
      <c r="H809">
        <v>0</v>
      </c>
      <c r="I809">
        <v>0</v>
      </c>
      <c r="J809">
        <v>1</v>
      </c>
      <c r="K809" t="str">
        <v>Southampton</v>
      </c>
    </row>
    <row r="810" spans="2:11" x14ac:dyDescent="0.2">
      <c r="B810">
        <v>0</v>
      </c>
      <c r="C810">
        <v>3</v>
      </c>
      <c r="D810" t="str">
        <v>Pettersson, Miss. Ellen Natalia</v>
      </c>
      <c r="E810" t="str">
        <v>Mujer</v>
      </c>
      <c r="F810">
        <v>18</v>
      </c>
      <c r="G810">
        <v>0</v>
      </c>
      <c r="H810">
        <v>0</v>
      </c>
      <c r="I810">
        <v>7775</v>
      </c>
      <c r="J810">
        <v>0</v>
      </c>
      <c r="K810" t="str">
        <v>Southampton</v>
      </c>
    </row>
    <row r="811" spans="2:11" x14ac:dyDescent="0.2">
      <c r="B811">
        <v>0</v>
      </c>
      <c r="C811">
        <v>2</v>
      </c>
      <c r="D811" t="str">
        <v>Meyer, Mr. August</v>
      </c>
      <c r="E811" t="str">
        <v>Hombre</v>
      </c>
      <c r="F811">
        <v>39</v>
      </c>
      <c r="G811">
        <v>0</v>
      </c>
      <c r="H811">
        <v>0</v>
      </c>
      <c r="I811">
        <v>13</v>
      </c>
      <c r="J811">
        <v>0</v>
      </c>
      <c r="K811" t="str">
        <v>Southampton</v>
      </c>
    </row>
    <row r="812" spans="2:11" x14ac:dyDescent="0.2">
      <c r="B812">
        <v>1</v>
      </c>
      <c r="C812">
        <v>1</v>
      </c>
      <c r="D812" t="str">
        <v>Chambers, Mrs. Norman Campbell (Bertha Griggs)</v>
      </c>
      <c r="E812" t="str">
        <v>Mujer</v>
      </c>
      <c r="F812">
        <v>33</v>
      </c>
      <c r="G812">
        <v>1</v>
      </c>
      <c r="H812">
        <v>0</v>
      </c>
      <c r="I812">
        <v>531</v>
      </c>
      <c r="J812">
        <v>1</v>
      </c>
      <c r="K812" t="str">
        <v>Southampton</v>
      </c>
    </row>
    <row r="813" spans="2:11" x14ac:dyDescent="0.2">
      <c r="B813">
        <v>0</v>
      </c>
      <c r="C813">
        <v>3</v>
      </c>
      <c r="D813" t="str">
        <v>Alexander, Mr. William</v>
      </c>
      <c r="E813" t="str">
        <v>Hombre</v>
      </c>
      <c r="F813">
        <v>26</v>
      </c>
      <c r="G813">
        <v>0</v>
      </c>
      <c r="H813">
        <v>0</v>
      </c>
      <c r="I813">
        <v>78875</v>
      </c>
      <c r="J813">
        <v>0</v>
      </c>
      <c r="K813" t="str">
        <v>Southampton</v>
      </c>
    </row>
    <row r="814" spans="2:11" x14ac:dyDescent="0.2">
      <c r="B814">
        <v>0</v>
      </c>
      <c r="C814">
        <v>3</v>
      </c>
      <c r="D814" t="str">
        <v>Lester, Mr. James</v>
      </c>
      <c r="E814" t="str">
        <v>Hombre</v>
      </c>
      <c r="F814">
        <v>39</v>
      </c>
      <c r="G814">
        <v>0</v>
      </c>
      <c r="H814">
        <v>0</v>
      </c>
      <c r="I814">
        <v>2415</v>
      </c>
      <c r="J814">
        <v>0</v>
      </c>
      <c r="K814" t="str">
        <v>Southampton</v>
      </c>
    </row>
    <row r="815" spans="2:11" x14ac:dyDescent="0.2">
      <c r="B815">
        <v>0</v>
      </c>
      <c r="C815">
        <v>2</v>
      </c>
      <c r="D815" t="str">
        <v>Slemen, Mr. Richard James</v>
      </c>
      <c r="E815" t="str">
        <v>Hombre</v>
      </c>
      <c r="F815">
        <v>35</v>
      </c>
      <c r="G815">
        <v>0</v>
      </c>
      <c r="H815">
        <v>0</v>
      </c>
      <c r="I815">
        <v>105</v>
      </c>
      <c r="J815">
        <v>0</v>
      </c>
      <c r="K815" t="str">
        <v>Southampton</v>
      </c>
    </row>
    <row r="816" spans="2:11" x14ac:dyDescent="0.2">
      <c r="B816">
        <v>0</v>
      </c>
      <c r="C816">
        <v>3</v>
      </c>
      <c r="D816" t="str">
        <v>Andersson, Miss. Ebba Iris Alfrida</v>
      </c>
      <c r="E816" t="str">
        <v>Mujer</v>
      </c>
      <c r="F816">
        <v>6</v>
      </c>
      <c r="G816">
        <v>4</v>
      </c>
      <c r="H816">
        <v>2</v>
      </c>
      <c r="I816">
        <v>31275</v>
      </c>
      <c r="J816">
        <v>0</v>
      </c>
      <c r="K816" t="str">
        <v>Southampton</v>
      </c>
    </row>
    <row r="817" spans="2:11" x14ac:dyDescent="0.2">
      <c r="B817">
        <v>0</v>
      </c>
      <c r="C817">
        <v>3</v>
      </c>
      <c r="D817" t="str">
        <v>Tomlin, Mr. Ernest Portage</v>
      </c>
      <c r="E817" t="str">
        <v>Hombre</v>
      </c>
      <c r="F817">
        <v>305</v>
      </c>
      <c r="G817">
        <v>0</v>
      </c>
      <c r="H817">
        <v>0</v>
      </c>
      <c r="I817">
        <v>805</v>
      </c>
      <c r="J817">
        <v>0</v>
      </c>
      <c r="K817" t="str">
        <v>Southampton</v>
      </c>
    </row>
    <row r="818" spans="2:11" x14ac:dyDescent="0.2">
      <c r="B818">
        <v>0</v>
      </c>
      <c r="C818">
        <v>1</v>
      </c>
      <c r="D818" t="str">
        <v>Fry, Mr. Richard</v>
      </c>
      <c r="E818" t="str">
        <v>Hombre</v>
      </c>
      <c r="F818">
        <v>0</v>
      </c>
      <c r="G818">
        <v>0</v>
      </c>
      <c r="H818">
        <v>0</v>
      </c>
      <c r="I818">
        <v>0</v>
      </c>
      <c r="J818">
        <v>1</v>
      </c>
      <c r="K818" t="str">
        <v>Southampton</v>
      </c>
    </row>
    <row r="819" spans="2:11" x14ac:dyDescent="0.2">
      <c r="B819">
        <v>0</v>
      </c>
      <c r="C819">
        <v>3</v>
      </c>
      <c r="D819" t="str">
        <v>Heininen, Miss. Wendla Maria</v>
      </c>
      <c r="E819" t="str">
        <v>Mujer</v>
      </c>
      <c r="F819">
        <v>23</v>
      </c>
      <c r="G819">
        <v>0</v>
      </c>
      <c r="H819">
        <v>0</v>
      </c>
      <c r="I819">
        <v>7925</v>
      </c>
      <c r="J819">
        <v>0</v>
      </c>
      <c r="K819" t="str">
        <v>Southampton</v>
      </c>
    </row>
    <row r="820" spans="2:11" x14ac:dyDescent="0.2">
      <c r="B820">
        <v>0</v>
      </c>
      <c r="C820">
        <v>2</v>
      </c>
      <c r="D820" t="str">
        <v>Mallet, Mr. Albert</v>
      </c>
      <c r="E820" t="str">
        <v>Hombre</v>
      </c>
      <c r="F820">
        <v>31</v>
      </c>
      <c r="G820">
        <v>1</v>
      </c>
      <c r="H820">
        <v>1</v>
      </c>
      <c r="I820">
        <v>370042</v>
      </c>
      <c r="J820">
        <v>0</v>
      </c>
      <c r="K820" t="str">
        <v>Cherburg</v>
      </c>
    </row>
    <row r="821" spans="2:11" x14ac:dyDescent="0.2">
      <c r="B821">
        <v>0</v>
      </c>
      <c r="C821">
        <v>3</v>
      </c>
      <c r="D821" t="str">
        <v>Holm, Mr. John Fredrik Alexander</v>
      </c>
      <c r="E821" t="str">
        <v>Hombre</v>
      </c>
      <c r="F821">
        <v>43</v>
      </c>
      <c r="G821">
        <v>0</v>
      </c>
      <c r="H821">
        <v>0</v>
      </c>
      <c r="I821">
        <v>645</v>
      </c>
      <c r="J821">
        <v>0</v>
      </c>
      <c r="K821" t="str">
        <v>Southampton</v>
      </c>
    </row>
    <row r="822" spans="2:11" x14ac:dyDescent="0.2">
      <c r="B822">
        <v>0</v>
      </c>
      <c r="C822">
        <v>3</v>
      </c>
      <c r="D822" t="str">
        <v>Skoog, Master. Karl Thorsten</v>
      </c>
      <c r="E822" t="str">
        <v>Hombre</v>
      </c>
      <c r="F822">
        <v>10</v>
      </c>
      <c r="G822">
        <v>3</v>
      </c>
      <c r="H822">
        <v>2</v>
      </c>
      <c r="I822">
        <v>279</v>
      </c>
      <c r="J822">
        <v>0</v>
      </c>
      <c r="K822" t="str">
        <v>Southampton</v>
      </c>
    </row>
    <row r="823" spans="2:11" x14ac:dyDescent="0.2">
      <c r="B823">
        <v>1</v>
      </c>
      <c r="C823">
        <v>1</v>
      </c>
      <c r="D823" t="str">
        <v>Hays, Mrs. Charles Melville (Clara Jennings Gregg)</v>
      </c>
      <c r="E823" t="str">
        <v>Mujer</v>
      </c>
      <c r="F823">
        <v>52</v>
      </c>
      <c r="G823">
        <v>1</v>
      </c>
      <c r="H823">
        <v>1</v>
      </c>
      <c r="I823">
        <v>935</v>
      </c>
      <c r="J823">
        <v>1</v>
      </c>
      <c r="K823" t="str">
        <v>Southampton</v>
      </c>
    </row>
    <row r="824" spans="2:11" x14ac:dyDescent="0.2">
      <c r="B824">
        <v>1</v>
      </c>
      <c r="C824">
        <v>3</v>
      </c>
      <c r="D824" t="str">
        <v>Lulic, Mr. Nikola</v>
      </c>
      <c r="E824" t="str">
        <v>Hombre</v>
      </c>
      <c r="F824">
        <v>27</v>
      </c>
      <c r="G824">
        <v>0</v>
      </c>
      <c r="H824">
        <v>0</v>
      </c>
      <c r="I824">
        <v>86625</v>
      </c>
      <c r="J824">
        <v>0</v>
      </c>
      <c r="K824" t="str">
        <v>Southampton</v>
      </c>
    </row>
    <row r="825" spans="2:11" x14ac:dyDescent="0.2">
      <c r="B825">
        <v>0</v>
      </c>
      <c r="C825">
        <v>1</v>
      </c>
      <c r="D825" t="str">
        <v>Reuchlin, Jonkheer. John George</v>
      </c>
      <c r="E825" t="str">
        <v>Hombre</v>
      </c>
      <c r="F825">
        <v>38</v>
      </c>
      <c r="G825">
        <v>0</v>
      </c>
      <c r="H825">
        <v>0</v>
      </c>
      <c r="I825">
        <v>0</v>
      </c>
      <c r="J825">
        <v>0</v>
      </c>
      <c r="K825" t="str">
        <v>Southampton</v>
      </c>
    </row>
    <row r="826" spans="2:11" x14ac:dyDescent="0.2">
      <c r="B826">
        <v>1</v>
      </c>
      <c r="C826">
        <v>3</v>
      </c>
      <c r="D826" t="str">
        <v>Moor, Mrs. (Beila)</v>
      </c>
      <c r="E826" t="str">
        <v>Mujer</v>
      </c>
      <c r="F826">
        <v>27</v>
      </c>
      <c r="G826">
        <v>0</v>
      </c>
      <c r="H826">
        <v>1</v>
      </c>
      <c r="I826">
        <v>12475</v>
      </c>
      <c r="J826">
        <v>1</v>
      </c>
      <c r="K826" t="str">
        <v>Southampton</v>
      </c>
    </row>
    <row r="827" spans="2:11" x14ac:dyDescent="0.2">
      <c r="B827">
        <v>0</v>
      </c>
      <c r="C827">
        <v>3</v>
      </c>
      <c r="D827" t="str">
        <v>Panula, Master. Urho Abraham</v>
      </c>
      <c r="E827" t="str">
        <v>Hombre</v>
      </c>
      <c r="F827">
        <v>2</v>
      </c>
      <c r="G827">
        <v>4</v>
      </c>
      <c r="H827">
        <v>1</v>
      </c>
      <c r="I827">
        <v>396875</v>
      </c>
      <c r="J827">
        <v>0</v>
      </c>
      <c r="K827" t="str">
        <v>Southampton</v>
      </c>
    </row>
    <row r="828" spans="2:11" x14ac:dyDescent="0.2">
      <c r="B828">
        <v>0</v>
      </c>
      <c r="C828">
        <v>3</v>
      </c>
      <c r="D828" t="str">
        <v>Flynn, Mr. John</v>
      </c>
      <c r="E828" t="str">
        <v>Hombre</v>
      </c>
      <c r="F828">
        <v>0</v>
      </c>
      <c r="G828">
        <v>0</v>
      </c>
      <c r="H828">
        <v>0</v>
      </c>
      <c r="I828">
        <v>695</v>
      </c>
      <c r="J828">
        <v>0</v>
      </c>
      <c r="K828" t="str">
        <v>Queenstown</v>
      </c>
    </row>
    <row r="829" spans="2:11" x14ac:dyDescent="0.2">
      <c r="B829">
        <v>0</v>
      </c>
      <c r="C829">
        <v>3</v>
      </c>
      <c r="D829" t="str">
        <v>Lam, Mr. Len</v>
      </c>
      <c r="E829" t="str">
        <v>Hombre</v>
      </c>
      <c r="F829">
        <v>0</v>
      </c>
      <c r="G829">
        <v>0</v>
      </c>
      <c r="H829">
        <v>0</v>
      </c>
      <c r="I829">
        <v>564958</v>
      </c>
      <c r="J829">
        <v>0</v>
      </c>
      <c r="K829" t="str">
        <v>Southampton</v>
      </c>
    </row>
    <row r="830" spans="2:11" x14ac:dyDescent="0.2">
      <c r="B830">
        <v>1</v>
      </c>
      <c r="C830">
        <v>2</v>
      </c>
      <c r="D830" t="str">
        <v>Mallet, Master. Andre</v>
      </c>
      <c r="E830" t="str">
        <v>Hombre</v>
      </c>
      <c r="F830">
        <v>1</v>
      </c>
      <c r="G830">
        <v>0</v>
      </c>
      <c r="H830">
        <v>2</v>
      </c>
      <c r="I830">
        <v>370042</v>
      </c>
      <c r="J830">
        <v>0</v>
      </c>
      <c r="K830" t="str">
        <v>Cherburg</v>
      </c>
    </row>
    <row r="831" spans="2:11" x14ac:dyDescent="0.2">
      <c r="B831">
        <v>1</v>
      </c>
      <c r="C831">
        <v>3</v>
      </c>
      <c r="D831" t="str">
        <v>McCormack, Mr. Thomas Joseph</v>
      </c>
      <c r="E831" t="str">
        <v>Hombre</v>
      </c>
      <c r="F831">
        <v>0</v>
      </c>
      <c r="G831">
        <v>0</v>
      </c>
      <c r="H831">
        <v>0</v>
      </c>
      <c r="I831">
        <v>775</v>
      </c>
      <c r="J831">
        <v>0</v>
      </c>
      <c r="K831" t="str">
        <v>Queenstown</v>
      </c>
    </row>
    <row r="832" spans="2:11" x14ac:dyDescent="0.2">
      <c r="B832">
        <v>1</v>
      </c>
      <c r="C832">
        <v>1</v>
      </c>
      <c r="D832" t="str">
        <v>Stone, Mrs. George Nelson (Martha Evelyn)</v>
      </c>
      <c r="E832" t="str">
        <v>Mujer</v>
      </c>
      <c r="F832">
        <v>62</v>
      </c>
      <c r="G832">
        <v>0</v>
      </c>
      <c r="H832">
        <v>0</v>
      </c>
      <c r="I832">
        <v>80</v>
      </c>
      <c r="J832">
        <v>1</v>
      </c>
      <c r="K832">
        <v>0</v>
      </c>
    </row>
    <row r="833" spans="2:11" x14ac:dyDescent="0.2">
      <c r="B833">
        <v>1</v>
      </c>
      <c r="C833">
        <v>3</v>
      </c>
      <c r="D833" t="str">
        <v>Yasbeck, Mrs. Antoni (Selini Alexander)</v>
      </c>
      <c r="E833" t="str">
        <v>Mujer</v>
      </c>
      <c r="F833">
        <v>15</v>
      </c>
      <c r="G833">
        <v>1</v>
      </c>
      <c r="H833">
        <v>0</v>
      </c>
      <c r="I833">
        <v>144542</v>
      </c>
      <c r="J833">
        <v>0</v>
      </c>
      <c r="K833" t="str">
        <v>Cherburg</v>
      </c>
    </row>
    <row r="834" spans="2:11" x14ac:dyDescent="0.2">
      <c r="B834">
        <v>1</v>
      </c>
      <c r="C834">
        <v>2</v>
      </c>
      <c r="D834" t="str">
        <v>Richards, Master. George Sibley</v>
      </c>
      <c r="E834" t="str">
        <v>Hombre</v>
      </c>
      <c r="F834">
        <v>83</v>
      </c>
      <c r="G834">
        <v>1</v>
      </c>
      <c r="H834">
        <v>1</v>
      </c>
      <c r="I834">
        <v>1875</v>
      </c>
      <c r="J834">
        <v>0</v>
      </c>
      <c r="K834" t="str">
        <v>Southampton</v>
      </c>
    </row>
    <row r="835" spans="2:11" x14ac:dyDescent="0.2">
      <c r="B835">
        <v>0</v>
      </c>
      <c r="C835">
        <v>3</v>
      </c>
      <c r="D835" t="str">
        <v>Saad, Mr. Amin</v>
      </c>
      <c r="E835" t="str">
        <v>Hombre</v>
      </c>
      <c r="F835">
        <v>0</v>
      </c>
      <c r="G835">
        <v>0</v>
      </c>
      <c r="H835">
        <v>0</v>
      </c>
      <c r="I835">
        <v>72292</v>
      </c>
      <c r="J835">
        <v>0</v>
      </c>
      <c r="K835" t="str">
        <v>Cherburg</v>
      </c>
    </row>
    <row r="836" spans="2:11" x14ac:dyDescent="0.2">
      <c r="B836">
        <v>0</v>
      </c>
      <c r="C836">
        <v>3</v>
      </c>
      <c r="D836" t="str">
        <v>Augustsson, Mr. Albert</v>
      </c>
      <c r="E836" t="str">
        <v>Hombre</v>
      </c>
      <c r="F836">
        <v>23</v>
      </c>
      <c r="G836">
        <v>0</v>
      </c>
      <c r="H836">
        <v>0</v>
      </c>
      <c r="I836">
        <v>78542</v>
      </c>
      <c r="J836">
        <v>0</v>
      </c>
      <c r="K836" t="str">
        <v>Southampton</v>
      </c>
    </row>
    <row r="837" spans="2:11" x14ac:dyDescent="0.2">
      <c r="B837">
        <v>0</v>
      </c>
      <c r="C837">
        <v>3</v>
      </c>
      <c r="D837" t="str">
        <v>Allum, Mr. Owen George</v>
      </c>
      <c r="E837" t="str">
        <v>Hombre</v>
      </c>
      <c r="F837">
        <v>18</v>
      </c>
      <c r="G837">
        <v>0</v>
      </c>
      <c r="H837">
        <v>0</v>
      </c>
      <c r="I837">
        <v>83</v>
      </c>
      <c r="J837">
        <v>0</v>
      </c>
      <c r="K837" t="str">
        <v>Southampton</v>
      </c>
    </row>
    <row r="838" spans="2:11" x14ac:dyDescent="0.2">
      <c r="B838">
        <v>1</v>
      </c>
      <c r="C838">
        <v>1</v>
      </c>
      <c r="D838" t="str">
        <v>Compton, Miss. Sara Rebecca</v>
      </c>
      <c r="E838" t="str">
        <v>Mujer</v>
      </c>
      <c r="F838">
        <v>39</v>
      </c>
      <c r="G838">
        <v>1</v>
      </c>
      <c r="H838">
        <v>1</v>
      </c>
      <c r="I838">
        <v>831583</v>
      </c>
      <c r="J838">
        <v>1</v>
      </c>
      <c r="K838" t="str">
        <v>Cherburg</v>
      </c>
    </row>
    <row r="839" spans="2:11" x14ac:dyDescent="0.2">
      <c r="B839">
        <v>0</v>
      </c>
      <c r="C839">
        <v>3</v>
      </c>
      <c r="D839" t="str">
        <v>Pasic, Mr. Jakob</v>
      </c>
      <c r="E839" t="str">
        <v>Hombre</v>
      </c>
      <c r="F839">
        <v>21</v>
      </c>
      <c r="G839">
        <v>0</v>
      </c>
      <c r="H839">
        <v>0</v>
      </c>
      <c r="I839">
        <v>86625</v>
      </c>
      <c r="J839">
        <v>0</v>
      </c>
      <c r="K839" t="str">
        <v>Southampton</v>
      </c>
    </row>
    <row r="840" spans="2:11" x14ac:dyDescent="0.2">
      <c r="B840">
        <v>0</v>
      </c>
      <c r="C840">
        <v>3</v>
      </c>
      <c r="D840" t="str">
        <v>Sirota, Mr. Maurice</v>
      </c>
      <c r="E840" t="str">
        <v>Hombre</v>
      </c>
      <c r="F840">
        <v>0</v>
      </c>
      <c r="G840">
        <v>0</v>
      </c>
      <c r="H840">
        <v>0</v>
      </c>
      <c r="I840">
        <v>805</v>
      </c>
      <c r="J840">
        <v>0</v>
      </c>
      <c r="K840" t="str">
        <v>Southampton</v>
      </c>
    </row>
    <row r="841" spans="2:11" x14ac:dyDescent="0.2">
      <c r="B841">
        <v>1</v>
      </c>
      <c r="C841">
        <v>3</v>
      </c>
      <c r="D841" t="str">
        <v>Chip, Mr. Chang</v>
      </c>
      <c r="E841" t="str">
        <v>Hombre</v>
      </c>
      <c r="F841">
        <v>32</v>
      </c>
      <c r="G841">
        <v>0</v>
      </c>
      <c r="H841">
        <v>0</v>
      </c>
      <c r="I841">
        <v>564958</v>
      </c>
      <c r="J841">
        <v>0</v>
      </c>
      <c r="K841" t="str">
        <v>Southampton</v>
      </c>
    </row>
    <row r="842" spans="2:11" x14ac:dyDescent="0.2">
      <c r="B842">
        <v>1</v>
      </c>
      <c r="C842">
        <v>1</v>
      </c>
      <c r="D842" t="str">
        <v>Marechal, Mr. Pierre</v>
      </c>
      <c r="E842" t="str">
        <v>Hombre</v>
      </c>
      <c r="F842">
        <v>0</v>
      </c>
      <c r="G842">
        <v>0</v>
      </c>
      <c r="H842">
        <v>0</v>
      </c>
      <c r="I842">
        <v>297</v>
      </c>
      <c r="J842">
        <v>1</v>
      </c>
      <c r="K842" t="str">
        <v>Cherburg</v>
      </c>
    </row>
    <row r="843" spans="2:11" x14ac:dyDescent="0.2">
      <c r="B843">
        <v>0</v>
      </c>
      <c r="C843">
        <v>3</v>
      </c>
      <c r="D843" t="str">
        <v>Alhomaki, Mr. Ilmari Rudolf</v>
      </c>
      <c r="E843" t="str">
        <v>Hombre</v>
      </c>
      <c r="F843">
        <v>20</v>
      </c>
      <c r="G843">
        <v>0</v>
      </c>
      <c r="H843">
        <v>0</v>
      </c>
      <c r="I843">
        <v>7925</v>
      </c>
      <c r="J843">
        <v>0</v>
      </c>
      <c r="K843" t="str">
        <v>Southampton</v>
      </c>
    </row>
    <row r="844" spans="2:11" x14ac:dyDescent="0.2">
      <c r="B844">
        <v>0</v>
      </c>
      <c r="C844">
        <v>2</v>
      </c>
      <c r="D844" t="str">
        <v>Mudd, Mr. Thomas Charles</v>
      </c>
      <c r="E844" t="str">
        <v>Hombre</v>
      </c>
      <c r="F844">
        <v>16</v>
      </c>
      <c r="G844">
        <v>0</v>
      </c>
      <c r="H844">
        <v>0</v>
      </c>
      <c r="I844">
        <v>105</v>
      </c>
      <c r="J844">
        <v>0</v>
      </c>
      <c r="K844" t="str">
        <v>Southampton</v>
      </c>
    </row>
    <row r="845" spans="2:11" x14ac:dyDescent="0.2">
      <c r="B845">
        <v>1</v>
      </c>
      <c r="C845">
        <v>1</v>
      </c>
      <c r="D845" t="str">
        <v>Serepeca, Miss. Augusta</v>
      </c>
      <c r="E845" t="str">
        <v>Mujer</v>
      </c>
      <c r="F845">
        <v>30</v>
      </c>
      <c r="G845">
        <v>0</v>
      </c>
      <c r="H845">
        <v>0</v>
      </c>
      <c r="I845">
        <v>31</v>
      </c>
      <c r="J845">
        <v>0</v>
      </c>
      <c r="K845" t="str">
        <v>Cherburg</v>
      </c>
    </row>
    <row r="846" spans="2:11" x14ac:dyDescent="0.2">
      <c r="B846">
        <v>0</v>
      </c>
      <c r="C846">
        <v>3</v>
      </c>
      <c r="D846" t="str">
        <v>Lemberopolous, Mr. Peter L</v>
      </c>
      <c r="E846" t="str">
        <v>Hombre</v>
      </c>
      <c r="F846">
        <v>345</v>
      </c>
      <c r="G846">
        <v>0</v>
      </c>
      <c r="H846">
        <v>0</v>
      </c>
      <c r="I846">
        <v>64375</v>
      </c>
      <c r="J846">
        <v>0</v>
      </c>
      <c r="K846" t="str">
        <v>Cherburg</v>
      </c>
    </row>
    <row r="847" spans="2:11" x14ac:dyDescent="0.2">
      <c r="B847">
        <v>0</v>
      </c>
      <c r="C847">
        <v>3</v>
      </c>
      <c r="D847" t="str">
        <v>Culumovic, Mr. Jeso</v>
      </c>
      <c r="E847" t="str">
        <v>Hombre</v>
      </c>
      <c r="F847">
        <v>17</v>
      </c>
      <c r="G847">
        <v>0</v>
      </c>
      <c r="H847">
        <v>0</v>
      </c>
      <c r="I847">
        <v>86625</v>
      </c>
      <c r="J847">
        <v>0</v>
      </c>
      <c r="K847" t="str">
        <v>Southampton</v>
      </c>
    </row>
    <row r="848" spans="2:11" x14ac:dyDescent="0.2">
      <c r="B848">
        <v>0</v>
      </c>
      <c r="C848">
        <v>3</v>
      </c>
      <c r="D848" t="str">
        <v>Abbing, Mr. Anthony</v>
      </c>
      <c r="E848" t="str">
        <v>Hombre</v>
      </c>
      <c r="F848">
        <v>42</v>
      </c>
      <c r="G848">
        <v>0</v>
      </c>
      <c r="H848">
        <v>0</v>
      </c>
      <c r="I848">
        <v>755</v>
      </c>
      <c r="J848">
        <v>0</v>
      </c>
      <c r="K848" t="str">
        <v>Southampton</v>
      </c>
    </row>
    <row r="849" spans="2:11" x14ac:dyDescent="0.2">
      <c r="B849">
        <v>0</v>
      </c>
      <c r="C849">
        <v>3</v>
      </c>
      <c r="D849" t="str">
        <v>Sage, Mr. Douglas Bullen</v>
      </c>
      <c r="E849" t="str">
        <v>Hombre</v>
      </c>
      <c r="F849">
        <v>0</v>
      </c>
      <c r="G849">
        <v>8</v>
      </c>
      <c r="H849">
        <v>2</v>
      </c>
      <c r="I849">
        <v>6955</v>
      </c>
      <c r="J849">
        <v>0</v>
      </c>
      <c r="K849" t="str">
        <v>Southampton</v>
      </c>
    </row>
    <row r="850" spans="2:11" x14ac:dyDescent="0.2">
      <c r="B850">
        <v>0</v>
      </c>
      <c r="C850">
        <v>3</v>
      </c>
      <c r="D850" t="str">
        <v>Markoff, Mr. Marin</v>
      </c>
      <c r="E850" t="str">
        <v>Hombre</v>
      </c>
      <c r="F850">
        <v>35</v>
      </c>
      <c r="G850">
        <v>0</v>
      </c>
      <c r="H850">
        <v>0</v>
      </c>
      <c r="I850">
        <v>78958</v>
      </c>
      <c r="J850">
        <v>0</v>
      </c>
      <c r="K850" t="str">
        <v>Cherburg</v>
      </c>
    </row>
    <row r="851" spans="2:11" x14ac:dyDescent="0.2">
      <c r="B851">
        <v>0</v>
      </c>
      <c r="C851">
        <v>2</v>
      </c>
      <c r="D851" t="str">
        <v>Harper, Rev. John</v>
      </c>
      <c r="E851" t="str">
        <v>Hombre</v>
      </c>
      <c r="F851">
        <v>28</v>
      </c>
      <c r="G851">
        <v>0</v>
      </c>
      <c r="H851">
        <v>1</v>
      </c>
      <c r="I851">
        <v>33</v>
      </c>
      <c r="J851">
        <v>0</v>
      </c>
      <c r="K851" t="str">
        <v>Southampton</v>
      </c>
    </row>
    <row r="852" spans="2:11" x14ac:dyDescent="0.2">
      <c r="B852">
        <v>1</v>
      </c>
      <c r="C852">
        <v>1</v>
      </c>
      <c r="D852" t="str">
        <v>Goldenberg, Mrs. Samuel L (Edwiga Grabowska)</v>
      </c>
      <c r="E852" t="str">
        <v>Mujer</v>
      </c>
      <c r="F852">
        <v>0</v>
      </c>
      <c r="G852">
        <v>1</v>
      </c>
      <c r="H852">
        <v>0</v>
      </c>
      <c r="I852">
        <v>891042</v>
      </c>
      <c r="J852">
        <v>1</v>
      </c>
      <c r="K852" t="str">
        <v>Cherburg</v>
      </c>
    </row>
    <row r="853" spans="2:11" x14ac:dyDescent="0.2">
      <c r="B853">
        <v>0</v>
      </c>
      <c r="C853">
        <v>3</v>
      </c>
      <c r="D853" t="str">
        <v>Andersson, Master. Sigvard Harald Elias</v>
      </c>
      <c r="E853" t="str">
        <v>Hombre</v>
      </c>
      <c r="F853">
        <v>4</v>
      </c>
      <c r="G853">
        <v>4</v>
      </c>
      <c r="H853">
        <v>2</v>
      </c>
      <c r="I853">
        <v>31275</v>
      </c>
      <c r="J853">
        <v>0</v>
      </c>
      <c r="K853" t="str">
        <v>Southampton</v>
      </c>
    </row>
    <row r="854" spans="2:11" x14ac:dyDescent="0.2">
      <c r="B854">
        <v>0</v>
      </c>
      <c r="C854">
        <v>3</v>
      </c>
      <c r="D854" t="str">
        <v>Svensson, Mr. Johan</v>
      </c>
      <c r="E854" t="str">
        <v>Hombre</v>
      </c>
      <c r="F854">
        <v>74</v>
      </c>
      <c r="G854">
        <v>0</v>
      </c>
      <c r="H854">
        <v>0</v>
      </c>
      <c r="I854">
        <v>7775</v>
      </c>
      <c r="J854">
        <v>0</v>
      </c>
      <c r="K854" t="str">
        <v>Southampton</v>
      </c>
    </row>
    <row r="855" spans="2:11" x14ac:dyDescent="0.2">
      <c r="B855">
        <v>0</v>
      </c>
      <c r="C855">
        <v>3</v>
      </c>
      <c r="D855" t="str">
        <v>Boulos, Miss. Nourelain</v>
      </c>
      <c r="E855" t="str">
        <v>Mujer</v>
      </c>
      <c r="F855">
        <v>9</v>
      </c>
      <c r="G855">
        <v>1</v>
      </c>
      <c r="H855">
        <v>1</v>
      </c>
      <c r="I855">
        <v>152458</v>
      </c>
      <c r="J855">
        <v>0</v>
      </c>
      <c r="K855" t="str">
        <v>Cherburg</v>
      </c>
    </row>
    <row r="856" spans="2:11" x14ac:dyDescent="0.2">
      <c r="B856">
        <v>1</v>
      </c>
      <c r="C856">
        <v>1</v>
      </c>
      <c r="D856" t="str">
        <v>Lines, Miss. Mary Conover</v>
      </c>
      <c r="E856" t="str">
        <v>Mujer</v>
      </c>
      <c r="F856">
        <v>16</v>
      </c>
      <c r="G856">
        <v>0</v>
      </c>
      <c r="H856">
        <v>1</v>
      </c>
      <c r="I856">
        <v>394</v>
      </c>
      <c r="J856">
        <v>1</v>
      </c>
      <c r="K856" t="str">
        <v>Southampton</v>
      </c>
    </row>
    <row r="857" spans="2:11" x14ac:dyDescent="0.2">
      <c r="B857">
        <v>0</v>
      </c>
      <c r="C857">
        <v>2</v>
      </c>
      <c r="D857" t="str">
        <v>Carter, Mrs. Ernest Courtenay (Lilian Hughes)</v>
      </c>
      <c r="E857" t="str">
        <v>Mujer</v>
      </c>
      <c r="F857">
        <v>44</v>
      </c>
      <c r="G857">
        <v>1</v>
      </c>
      <c r="H857">
        <v>0</v>
      </c>
      <c r="I857">
        <v>26</v>
      </c>
      <c r="J857">
        <v>0</v>
      </c>
      <c r="K857" t="str">
        <v>Southampton</v>
      </c>
    </row>
    <row r="858" spans="2:11" x14ac:dyDescent="0.2">
      <c r="B858">
        <v>1</v>
      </c>
      <c r="C858">
        <v>3</v>
      </c>
      <c r="D858" t="str">
        <v>Aks, Mrs. Sam (Leah Rosen)</v>
      </c>
      <c r="E858" t="str">
        <v>Mujer</v>
      </c>
      <c r="F858">
        <v>18</v>
      </c>
      <c r="G858">
        <v>0</v>
      </c>
      <c r="H858">
        <v>1</v>
      </c>
      <c r="I858">
        <v>935</v>
      </c>
      <c r="J858">
        <v>0</v>
      </c>
      <c r="K858" t="str">
        <v>Southampton</v>
      </c>
    </row>
    <row r="859" spans="2:11" x14ac:dyDescent="0.2">
      <c r="B859">
        <v>1</v>
      </c>
      <c r="C859">
        <v>1</v>
      </c>
      <c r="D859" t="str">
        <v>Wick, Mrs. George Dennick (Mary Hitchcock)</v>
      </c>
      <c r="E859" t="str">
        <v>Mujer</v>
      </c>
      <c r="F859">
        <v>45</v>
      </c>
      <c r="G859">
        <v>1</v>
      </c>
      <c r="H859">
        <v>1</v>
      </c>
      <c r="I859">
        <v>1648667</v>
      </c>
      <c r="J859">
        <v>0</v>
      </c>
      <c r="K859" t="str">
        <v>Southampton</v>
      </c>
    </row>
    <row r="860" spans="2:11" x14ac:dyDescent="0.2">
      <c r="B860">
        <v>1</v>
      </c>
      <c r="C860">
        <v>1</v>
      </c>
      <c r="D860" t="str">
        <v>Daly, Mr. Peter Denis </v>
      </c>
      <c r="E860" t="str">
        <v>Hombre</v>
      </c>
      <c r="F860">
        <v>51</v>
      </c>
      <c r="G860">
        <v>0</v>
      </c>
      <c r="H860">
        <v>0</v>
      </c>
      <c r="I860">
        <v>2655</v>
      </c>
      <c r="J860">
        <v>1</v>
      </c>
      <c r="K860" t="str">
        <v>Southampton</v>
      </c>
    </row>
    <row r="861" spans="2:11" x14ac:dyDescent="0.2">
      <c r="B861">
        <v>1</v>
      </c>
      <c r="C861">
        <v>3</v>
      </c>
      <c r="D861" t="str">
        <v>Baclini, Mrs. Solomon (Latifa Qurban)</v>
      </c>
      <c r="E861" t="str">
        <v>Mujer</v>
      </c>
      <c r="F861">
        <v>24</v>
      </c>
      <c r="G861">
        <v>0</v>
      </c>
      <c r="H861">
        <v>3</v>
      </c>
      <c r="I861">
        <v>192583</v>
      </c>
      <c r="J861">
        <v>0</v>
      </c>
      <c r="K861" t="str">
        <v>Cherburg</v>
      </c>
    </row>
    <row r="862" spans="2:11" x14ac:dyDescent="0.2">
      <c r="B862">
        <v>0</v>
      </c>
      <c r="C862">
        <v>3</v>
      </c>
      <c r="D862" t="str">
        <v>Razi, Mr. Raihed</v>
      </c>
      <c r="E862" t="str">
        <v>Hombre</v>
      </c>
      <c r="F862">
        <v>0</v>
      </c>
      <c r="G862">
        <v>0</v>
      </c>
      <c r="H862">
        <v>0</v>
      </c>
      <c r="I862">
        <v>72292</v>
      </c>
      <c r="J862">
        <v>0</v>
      </c>
      <c r="K862" t="str">
        <v>Cherburg</v>
      </c>
    </row>
    <row r="863" spans="2:11" x14ac:dyDescent="0.2">
      <c r="B863">
        <v>0</v>
      </c>
      <c r="C863">
        <v>3</v>
      </c>
      <c r="D863" t="str">
        <v>Hansen, Mr. Claus Peter</v>
      </c>
      <c r="E863" t="str">
        <v>Hombre</v>
      </c>
      <c r="F863">
        <v>41</v>
      </c>
      <c r="G863">
        <v>2</v>
      </c>
      <c r="H863">
        <v>0</v>
      </c>
      <c r="I863">
        <v>141083</v>
      </c>
      <c r="J863">
        <v>0</v>
      </c>
      <c r="K863" t="str">
        <v>Southampton</v>
      </c>
    </row>
    <row r="864" spans="2:11" x14ac:dyDescent="0.2">
      <c r="B864">
        <v>0</v>
      </c>
      <c r="C864">
        <v>2</v>
      </c>
      <c r="D864" t="str">
        <v>Giles, Mr. Frederick Edward</v>
      </c>
      <c r="E864" t="str">
        <v>Hombre</v>
      </c>
      <c r="F864">
        <v>21</v>
      </c>
      <c r="G864">
        <v>1</v>
      </c>
      <c r="H864">
        <v>0</v>
      </c>
      <c r="I864">
        <v>115</v>
      </c>
      <c r="J864">
        <v>0</v>
      </c>
      <c r="K864" t="str">
        <v>Southampton</v>
      </c>
    </row>
    <row r="865" spans="2:11" x14ac:dyDescent="0.2">
      <c r="B865">
        <v>1</v>
      </c>
      <c r="C865">
        <v>1</v>
      </c>
      <c r="D865" t="str">
        <v>Swift, Mrs. Frederick Joel (Margaret Welles Barron)</v>
      </c>
      <c r="E865" t="str">
        <v>Mujer</v>
      </c>
      <c r="F865">
        <v>48</v>
      </c>
      <c r="G865">
        <v>0</v>
      </c>
      <c r="H865">
        <v>0</v>
      </c>
      <c r="I865">
        <v>259292</v>
      </c>
      <c r="J865">
        <v>1</v>
      </c>
      <c r="K865" t="str">
        <v>Southampton</v>
      </c>
    </row>
    <row r="866" spans="2:11" x14ac:dyDescent="0.2">
      <c r="B866">
        <v>0</v>
      </c>
      <c r="C866">
        <v>3</v>
      </c>
      <c r="D866" t="str">
        <v>Sage, Miss. Dorothy Edith "Dolly"</v>
      </c>
      <c r="E866" t="str">
        <v>Mujer</v>
      </c>
      <c r="F866">
        <v>0</v>
      </c>
      <c r="G866">
        <v>8</v>
      </c>
      <c r="H866">
        <v>2</v>
      </c>
      <c r="I866">
        <v>6955</v>
      </c>
      <c r="J866">
        <v>0</v>
      </c>
      <c r="K866" t="str">
        <v>Southampton</v>
      </c>
    </row>
    <row r="867" spans="2:11" x14ac:dyDescent="0.2">
      <c r="B867">
        <v>0</v>
      </c>
      <c r="C867">
        <v>2</v>
      </c>
      <c r="D867" t="str">
        <v>Gill, Mr. John William</v>
      </c>
      <c r="E867" t="str">
        <v>Hombre</v>
      </c>
      <c r="F867">
        <v>24</v>
      </c>
      <c r="G867">
        <v>0</v>
      </c>
      <c r="H867">
        <v>0</v>
      </c>
      <c r="I867">
        <v>13</v>
      </c>
      <c r="J867">
        <v>0</v>
      </c>
      <c r="K867" t="str">
        <v>Southampton</v>
      </c>
    </row>
    <row r="868" spans="2:11" x14ac:dyDescent="0.2">
      <c r="B868">
        <v>1</v>
      </c>
      <c r="C868">
        <v>2</v>
      </c>
      <c r="D868" t="str">
        <v>Bystrom, Mrs. (Karolina)</v>
      </c>
      <c r="E868" t="str">
        <v>Mujer</v>
      </c>
      <c r="F868">
        <v>42</v>
      </c>
      <c r="G868">
        <v>0</v>
      </c>
      <c r="H868">
        <v>0</v>
      </c>
      <c r="I868">
        <v>13</v>
      </c>
      <c r="J868">
        <v>0</v>
      </c>
      <c r="K868" t="str">
        <v>Southampton</v>
      </c>
    </row>
    <row r="869" spans="2:11" x14ac:dyDescent="0.2">
      <c r="B869">
        <v>1</v>
      </c>
      <c r="C869">
        <v>2</v>
      </c>
      <c r="D869" t="str">
        <v>Duran y More, Miss. Asuncion</v>
      </c>
      <c r="E869" t="str">
        <v>Mujer</v>
      </c>
      <c r="F869">
        <v>27</v>
      </c>
      <c r="G869">
        <v>1</v>
      </c>
      <c r="H869">
        <v>0</v>
      </c>
      <c r="I869">
        <v>138583</v>
      </c>
      <c r="J869">
        <v>0</v>
      </c>
      <c r="K869" t="str">
        <v>Cherburg</v>
      </c>
    </row>
    <row r="870" spans="2:11" x14ac:dyDescent="0.2">
      <c r="B870">
        <v>0</v>
      </c>
      <c r="C870">
        <v>1</v>
      </c>
      <c r="D870" t="str">
        <v>Roebling, Mr. Washington Augustus II</v>
      </c>
      <c r="E870" t="str">
        <v>Hombre</v>
      </c>
      <c r="F870">
        <v>31</v>
      </c>
      <c r="G870">
        <v>0</v>
      </c>
      <c r="H870">
        <v>0</v>
      </c>
      <c r="I870">
        <v>504958</v>
      </c>
      <c r="J870">
        <v>1</v>
      </c>
      <c r="K870" t="str">
        <v>Southampton</v>
      </c>
    </row>
    <row r="871" spans="2:11" x14ac:dyDescent="0.2">
      <c r="B871">
        <v>0</v>
      </c>
      <c r="C871">
        <v>3</v>
      </c>
      <c r="D871" t="str">
        <v>van Melkebeke, Mr. Philemon</v>
      </c>
      <c r="E871" t="str">
        <v>Hombre</v>
      </c>
      <c r="F871">
        <v>0</v>
      </c>
      <c r="G871">
        <v>0</v>
      </c>
      <c r="H871">
        <v>0</v>
      </c>
      <c r="I871">
        <v>95</v>
      </c>
      <c r="J871">
        <v>0</v>
      </c>
      <c r="K871" t="str">
        <v>Southampton</v>
      </c>
    </row>
    <row r="872" spans="2:11" x14ac:dyDescent="0.2">
      <c r="B872">
        <v>1</v>
      </c>
      <c r="C872">
        <v>3</v>
      </c>
      <c r="D872" t="str">
        <v>Johnson, Master. Harold Theodor</v>
      </c>
      <c r="E872" t="str">
        <v>Hombre</v>
      </c>
      <c r="F872">
        <v>4</v>
      </c>
      <c r="G872">
        <v>1</v>
      </c>
      <c r="H872">
        <v>1</v>
      </c>
      <c r="I872">
        <v>111333</v>
      </c>
      <c r="J872">
        <v>0</v>
      </c>
      <c r="K872" t="str">
        <v>Southampton</v>
      </c>
    </row>
    <row r="873" spans="2:11" x14ac:dyDescent="0.2">
      <c r="B873">
        <v>0</v>
      </c>
      <c r="C873">
        <v>3</v>
      </c>
      <c r="D873" t="str">
        <v>Balkic, Mr. Cerin</v>
      </c>
      <c r="E873" t="str">
        <v>Hombre</v>
      </c>
      <c r="F873">
        <v>26</v>
      </c>
      <c r="G873">
        <v>0</v>
      </c>
      <c r="H873">
        <v>0</v>
      </c>
      <c r="I873">
        <v>78958</v>
      </c>
      <c r="J873">
        <v>0</v>
      </c>
      <c r="K873" t="str">
        <v>Southampton</v>
      </c>
    </row>
    <row r="874" spans="2:11" x14ac:dyDescent="0.2">
      <c r="B874">
        <v>1</v>
      </c>
      <c r="C874">
        <v>1</v>
      </c>
      <c r="D874" t="str">
        <v>Beckwith, Mrs. Richard Leonard (Sallie Monypeny)</v>
      </c>
      <c r="E874" t="str">
        <v>Mujer</v>
      </c>
      <c r="F874">
        <v>47</v>
      </c>
      <c r="G874">
        <v>1</v>
      </c>
      <c r="H874">
        <v>1</v>
      </c>
      <c r="I874">
        <v>525542</v>
      </c>
      <c r="J874">
        <v>1</v>
      </c>
      <c r="K874" t="str">
        <v>Southampton</v>
      </c>
    </row>
    <row r="875" spans="2:11" x14ac:dyDescent="0.2">
      <c r="B875">
        <v>0</v>
      </c>
      <c r="C875">
        <v>1</v>
      </c>
      <c r="D875" t="str">
        <v>Carlsson, Mr. Frans Olof</v>
      </c>
      <c r="E875" t="str">
        <v>Hombre</v>
      </c>
      <c r="F875">
        <v>33</v>
      </c>
      <c r="G875">
        <v>0</v>
      </c>
      <c r="H875">
        <v>0</v>
      </c>
      <c r="I875">
        <v>5</v>
      </c>
      <c r="J875">
        <v>1</v>
      </c>
      <c r="K875" t="str">
        <v>Southampton</v>
      </c>
    </row>
    <row r="876" spans="2:11" x14ac:dyDescent="0.2">
      <c r="B876">
        <v>0</v>
      </c>
      <c r="C876">
        <v>3</v>
      </c>
      <c r="D876" t="str">
        <v>Vander Cruyssen, Mr. Victor</v>
      </c>
      <c r="E876" t="str">
        <v>Hombre</v>
      </c>
      <c r="F876">
        <v>47</v>
      </c>
      <c r="G876">
        <v>0</v>
      </c>
      <c r="H876">
        <v>0</v>
      </c>
      <c r="I876">
        <v>9</v>
      </c>
      <c r="J876">
        <v>0</v>
      </c>
      <c r="K876" t="str">
        <v>Southampton</v>
      </c>
    </row>
    <row r="877" spans="2:11" x14ac:dyDescent="0.2">
      <c r="B877">
        <v>1</v>
      </c>
      <c r="C877">
        <v>2</v>
      </c>
      <c r="D877" t="str">
        <v>Abelson, Mrs. Samuel (Hannah Wizosky)</v>
      </c>
      <c r="E877" t="str">
        <v>Mujer</v>
      </c>
      <c r="F877">
        <v>28</v>
      </c>
      <c r="G877">
        <v>1</v>
      </c>
      <c r="H877">
        <v>0</v>
      </c>
      <c r="I877">
        <v>24</v>
      </c>
      <c r="J877">
        <v>0</v>
      </c>
      <c r="K877" t="str">
        <v>Cherburg</v>
      </c>
    </row>
    <row r="878" spans="2:11" x14ac:dyDescent="0.2">
      <c r="B878">
        <v>1</v>
      </c>
      <c r="C878">
        <v>3</v>
      </c>
      <c r="D878" t="str">
        <v>Najib, Miss. Adele Kiamie "Jane"</v>
      </c>
      <c r="E878" t="str">
        <v>Mujer</v>
      </c>
      <c r="F878">
        <v>15</v>
      </c>
      <c r="G878">
        <v>0</v>
      </c>
      <c r="H878">
        <v>0</v>
      </c>
      <c r="I878">
        <v>7225</v>
      </c>
      <c r="J878">
        <v>0</v>
      </c>
      <c r="K878" t="str">
        <v>Cherburg</v>
      </c>
    </row>
    <row r="879" spans="2:11" x14ac:dyDescent="0.2">
      <c r="B879">
        <v>0</v>
      </c>
      <c r="C879">
        <v>3</v>
      </c>
      <c r="D879" t="str">
        <v>Gustafsson, Mr. Alfred Ossian</v>
      </c>
      <c r="E879" t="str">
        <v>Hombre</v>
      </c>
      <c r="F879">
        <v>20</v>
      </c>
      <c r="G879">
        <v>0</v>
      </c>
      <c r="H879">
        <v>0</v>
      </c>
      <c r="I879">
        <v>98458</v>
      </c>
      <c r="J879">
        <v>0</v>
      </c>
      <c r="K879" t="str">
        <v>Southampton</v>
      </c>
    </row>
    <row r="880" spans="2:11" x14ac:dyDescent="0.2">
      <c r="B880">
        <v>0</v>
      </c>
      <c r="C880">
        <v>3</v>
      </c>
      <c r="D880" t="str">
        <v>Petroff, Mr. Nedelio</v>
      </c>
      <c r="E880" t="str">
        <v>Hombre</v>
      </c>
      <c r="F880">
        <v>19</v>
      </c>
      <c r="G880">
        <v>0</v>
      </c>
      <c r="H880">
        <v>0</v>
      </c>
      <c r="I880">
        <v>78958</v>
      </c>
      <c r="J880">
        <v>0</v>
      </c>
      <c r="K880" t="str">
        <v>Southampton</v>
      </c>
    </row>
    <row r="881" spans="2:11" x14ac:dyDescent="0.2">
      <c r="B881">
        <v>0</v>
      </c>
      <c r="C881">
        <v>3</v>
      </c>
      <c r="D881" t="str">
        <v>Laleff, Mr. Kristo</v>
      </c>
      <c r="E881" t="str">
        <v>Hombre</v>
      </c>
      <c r="F881">
        <v>0</v>
      </c>
      <c r="G881">
        <v>0</v>
      </c>
      <c r="H881">
        <v>0</v>
      </c>
      <c r="I881">
        <v>78958</v>
      </c>
      <c r="J881">
        <v>0</v>
      </c>
      <c r="K881" t="str">
        <v>Southampton</v>
      </c>
    </row>
    <row r="882" spans="2:11" x14ac:dyDescent="0.2">
      <c r="B882">
        <v>1</v>
      </c>
      <c r="C882">
        <v>1</v>
      </c>
      <c r="D882" t="str">
        <v>Potter, Mrs. Thomas Jr (Lily Alexenia Wilson)</v>
      </c>
      <c r="E882" t="str">
        <v>Mujer</v>
      </c>
      <c r="F882">
        <v>56</v>
      </c>
      <c r="G882">
        <v>0</v>
      </c>
      <c r="H882">
        <v>1</v>
      </c>
      <c r="I882">
        <v>831583</v>
      </c>
      <c r="J882">
        <v>1</v>
      </c>
      <c r="K882" t="str">
        <v>Cherburg</v>
      </c>
    </row>
    <row r="883" spans="2:11" x14ac:dyDescent="0.2">
      <c r="B883">
        <v>1</v>
      </c>
      <c r="C883">
        <v>2</v>
      </c>
      <c r="D883" t="str">
        <v>Shelley, Mrs. William (Imanita Parrish Hall)</v>
      </c>
      <c r="E883" t="str">
        <v>Mujer</v>
      </c>
      <c r="F883">
        <v>25</v>
      </c>
      <c r="G883">
        <v>0</v>
      </c>
      <c r="H883">
        <v>1</v>
      </c>
      <c r="I883">
        <v>26</v>
      </c>
      <c r="J883">
        <v>0</v>
      </c>
      <c r="K883" t="str">
        <v>Southampton</v>
      </c>
    </row>
    <row r="884" spans="2:11" x14ac:dyDescent="0.2">
      <c r="B884">
        <v>0</v>
      </c>
      <c r="C884">
        <v>3</v>
      </c>
      <c r="D884" t="str">
        <v>Markun, Mr. Johann</v>
      </c>
      <c r="E884" t="str">
        <v>Hombre</v>
      </c>
      <c r="F884">
        <v>33</v>
      </c>
      <c r="G884">
        <v>0</v>
      </c>
      <c r="H884">
        <v>0</v>
      </c>
      <c r="I884">
        <v>78958</v>
      </c>
      <c r="J884">
        <v>0</v>
      </c>
      <c r="K884" t="str">
        <v>Southampton</v>
      </c>
    </row>
    <row r="885" spans="2:11" x14ac:dyDescent="0.2">
      <c r="B885">
        <v>0</v>
      </c>
      <c r="C885">
        <v>3</v>
      </c>
      <c r="D885" t="str">
        <v>Dahlberg, Miss. Gerda Ulrika</v>
      </c>
      <c r="E885" t="str">
        <v>Mujer</v>
      </c>
      <c r="F885">
        <v>22</v>
      </c>
      <c r="G885">
        <v>0</v>
      </c>
      <c r="H885">
        <v>0</v>
      </c>
      <c r="I885">
        <v>105167</v>
      </c>
      <c r="J885">
        <v>0</v>
      </c>
      <c r="K885" t="str">
        <v>Southampton</v>
      </c>
    </row>
    <row r="886" spans="2:11" x14ac:dyDescent="0.2">
      <c r="B886">
        <v>0</v>
      </c>
      <c r="C886">
        <v>2</v>
      </c>
      <c r="D886" t="str">
        <v>Banfield, Mr. Frederick James</v>
      </c>
      <c r="E886" t="str">
        <v>Hombre</v>
      </c>
      <c r="F886">
        <v>28</v>
      </c>
      <c r="G886">
        <v>0</v>
      </c>
      <c r="H886">
        <v>0</v>
      </c>
      <c r="I886">
        <v>105</v>
      </c>
      <c r="J886">
        <v>0</v>
      </c>
      <c r="K886" t="str">
        <v>Southampton</v>
      </c>
    </row>
    <row r="887" spans="2:11" x14ac:dyDescent="0.2">
      <c r="B887">
        <v>0</v>
      </c>
      <c r="C887">
        <v>3</v>
      </c>
      <c r="D887" t="str">
        <v>Sutehall, Mr. Henry Jr</v>
      </c>
      <c r="E887" t="str">
        <v>Hombre</v>
      </c>
      <c r="F887">
        <v>25</v>
      </c>
      <c r="G887">
        <v>0</v>
      </c>
      <c r="H887">
        <v>0</v>
      </c>
      <c r="I887">
        <v>705</v>
      </c>
      <c r="J887">
        <v>0</v>
      </c>
      <c r="K887" t="str">
        <v>Southampton</v>
      </c>
    </row>
    <row r="888" spans="2:11" x14ac:dyDescent="0.2">
      <c r="B888">
        <v>0</v>
      </c>
      <c r="C888">
        <v>3</v>
      </c>
      <c r="D888" t="str">
        <v>Rice, Mrs. William (Margaret Norton)</v>
      </c>
      <c r="E888" t="str">
        <v>Mujer</v>
      </c>
      <c r="F888">
        <v>39</v>
      </c>
      <c r="G888">
        <v>0</v>
      </c>
      <c r="H888">
        <v>5</v>
      </c>
      <c r="I888">
        <v>29125</v>
      </c>
      <c r="J888">
        <v>0</v>
      </c>
      <c r="K888" t="str">
        <v>Queenstown</v>
      </c>
    </row>
    <row r="889" spans="2:11" x14ac:dyDescent="0.2">
      <c r="B889">
        <v>0</v>
      </c>
      <c r="C889">
        <v>2</v>
      </c>
      <c r="D889" t="str">
        <v>Montvila, Rev. Juozas</v>
      </c>
      <c r="E889" t="str">
        <v>Hombre</v>
      </c>
      <c r="F889">
        <v>27</v>
      </c>
      <c r="G889">
        <v>0</v>
      </c>
      <c r="H889">
        <v>0</v>
      </c>
      <c r="I889">
        <v>13</v>
      </c>
      <c r="J889">
        <v>0</v>
      </c>
      <c r="K889" t="str">
        <v>Southampton</v>
      </c>
    </row>
    <row r="890" spans="2:11" x14ac:dyDescent="0.2">
      <c r="B890">
        <v>1</v>
      </c>
      <c r="C890">
        <v>1</v>
      </c>
      <c r="D890" t="str">
        <v>Graham, Miss. Margaret Edith</v>
      </c>
      <c r="E890" t="str">
        <v>Mujer</v>
      </c>
      <c r="F890">
        <v>19</v>
      </c>
      <c r="G890">
        <v>0</v>
      </c>
      <c r="H890">
        <v>0</v>
      </c>
      <c r="I890">
        <v>30</v>
      </c>
      <c r="J890">
        <v>1</v>
      </c>
      <c r="K890" t="str">
        <v>Southampton</v>
      </c>
    </row>
    <row r="891" spans="2:11" x14ac:dyDescent="0.2">
      <c r="B891">
        <v>0</v>
      </c>
      <c r="C891">
        <v>3</v>
      </c>
      <c r="D891" t="str">
        <v>Johnston, Miss. Catherine Helen "Carrie"</v>
      </c>
      <c r="E891" t="str">
        <v>Mujer</v>
      </c>
      <c r="F891">
        <v>0</v>
      </c>
      <c r="G891">
        <v>1</v>
      </c>
      <c r="H891">
        <v>2</v>
      </c>
      <c r="I891">
        <v>2345</v>
      </c>
      <c r="J891">
        <v>0</v>
      </c>
      <c r="K891" t="str">
        <v>Southampton</v>
      </c>
    </row>
    <row r="892" spans="2:11" x14ac:dyDescent="0.2">
      <c r="B892">
        <v>1</v>
      </c>
      <c r="C892">
        <v>1</v>
      </c>
      <c r="D892" t="str">
        <v>Behr, Mr. Karl Howell</v>
      </c>
      <c r="E892" t="str">
        <v>Hombre</v>
      </c>
      <c r="F892">
        <v>26</v>
      </c>
      <c r="G892">
        <v>0</v>
      </c>
      <c r="H892">
        <v>0</v>
      </c>
      <c r="I892">
        <v>30</v>
      </c>
      <c r="J892">
        <v>1</v>
      </c>
      <c r="K892" t="str">
        <v>Cherburg</v>
      </c>
    </row>
    <row r="893" spans="2:11" x14ac:dyDescent="0.2">
      <c r="B893">
        <v>0</v>
      </c>
      <c r="C893">
        <v>3</v>
      </c>
      <c r="D893" t="str">
        <v>Dooley, Mr. Patrick</v>
      </c>
      <c r="E893" t="str">
        <v>Hombre</v>
      </c>
      <c r="F893">
        <v>32</v>
      </c>
      <c r="G893">
        <v>0</v>
      </c>
      <c r="H893">
        <v>0</v>
      </c>
      <c r="I893">
        <v>775</v>
      </c>
      <c r="J893">
        <v>0</v>
      </c>
      <c r="K893" t="str">
        <v>Queenstown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CDE9-DF63-A04F-A3CA-069BC4F5FBD4}">
  <dimension ref="B4:E894"/>
  <sheetViews>
    <sheetView workbookViewId="0">
      <selection activeCell="J5" sqref="J5"/>
    </sheetView>
  </sheetViews>
  <sheetFormatPr baseColWidth="10" defaultRowHeight="16" x14ac:dyDescent="0.2"/>
  <cols>
    <col min="2" max="2" width="67.6640625" bestFit="1" customWidth="1"/>
  </cols>
  <sheetData>
    <row r="4" spans="2:5" x14ac:dyDescent="0.2">
      <c r="B4" t="str" cm="1">
        <f t="array" ref="B4:B894">Titanic[Nombre]</f>
        <v>Braund, Mr. Owen Harris</v>
      </c>
      <c r="C4" cm="1">
        <f t="array" ref="C4:C894">Titanic[Edad]</f>
        <v>22</v>
      </c>
      <c r="D4" t="str" cm="1">
        <f t="array" ref="D4:D894">Titanic[Sexo]</f>
        <v>Hombre</v>
      </c>
      <c r="E4" cm="1">
        <f t="array" ref="E4:E894">Titanic[Sobrevive]</f>
        <v>0</v>
      </c>
    </row>
    <row r="5" spans="2:5" x14ac:dyDescent="0.2">
      <c r="B5" t="str">
        <v>Cumings, Mrs. John Bradley (Florence Briggs Thayer)</v>
      </c>
      <c r="C5">
        <v>38</v>
      </c>
      <c r="D5" t="str">
        <v>Mujer</v>
      </c>
      <c r="E5">
        <v>1</v>
      </c>
    </row>
    <row r="6" spans="2:5" x14ac:dyDescent="0.2">
      <c r="B6" t="str">
        <v>Heikkinen, Miss. Laina</v>
      </c>
      <c r="C6">
        <v>26</v>
      </c>
      <c r="D6" t="str">
        <v>Mujer</v>
      </c>
      <c r="E6">
        <v>1</v>
      </c>
    </row>
    <row r="7" spans="2:5" x14ac:dyDescent="0.2">
      <c r="B7" t="str">
        <v>Futrelle, Mrs. Jacques Heath (Lily May Peel)</v>
      </c>
      <c r="C7">
        <v>35</v>
      </c>
      <c r="D7" t="str">
        <v>Mujer</v>
      </c>
      <c r="E7">
        <v>1</v>
      </c>
    </row>
    <row r="8" spans="2:5" x14ac:dyDescent="0.2">
      <c r="B8" t="str">
        <v>Allen, Mr. William Henry</v>
      </c>
      <c r="C8">
        <v>35</v>
      </c>
      <c r="D8" t="str">
        <v>Hombre</v>
      </c>
      <c r="E8">
        <v>0</v>
      </c>
    </row>
    <row r="9" spans="2:5" x14ac:dyDescent="0.2">
      <c r="B9" t="str">
        <v>Moran, Mr. James</v>
      </c>
      <c r="C9">
        <v>0</v>
      </c>
      <c r="D9" t="str">
        <v>Hombre</v>
      </c>
      <c r="E9">
        <v>0</v>
      </c>
    </row>
    <row r="10" spans="2:5" x14ac:dyDescent="0.2">
      <c r="B10" t="str">
        <v>McCarthy, Mr. Timothy J</v>
      </c>
      <c r="C10">
        <v>54</v>
      </c>
      <c r="D10" t="str">
        <v>Hombre</v>
      </c>
      <c r="E10">
        <v>0</v>
      </c>
    </row>
    <row r="11" spans="2:5" x14ac:dyDescent="0.2">
      <c r="B11" t="str">
        <v>Palsson, Master. Gosta Leonard</v>
      </c>
      <c r="C11">
        <v>2</v>
      </c>
      <c r="D11" t="str">
        <v>Hombre</v>
      </c>
      <c r="E11">
        <v>0</v>
      </c>
    </row>
    <row r="12" spans="2:5" x14ac:dyDescent="0.2">
      <c r="B12" t="str">
        <v>Johnson, Mrs. Oscar W (Elisabeth Vilhelmina Berg)</v>
      </c>
      <c r="C12">
        <v>27</v>
      </c>
      <c r="D12" t="str">
        <v>Mujer</v>
      </c>
      <c r="E12">
        <v>1</v>
      </c>
    </row>
    <row r="13" spans="2:5" x14ac:dyDescent="0.2">
      <c r="B13" t="str">
        <v>Nasser, Mrs. Nicholas (Adele Achem)</v>
      </c>
      <c r="C13">
        <v>14</v>
      </c>
      <c r="D13" t="str">
        <v>Mujer</v>
      </c>
      <c r="E13">
        <v>1</v>
      </c>
    </row>
    <row r="14" spans="2:5" x14ac:dyDescent="0.2">
      <c r="B14" t="str">
        <v>Sandstrom, Miss. Marguerite Rut</v>
      </c>
      <c r="C14">
        <v>4</v>
      </c>
      <c r="D14" t="str">
        <v>Mujer</v>
      </c>
      <c r="E14">
        <v>1</v>
      </c>
    </row>
    <row r="15" spans="2:5" x14ac:dyDescent="0.2">
      <c r="B15" t="str">
        <v>Bonnell, Miss. Elizabeth</v>
      </c>
      <c r="C15">
        <v>58</v>
      </c>
      <c r="D15" t="str">
        <v>Mujer</v>
      </c>
      <c r="E15">
        <v>1</v>
      </c>
    </row>
    <row r="16" spans="2:5" x14ac:dyDescent="0.2">
      <c r="B16" t="str">
        <v>Saundercock, Mr. William Henry</v>
      </c>
      <c r="C16">
        <v>20</v>
      </c>
      <c r="D16" t="str">
        <v>Hombre</v>
      </c>
      <c r="E16">
        <v>0</v>
      </c>
    </row>
    <row r="17" spans="2:5" x14ac:dyDescent="0.2">
      <c r="B17" t="str">
        <v>Andersson, Mr. Anders Johan</v>
      </c>
      <c r="C17">
        <v>39</v>
      </c>
      <c r="D17" t="str">
        <v>Hombre</v>
      </c>
      <c r="E17">
        <v>0</v>
      </c>
    </row>
    <row r="18" spans="2:5" x14ac:dyDescent="0.2">
      <c r="B18" t="str">
        <v>Vestrom, Miss. Hulda Amanda Adolfina</v>
      </c>
      <c r="C18">
        <v>14</v>
      </c>
      <c r="D18" t="str">
        <v>Mujer</v>
      </c>
      <c r="E18">
        <v>0</v>
      </c>
    </row>
    <row r="19" spans="2:5" x14ac:dyDescent="0.2">
      <c r="B19" t="str">
        <v>Hewlett, Mrs. (Mary D Kingcome) </v>
      </c>
      <c r="C19">
        <v>55</v>
      </c>
      <c r="D19" t="str">
        <v>Mujer</v>
      </c>
      <c r="E19">
        <v>1</v>
      </c>
    </row>
    <row r="20" spans="2:5" x14ac:dyDescent="0.2">
      <c r="B20" t="str">
        <v>Rice, Master. Eugene</v>
      </c>
      <c r="C20">
        <v>2</v>
      </c>
      <c r="D20" t="str">
        <v>Hombre</v>
      </c>
      <c r="E20">
        <v>0</v>
      </c>
    </row>
    <row r="21" spans="2:5" x14ac:dyDescent="0.2">
      <c r="B21" t="str">
        <v>Williams, Mr. Charles Eugene</v>
      </c>
      <c r="C21">
        <v>0</v>
      </c>
      <c r="D21" t="str">
        <v>Hombre</v>
      </c>
      <c r="E21">
        <v>1</v>
      </c>
    </row>
    <row r="22" spans="2:5" x14ac:dyDescent="0.2">
      <c r="B22" t="str">
        <v>Vander Planke, Mrs. Julius (Emelia Maria Vandemoortele)</v>
      </c>
      <c r="C22">
        <v>31</v>
      </c>
      <c r="D22" t="str">
        <v>Mujer</v>
      </c>
      <c r="E22">
        <v>0</v>
      </c>
    </row>
    <row r="23" spans="2:5" x14ac:dyDescent="0.2">
      <c r="B23" t="str">
        <v>Masselmani, Mrs. Fatima</v>
      </c>
      <c r="C23">
        <v>0</v>
      </c>
      <c r="D23" t="str">
        <v>Mujer</v>
      </c>
      <c r="E23">
        <v>1</v>
      </c>
    </row>
    <row r="24" spans="2:5" x14ac:dyDescent="0.2">
      <c r="B24" t="str">
        <v>Fynney, Mr. Joseph J</v>
      </c>
      <c r="C24">
        <v>35</v>
      </c>
      <c r="D24" t="str">
        <v>Hombre</v>
      </c>
      <c r="E24">
        <v>0</v>
      </c>
    </row>
    <row r="25" spans="2:5" x14ac:dyDescent="0.2">
      <c r="B25" t="str">
        <v>Beesley, Mr. Lawrence</v>
      </c>
      <c r="C25">
        <v>34</v>
      </c>
      <c r="D25" t="str">
        <v>Hombre</v>
      </c>
      <c r="E25">
        <v>1</v>
      </c>
    </row>
    <row r="26" spans="2:5" x14ac:dyDescent="0.2">
      <c r="B26" t="str">
        <v>McGowan, Miss. Anna "Annie"</v>
      </c>
      <c r="C26">
        <v>15</v>
      </c>
      <c r="D26" t="str">
        <v>Mujer</v>
      </c>
      <c r="E26">
        <v>1</v>
      </c>
    </row>
    <row r="27" spans="2:5" x14ac:dyDescent="0.2">
      <c r="B27" t="str">
        <v>Sloper, Mr. William Thompson</v>
      </c>
      <c r="C27">
        <v>28</v>
      </c>
      <c r="D27" t="str">
        <v>Hombre</v>
      </c>
      <c r="E27">
        <v>1</v>
      </c>
    </row>
    <row r="28" spans="2:5" x14ac:dyDescent="0.2">
      <c r="B28" t="str">
        <v>Palsson, Miss. Torborg Danira</v>
      </c>
      <c r="C28">
        <v>8</v>
      </c>
      <c r="D28" t="str">
        <v>Mujer</v>
      </c>
      <c r="E28">
        <v>0</v>
      </c>
    </row>
    <row r="29" spans="2:5" x14ac:dyDescent="0.2">
      <c r="B29" t="str">
        <v>Asplund, Mrs. Carl Oscar (Selma Augusta Emilia Johansson)</v>
      </c>
      <c r="C29">
        <v>38</v>
      </c>
      <c r="D29" t="str">
        <v>Mujer</v>
      </c>
      <c r="E29">
        <v>1</v>
      </c>
    </row>
    <row r="30" spans="2:5" x14ac:dyDescent="0.2">
      <c r="B30" t="str">
        <v>Emir, Mr. Farred Chehab</v>
      </c>
      <c r="C30">
        <v>0</v>
      </c>
      <c r="D30" t="str">
        <v>Hombre</v>
      </c>
      <c r="E30">
        <v>0</v>
      </c>
    </row>
    <row r="31" spans="2:5" x14ac:dyDescent="0.2">
      <c r="B31" t="str">
        <v>Fortune, Mr. Charles Alexander</v>
      </c>
      <c r="C31">
        <v>19</v>
      </c>
      <c r="D31" t="str">
        <v>Hombre</v>
      </c>
      <c r="E31">
        <v>0</v>
      </c>
    </row>
    <row r="32" spans="2:5" x14ac:dyDescent="0.2">
      <c r="B32" t="str">
        <v>O'Dwyer, Miss. Ellen "Nellie"</v>
      </c>
      <c r="C32">
        <v>0</v>
      </c>
      <c r="D32" t="str">
        <v>Mujer</v>
      </c>
      <c r="E32">
        <v>1</v>
      </c>
    </row>
    <row r="33" spans="2:5" x14ac:dyDescent="0.2">
      <c r="B33" t="str">
        <v>Todoroff, Mr. Lalio</v>
      </c>
      <c r="C33">
        <v>0</v>
      </c>
      <c r="D33" t="str">
        <v>Hombre</v>
      </c>
      <c r="E33">
        <v>0</v>
      </c>
    </row>
    <row r="34" spans="2:5" x14ac:dyDescent="0.2">
      <c r="B34" t="str">
        <v>Uruchurtu, Don. Manuel E</v>
      </c>
      <c r="C34">
        <v>40</v>
      </c>
      <c r="D34" t="str">
        <v>Hombre</v>
      </c>
      <c r="E34">
        <v>0</v>
      </c>
    </row>
    <row r="35" spans="2:5" x14ac:dyDescent="0.2">
      <c r="B35" t="str">
        <v>Spencer, Mrs. William Augustus (Marie Eugenie)</v>
      </c>
      <c r="C35">
        <v>0</v>
      </c>
      <c r="D35" t="str">
        <v>Mujer</v>
      </c>
      <c r="E35">
        <v>1</v>
      </c>
    </row>
    <row r="36" spans="2:5" x14ac:dyDescent="0.2">
      <c r="B36" t="str">
        <v>Glynn, Miss. Mary Agatha</v>
      </c>
      <c r="C36">
        <v>0</v>
      </c>
      <c r="D36" t="str">
        <v>Mujer</v>
      </c>
      <c r="E36">
        <v>1</v>
      </c>
    </row>
    <row r="37" spans="2:5" x14ac:dyDescent="0.2">
      <c r="B37" t="str">
        <v>Wheadon, Mr. Edward H</v>
      </c>
      <c r="C37">
        <v>66</v>
      </c>
      <c r="D37" t="str">
        <v>Hombre</v>
      </c>
      <c r="E37">
        <v>0</v>
      </c>
    </row>
    <row r="38" spans="2:5" x14ac:dyDescent="0.2">
      <c r="B38" t="str">
        <v>Meyer, Mr. Edgar Joseph</v>
      </c>
      <c r="C38">
        <v>28</v>
      </c>
      <c r="D38" t="str">
        <v>Hombre</v>
      </c>
      <c r="E38">
        <v>0</v>
      </c>
    </row>
    <row r="39" spans="2:5" x14ac:dyDescent="0.2">
      <c r="B39" t="str">
        <v>Holverson, Mr. Alexander Oskar</v>
      </c>
      <c r="C39">
        <v>42</v>
      </c>
      <c r="D39" t="str">
        <v>Hombre</v>
      </c>
      <c r="E39">
        <v>0</v>
      </c>
    </row>
    <row r="40" spans="2:5" x14ac:dyDescent="0.2">
      <c r="B40" t="str">
        <v>Mamee, Mr. Hanna</v>
      </c>
      <c r="C40">
        <v>0</v>
      </c>
      <c r="D40" t="str">
        <v>Hombre</v>
      </c>
      <c r="E40">
        <v>1</v>
      </c>
    </row>
    <row r="41" spans="2:5" x14ac:dyDescent="0.2">
      <c r="B41" t="str">
        <v>Cann, Mr. Ernest Charles</v>
      </c>
      <c r="C41">
        <v>21</v>
      </c>
      <c r="D41" t="str">
        <v>Hombre</v>
      </c>
      <c r="E41">
        <v>0</v>
      </c>
    </row>
    <row r="42" spans="2:5" x14ac:dyDescent="0.2">
      <c r="B42" t="str">
        <v>Vander Planke, Miss. Augusta Maria</v>
      </c>
      <c r="C42">
        <v>18</v>
      </c>
      <c r="D42" t="str">
        <v>Mujer</v>
      </c>
      <c r="E42">
        <v>0</v>
      </c>
    </row>
    <row r="43" spans="2:5" x14ac:dyDescent="0.2">
      <c r="B43" t="str">
        <v>Nicola-Yarred, Miss. Jamila</v>
      </c>
      <c r="C43">
        <v>14</v>
      </c>
      <c r="D43" t="str">
        <v>Mujer</v>
      </c>
      <c r="E43">
        <v>1</v>
      </c>
    </row>
    <row r="44" spans="2:5" x14ac:dyDescent="0.2">
      <c r="B44" t="str">
        <v>Ahlin, Mrs. Johan (Johanna Persdotter Larsson)</v>
      </c>
      <c r="C44">
        <v>40</v>
      </c>
      <c r="D44" t="str">
        <v>Mujer</v>
      </c>
      <c r="E44">
        <v>0</v>
      </c>
    </row>
    <row r="45" spans="2:5" x14ac:dyDescent="0.2">
      <c r="B45" t="str">
        <v>Turpin, Mrs. William John Robert (Dorothy Ann Wonnacott)</v>
      </c>
      <c r="C45">
        <v>27</v>
      </c>
      <c r="D45" t="str">
        <v>Mujer</v>
      </c>
      <c r="E45">
        <v>0</v>
      </c>
    </row>
    <row r="46" spans="2:5" x14ac:dyDescent="0.2">
      <c r="B46" t="str">
        <v>Kraeff, Mr. Theodor</v>
      </c>
      <c r="C46">
        <v>0</v>
      </c>
      <c r="D46" t="str">
        <v>Hombre</v>
      </c>
      <c r="E46">
        <v>0</v>
      </c>
    </row>
    <row r="47" spans="2:5" x14ac:dyDescent="0.2">
      <c r="B47" t="str">
        <v>Laroche, Miss. Simonne Marie Anne Andree</v>
      </c>
      <c r="C47">
        <v>3</v>
      </c>
      <c r="D47" t="str">
        <v>Mujer</v>
      </c>
      <c r="E47">
        <v>1</v>
      </c>
    </row>
    <row r="48" spans="2:5" x14ac:dyDescent="0.2">
      <c r="B48" t="str">
        <v>Devaney, Miss. Margaret Delia</v>
      </c>
      <c r="C48">
        <v>19</v>
      </c>
      <c r="D48" t="str">
        <v>Mujer</v>
      </c>
      <c r="E48">
        <v>1</v>
      </c>
    </row>
    <row r="49" spans="2:5" x14ac:dyDescent="0.2">
      <c r="B49" t="str">
        <v>Rogers, Mr. William John</v>
      </c>
      <c r="C49">
        <v>0</v>
      </c>
      <c r="D49" t="str">
        <v>Hombre</v>
      </c>
      <c r="E49">
        <v>0</v>
      </c>
    </row>
    <row r="50" spans="2:5" x14ac:dyDescent="0.2">
      <c r="B50" t="str">
        <v>Lennon, Mr. Denis</v>
      </c>
      <c r="C50">
        <v>0</v>
      </c>
      <c r="D50" t="str">
        <v>Hombre</v>
      </c>
      <c r="E50">
        <v>0</v>
      </c>
    </row>
    <row r="51" spans="2:5" x14ac:dyDescent="0.2">
      <c r="B51" t="str">
        <v>O'Driscoll, Miss. Bridget</v>
      </c>
      <c r="C51">
        <v>0</v>
      </c>
      <c r="D51" t="str">
        <v>Mujer</v>
      </c>
      <c r="E51">
        <v>1</v>
      </c>
    </row>
    <row r="52" spans="2:5" x14ac:dyDescent="0.2">
      <c r="B52" t="str">
        <v>Samaan, Mr. Youssef</v>
      </c>
      <c r="C52">
        <v>0</v>
      </c>
      <c r="D52" t="str">
        <v>Hombre</v>
      </c>
      <c r="E52">
        <v>0</v>
      </c>
    </row>
    <row r="53" spans="2:5" x14ac:dyDescent="0.2">
      <c r="B53" t="str">
        <v>Arnold-Franchi, Mrs. Josef (Josefine Franchi)</v>
      </c>
      <c r="C53">
        <v>18</v>
      </c>
      <c r="D53" t="str">
        <v>Mujer</v>
      </c>
      <c r="E53">
        <v>0</v>
      </c>
    </row>
    <row r="54" spans="2:5" x14ac:dyDescent="0.2">
      <c r="B54" t="str">
        <v>Panula, Master. Juha Niilo</v>
      </c>
      <c r="C54">
        <v>7</v>
      </c>
      <c r="D54" t="str">
        <v>Hombre</v>
      </c>
      <c r="E54">
        <v>0</v>
      </c>
    </row>
    <row r="55" spans="2:5" x14ac:dyDescent="0.2">
      <c r="B55" t="str">
        <v>Nosworthy, Mr. Richard Cater</v>
      </c>
      <c r="C55">
        <v>21</v>
      </c>
      <c r="D55" t="str">
        <v>Hombre</v>
      </c>
      <c r="E55">
        <v>0</v>
      </c>
    </row>
    <row r="56" spans="2:5" x14ac:dyDescent="0.2">
      <c r="B56" t="str">
        <v>Harper, Mrs. Henry Sleeper (Myna Haxtun)</v>
      </c>
      <c r="C56">
        <v>49</v>
      </c>
      <c r="D56" t="str">
        <v>Mujer</v>
      </c>
      <c r="E56">
        <v>1</v>
      </c>
    </row>
    <row r="57" spans="2:5" x14ac:dyDescent="0.2">
      <c r="B57" t="str">
        <v>Faunthorpe, Mrs. Lizzie (Elizabeth Anne Wilkinson)</v>
      </c>
      <c r="C57">
        <v>29</v>
      </c>
      <c r="D57" t="str">
        <v>Mujer</v>
      </c>
      <c r="E57">
        <v>1</v>
      </c>
    </row>
    <row r="58" spans="2:5" x14ac:dyDescent="0.2">
      <c r="B58" t="str">
        <v>Ostby, Mr. Engelhart Cornelius</v>
      </c>
      <c r="C58">
        <v>65</v>
      </c>
      <c r="D58" t="str">
        <v>Hombre</v>
      </c>
      <c r="E58">
        <v>0</v>
      </c>
    </row>
    <row r="59" spans="2:5" x14ac:dyDescent="0.2">
      <c r="B59" t="str">
        <v>Woolner, Mr. Hugh</v>
      </c>
      <c r="C59">
        <v>0</v>
      </c>
      <c r="D59" t="str">
        <v>Hombre</v>
      </c>
      <c r="E59">
        <v>1</v>
      </c>
    </row>
    <row r="60" spans="2:5" x14ac:dyDescent="0.2">
      <c r="B60" t="str">
        <v>Rugg, Miss. Emily</v>
      </c>
      <c r="C60">
        <v>21</v>
      </c>
      <c r="D60" t="str">
        <v>Mujer</v>
      </c>
      <c r="E60">
        <v>1</v>
      </c>
    </row>
    <row r="61" spans="2:5" x14ac:dyDescent="0.2">
      <c r="B61" t="str">
        <v>Novel, Mr. Mansouer</v>
      </c>
      <c r="C61">
        <v>285</v>
      </c>
      <c r="D61" t="str">
        <v>Hombre</v>
      </c>
      <c r="E61">
        <v>0</v>
      </c>
    </row>
    <row r="62" spans="2:5" x14ac:dyDescent="0.2">
      <c r="B62" t="str">
        <v>West, Miss. Constance Mirium</v>
      </c>
      <c r="C62">
        <v>5</v>
      </c>
      <c r="D62" t="str">
        <v>Mujer</v>
      </c>
      <c r="E62">
        <v>1</v>
      </c>
    </row>
    <row r="63" spans="2:5" x14ac:dyDescent="0.2">
      <c r="B63" t="str">
        <v>Goodwin, Master. William Frederick</v>
      </c>
      <c r="C63">
        <v>11</v>
      </c>
      <c r="D63" t="str">
        <v>Hombre</v>
      </c>
      <c r="E63">
        <v>0</v>
      </c>
    </row>
    <row r="64" spans="2:5" x14ac:dyDescent="0.2">
      <c r="B64" t="str">
        <v>Sirayanian, Mr. Orsen</v>
      </c>
      <c r="C64">
        <v>22</v>
      </c>
      <c r="D64" t="str">
        <v>Hombre</v>
      </c>
      <c r="E64">
        <v>0</v>
      </c>
    </row>
    <row r="65" spans="2:5" x14ac:dyDescent="0.2">
      <c r="B65" t="str">
        <v>Icard, Miss. Amelie</v>
      </c>
      <c r="C65">
        <v>38</v>
      </c>
      <c r="D65" t="str">
        <v>Mujer</v>
      </c>
      <c r="E65">
        <v>1</v>
      </c>
    </row>
    <row r="66" spans="2:5" x14ac:dyDescent="0.2">
      <c r="B66" t="str">
        <v>Harris, Mr. Henry Birkhardt</v>
      </c>
      <c r="C66">
        <v>45</v>
      </c>
      <c r="D66" t="str">
        <v>Hombre</v>
      </c>
      <c r="E66">
        <v>0</v>
      </c>
    </row>
    <row r="67" spans="2:5" x14ac:dyDescent="0.2">
      <c r="B67" t="str">
        <v>Skoog, Master. Harald</v>
      </c>
      <c r="C67">
        <v>4</v>
      </c>
      <c r="D67" t="str">
        <v>Hombre</v>
      </c>
      <c r="E67">
        <v>0</v>
      </c>
    </row>
    <row r="68" spans="2:5" x14ac:dyDescent="0.2">
      <c r="B68" t="str">
        <v>Stewart, Mr. Albert A</v>
      </c>
      <c r="C68">
        <v>0</v>
      </c>
      <c r="D68" t="str">
        <v>Hombre</v>
      </c>
      <c r="E68">
        <v>0</v>
      </c>
    </row>
    <row r="69" spans="2:5" x14ac:dyDescent="0.2">
      <c r="B69" t="str">
        <v>Moubarek, Master. Gerios</v>
      </c>
      <c r="C69">
        <v>0</v>
      </c>
      <c r="D69" t="str">
        <v>Hombre</v>
      </c>
      <c r="E69">
        <v>1</v>
      </c>
    </row>
    <row r="70" spans="2:5" x14ac:dyDescent="0.2">
      <c r="B70" t="str">
        <v>Nye, Mrs. (Elizabeth Ramell)</v>
      </c>
      <c r="C70">
        <v>29</v>
      </c>
      <c r="D70" t="str">
        <v>Mujer</v>
      </c>
      <c r="E70">
        <v>1</v>
      </c>
    </row>
    <row r="71" spans="2:5" x14ac:dyDescent="0.2">
      <c r="B71" t="str">
        <v>Crease, Mr. Ernest James</v>
      </c>
      <c r="C71">
        <v>19</v>
      </c>
      <c r="D71" t="str">
        <v>Hombre</v>
      </c>
      <c r="E71">
        <v>0</v>
      </c>
    </row>
    <row r="72" spans="2:5" x14ac:dyDescent="0.2">
      <c r="B72" t="str">
        <v>Andersson, Miss. Erna Alexandra</v>
      </c>
      <c r="C72">
        <v>17</v>
      </c>
      <c r="D72" t="str">
        <v>Mujer</v>
      </c>
      <c r="E72">
        <v>1</v>
      </c>
    </row>
    <row r="73" spans="2:5" x14ac:dyDescent="0.2">
      <c r="B73" t="str">
        <v>Kink, Mr. Vincenz</v>
      </c>
      <c r="C73">
        <v>26</v>
      </c>
      <c r="D73" t="str">
        <v>Hombre</v>
      </c>
      <c r="E73">
        <v>0</v>
      </c>
    </row>
    <row r="74" spans="2:5" x14ac:dyDescent="0.2">
      <c r="B74" t="str">
        <v>Jenkin, Mr. Stephen Curnow</v>
      </c>
      <c r="C74">
        <v>32</v>
      </c>
      <c r="D74" t="str">
        <v>Hombre</v>
      </c>
      <c r="E74">
        <v>0</v>
      </c>
    </row>
    <row r="75" spans="2:5" x14ac:dyDescent="0.2">
      <c r="B75" t="str">
        <v>Goodwin, Miss. Lillian Amy</v>
      </c>
      <c r="C75">
        <v>16</v>
      </c>
      <c r="D75" t="str">
        <v>Mujer</v>
      </c>
      <c r="E75">
        <v>0</v>
      </c>
    </row>
    <row r="76" spans="2:5" x14ac:dyDescent="0.2">
      <c r="B76" t="str">
        <v>Hood, Mr. Ambrose Jr</v>
      </c>
      <c r="C76">
        <v>21</v>
      </c>
      <c r="D76" t="str">
        <v>Hombre</v>
      </c>
      <c r="E76">
        <v>0</v>
      </c>
    </row>
    <row r="77" spans="2:5" x14ac:dyDescent="0.2">
      <c r="B77" t="str">
        <v>Chronopoulos, Mr. Apostolos</v>
      </c>
      <c r="C77">
        <v>26</v>
      </c>
      <c r="D77" t="str">
        <v>Hombre</v>
      </c>
      <c r="E77">
        <v>0</v>
      </c>
    </row>
    <row r="78" spans="2:5" x14ac:dyDescent="0.2">
      <c r="B78" t="str">
        <v>Bing, Mr. Lee</v>
      </c>
      <c r="C78">
        <v>32</v>
      </c>
      <c r="D78" t="str">
        <v>Hombre</v>
      </c>
      <c r="E78">
        <v>1</v>
      </c>
    </row>
    <row r="79" spans="2:5" x14ac:dyDescent="0.2">
      <c r="B79" t="str">
        <v>Moen, Mr. Sigurd Hansen</v>
      </c>
      <c r="C79">
        <v>25</v>
      </c>
      <c r="D79" t="str">
        <v>Hombre</v>
      </c>
      <c r="E79">
        <v>0</v>
      </c>
    </row>
    <row r="80" spans="2:5" x14ac:dyDescent="0.2">
      <c r="B80" t="str">
        <v>Staneff, Mr. Ivan</v>
      </c>
      <c r="C80">
        <v>0</v>
      </c>
      <c r="D80" t="str">
        <v>Hombre</v>
      </c>
      <c r="E80">
        <v>0</v>
      </c>
    </row>
    <row r="81" spans="2:5" x14ac:dyDescent="0.2">
      <c r="B81" t="str">
        <v>Moutal, Mr. Rahamin Haim</v>
      </c>
      <c r="C81">
        <v>0</v>
      </c>
      <c r="D81" t="str">
        <v>Hombre</v>
      </c>
      <c r="E81">
        <v>0</v>
      </c>
    </row>
    <row r="82" spans="2:5" x14ac:dyDescent="0.2">
      <c r="B82" t="str">
        <v>Caldwell, Master. Alden Gates</v>
      </c>
      <c r="C82">
        <v>83</v>
      </c>
      <c r="D82" t="str">
        <v>Hombre</v>
      </c>
      <c r="E82">
        <v>1</v>
      </c>
    </row>
    <row r="83" spans="2:5" x14ac:dyDescent="0.2">
      <c r="B83" t="str">
        <v>Dowdell, Miss. Elizabeth</v>
      </c>
      <c r="C83">
        <v>30</v>
      </c>
      <c r="D83" t="str">
        <v>Mujer</v>
      </c>
      <c r="E83">
        <v>1</v>
      </c>
    </row>
    <row r="84" spans="2:5" x14ac:dyDescent="0.2">
      <c r="B84" t="str">
        <v>Waelens, Mr. Achille</v>
      </c>
      <c r="C84">
        <v>22</v>
      </c>
      <c r="D84" t="str">
        <v>Hombre</v>
      </c>
      <c r="E84">
        <v>0</v>
      </c>
    </row>
    <row r="85" spans="2:5" x14ac:dyDescent="0.2">
      <c r="B85" t="str">
        <v>Sheerlinck, Mr. Jan Baptist</v>
      </c>
      <c r="C85">
        <v>29</v>
      </c>
      <c r="D85" t="str">
        <v>Hombre</v>
      </c>
      <c r="E85">
        <v>1</v>
      </c>
    </row>
    <row r="86" spans="2:5" x14ac:dyDescent="0.2">
      <c r="B86" t="str">
        <v>McDermott, Miss. Brigdet Delia</v>
      </c>
      <c r="C86">
        <v>0</v>
      </c>
      <c r="D86" t="str">
        <v>Mujer</v>
      </c>
      <c r="E86">
        <v>1</v>
      </c>
    </row>
    <row r="87" spans="2:5" x14ac:dyDescent="0.2">
      <c r="B87" t="str">
        <v>Carrau, Mr. Francisco M</v>
      </c>
      <c r="C87">
        <v>28</v>
      </c>
      <c r="D87" t="str">
        <v>Hombre</v>
      </c>
      <c r="E87">
        <v>0</v>
      </c>
    </row>
    <row r="88" spans="2:5" x14ac:dyDescent="0.2">
      <c r="B88" t="str">
        <v>Ilett, Miss. Bertha</v>
      </c>
      <c r="C88">
        <v>17</v>
      </c>
      <c r="D88" t="str">
        <v>Mujer</v>
      </c>
      <c r="E88">
        <v>1</v>
      </c>
    </row>
    <row r="89" spans="2:5" x14ac:dyDescent="0.2">
      <c r="B89" t="str">
        <v>Backstrom, Mrs. Karl Alfred (Maria Mathilda Gustafsson)</v>
      </c>
      <c r="C89">
        <v>33</v>
      </c>
      <c r="D89" t="str">
        <v>Mujer</v>
      </c>
      <c r="E89">
        <v>1</v>
      </c>
    </row>
    <row r="90" spans="2:5" x14ac:dyDescent="0.2">
      <c r="B90" t="str">
        <v>Ford, Mr. William Neal</v>
      </c>
      <c r="C90">
        <v>16</v>
      </c>
      <c r="D90" t="str">
        <v>Hombre</v>
      </c>
      <c r="E90">
        <v>0</v>
      </c>
    </row>
    <row r="91" spans="2:5" x14ac:dyDescent="0.2">
      <c r="B91" t="str">
        <v>Slocovski, Mr. Selman Francis</v>
      </c>
      <c r="C91">
        <v>0</v>
      </c>
      <c r="D91" t="str">
        <v>Hombre</v>
      </c>
      <c r="E91">
        <v>0</v>
      </c>
    </row>
    <row r="92" spans="2:5" x14ac:dyDescent="0.2">
      <c r="B92" t="str">
        <v>Fortune, Miss. Mabel Helen</v>
      </c>
      <c r="C92">
        <v>23</v>
      </c>
      <c r="D92" t="str">
        <v>Mujer</v>
      </c>
      <c r="E92">
        <v>1</v>
      </c>
    </row>
    <row r="93" spans="2:5" x14ac:dyDescent="0.2">
      <c r="B93" t="str">
        <v>Celotti, Mr. Francesco</v>
      </c>
      <c r="C93">
        <v>24</v>
      </c>
      <c r="D93" t="str">
        <v>Hombre</v>
      </c>
      <c r="E93">
        <v>0</v>
      </c>
    </row>
    <row r="94" spans="2:5" x14ac:dyDescent="0.2">
      <c r="B94" t="str">
        <v>Christmann, Mr. Emil</v>
      </c>
      <c r="C94">
        <v>29</v>
      </c>
      <c r="D94" t="str">
        <v>Hombre</v>
      </c>
      <c r="E94">
        <v>0</v>
      </c>
    </row>
    <row r="95" spans="2:5" x14ac:dyDescent="0.2">
      <c r="B95" t="str">
        <v>Andreasson, Mr. Paul Edvin</v>
      </c>
      <c r="C95">
        <v>20</v>
      </c>
      <c r="D95" t="str">
        <v>Hombre</v>
      </c>
      <c r="E95">
        <v>0</v>
      </c>
    </row>
    <row r="96" spans="2:5" x14ac:dyDescent="0.2">
      <c r="B96" t="str">
        <v>Chaffee, Mr. Herbert Fuller</v>
      </c>
      <c r="C96">
        <v>46</v>
      </c>
      <c r="D96" t="str">
        <v>Hombre</v>
      </c>
      <c r="E96">
        <v>0</v>
      </c>
    </row>
    <row r="97" spans="2:5" x14ac:dyDescent="0.2">
      <c r="B97" t="str">
        <v>Dean, Mr. Bertram Frank</v>
      </c>
      <c r="C97">
        <v>26</v>
      </c>
      <c r="D97" t="str">
        <v>Hombre</v>
      </c>
      <c r="E97">
        <v>0</v>
      </c>
    </row>
    <row r="98" spans="2:5" x14ac:dyDescent="0.2">
      <c r="B98" t="str">
        <v>Coxon, Mr. Daniel</v>
      </c>
      <c r="C98">
        <v>59</v>
      </c>
      <c r="D98" t="str">
        <v>Hombre</v>
      </c>
      <c r="E98">
        <v>0</v>
      </c>
    </row>
    <row r="99" spans="2:5" x14ac:dyDescent="0.2">
      <c r="B99" t="str">
        <v>Shorney, Mr. Charles Joseph</v>
      </c>
      <c r="C99">
        <v>0</v>
      </c>
      <c r="D99" t="str">
        <v>Hombre</v>
      </c>
      <c r="E99">
        <v>0</v>
      </c>
    </row>
    <row r="100" spans="2:5" x14ac:dyDescent="0.2">
      <c r="B100" t="str">
        <v>Goldschmidt, Mr. George B</v>
      </c>
      <c r="C100">
        <v>71</v>
      </c>
      <c r="D100" t="str">
        <v>Hombre</v>
      </c>
      <c r="E100">
        <v>0</v>
      </c>
    </row>
    <row r="101" spans="2:5" x14ac:dyDescent="0.2">
      <c r="B101" t="str">
        <v>Greenfield, Mr. William Bertram</v>
      </c>
      <c r="C101">
        <v>23</v>
      </c>
      <c r="D101" t="str">
        <v>Hombre</v>
      </c>
      <c r="E101">
        <v>1</v>
      </c>
    </row>
    <row r="102" spans="2:5" x14ac:dyDescent="0.2">
      <c r="B102" t="str">
        <v>Doling, Mrs. John T (Ada Julia Bone)</v>
      </c>
      <c r="C102">
        <v>34</v>
      </c>
      <c r="D102" t="str">
        <v>Mujer</v>
      </c>
      <c r="E102">
        <v>1</v>
      </c>
    </row>
    <row r="103" spans="2:5" x14ac:dyDescent="0.2">
      <c r="B103" t="str">
        <v>Kantor, Mr. Sinai</v>
      </c>
      <c r="C103">
        <v>34</v>
      </c>
      <c r="D103" t="str">
        <v>Hombre</v>
      </c>
      <c r="E103">
        <v>0</v>
      </c>
    </row>
    <row r="104" spans="2:5" x14ac:dyDescent="0.2">
      <c r="B104" t="str">
        <v>Petranec, Miss. Matilda</v>
      </c>
      <c r="C104">
        <v>28</v>
      </c>
      <c r="D104" t="str">
        <v>Mujer</v>
      </c>
      <c r="E104">
        <v>0</v>
      </c>
    </row>
    <row r="105" spans="2:5" x14ac:dyDescent="0.2">
      <c r="B105" t="str">
        <v>Petroff, Mr. Pastcho ("Pentcho")</v>
      </c>
      <c r="C105">
        <v>0</v>
      </c>
      <c r="D105" t="str">
        <v>Hombre</v>
      </c>
      <c r="E105">
        <v>0</v>
      </c>
    </row>
    <row r="106" spans="2:5" x14ac:dyDescent="0.2">
      <c r="B106" t="str">
        <v>White, Mr. Richard Frasar</v>
      </c>
      <c r="C106">
        <v>21</v>
      </c>
      <c r="D106" t="str">
        <v>Hombre</v>
      </c>
      <c r="E106">
        <v>0</v>
      </c>
    </row>
    <row r="107" spans="2:5" x14ac:dyDescent="0.2">
      <c r="B107" t="str">
        <v>Johansson, Mr. Gustaf Joel</v>
      </c>
      <c r="C107">
        <v>33</v>
      </c>
      <c r="D107" t="str">
        <v>Hombre</v>
      </c>
      <c r="E107">
        <v>0</v>
      </c>
    </row>
    <row r="108" spans="2:5" x14ac:dyDescent="0.2">
      <c r="B108" t="str">
        <v>Gustafsson, Mr. Anders Vilhelm</v>
      </c>
      <c r="C108">
        <v>37</v>
      </c>
      <c r="D108" t="str">
        <v>Hombre</v>
      </c>
      <c r="E108">
        <v>0</v>
      </c>
    </row>
    <row r="109" spans="2:5" x14ac:dyDescent="0.2">
      <c r="B109" t="str">
        <v>Mionoff, Mr. Stoytcho</v>
      </c>
      <c r="C109">
        <v>28</v>
      </c>
      <c r="D109" t="str">
        <v>Hombre</v>
      </c>
      <c r="E109">
        <v>0</v>
      </c>
    </row>
    <row r="110" spans="2:5" x14ac:dyDescent="0.2">
      <c r="B110" t="str">
        <v>Salkjelsvik, Miss. Anna Kristine</v>
      </c>
      <c r="C110">
        <v>21</v>
      </c>
      <c r="D110" t="str">
        <v>Mujer</v>
      </c>
      <c r="E110">
        <v>1</v>
      </c>
    </row>
    <row r="111" spans="2:5" x14ac:dyDescent="0.2">
      <c r="B111" t="str">
        <v>Moss, Mr. Albert Johan</v>
      </c>
      <c r="C111">
        <v>0</v>
      </c>
      <c r="D111" t="str">
        <v>Hombre</v>
      </c>
      <c r="E111">
        <v>1</v>
      </c>
    </row>
    <row r="112" spans="2:5" x14ac:dyDescent="0.2">
      <c r="B112" t="str">
        <v>Rekic, Mr. Tido</v>
      </c>
      <c r="C112">
        <v>38</v>
      </c>
      <c r="D112" t="str">
        <v>Hombre</v>
      </c>
      <c r="E112">
        <v>0</v>
      </c>
    </row>
    <row r="113" spans="2:5" x14ac:dyDescent="0.2">
      <c r="B113" t="str">
        <v>Moran, Miss. Bertha</v>
      </c>
      <c r="C113">
        <v>0</v>
      </c>
      <c r="D113" t="str">
        <v>Mujer</v>
      </c>
      <c r="E113">
        <v>1</v>
      </c>
    </row>
    <row r="114" spans="2:5" x14ac:dyDescent="0.2">
      <c r="B114" t="str">
        <v>Porter, Mr. Walter Chamberlain</v>
      </c>
      <c r="C114">
        <v>47</v>
      </c>
      <c r="D114" t="str">
        <v>Hombre</v>
      </c>
      <c r="E114">
        <v>0</v>
      </c>
    </row>
    <row r="115" spans="2:5" x14ac:dyDescent="0.2">
      <c r="B115" t="str">
        <v>Zabour, Miss. Hileni</v>
      </c>
      <c r="C115">
        <v>145</v>
      </c>
      <c r="D115" t="str">
        <v>Mujer</v>
      </c>
      <c r="E115">
        <v>0</v>
      </c>
    </row>
    <row r="116" spans="2:5" x14ac:dyDescent="0.2">
      <c r="B116" t="str">
        <v>Barton, Mr. David John</v>
      </c>
      <c r="C116">
        <v>22</v>
      </c>
      <c r="D116" t="str">
        <v>Hombre</v>
      </c>
      <c r="E116">
        <v>0</v>
      </c>
    </row>
    <row r="117" spans="2:5" x14ac:dyDescent="0.2">
      <c r="B117" t="str">
        <v>Jussila, Miss. Katriina</v>
      </c>
      <c r="C117">
        <v>20</v>
      </c>
      <c r="D117" t="str">
        <v>Mujer</v>
      </c>
      <c r="E117">
        <v>0</v>
      </c>
    </row>
    <row r="118" spans="2:5" x14ac:dyDescent="0.2">
      <c r="B118" t="str">
        <v>Attalah, Miss. Malake</v>
      </c>
      <c r="C118">
        <v>17</v>
      </c>
      <c r="D118" t="str">
        <v>Mujer</v>
      </c>
      <c r="E118">
        <v>0</v>
      </c>
    </row>
    <row r="119" spans="2:5" x14ac:dyDescent="0.2">
      <c r="B119" t="str">
        <v>Pekoniemi, Mr. Edvard</v>
      </c>
      <c r="C119">
        <v>21</v>
      </c>
      <c r="D119" t="str">
        <v>Hombre</v>
      </c>
      <c r="E119">
        <v>0</v>
      </c>
    </row>
    <row r="120" spans="2:5" x14ac:dyDescent="0.2">
      <c r="B120" t="str">
        <v>Connors, Mr. Patrick</v>
      </c>
      <c r="C120">
        <v>705</v>
      </c>
      <c r="D120" t="str">
        <v>Hombre</v>
      </c>
      <c r="E120">
        <v>0</v>
      </c>
    </row>
    <row r="121" spans="2:5" x14ac:dyDescent="0.2">
      <c r="B121" t="str">
        <v>Turpin, Mr. William John Robert</v>
      </c>
      <c r="C121">
        <v>29</v>
      </c>
      <c r="D121" t="str">
        <v>Hombre</v>
      </c>
      <c r="E121">
        <v>0</v>
      </c>
    </row>
    <row r="122" spans="2:5" x14ac:dyDescent="0.2">
      <c r="B122" t="str">
        <v>Baxter, Mr. Quigg Edmond</v>
      </c>
      <c r="C122">
        <v>24</v>
      </c>
      <c r="D122" t="str">
        <v>Hombre</v>
      </c>
      <c r="E122">
        <v>0</v>
      </c>
    </row>
    <row r="123" spans="2:5" x14ac:dyDescent="0.2">
      <c r="B123" t="str">
        <v>Andersson, Miss. Ellis Anna Maria</v>
      </c>
      <c r="C123">
        <v>2</v>
      </c>
      <c r="D123" t="str">
        <v>Mujer</v>
      </c>
      <c r="E123">
        <v>0</v>
      </c>
    </row>
    <row r="124" spans="2:5" x14ac:dyDescent="0.2">
      <c r="B124" t="str">
        <v>Hickman, Mr. Stanley George</v>
      </c>
      <c r="C124">
        <v>21</v>
      </c>
      <c r="D124" t="str">
        <v>Hombre</v>
      </c>
      <c r="E124">
        <v>0</v>
      </c>
    </row>
    <row r="125" spans="2:5" x14ac:dyDescent="0.2">
      <c r="B125" t="str">
        <v>Moore, Mr. Leonard Charles</v>
      </c>
      <c r="C125">
        <v>0</v>
      </c>
      <c r="D125" t="str">
        <v>Hombre</v>
      </c>
      <c r="E125">
        <v>0</v>
      </c>
    </row>
    <row r="126" spans="2:5" x14ac:dyDescent="0.2">
      <c r="B126" t="str">
        <v>Nasser, Mr. Nicholas</v>
      </c>
      <c r="C126">
        <v>325</v>
      </c>
      <c r="D126" t="str">
        <v>Hombre</v>
      </c>
      <c r="E126">
        <v>0</v>
      </c>
    </row>
    <row r="127" spans="2:5" x14ac:dyDescent="0.2">
      <c r="B127" t="str">
        <v>Webber, Miss. Susan</v>
      </c>
      <c r="C127">
        <v>325</v>
      </c>
      <c r="D127" t="str">
        <v>Mujer</v>
      </c>
      <c r="E127">
        <v>1</v>
      </c>
    </row>
    <row r="128" spans="2:5" x14ac:dyDescent="0.2">
      <c r="B128" t="str">
        <v>White, Mr. Percival Wayland</v>
      </c>
      <c r="C128">
        <v>54</v>
      </c>
      <c r="D128" t="str">
        <v>Hombre</v>
      </c>
      <c r="E128">
        <v>0</v>
      </c>
    </row>
    <row r="129" spans="2:5" x14ac:dyDescent="0.2">
      <c r="B129" t="str">
        <v>Nicola-Yarred, Master. Elias</v>
      </c>
      <c r="C129">
        <v>12</v>
      </c>
      <c r="D129" t="str">
        <v>Hombre</v>
      </c>
      <c r="E129">
        <v>1</v>
      </c>
    </row>
    <row r="130" spans="2:5" x14ac:dyDescent="0.2">
      <c r="B130" t="str">
        <v>McMahon, Mr. Martin</v>
      </c>
      <c r="C130">
        <v>0</v>
      </c>
      <c r="D130" t="str">
        <v>Hombre</v>
      </c>
      <c r="E130">
        <v>0</v>
      </c>
    </row>
    <row r="131" spans="2:5" x14ac:dyDescent="0.2">
      <c r="B131" t="str">
        <v>Madsen, Mr. Fridtjof Arne</v>
      </c>
      <c r="C131">
        <v>24</v>
      </c>
      <c r="D131" t="str">
        <v>Hombre</v>
      </c>
      <c r="E131">
        <v>1</v>
      </c>
    </row>
    <row r="132" spans="2:5" x14ac:dyDescent="0.2">
      <c r="B132" t="str">
        <v>Peter, Miss. Anna</v>
      </c>
      <c r="C132">
        <v>0</v>
      </c>
      <c r="D132" t="str">
        <v>Mujer</v>
      </c>
      <c r="E132">
        <v>1</v>
      </c>
    </row>
    <row r="133" spans="2:5" x14ac:dyDescent="0.2">
      <c r="B133" t="str">
        <v>Ekstrom, Mr. Johan</v>
      </c>
      <c r="C133">
        <v>45</v>
      </c>
      <c r="D133" t="str">
        <v>Hombre</v>
      </c>
      <c r="E133">
        <v>0</v>
      </c>
    </row>
    <row r="134" spans="2:5" x14ac:dyDescent="0.2">
      <c r="B134" t="str">
        <v>Drazenoic, Mr. Jozef</v>
      </c>
      <c r="C134">
        <v>33</v>
      </c>
      <c r="D134" t="str">
        <v>Hombre</v>
      </c>
      <c r="E134">
        <v>0</v>
      </c>
    </row>
    <row r="135" spans="2:5" x14ac:dyDescent="0.2">
      <c r="B135" t="str">
        <v>Coelho, Mr. Domingos Fernandeo</v>
      </c>
      <c r="C135">
        <v>20</v>
      </c>
      <c r="D135" t="str">
        <v>Hombre</v>
      </c>
      <c r="E135">
        <v>0</v>
      </c>
    </row>
    <row r="136" spans="2:5" x14ac:dyDescent="0.2">
      <c r="B136" t="str">
        <v>Robins, Mrs. Alexander A (Grace Charity Laury)</v>
      </c>
      <c r="C136">
        <v>47</v>
      </c>
      <c r="D136" t="str">
        <v>Mujer</v>
      </c>
      <c r="E136">
        <v>0</v>
      </c>
    </row>
    <row r="137" spans="2:5" x14ac:dyDescent="0.2">
      <c r="B137" t="str">
        <v>Weisz, Mrs. Leopold (Mathilde Francoise Pede)</v>
      </c>
      <c r="C137">
        <v>29</v>
      </c>
      <c r="D137" t="str">
        <v>Mujer</v>
      </c>
      <c r="E137">
        <v>1</v>
      </c>
    </row>
    <row r="138" spans="2:5" x14ac:dyDescent="0.2">
      <c r="B138" t="str">
        <v>Sobey, Mr. Samuel James Hayden</v>
      </c>
      <c r="C138">
        <v>25</v>
      </c>
      <c r="D138" t="str">
        <v>Hombre</v>
      </c>
      <c r="E138">
        <v>0</v>
      </c>
    </row>
    <row r="139" spans="2:5" x14ac:dyDescent="0.2">
      <c r="B139" t="str">
        <v>Richard, Mr. Emile</v>
      </c>
      <c r="C139">
        <v>23</v>
      </c>
      <c r="D139" t="str">
        <v>Hombre</v>
      </c>
      <c r="E139">
        <v>0</v>
      </c>
    </row>
    <row r="140" spans="2:5" x14ac:dyDescent="0.2">
      <c r="B140" t="str">
        <v>Newsom, Miss. Helen Monypeny</v>
      </c>
      <c r="C140">
        <v>19</v>
      </c>
      <c r="D140" t="str">
        <v>Mujer</v>
      </c>
      <c r="E140">
        <v>1</v>
      </c>
    </row>
    <row r="141" spans="2:5" x14ac:dyDescent="0.2">
      <c r="B141" t="str">
        <v>Futrelle, Mr. Jacques Heath</v>
      </c>
      <c r="C141">
        <v>37</v>
      </c>
      <c r="D141" t="str">
        <v>Hombre</v>
      </c>
      <c r="E141">
        <v>0</v>
      </c>
    </row>
    <row r="142" spans="2:5" x14ac:dyDescent="0.2">
      <c r="B142" t="str">
        <v>Osen, Mr. Olaf Elon</v>
      </c>
      <c r="C142">
        <v>16</v>
      </c>
      <c r="D142" t="str">
        <v>Hombre</v>
      </c>
      <c r="E142">
        <v>0</v>
      </c>
    </row>
    <row r="143" spans="2:5" x14ac:dyDescent="0.2">
      <c r="B143" t="str">
        <v>Giglio, Mr. Victor</v>
      </c>
      <c r="C143">
        <v>24</v>
      </c>
      <c r="D143" t="str">
        <v>Hombre</v>
      </c>
      <c r="E143">
        <v>0</v>
      </c>
    </row>
    <row r="144" spans="2:5" x14ac:dyDescent="0.2">
      <c r="B144" t="str">
        <v>Boulos, Mrs. Joseph (Sultana)</v>
      </c>
      <c r="C144">
        <v>0</v>
      </c>
      <c r="D144" t="str">
        <v>Mujer</v>
      </c>
      <c r="E144">
        <v>0</v>
      </c>
    </row>
    <row r="145" spans="2:5" x14ac:dyDescent="0.2">
      <c r="B145" t="str">
        <v>Nysten, Miss. Anna Sofia</v>
      </c>
      <c r="C145">
        <v>22</v>
      </c>
      <c r="D145" t="str">
        <v>Mujer</v>
      </c>
      <c r="E145">
        <v>1</v>
      </c>
    </row>
    <row r="146" spans="2:5" x14ac:dyDescent="0.2">
      <c r="B146" t="str">
        <v>Hakkarainen, Mrs. Pekka Pietari (Elin Matilda Dolck)</v>
      </c>
      <c r="C146">
        <v>24</v>
      </c>
      <c r="D146" t="str">
        <v>Mujer</v>
      </c>
      <c r="E146">
        <v>1</v>
      </c>
    </row>
    <row r="147" spans="2:5" x14ac:dyDescent="0.2">
      <c r="B147" t="str">
        <v>Burke, Mr. Jeremiah</v>
      </c>
      <c r="C147">
        <v>19</v>
      </c>
      <c r="D147" t="str">
        <v>Hombre</v>
      </c>
      <c r="E147">
        <v>0</v>
      </c>
    </row>
    <row r="148" spans="2:5" x14ac:dyDescent="0.2">
      <c r="B148" t="str">
        <v>Andrew, Mr. Edgardo Samuel</v>
      </c>
      <c r="C148">
        <v>18</v>
      </c>
      <c r="D148" t="str">
        <v>Hombre</v>
      </c>
      <c r="E148">
        <v>0</v>
      </c>
    </row>
    <row r="149" spans="2:5" x14ac:dyDescent="0.2">
      <c r="B149" t="str">
        <v>Nicholls, Mr. Joseph Charles</v>
      </c>
      <c r="C149">
        <v>19</v>
      </c>
      <c r="D149" t="str">
        <v>Hombre</v>
      </c>
      <c r="E149">
        <v>0</v>
      </c>
    </row>
    <row r="150" spans="2:5" x14ac:dyDescent="0.2">
      <c r="B150" t="str">
        <v>Andersson, Mr. August Edvard ("Wennerstrom")</v>
      </c>
      <c r="C150">
        <v>27</v>
      </c>
      <c r="D150" t="str">
        <v>Hombre</v>
      </c>
      <c r="E150">
        <v>1</v>
      </c>
    </row>
    <row r="151" spans="2:5" x14ac:dyDescent="0.2">
      <c r="B151" t="str">
        <v>Ford, Miss. Robina Maggie "Ruby"</v>
      </c>
      <c r="C151">
        <v>9</v>
      </c>
      <c r="D151" t="str">
        <v>Mujer</v>
      </c>
      <c r="E151">
        <v>0</v>
      </c>
    </row>
    <row r="152" spans="2:5" x14ac:dyDescent="0.2">
      <c r="B152" t="str">
        <v>Navratil, Mr. Michel ("Louis M Hoffman")</v>
      </c>
      <c r="C152">
        <v>365</v>
      </c>
      <c r="D152" t="str">
        <v>Hombre</v>
      </c>
      <c r="E152">
        <v>0</v>
      </c>
    </row>
    <row r="153" spans="2:5" x14ac:dyDescent="0.2">
      <c r="B153" t="str">
        <v>Byles, Rev. Thomas Roussel Davids</v>
      </c>
      <c r="C153">
        <v>42</v>
      </c>
      <c r="D153" t="str">
        <v>Hombre</v>
      </c>
      <c r="E153">
        <v>0</v>
      </c>
    </row>
    <row r="154" spans="2:5" x14ac:dyDescent="0.2">
      <c r="B154" t="str">
        <v>Bateman, Rev. Robert James</v>
      </c>
      <c r="C154">
        <v>51</v>
      </c>
      <c r="D154" t="str">
        <v>Hombre</v>
      </c>
      <c r="E154">
        <v>0</v>
      </c>
    </row>
    <row r="155" spans="2:5" x14ac:dyDescent="0.2">
      <c r="B155" t="str">
        <v>Pears, Mrs. Thomas (Edith Wearne)</v>
      </c>
      <c r="C155">
        <v>22</v>
      </c>
      <c r="D155" t="str">
        <v>Mujer</v>
      </c>
      <c r="E155">
        <v>1</v>
      </c>
    </row>
    <row r="156" spans="2:5" x14ac:dyDescent="0.2">
      <c r="B156" t="str">
        <v>Meo, Mr. Alfonzo</v>
      </c>
      <c r="C156">
        <v>555</v>
      </c>
      <c r="D156" t="str">
        <v>Hombre</v>
      </c>
      <c r="E156">
        <v>0</v>
      </c>
    </row>
    <row r="157" spans="2:5" x14ac:dyDescent="0.2">
      <c r="B157" t="str">
        <v>van Billiard, Mr. Austin Blyler</v>
      </c>
      <c r="C157">
        <v>405</v>
      </c>
      <c r="D157" t="str">
        <v>Hombre</v>
      </c>
      <c r="E157">
        <v>0</v>
      </c>
    </row>
    <row r="158" spans="2:5" x14ac:dyDescent="0.2">
      <c r="B158" t="str">
        <v>Olsen, Mr. Ole Martin</v>
      </c>
      <c r="C158">
        <v>0</v>
      </c>
      <c r="D158" t="str">
        <v>Hombre</v>
      </c>
      <c r="E158">
        <v>0</v>
      </c>
    </row>
    <row r="159" spans="2:5" x14ac:dyDescent="0.2">
      <c r="B159" t="str">
        <v>Williams, Mr. Charles Duane</v>
      </c>
      <c r="C159">
        <v>51</v>
      </c>
      <c r="D159" t="str">
        <v>Hombre</v>
      </c>
      <c r="E159">
        <v>0</v>
      </c>
    </row>
    <row r="160" spans="2:5" x14ac:dyDescent="0.2">
      <c r="B160" t="str">
        <v>Gilnagh, Miss. Katherine "Katie"</v>
      </c>
      <c r="C160">
        <v>16</v>
      </c>
      <c r="D160" t="str">
        <v>Mujer</v>
      </c>
      <c r="E160">
        <v>1</v>
      </c>
    </row>
    <row r="161" spans="2:5" x14ac:dyDescent="0.2">
      <c r="B161" t="str">
        <v>Corn, Mr. Harry</v>
      </c>
      <c r="C161">
        <v>30</v>
      </c>
      <c r="D161" t="str">
        <v>Hombre</v>
      </c>
      <c r="E161">
        <v>0</v>
      </c>
    </row>
    <row r="162" spans="2:5" x14ac:dyDescent="0.2">
      <c r="B162" t="str">
        <v>Smiljanic, Mr. Mile</v>
      </c>
      <c r="C162">
        <v>0</v>
      </c>
      <c r="D162" t="str">
        <v>Hombre</v>
      </c>
      <c r="E162">
        <v>0</v>
      </c>
    </row>
    <row r="163" spans="2:5" x14ac:dyDescent="0.2">
      <c r="B163" t="str">
        <v>Sage, Master. Thomas Henry</v>
      </c>
      <c r="C163">
        <v>0</v>
      </c>
      <c r="D163" t="str">
        <v>Hombre</v>
      </c>
      <c r="E163">
        <v>0</v>
      </c>
    </row>
    <row r="164" spans="2:5" x14ac:dyDescent="0.2">
      <c r="B164" t="str">
        <v>Cribb, Mr. John Hatfield</v>
      </c>
      <c r="C164">
        <v>44</v>
      </c>
      <c r="D164" t="str">
        <v>Hombre</v>
      </c>
      <c r="E164">
        <v>0</v>
      </c>
    </row>
    <row r="165" spans="2:5" x14ac:dyDescent="0.2">
      <c r="B165" t="str">
        <v>Watt, Mrs. James (Elizabeth "Bessie" Inglis Milne)</v>
      </c>
      <c r="C165">
        <v>40</v>
      </c>
      <c r="D165" t="str">
        <v>Mujer</v>
      </c>
      <c r="E165">
        <v>1</v>
      </c>
    </row>
    <row r="166" spans="2:5" x14ac:dyDescent="0.2">
      <c r="B166" t="str">
        <v>Bengtsson, Mr. John Viktor</v>
      </c>
      <c r="C166">
        <v>26</v>
      </c>
      <c r="D166" t="str">
        <v>Hombre</v>
      </c>
      <c r="E166">
        <v>0</v>
      </c>
    </row>
    <row r="167" spans="2:5" x14ac:dyDescent="0.2">
      <c r="B167" t="str">
        <v>Calic, Mr. Jovo</v>
      </c>
      <c r="C167">
        <v>17</v>
      </c>
      <c r="D167" t="str">
        <v>Hombre</v>
      </c>
      <c r="E167">
        <v>0</v>
      </c>
    </row>
    <row r="168" spans="2:5" x14ac:dyDescent="0.2">
      <c r="B168" t="str">
        <v>Panula, Master. Eino Viljami</v>
      </c>
      <c r="C168">
        <v>1</v>
      </c>
      <c r="D168" t="str">
        <v>Hombre</v>
      </c>
      <c r="E168">
        <v>0</v>
      </c>
    </row>
    <row r="169" spans="2:5" x14ac:dyDescent="0.2">
      <c r="B169" t="str">
        <v>Goldsmith, Master. Frank John William "Frankie"</v>
      </c>
      <c r="C169">
        <v>9</v>
      </c>
      <c r="D169" t="str">
        <v>Hombre</v>
      </c>
      <c r="E169">
        <v>1</v>
      </c>
    </row>
    <row r="170" spans="2:5" x14ac:dyDescent="0.2">
      <c r="B170" t="str">
        <v>Chibnall, Mrs. (Edith Martha Bowerman)</v>
      </c>
      <c r="C170">
        <v>0</v>
      </c>
      <c r="D170" t="str">
        <v>Mujer</v>
      </c>
      <c r="E170">
        <v>1</v>
      </c>
    </row>
    <row r="171" spans="2:5" x14ac:dyDescent="0.2">
      <c r="B171" t="str">
        <v>Skoog, Mrs. William (Anna Bernhardina Karlsson)</v>
      </c>
      <c r="C171">
        <v>45</v>
      </c>
      <c r="D171" t="str">
        <v>Mujer</v>
      </c>
      <c r="E171">
        <v>0</v>
      </c>
    </row>
    <row r="172" spans="2:5" x14ac:dyDescent="0.2">
      <c r="B172" t="str">
        <v>Baumann, Mr. John D</v>
      </c>
      <c r="C172">
        <v>0</v>
      </c>
      <c r="D172" t="str">
        <v>Hombre</v>
      </c>
      <c r="E172">
        <v>0</v>
      </c>
    </row>
    <row r="173" spans="2:5" x14ac:dyDescent="0.2">
      <c r="B173" t="str">
        <v>Ling, Mr. Lee</v>
      </c>
      <c r="C173">
        <v>28</v>
      </c>
      <c r="D173" t="str">
        <v>Hombre</v>
      </c>
      <c r="E173">
        <v>0</v>
      </c>
    </row>
    <row r="174" spans="2:5" x14ac:dyDescent="0.2">
      <c r="B174" t="str">
        <v>Van der hoef, Mr. Wyckoff</v>
      </c>
      <c r="C174">
        <v>61</v>
      </c>
      <c r="D174" t="str">
        <v>Hombre</v>
      </c>
      <c r="E174">
        <v>0</v>
      </c>
    </row>
    <row r="175" spans="2:5" x14ac:dyDescent="0.2">
      <c r="B175" t="str">
        <v>Rice, Master. Arthur</v>
      </c>
      <c r="C175">
        <v>4</v>
      </c>
      <c r="D175" t="str">
        <v>Hombre</v>
      </c>
      <c r="E175">
        <v>0</v>
      </c>
    </row>
    <row r="176" spans="2:5" x14ac:dyDescent="0.2">
      <c r="B176" t="str">
        <v>Johnson, Miss. Eleanor Ileen</v>
      </c>
      <c r="C176">
        <v>1</v>
      </c>
      <c r="D176" t="str">
        <v>Mujer</v>
      </c>
      <c r="E176">
        <v>1</v>
      </c>
    </row>
    <row r="177" spans="2:5" x14ac:dyDescent="0.2">
      <c r="B177" t="str">
        <v>Sivola, Mr. Antti Wilhelm</v>
      </c>
      <c r="C177">
        <v>21</v>
      </c>
      <c r="D177" t="str">
        <v>Hombre</v>
      </c>
      <c r="E177">
        <v>0</v>
      </c>
    </row>
    <row r="178" spans="2:5" x14ac:dyDescent="0.2">
      <c r="B178" t="str">
        <v>Smith, Mr. James Clinch</v>
      </c>
      <c r="C178">
        <v>56</v>
      </c>
      <c r="D178" t="str">
        <v>Hombre</v>
      </c>
      <c r="E178">
        <v>0</v>
      </c>
    </row>
    <row r="179" spans="2:5" x14ac:dyDescent="0.2">
      <c r="B179" t="str">
        <v>Klasen, Mr. Klas Albin</v>
      </c>
      <c r="C179">
        <v>18</v>
      </c>
      <c r="D179" t="str">
        <v>Hombre</v>
      </c>
      <c r="E179">
        <v>0</v>
      </c>
    </row>
    <row r="180" spans="2:5" x14ac:dyDescent="0.2">
      <c r="B180" t="str">
        <v>Lefebre, Master. Henry Forbes</v>
      </c>
      <c r="C180">
        <v>0</v>
      </c>
      <c r="D180" t="str">
        <v>Hombre</v>
      </c>
      <c r="E180">
        <v>0</v>
      </c>
    </row>
    <row r="181" spans="2:5" x14ac:dyDescent="0.2">
      <c r="B181" t="str">
        <v>Isham, Miss. Ann Elizabeth</v>
      </c>
      <c r="C181">
        <v>50</v>
      </c>
      <c r="D181" t="str">
        <v>Mujer</v>
      </c>
      <c r="E181">
        <v>0</v>
      </c>
    </row>
    <row r="182" spans="2:5" x14ac:dyDescent="0.2">
      <c r="B182" t="str">
        <v>Hale, Mr. Reginald</v>
      </c>
      <c r="C182">
        <v>30</v>
      </c>
      <c r="D182" t="str">
        <v>Hombre</v>
      </c>
      <c r="E182">
        <v>0</v>
      </c>
    </row>
    <row r="183" spans="2:5" x14ac:dyDescent="0.2">
      <c r="B183" t="str">
        <v>Leonard, Mr. Lionel</v>
      </c>
      <c r="C183">
        <v>36</v>
      </c>
      <c r="D183" t="str">
        <v>Hombre</v>
      </c>
      <c r="E183">
        <v>0</v>
      </c>
    </row>
    <row r="184" spans="2:5" x14ac:dyDescent="0.2">
      <c r="B184" t="str">
        <v>Sage, Miss. Constance Gladys</v>
      </c>
      <c r="C184">
        <v>0</v>
      </c>
      <c r="D184" t="str">
        <v>Mujer</v>
      </c>
      <c r="E184">
        <v>0</v>
      </c>
    </row>
    <row r="185" spans="2:5" x14ac:dyDescent="0.2">
      <c r="B185" t="str">
        <v>Pernot, Mr. Rene</v>
      </c>
      <c r="C185">
        <v>0</v>
      </c>
      <c r="D185" t="str">
        <v>Hombre</v>
      </c>
      <c r="E185">
        <v>0</v>
      </c>
    </row>
    <row r="186" spans="2:5" x14ac:dyDescent="0.2">
      <c r="B186" t="str">
        <v>Asplund, Master. Clarence Gustaf Hugo</v>
      </c>
      <c r="C186">
        <v>9</v>
      </c>
      <c r="D186" t="str">
        <v>Hombre</v>
      </c>
      <c r="E186">
        <v>0</v>
      </c>
    </row>
    <row r="187" spans="2:5" x14ac:dyDescent="0.2">
      <c r="B187" t="str">
        <v>Becker, Master. Richard F</v>
      </c>
      <c r="C187">
        <v>1</v>
      </c>
      <c r="D187" t="str">
        <v>Hombre</v>
      </c>
      <c r="E187">
        <v>1</v>
      </c>
    </row>
    <row r="188" spans="2:5" x14ac:dyDescent="0.2">
      <c r="B188" t="str">
        <v>Kink-Heilmann, Miss. Luise Gretchen</v>
      </c>
      <c r="C188">
        <v>4</v>
      </c>
      <c r="D188" t="str">
        <v>Mujer</v>
      </c>
      <c r="E188">
        <v>1</v>
      </c>
    </row>
    <row r="189" spans="2:5" x14ac:dyDescent="0.2">
      <c r="B189" t="str">
        <v>Rood, Mr. Hugh Roscoe</v>
      </c>
      <c r="C189">
        <v>0</v>
      </c>
      <c r="D189" t="str">
        <v>Hombre</v>
      </c>
      <c r="E189">
        <v>0</v>
      </c>
    </row>
    <row r="190" spans="2:5" x14ac:dyDescent="0.2">
      <c r="B190" t="str">
        <v>O'Brien, Mrs. Thomas (Johanna "Hannah" Godfrey)</v>
      </c>
      <c r="C190">
        <v>0</v>
      </c>
      <c r="D190" t="str">
        <v>Mujer</v>
      </c>
      <c r="E190">
        <v>1</v>
      </c>
    </row>
    <row r="191" spans="2:5" x14ac:dyDescent="0.2">
      <c r="B191" t="str">
        <v>Romaine, Mr. Charles Hallace ("Mr C Rolmane")</v>
      </c>
      <c r="C191">
        <v>45</v>
      </c>
      <c r="D191" t="str">
        <v>Hombre</v>
      </c>
      <c r="E191">
        <v>1</v>
      </c>
    </row>
    <row r="192" spans="2:5" x14ac:dyDescent="0.2">
      <c r="B192" t="str">
        <v>Bourke, Mr. John</v>
      </c>
      <c r="C192">
        <v>40</v>
      </c>
      <c r="D192" t="str">
        <v>Hombre</v>
      </c>
      <c r="E192">
        <v>0</v>
      </c>
    </row>
    <row r="193" spans="2:5" x14ac:dyDescent="0.2">
      <c r="B193" t="str">
        <v>Turcin, Mr. Stjepan</v>
      </c>
      <c r="C193">
        <v>36</v>
      </c>
      <c r="D193" t="str">
        <v>Hombre</v>
      </c>
      <c r="E193">
        <v>0</v>
      </c>
    </row>
    <row r="194" spans="2:5" x14ac:dyDescent="0.2">
      <c r="B194" t="str">
        <v>Pinsky, Mrs. (Rosa)</v>
      </c>
      <c r="C194">
        <v>32</v>
      </c>
      <c r="D194" t="str">
        <v>Mujer</v>
      </c>
      <c r="E194">
        <v>1</v>
      </c>
    </row>
    <row r="195" spans="2:5" x14ac:dyDescent="0.2">
      <c r="B195" t="str">
        <v>Carbines, Mr. William</v>
      </c>
      <c r="C195">
        <v>19</v>
      </c>
      <c r="D195" t="str">
        <v>Hombre</v>
      </c>
      <c r="E195">
        <v>0</v>
      </c>
    </row>
    <row r="196" spans="2:5" x14ac:dyDescent="0.2">
      <c r="B196" t="str">
        <v>Andersen-Jensen, Miss. Carla Christine Nielsine</v>
      </c>
      <c r="C196">
        <v>19</v>
      </c>
      <c r="D196" t="str">
        <v>Mujer</v>
      </c>
      <c r="E196">
        <v>1</v>
      </c>
    </row>
    <row r="197" spans="2:5" x14ac:dyDescent="0.2">
      <c r="B197" t="str">
        <v>Navratil, Master. Michel M</v>
      </c>
      <c r="C197">
        <v>3</v>
      </c>
      <c r="D197" t="str">
        <v>Hombre</v>
      </c>
      <c r="E197">
        <v>1</v>
      </c>
    </row>
    <row r="198" spans="2:5" x14ac:dyDescent="0.2">
      <c r="B198" t="str">
        <v>Brown, Mrs. James Joseph (Margaret Tobin)</v>
      </c>
      <c r="C198">
        <v>44</v>
      </c>
      <c r="D198" t="str">
        <v>Mujer</v>
      </c>
      <c r="E198">
        <v>1</v>
      </c>
    </row>
    <row r="199" spans="2:5" x14ac:dyDescent="0.2">
      <c r="B199" t="str">
        <v>Lurette, Miss. Elise</v>
      </c>
      <c r="C199">
        <v>58</v>
      </c>
      <c r="D199" t="str">
        <v>Mujer</v>
      </c>
      <c r="E199">
        <v>1</v>
      </c>
    </row>
    <row r="200" spans="2:5" x14ac:dyDescent="0.2">
      <c r="B200" t="str">
        <v>Mernagh, Mr. Robert</v>
      </c>
      <c r="C200">
        <v>0</v>
      </c>
      <c r="D200" t="str">
        <v>Hombre</v>
      </c>
      <c r="E200">
        <v>0</v>
      </c>
    </row>
    <row r="201" spans="2:5" x14ac:dyDescent="0.2">
      <c r="B201" t="str">
        <v>Olsen, Mr. Karl Siegwart Andreas</v>
      </c>
      <c r="C201">
        <v>42</v>
      </c>
      <c r="D201" t="str">
        <v>Hombre</v>
      </c>
      <c r="E201">
        <v>0</v>
      </c>
    </row>
    <row r="202" spans="2:5" x14ac:dyDescent="0.2">
      <c r="B202" t="str">
        <v>Madigan, Miss. Margaret "Maggie"</v>
      </c>
      <c r="C202">
        <v>0</v>
      </c>
      <c r="D202" t="str">
        <v>Mujer</v>
      </c>
      <c r="E202">
        <v>1</v>
      </c>
    </row>
    <row r="203" spans="2:5" x14ac:dyDescent="0.2">
      <c r="B203" t="str">
        <v>Yrois, Miss. Henriette ("Mrs Harbeck")</v>
      </c>
      <c r="C203">
        <v>24</v>
      </c>
      <c r="D203" t="str">
        <v>Mujer</v>
      </c>
      <c r="E203">
        <v>0</v>
      </c>
    </row>
    <row r="204" spans="2:5" x14ac:dyDescent="0.2">
      <c r="B204" t="str">
        <v>Vande Walle, Mr. Nestor Cyriel</v>
      </c>
      <c r="C204">
        <v>28</v>
      </c>
      <c r="D204" t="str">
        <v>Hombre</v>
      </c>
      <c r="E204">
        <v>0</v>
      </c>
    </row>
    <row r="205" spans="2:5" x14ac:dyDescent="0.2">
      <c r="B205" t="str">
        <v>Sage, Mr. Frederick</v>
      </c>
      <c r="C205">
        <v>0</v>
      </c>
      <c r="D205" t="str">
        <v>Hombre</v>
      </c>
      <c r="E205">
        <v>0</v>
      </c>
    </row>
    <row r="206" spans="2:5" x14ac:dyDescent="0.2">
      <c r="B206" t="str">
        <v>Johanson, Mr. Jakob Alfred</v>
      </c>
      <c r="C206">
        <v>34</v>
      </c>
      <c r="D206" t="str">
        <v>Hombre</v>
      </c>
      <c r="E206">
        <v>0</v>
      </c>
    </row>
    <row r="207" spans="2:5" x14ac:dyDescent="0.2">
      <c r="B207" t="str">
        <v>Youseff, Mr. Gerious</v>
      </c>
      <c r="C207">
        <v>455</v>
      </c>
      <c r="D207" t="str">
        <v>Hombre</v>
      </c>
      <c r="E207">
        <v>0</v>
      </c>
    </row>
    <row r="208" spans="2:5" x14ac:dyDescent="0.2">
      <c r="B208" t="str">
        <v>Cohen, Mr. Gurshon "Gus"</v>
      </c>
      <c r="C208">
        <v>18</v>
      </c>
      <c r="D208" t="str">
        <v>Hombre</v>
      </c>
      <c r="E208">
        <v>1</v>
      </c>
    </row>
    <row r="209" spans="2:5" x14ac:dyDescent="0.2">
      <c r="B209" t="str">
        <v>Strom, Miss. Telma Matilda</v>
      </c>
      <c r="C209">
        <v>2</v>
      </c>
      <c r="D209" t="str">
        <v>Mujer</v>
      </c>
      <c r="E209">
        <v>0</v>
      </c>
    </row>
    <row r="210" spans="2:5" x14ac:dyDescent="0.2">
      <c r="B210" t="str">
        <v>Backstrom, Mr. Karl Alfred</v>
      </c>
      <c r="C210">
        <v>32</v>
      </c>
      <c r="D210" t="str">
        <v>Hombre</v>
      </c>
      <c r="E210">
        <v>0</v>
      </c>
    </row>
    <row r="211" spans="2:5" x14ac:dyDescent="0.2">
      <c r="B211" t="str">
        <v>Albimona, Mr. Nassef Cassem</v>
      </c>
      <c r="C211">
        <v>26</v>
      </c>
      <c r="D211" t="str">
        <v>Hombre</v>
      </c>
      <c r="E211">
        <v>1</v>
      </c>
    </row>
    <row r="212" spans="2:5" x14ac:dyDescent="0.2">
      <c r="B212" t="str">
        <v>Carr, Miss. Helen "Ellen"</v>
      </c>
      <c r="C212">
        <v>16</v>
      </c>
      <c r="D212" t="str">
        <v>Mujer</v>
      </c>
      <c r="E212">
        <v>1</v>
      </c>
    </row>
    <row r="213" spans="2:5" x14ac:dyDescent="0.2">
      <c r="B213" t="str">
        <v>Blank, Mr. Henry</v>
      </c>
      <c r="C213">
        <v>40</v>
      </c>
      <c r="D213" t="str">
        <v>Hombre</v>
      </c>
      <c r="E213">
        <v>1</v>
      </c>
    </row>
    <row r="214" spans="2:5" x14ac:dyDescent="0.2">
      <c r="B214" t="str">
        <v>Ali, Mr. Ahmed</v>
      </c>
      <c r="C214">
        <v>24</v>
      </c>
      <c r="D214" t="str">
        <v>Hombre</v>
      </c>
      <c r="E214">
        <v>0</v>
      </c>
    </row>
    <row r="215" spans="2:5" x14ac:dyDescent="0.2">
      <c r="B215" t="str">
        <v>Cameron, Miss. Clear Annie</v>
      </c>
      <c r="C215">
        <v>35</v>
      </c>
      <c r="D215" t="str">
        <v>Mujer</v>
      </c>
      <c r="E215">
        <v>1</v>
      </c>
    </row>
    <row r="216" spans="2:5" x14ac:dyDescent="0.2">
      <c r="B216" t="str">
        <v>Perkin, Mr. John Henry</v>
      </c>
      <c r="C216">
        <v>22</v>
      </c>
      <c r="D216" t="str">
        <v>Hombre</v>
      </c>
      <c r="E216">
        <v>0</v>
      </c>
    </row>
    <row r="217" spans="2:5" x14ac:dyDescent="0.2">
      <c r="B217" t="str">
        <v>Givard, Mr. Hans Kristensen</v>
      </c>
      <c r="C217">
        <v>30</v>
      </c>
      <c r="D217" t="str">
        <v>Hombre</v>
      </c>
      <c r="E217">
        <v>0</v>
      </c>
    </row>
    <row r="218" spans="2:5" x14ac:dyDescent="0.2">
      <c r="B218" t="str">
        <v>Kiernan, Mr. Philip</v>
      </c>
      <c r="C218">
        <v>0</v>
      </c>
      <c r="D218" t="str">
        <v>Hombre</v>
      </c>
      <c r="E218">
        <v>0</v>
      </c>
    </row>
    <row r="219" spans="2:5" x14ac:dyDescent="0.2">
      <c r="B219" t="str">
        <v>Newell, Miss. Madeleine</v>
      </c>
      <c r="C219">
        <v>31</v>
      </c>
      <c r="D219" t="str">
        <v>Mujer</v>
      </c>
      <c r="E219">
        <v>1</v>
      </c>
    </row>
    <row r="220" spans="2:5" x14ac:dyDescent="0.2">
      <c r="B220" t="str">
        <v>Honkanen, Miss. Eliina</v>
      </c>
      <c r="C220">
        <v>27</v>
      </c>
      <c r="D220" t="str">
        <v>Mujer</v>
      </c>
      <c r="E220">
        <v>1</v>
      </c>
    </row>
    <row r="221" spans="2:5" x14ac:dyDescent="0.2">
      <c r="B221" t="str">
        <v>Jacobsohn, Mr. Sidney Samuel</v>
      </c>
      <c r="C221">
        <v>42</v>
      </c>
      <c r="D221" t="str">
        <v>Hombre</v>
      </c>
      <c r="E221">
        <v>0</v>
      </c>
    </row>
    <row r="222" spans="2:5" x14ac:dyDescent="0.2">
      <c r="B222" t="str">
        <v>Bazzani, Miss. Albina</v>
      </c>
      <c r="C222">
        <v>32</v>
      </c>
      <c r="D222" t="str">
        <v>Mujer</v>
      </c>
      <c r="E222">
        <v>1</v>
      </c>
    </row>
    <row r="223" spans="2:5" x14ac:dyDescent="0.2">
      <c r="B223" t="str">
        <v>Harris, Mr. Walter</v>
      </c>
      <c r="C223">
        <v>30</v>
      </c>
      <c r="D223" t="str">
        <v>Hombre</v>
      </c>
      <c r="E223">
        <v>0</v>
      </c>
    </row>
    <row r="224" spans="2:5" x14ac:dyDescent="0.2">
      <c r="B224" t="str">
        <v>Sunderland, Mr. Victor Francis</v>
      </c>
      <c r="C224">
        <v>16</v>
      </c>
      <c r="D224" t="str">
        <v>Hombre</v>
      </c>
      <c r="E224">
        <v>1</v>
      </c>
    </row>
    <row r="225" spans="2:5" x14ac:dyDescent="0.2">
      <c r="B225" t="str">
        <v>Bracken, Mr. James H</v>
      </c>
      <c r="C225">
        <v>27</v>
      </c>
      <c r="D225" t="str">
        <v>Hombre</v>
      </c>
      <c r="E225">
        <v>0</v>
      </c>
    </row>
    <row r="226" spans="2:5" x14ac:dyDescent="0.2">
      <c r="B226" t="str">
        <v>Green, Mr. George Henry</v>
      </c>
      <c r="C226">
        <v>51</v>
      </c>
      <c r="D226" t="str">
        <v>Hombre</v>
      </c>
      <c r="E226">
        <v>0</v>
      </c>
    </row>
    <row r="227" spans="2:5" x14ac:dyDescent="0.2">
      <c r="B227" t="str">
        <v>Nenkoff, Mr. Christo</v>
      </c>
      <c r="C227">
        <v>0</v>
      </c>
      <c r="D227" t="str">
        <v>Hombre</v>
      </c>
      <c r="E227">
        <v>0</v>
      </c>
    </row>
    <row r="228" spans="2:5" x14ac:dyDescent="0.2">
      <c r="B228" t="str">
        <v>Hoyt, Mr. Frederick Maxfield</v>
      </c>
      <c r="C228">
        <v>38</v>
      </c>
      <c r="D228" t="str">
        <v>Hombre</v>
      </c>
      <c r="E228">
        <v>1</v>
      </c>
    </row>
    <row r="229" spans="2:5" x14ac:dyDescent="0.2">
      <c r="B229" t="str">
        <v>Berglund, Mr. Karl Ivar Sven</v>
      </c>
      <c r="C229">
        <v>22</v>
      </c>
      <c r="D229" t="str">
        <v>Hombre</v>
      </c>
      <c r="E229">
        <v>0</v>
      </c>
    </row>
    <row r="230" spans="2:5" x14ac:dyDescent="0.2">
      <c r="B230" t="str">
        <v>Mellors, Mr. William John</v>
      </c>
      <c r="C230">
        <v>19</v>
      </c>
      <c r="D230" t="str">
        <v>Hombre</v>
      </c>
      <c r="E230">
        <v>1</v>
      </c>
    </row>
    <row r="231" spans="2:5" x14ac:dyDescent="0.2">
      <c r="B231" t="str">
        <v>Lovell, Mr. John Hall ("Henry")</v>
      </c>
      <c r="C231">
        <v>205</v>
      </c>
      <c r="D231" t="str">
        <v>Hombre</v>
      </c>
      <c r="E231">
        <v>0</v>
      </c>
    </row>
    <row r="232" spans="2:5" x14ac:dyDescent="0.2">
      <c r="B232" t="str">
        <v>Fahlstrom, Mr. Arne Jonas</v>
      </c>
      <c r="C232">
        <v>18</v>
      </c>
      <c r="D232" t="str">
        <v>Hombre</v>
      </c>
      <c r="E232">
        <v>0</v>
      </c>
    </row>
    <row r="233" spans="2:5" x14ac:dyDescent="0.2">
      <c r="B233" t="str">
        <v>Lefebre, Miss. Mathilde</v>
      </c>
      <c r="C233">
        <v>0</v>
      </c>
      <c r="D233" t="str">
        <v>Mujer</v>
      </c>
      <c r="E233">
        <v>0</v>
      </c>
    </row>
    <row r="234" spans="2:5" x14ac:dyDescent="0.2">
      <c r="B234" t="str">
        <v>Harris, Mrs. Henry Birkhardt (Irene Wallach)</v>
      </c>
      <c r="C234">
        <v>35</v>
      </c>
      <c r="D234" t="str">
        <v>Mujer</v>
      </c>
      <c r="E234">
        <v>1</v>
      </c>
    </row>
    <row r="235" spans="2:5" x14ac:dyDescent="0.2">
      <c r="B235" t="str">
        <v>Larsson, Mr. Bengt Edvin</v>
      </c>
      <c r="C235">
        <v>29</v>
      </c>
      <c r="D235" t="str">
        <v>Hombre</v>
      </c>
      <c r="E235">
        <v>0</v>
      </c>
    </row>
    <row r="236" spans="2:5" x14ac:dyDescent="0.2">
      <c r="B236" t="str">
        <v>Sjostedt, Mr. Ernst Adolf</v>
      </c>
      <c r="C236">
        <v>59</v>
      </c>
      <c r="D236" t="str">
        <v>Hombre</v>
      </c>
      <c r="E236">
        <v>0</v>
      </c>
    </row>
    <row r="237" spans="2:5" x14ac:dyDescent="0.2">
      <c r="B237" t="str">
        <v>Asplund, Miss. Lillian Gertrud</v>
      </c>
      <c r="C237">
        <v>5</v>
      </c>
      <c r="D237" t="str">
        <v>Mujer</v>
      </c>
      <c r="E237">
        <v>1</v>
      </c>
    </row>
    <row r="238" spans="2:5" x14ac:dyDescent="0.2">
      <c r="B238" t="str">
        <v>Leyson, Mr. Robert William Norman</v>
      </c>
      <c r="C238">
        <v>24</v>
      </c>
      <c r="D238" t="str">
        <v>Hombre</v>
      </c>
      <c r="E238">
        <v>0</v>
      </c>
    </row>
    <row r="239" spans="2:5" x14ac:dyDescent="0.2">
      <c r="B239" t="str">
        <v>Harknett, Miss. Alice Phoebe</v>
      </c>
      <c r="C239">
        <v>0</v>
      </c>
      <c r="D239" t="str">
        <v>Mujer</v>
      </c>
      <c r="E239">
        <v>0</v>
      </c>
    </row>
    <row r="240" spans="2:5" x14ac:dyDescent="0.2">
      <c r="B240" t="str">
        <v>Hold, Mr. Stephen</v>
      </c>
      <c r="C240">
        <v>44</v>
      </c>
      <c r="D240" t="str">
        <v>Hombre</v>
      </c>
      <c r="E240">
        <v>0</v>
      </c>
    </row>
    <row r="241" spans="2:5" x14ac:dyDescent="0.2">
      <c r="B241" t="str">
        <v>Collyer, Miss. Marjorie "Lottie"</v>
      </c>
      <c r="C241">
        <v>8</v>
      </c>
      <c r="D241" t="str">
        <v>Mujer</v>
      </c>
      <c r="E241">
        <v>1</v>
      </c>
    </row>
    <row r="242" spans="2:5" x14ac:dyDescent="0.2">
      <c r="B242" t="str">
        <v>Pengelly, Mr. Frederick William</v>
      </c>
      <c r="C242">
        <v>19</v>
      </c>
      <c r="D242" t="str">
        <v>Hombre</v>
      </c>
      <c r="E242">
        <v>0</v>
      </c>
    </row>
    <row r="243" spans="2:5" x14ac:dyDescent="0.2">
      <c r="B243" t="str">
        <v>Hunt, Mr. George Henry</v>
      </c>
      <c r="C243">
        <v>33</v>
      </c>
      <c r="D243" t="str">
        <v>Hombre</v>
      </c>
      <c r="E243">
        <v>0</v>
      </c>
    </row>
    <row r="244" spans="2:5" x14ac:dyDescent="0.2">
      <c r="B244" t="str">
        <v>Zabour, Miss. Thamine</v>
      </c>
      <c r="C244">
        <v>0</v>
      </c>
      <c r="D244" t="str">
        <v>Mujer</v>
      </c>
      <c r="E244">
        <v>0</v>
      </c>
    </row>
    <row r="245" spans="2:5" x14ac:dyDescent="0.2">
      <c r="B245" t="str">
        <v>Murphy, Miss. Katherine "Kate"</v>
      </c>
      <c r="C245">
        <v>0</v>
      </c>
      <c r="D245" t="str">
        <v>Mujer</v>
      </c>
      <c r="E245">
        <v>1</v>
      </c>
    </row>
    <row r="246" spans="2:5" x14ac:dyDescent="0.2">
      <c r="B246" t="str">
        <v>Coleridge, Mr. Reginald Charles</v>
      </c>
      <c r="C246">
        <v>29</v>
      </c>
      <c r="D246" t="str">
        <v>Hombre</v>
      </c>
      <c r="E246">
        <v>0</v>
      </c>
    </row>
    <row r="247" spans="2:5" x14ac:dyDescent="0.2">
      <c r="B247" t="str">
        <v>Maenpaa, Mr. Matti Alexanteri</v>
      </c>
      <c r="C247">
        <v>22</v>
      </c>
      <c r="D247" t="str">
        <v>Hombre</v>
      </c>
      <c r="E247">
        <v>0</v>
      </c>
    </row>
    <row r="248" spans="2:5" x14ac:dyDescent="0.2">
      <c r="B248" t="str">
        <v>Attalah, Mr. Sleiman</v>
      </c>
      <c r="C248">
        <v>30</v>
      </c>
      <c r="D248" t="str">
        <v>Hombre</v>
      </c>
      <c r="E248">
        <v>0</v>
      </c>
    </row>
    <row r="249" spans="2:5" x14ac:dyDescent="0.2">
      <c r="B249" t="str">
        <v>Minahan, Dr. William Edward</v>
      </c>
      <c r="C249">
        <v>44</v>
      </c>
      <c r="D249" t="str">
        <v>Hombre</v>
      </c>
      <c r="E249">
        <v>0</v>
      </c>
    </row>
    <row r="250" spans="2:5" x14ac:dyDescent="0.2">
      <c r="B250" t="str">
        <v>Lindahl, Miss. Agda Thorilda Viktoria</v>
      </c>
      <c r="C250">
        <v>25</v>
      </c>
      <c r="D250" t="str">
        <v>Mujer</v>
      </c>
      <c r="E250">
        <v>0</v>
      </c>
    </row>
    <row r="251" spans="2:5" x14ac:dyDescent="0.2">
      <c r="B251" t="str">
        <v>Hamalainen, Mrs. William (Anna)</v>
      </c>
      <c r="C251">
        <v>24</v>
      </c>
      <c r="D251" t="str">
        <v>Mujer</v>
      </c>
      <c r="E251">
        <v>1</v>
      </c>
    </row>
    <row r="252" spans="2:5" x14ac:dyDescent="0.2">
      <c r="B252" t="str">
        <v>Beckwith, Mr. Richard Leonard</v>
      </c>
      <c r="C252">
        <v>37</v>
      </c>
      <c r="D252" t="str">
        <v>Hombre</v>
      </c>
      <c r="E252">
        <v>1</v>
      </c>
    </row>
    <row r="253" spans="2:5" x14ac:dyDescent="0.2">
      <c r="B253" t="str">
        <v>Carter, Rev. Ernest Courtenay</v>
      </c>
      <c r="C253">
        <v>54</v>
      </c>
      <c r="D253" t="str">
        <v>Hombre</v>
      </c>
      <c r="E253">
        <v>0</v>
      </c>
    </row>
    <row r="254" spans="2:5" x14ac:dyDescent="0.2">
      <c r="B254" t="str">
        <v>Reed, Mr. James George</v>
      </c>
      <c r="C254">
        <v>0</v>
      </c>
      <c r="D254" t="str">
        <v>Hombre</v>
      </c>
      <c r="E254">
        <v>0</v>
      </c>
    </row>
    <row r="255" spans="2:5" x14ac:dyDescent="0.2">
      <c r="B255" t="str">
        <v>Strom, Mrs. Wilhelm (Elna Matilda Persson)</v>
      </c>
      <c r="C255">
        <v>29</v>
      </c>
      <c r="D255" t="str">
        <v>Mujer</v>
      </c>
      <c r="E255">
        <v>0</v>
      </c>
    </row>
    <row r="256" spans="2:5" x14ac:dyDescent="0.2">
      <c r="B256" t="str">
        <v>Stead, Mr. William Thomas</v>
      </c>
      <c r="C256">
        <v>62</v>
      </c>
      <c r="D256" t="str">
        <v>Hombre</v>
      </c>
      <c r="E256">
        <v>0</v>
      </c>
    </row>
    <row r="257" spans="2:5" x14ac:dyDescent="0.2">
      <c r="B257" t="str">
        <v>Lobb, Mr. William Arthur</v>
      </c>
      <c r="C257">
        <v>30</v>
      </c>
      <c r="D257" t="str">
        <v>Hombre</v>
      </c>
      <c r="E257">
        <v>0</v>
      </c>
    </row>
    <row r="258" spans="2:5" x14ac:dyDescent="0.2">
      <c r="B258" t="str">
        <v>Rosblom, Mrs. Viktor (Helena Wilhelmina)</v>
      </c>
      <c r="C258">
        <v>41</v>
      </c>
      <c r="D258" t="str">
        <v>Mujer</v>
      </c>
      <c r="E258">
        <v>0</v>
      </c>
    </row>
    <row r="259" spans="2:5" x14ac:dyDescent="0.2">
      <c r="B259" t="str">
        <v>Touma, Mrs. Darwis (Hanne Youssef Razi)</v>
      </c>
      <c r="C259">
        <v>29</v>
      </c>
      <c r="D259" t="str">
        <v>Mujer</v>
      </c>
      <c r="E259">
        <v>1</v>
      </c>
    </row>
    <row r="260" spans="2:5" x14ac:dyDescent="0.2">
      <c r="B260" t="str">
        <v>Thorne, Mrs. Gertrude Maybelle</v>
      </c>
      <c r="C260">
        <v>0</v>
      </c>
      <c r="D260" t="str">
        <v>Mujer</v>
      </c>
      <c r="E260">
        <v>1</v>
      </c>
    </row>
    <row r="261" spans="2:5" x14ac:dyDescent="0.2">
      <c r="B261" t="str">
        <v>Cherry, Miss. Gladys</v>
      </c>
      <c r="C261">
        <v>30</v>
      </c>
      <c r="D261" t="str">
        <v>Mujer</v>
      </c>
      <c r="E261">
        <v>1</v>
      </c>
    </row>
    <row r="262" spans="2:5" x14ac:dyDescent="0.2">
      <c r="B262" t="str">
        <v>Ward, Miss. Anna</v>
      </c>
      <c r="C262">
        <v>35</v>
      </c>
      <c r="D262" t="str">
        <v>Mujer</v>
      </c>
      <c r="E262">
        <v>1</v>
      </c>
    </row>
    <row r="263" spans="2:5" x14ac:dyDescent="0.2">
      <c r="B263" t="str">
        <v>Parrish, Mrs. (Lutie Davis)</v>
      </c>
      <c r="C263">
        <v>50</v>
      </c>
      <c r="D263" t="str">
        <v>Mujer</v>
      </c>
      <c r="E263">
        <v>1</v>
      </c>
    </row>
    <row r="264" spans="2:5" x14ac:dyDescent="0.2">
      <c r="B264" t="str">
        <v>Smith, Mr. Thomas</v>
      </c>
      <c r="C264">
        <v>0</v>
      </c>
      <c r="D264" t="str">
        <v>Hombre</v>
      </c>
      <c r="E264">
        <v>0</v>
      </c>
    </row>
    <row r="265" spans="2:5" x14ac:dyDescent="0.2">
      <c r="B265" t="str">
        <v>Asplund, Master. Edvin Rojj Felix</v>
      </c>
      <c r="C265">
        <v>3</v>
      </c>
      <c r="D265" t="str">
        <v>Hombre</v>
      </c>
      <c r="E265">
        <v>1</v>
      </c>
    </row>
    <row r="266" spans="2:5" x14ac:dyDescent="0.2">
      <c r="B266" t="str">
        <v>Taussig, Mr. Emil</v>
      </c>
      <c r="C266">
        <v>52</v>
      </c>
      <c r="D266" t="str">
        <v>Hombre</v>
      </c>
      <c r="E266">
        <v>0</v>
      </c>
    </row>
    <row r="267" spans="2:5" x14ac:dyDescent="0.2">
      <c r="B267" t="str">
        <v>Harrison, Mr. William</v>
      </c>
      <c r="C267">
        <v>40</v>
      </c>
      <c r="D267" t="str">
        <v>Hombre</v>
      </c>
      <c r="E267">
        <v>0</v>
      </c>
    </row>
    <row r="268" spans="2:5" x14ac:dyDescent="0.2">
      <c r="B268" t="str">
        <v>Henry, Miss. Delia</v>
      </c>
      <c r="C268">
        <v>0</v>
      </c>
      <c r="D268" t="str">
        <v>Mujer</v>
      </c>
      <c r="E268">
        <v>0</v>
      </c>
    </row>
    <row r="269" spans="2:5" x14ac:dyDescent="0.2">
      <c r="B269" t="str">
        <v>Reeves, Mr. David</v>
      </c>
      <c r="C269">
        <v>36</v>
      </c>
      <c r="D269" t="str">
        <v>Hombre</v>
      </c>
      <c r="E269">
        <v>0</v>
      </c>
    </row>
    <row r="270" spans="2:5" x14ac:dyDescent="0.2">
      <c r="B270" t="str">
        <v>Panula, Mr. Ernesti Arvid</v>
      </c>
      <c r="C270">
        <v>16</v>
      </c>
      <c r="D270" t="str">
        <v>Hombre</v>
      </c>
      <c r="E270">
        <v>0</v>
      </c>
    </row>
    <row r="271" spans="2:5" x14ac:dyDescent="0.2">
      <c r="B271" t="str">
        <v>Persson, Mr. Ernst Ulrik</v>
      </c>
      <c r="C271">
        <v>25</v>
      </c>
      <c r="D271" t="str">
        <v>Hombre</v>
      </c>
      <c r="E271">
        <v>1</v>
      </c>
    </row>
    <row r="272" spans="2:5" x14ac:dyDescent="0.2">
      <c r="B272" t="str">
        <v>Graham, Mrs. William Thompson (Edith Junkins)</v>
      </c>
      <c r="C272">
        <v>58</v>
      </c>
      <c r="D272" t="str">
        <v>Mujer</v>
      </c>
      <c r="E272">
        <v>1</v>
      </c>
    </row>
    <row r="273" spans="2:5" x14ac:dyDescent="0.2">
      <c r="B273" t="str">
        <v>Bissette, Miss. Amelia</v>
      </c>
      <c r="C273">
        <v>35</v>
      </c>
      <c r="D273" t="str">
        <v>Mujer</v>
      </c>
      <c r="E273">
        <v>1</v>
      </c>
    </row>
    <row r="274" spans="2:5" x14ac:dyDescent="0.2">
      <c r="B274" t="str">
        <v>Cairns, Mr. Alexander</v>
      </c>
      <c r="C274">
        <v>0</v>
      </c>
      <c r="D274" t="str">
        <v>Hombre</v>
      </c>
      <c r="E274">
        <v>0</v>
      </c>
    </row>
    <row r="275" spans="2:5" x14ac:dyDescent="0.2">
      <c r="B275" t="str">
        <v>Tornquist, Mr. William Henry</v>
      </c>
      <c r="C275">
        <v>25</v>
      </c>
      <c r="D275" t="str">
        <v>Hombre</v>
      </c>
      <c r="E275">
        <v>1</v>
      </c>
    </row>
    <row r="276" spans="2:5" x14ac:dyDescent="0.2">
      <c r="B276" t="str">
        <v>Mellinger, Mrs. (Elizabeth Anne Maidment)</v>
      </c>
      <c r="C276">
        <v>41</v>
      </c>
      <c r="D276" t="str">
        <v>Mujer</v>
      </c>
      <c r="E276">
        <v>1</v>
      </c>
    </row>
    <row r="277" spans="2:5" x14ac:dyDescent="0.2">
      <c r="B277" t="str">
        <v>Natsch, Mr. Charles H</v>
      </c>
      <c r="C277">
        <v>37</v>
      </c>
      <c r="D277" t="str">
        <v>Hombre</v>
      </c>
      <c r="E277">
        <v>0</v>
      </c>
    </row>
    <row r="278" spans="2:5" x14ac:dyDescent="0.2">
      <c r="B278" t="str">
        <v>Healy, Miss. Hanora "Nora"</v>
      </c>
      <c r="C278">
        <v>0</v>
      </c>
      <c r="D278" t="str">
        <v>Mujer</v>
      </c>
      <c r="E278">
        <v>1</v>
      </c>
    </row>
    <row r="279" spans="2:5" x14ac:dyDescent="0.2">
      <c r="B279" t="str">
        <v>Andrews, Miss. Kornelia Theodosia</v>
      </c>
      <c r="C279">
        <v>63</v>
      </c>
      <c r="D279" t="str">
        <v>Mujer</v>
      </c>
      <c r="E279">
        <v>1</v>
      </c>
    </row>
    <row r="280" spans="2:5" x14ac:dyDescent="0.2">
      <c r="B280" t="str">
        <v>Lindblom, Miss. Augusta Charlotta</v>
      </c>
      <c r="C280">
        <v>45</v>
      </c>
      <c r="D280" t="str">
        <v>Mujer</v>
      </c>
      <c r="E280">
        <v>0</v>
      </c>
    </row>
    <row r="281" spans="2:5" x14ac:dyDescent="0.2">
      <c r="B281" t="str">
        <v>Parkes, Mr. Francis "Frank"</v>
      </c>
      <c r="C281">
        <v>0</v>
      </c>
      <c r="D281" t="str">
        <v>Hombre</v>
      </c>
      <c r="E281">
        <v>0</v>
      </c>
    </row>
    <row r="282" spans="2:5" x14ac:dyDescent="0.2">
      <c r="B282" t="str">
        <v>Rice, Master. Eric</v>
      </c>
      <c r="C282">
        <v>7</v>
      </c>
      <c r="D282" t="str">
        <v>Hombre</v>
      </c>
      <c r="E282">
        <v>0</v>
      </c>
    </row>
    <row r="283" spans="2:5" x14ac:dyDescent="0.2">
      <c r="B283" t="str">
        <v>Abbott, Mrs. Stanton (Rosa Hunt)</v>
      </c>
      <c r="C283">
        <v>35</v>
      </c>
      <c r="D283" t="str">
        <v>Mujer</v>
      </c>
      <c r="E283">
        <v>1</v>
      </c>
    </row>
    <row r="284" spans="2:5" x14ac:dyDescent="0.2">
      <c r="B284" t="str">
        <v>Duane, Mr. Frank</v>
      </c>
      <c r="C284">
        <v>65</v>
      </c>
      <c r="D284" t="str">
        <v>Hombre</v>
      </c>
      <c r="E284">
        <v>0</v>
      </c>
    </row>
    <row r="285" spans="2:5" x14ac:dyDescent="0.2">
      <c r="B285" t="str">
        <v>Olsson, Mr. Nils Johan Goransson</v>
      </c>
      <c r="C285">
        <v>28</v>
      </c>
      <c r="D285" t="str">
        <v>Hombre</v>
      </c>
      <c r="E285">
        <v>0</v>
      </c>
    </row>
    <row r="286" spans="2:5" x14ac:dyDescent="0.2">
      <c r="B286" t="str">
        <v>de Pelsmaeker, Mr. Alfons</v>
      </c>
      <c r="C286">
        <v>16</v>
      </c>
      <c r="D286" t="str">
        <v>Hombre</v>
      </c>
      <c r="E286">
        <v>0</v>
      </c>
    </row>
    <row r="287" spans="2:5" x14ac:dyDescent="0.2">
      <c r="B287" t="str">
        <v>Dorking, Mr. Edward Arthur</v>
      </c>
      <c r="C287">
        <v>19</v>
      </c>
      <c r="D287" t="str">
        <v>Hombre</v>
      </c>
      <c r="E287">
        <v>1</v>
      </c>
    </row>
    <row r="288" spans="2:5" x14ac:dyDescent="0.2">
      <c r="B288" t="str">
        <v>Smith, Mr. Richard William</v>
      </c>
      <c r="C288">
        <v>0</v>
      </c>
      <c r="D288" t="str">
        <v>Hombre</v>
      </c>
      <c r="E288">
        <v>0</v>
      </c>
    </row>
    <row r="289" spans="2:5" x14ac:dyDescent="0.2">
      <c r="B289" t="str">
        <v>Stankovic, Mr. Ivan</v>
      </c>
      <c r="C289">
        <v>33</v>
      </c>
      <c r="D289" t="str">
        <v>Hombre</v>
      </c>
      <c r="E289">
        <v>0</v>
      </c>
    </row>
    <row r="290" spans="2:5" x14ac:dyDescent="0.2">
      <c r="B290" t="str">
        <v>de Mulder, Mr. Theodore</v>
      </c>
      <c r="C290">
        <v>30</v>
      </c>
      <c r="D290" t="str">
        <v>Hombre</v>
      </c>
      <c r="E290">
        <v>1</v>
      </c>
    </row>
    <row r="291" spans="2:5" x14ac:dyDescent="0.2">
      <c r="B291" t="str">
        <v>Naidenoff, Mr. Penko</v>
      </c>
      <c r="C291">
        <v>22</v>
      </c>
      <c r="D291" t="str">
        <v>Hombre</v>
      </c>
      <c r="E291">
        <v>0</v>
      </c>
    </row>
    <row r="292" spans="2:5" x14ac:dyDescent="0.2">
      <c r="B292" t="str">
        <v>Hosono, Mr. Masabumi</v>
      </c>
      <c r="C292">
        <v>42</v>
      </c>
      <c r="D292" t="str">
        <v>Hombre</v>
      </c>
      <c r="E292">
        <v>1</v>
      </c>
    </row>
    <row r="293" spans="2:5" x14ac:dyDescent="0.2">
      <c r="B293" t="str">
        <v>Connolly, Miss. Kate</v>
      </c>
      <c r="C293">
        <v>22</v>
      </c>
      <c r="D293" t="str">
        <v>Mujer</v>
      </c>
      <c r="E293">
        <v>1</v>
      </c>
    </row>
    <row r="294" spans="2:5" x14ac:dyDescent="0.2">
      <c r="B294" t="str">
        <v>Barber, Miss. Ellen "Nellie"</v>
      </c>
      <c r="C294">
        <v>26</v>
      </c>
      <c r="D294" t="str">
        <v>Mujer</v>
      </c>
      <c r="E294">
        <v>1</v>
      </c>
    </row>
    <row r="295" spans="2:5" x14ac:dyDescent="0.2">
      <c r="B295" t="str">
        <v>Bishop, Mrs. Dickinson H (Helen Walton)</v>
      </c>
      <c r="C295">
        <v>19</v>
      </c>
      <c r="D295" t="str">
        <v>Mujer</v>
      </c>
      <c r="E295">
        <v>1</v>
      </c>
    </row>
    <row r="296" spans="2:5" x14ac:dyDescent="0.2">
      <c r="B296" t="str">
        <v>Levy, Mr. Rene Jacques</v>
      </c>
      <c r="C296">
        <v>36</v>
      </c>
      <c r="D296" t="str">
        <v>Hombre</v>
      </c>
      <c r="E296">
        <v>0</v>
      </c>
    </row>
    <row r="297" spans="2:5" x14ac:dyDescent="0.2">
      <c r="B297" t="str">
        <v>Haas, Miss. Aloisia</v>
      </c>
      <c r="C297">
        <v>24</v>
      </c>
      <c r="D297" t="str">
        <v>Mujer</v>
      </c>
      <c r="E297">
        <v>0</v>
      </c>
    </row>
    <row r="298" spans="2:5" x14ac:dyDescent="0.2">
      <c r="B298" t="str">
        <v>Mineff, Mr. Ivan</v>
      </c>
      <c r="C298">
        <v>24</v>
      </c>
      <c r="D298" t="str">
        <v>Hombre</v>
      </c>
      <c r="E298">
        <v>0</v>
      </c>
    </row>
    <row r="299" spans="2:5" x14ac:dyDescent="0.2">
      <c r="B299" t="str">
        <v>Lewy, Mr. Ervin G</v>
      </c>
      <c r="C299">
        <v>0</v>
      </c>
      <c r="D299" t="str">
        <v>Hombre</v>
      </c>
      <c r="E299">
        <v>0</v>
      </c>
    </row>
    <row r="300" spans="2:5" x14ac:dyDescent="0.2">
      <c r="B300" t="str">
        <v>Hanna, Mr. Mansour</v>
      </c>
      <c r="C300">
        <v>235</v>
      </c>
      <c r="D300" t="str">
        <v>Hombre</v>
      </c>
      <c r="E300">
        <v>0</v>
      </c>
    </row>
    <row r="301" spans="2:5" x14ac:dyDescent="0.2">
      <c r="B301" t="str">
        <v>Allison, Miss. Helen Loraine</v>
      </c>
      <c r="C301">
        <v>2</v>
      </c>
      <c r="D301" t="str">
        <v>Mujer</v>
      </c>
      <c r="E301">
        <v>0</v>
      </c>
    </row>
    <row r="302" spans="2:5" x14ac:dyDescent="0.2">
      <c r="B302" t="str">
        <v>Saalfeld, Mr. Adolphe</v>
      </c>
      <c r="C302">
        <v>0</v>
      </c>
      <c r="D302" t="str">
        <v>Hombre</v>
      </c>
      <c r="E302">
        <v>1</v>
      </c>
    </row>
    <row r="303" spans="2:5" x14ac:dyDescent="0.2">
      <c r="B303" t="str">
        <v>Baxter, Mrs. James (Helene DeLaudeniere Chaput)</v>
      </c>
      <c r="C303">
        <v>50</v>
      </c>
      <c r="D303" t="str">
        <v>Mujer</v>
      </c>
      <c r="E303">
        <v>1</v>
      </c>
    </row>
    <row r="304" spans="2:5" x14ac:dyDescent="0.2">
      <c r="B304" t="str">
        <v>Kelly, Miss. Anna Katherine "Annie Kate"</v>
      </c>
      <c r="C304">
        <v>0</v>
      </c>
      <c r="D304" t="str">
        <v>Mujer</v>
      </c>
      <c r="E304">
        <v>1</v>
      </c>
    </row>
    <row r="305" spans="2:5" x14ac:dyDescent="0.2">
      <c r="B305" t="str">
        <v>McCoy, Mr. Bernard</v>
      </c>
      <c r="C305">
        <v>0</v>
      </c>
      <c r="D305" t="str">
        <v>Hombre</v>
      </c>
      <c r="E305">
        <v>1</v>
      </c>
    </row>
    <row r="306" spans="2:5" x14ac:dyDescent="0.2">
      <c r="B306" t="str">
        <v>Johnson, Mr. William Cahoone Jr</v>
      </c>
      <c r="C306">
        <v>19</v>
      </c>
      <c r="D306" t="str">
        <v>Hombre</v>
      </c>
      <c r="E306">
        <v>0</v>
      </c>
    </row>
    <row r="307" spans="2:5" x14ac:dyDescent="0.2">
      <c r="B307" t="str">
        <v>Keane, Miss. Nora A</v>
      </c>
      <c r="C307">
        <v>0</v>
      </c>
      <c r="D307" t="str">
        <v>Mujer</v>
      </c>
      <c r="E307">
        <v>1</v>
      </c>
    </row>
    <row r="308" spans="2:5" x14ac:dyDescent="0.2">
      <c r="B308" t="str">
        <v>Williams, Mr. Howard Hugh "Harry"</v>
      </c>
      <c r="C308">
        <v>0</v>
      </c>
      <c r="D308" t="str">
        <v>Hombre</v>
      </c>
      <c r="E308">
        <v>0</v>
      </c>
    </row>
    <row r="309" spans="2:5" x14ac:dyDescent="0.2">
      <c r="B309" t="str">
        <v>Allison, Master. Hudson Trevor</v>
      </c>
      <c r="C309">
        <v>92</v>
      </c>
      <c r="D309" t="str">
        <v>Hombre</v>
      </c>
      <c r="E309">
        <v>1</v>
      </c>
    </row>
    <row r="310" spans="2:5" x14ac:dyDescent="0.2">
      <c r="B310" t="str">
        <v>Fleming, Miss. Margaret</v>
      </c>
      <c r="C310">
        <v>0</v>
      </c>
      <c r="D310" t="str">
        <v>Mujer</v>
      </c>
      <c r="E310">
        <v>1</v>
      </c>
    </row>
    <row r="311" spans="2:5" x14ac:dyDescent="0.2">
      <c r="B311" t="str">
        <v>Penasco y Castellana, Mrs. Victor de Satode (Maria Josefa Perez de Soto y Vallejo)</v>
      </c>
      <c r="C311">
        <v>17</v>
      </c>
      <c r="D311" t="str">
        <v>Mujer</v>
      </c>
      <c r="E311">
        <v>1</v>
      </c>
    </row>
    <row r="312" spans="2:5" x14ac:dyDescent="0.2">
      <c r="B312" t="str">
        <v>Abelson, Mr. Samuel</v>
      </c>
      <c r="C312">
        <v>30</v>
      </c>
      <c r="D312" t="str">
        <v>Hombre</v>
      </c>
      <c r="E312">
        <v>0</v>
      </c>
    </row>
    <row r="313" spans="2:5" x14ac:dyDescent="0.2">
      <c r="B313" t="str">
        <v>Francatelli, Miss. Laura Mabel</v>
      </c>
      <c r="C313">
        <v>30</v>
      </c>
      <c r="D313" t="str">
        <v>Mujer</v>
      </c>
      <c r="E313">
        <v>1</v>
      </c>
    </row>
    <row r="314" spans="2:5" x14ac:dyDescent="0.2">
      <c r="B314" t="str">
        <v>Hays, Miss. Margaret Bechstein</v>
      </c>
      <c r="C314">
        <v>24</v>
      </c>
      <c r="D314" t="str">
        <v>Mujer</v>
      </c>
      <c r="E314">
        <v>1</v>
      </c>
    </row>
    <row r="315" spans="2:5" x14ac:dyDescent="0.2">
      <c r="B315" t="str">
        <v>Ryerson, Miss. Emily Borie</v>
      </c>
      <c r="C315">
        <v>18</v>
      </c>
      <c r="D315" t="str">
        <v>Mujer</v>
      </c>
      <c r="E315">
        <v>1</v>
      </c>
    </row>
    <row r="316" spans="2:5" x14ac:dyDescent="0.2">
      <c r="B316" t="str">
        <v>Lahtinen, Mrs. William (Anna Sylfven)</v>
      </c>
      <c r="C316">
        <v>26</v>
      </c>
      <c r="D316" t="str">
        <v>Mujer</v>
      </c>
      <c r="E316">
        <v>0</v>
      </c>
    </row>
    <row r="317" spans="2:5" x14ac:dyDescent="0.2">
      <c r="B317" t="str">
        <v>Hendekovic, Mr. Ignjac</v>
      </c>
      <c r="C317">
        <v>28</v>
      </c>
      <c r="D317" t="str">
        <v>Hombre</v>
      </c>
      <c r="E317">
        <v>0</v>
      </c>
    </row>
    <row r="318" spans="2:5" x14ac:dyDescent="0.2">
      <c r="B318" t="str">
        <v>Hart, Mr. Benjamin</v>
      </c>
      <c r="C318">
        <v>43</v>
      </c>
      <c r="D318" t="str">
        <v>Hombre</v>
      </c>
      <c r="E318">
        <v>0</v>
      </c>
    </row>
    <row r="319" spans="2:5" x14ac:dyDescent="0.2">
      <c r="B319" t="str">
        <v>Nilsson, Miss. Helmina Josefina</v>
      </c>
      <c r="C319">
        <v>26</v>
      </c>
      <c r="D319" t="str">
        <v>Mujer</v>
      </c>
      <c r="E319">
        <v>1</v>
      </c>
    </row>
    <row r="320" spans="2:5" x14ac:dyDescent="0.2">
      <c r="B320" t="str">
        <v>Kantor, Mrs. Sinai (Miriam Sternin)</v>
      </c>
      <c r="C320">
        <v>24</v>
      </c>
      <c r="D320" t="str">
        <v>Mujer</v>
      </c>
      <c r="E320">
        <v>1</v>
      </c>
    </row>
    <row r="321" spans="2:5" x14ac:dyDescent="0.2">
      <c r="B321" t="str">
        <v>Moraweck, Dr. Ernest</v>
      </c>
      <c r="C321">
        <v>54</v>
      </c>
      <c r="D321" t="str">
        <v>Hombre</v>
      </c>
      <c r="E321">
        <v>0</v>
      </c>
    </row>
    <row r="322" spans="2:5" x14ac:dyDescent="0.2">
      <c r="B322" t="str">
        <v>Wick, Miss. Mary Natalie</v>
      </c>
      <c r="C322">
        <v>31</v>
      </c>
      <c r="D322" t="str">
        <v>Mujer</v>
      </c>
      <c r="E322">
        <v>1</v>
      </c>
    </row>
    <row r="323" spans="2:5" x14ac:dyDescent="0.2">
      <c r="B323" t="str">
        <v>Spedden, Mrs. Frederic Oakley (Margaretta Corning Stone)</v>
      </c>
      <c r="C323">
        <v>40</v>
      </c>
      <c r="D323" t="str">
        <v>Mujer</v>
      </c>
      <c r="E323">
        <v>1</v>
      </c>
    </row>
    <row r="324" spans="2:5" x14ac:dyDescent="0.2">
      <c r="B324" t="str">
        <v>Dennis, Mr. Samuel</v>
      </c>
      <c r="C324">
        <v>22</v>
      </c>
      <c r="D324" t="str">
        <v>Hombre</v>
      </c>
      <c r="E324">
        <v>0</v>
      </c>
    </row>
    <row r="325" spans="2:5" x14ac:dyDescent="0.2">
      <c r="B325" t="str">
        <v>Danoff, Mr. Yoto</v>
      </c>
      <c r="C325">
        <v>27</v>
      </c>
      <c r="D325" t="str">
        <v>Hombre</v>
      </c>
      <c r="E325">
        <v>0</v>
      </c>
    </row>
    <row r="326" spans="2:5" x14ac:dyDescent="0.2">
      <c r="B326" t="str">
        <v>Slayter, Miss. Hilda Mary</v>
      </c>
      <c r="C326">
        <v>30</v>
      </c>
      <c r="D326" t="str">
        <v>Mujer</v>
      </c>
      <c r="E326">
        <v>1</v>
      </c>
    </row>
    <row r="327" spans="2:5" x14ac:dyDescent="0.2">
      <c r="B327" t="str">
        <v>Caldwell, Mrs. Albert Francis (Sylvia Mae Harbaugh)</v>
      </c>
      <c r="C327">
        <v>22</v>
      </c>
      <c r="D327" t="str">
        <v>Mujer</v>
      </c>
      <c r="E327">
        <v>1</v>
      </c>
    </row>
    <row r="328" spans="2:5" x14ac:dyDescent="0.2">
      <c r="B328" t="str">
        <v>Sage, Mr. George John Jr</v>
      </c>
      <c r="C328">
        <v>0</v>
      </c>
      <c r="D328" t="str">
        <v>Hombre</v>
      </c>
      <c r="E328">
        <v>0</v>
      </c>
    </row>
    <row r="329" spans="2:5" x14ac:dyDescent="0.2">
      <c r="B329" t="str">
        <v>Young, Miss. Marie Grice</v>
      </c>
      <c r="C329">
        <v>36</v>
      </c>
      <c r="D329" t="str">
        <v>Mujer</v>
      </c>
      <c r="E329">
        <v>1</v>
      </c>
    </row>
    <row r="330" spans="2:5" x14ac:dyDescent="0.2">
      <c r="B330" t="str">
        <v>Nysveen, Mr. Johan Hansen</v>
      </c>
      <c r="C330">
        <v>61</v>
      </c>
      <c r="D330" t="str">
        <v>Hombre</v>
      </c>
      <c r="E330">
        <v>0</v>
      </c>
    </row>
    <row r="331" spans="2:5" x14ac:dyDescent="0.2">
      <c r="B331" t="str">
        <v>Ball, Mrs. (Ada E Hall)</v>
      </c>
      <c r="C331">
        <v>36</v>
      </c>
      <c r="D331" t="str">
        <v>Mujer</v>
      </c>
      <c r="E331">
        <v>1</v>
      </c>
    </row>
    <row r="332" spans="2:5" x14ac:dyDescent="0.2">
      <c r="B332" t="str">
        <v>Goldsmith, Mrs. Frank John (Emily Alice Brown)</v>
      </c>
      <c r="C332">
        <v>31</v>
      </c>
      <c r="D332" t="str">
        <v>Mujer</v>
      </c>
      <c r="E332">
        <v>1</v>
      </c>
    </row>
    <row r="333" spans="2:5" x14ac:dyDescent="0.2">
      <c r="B333" t="str">
        <v>Hippach, Miss. Jean Gertrude</v>
      </c>
      <c r="C333">
        <v>16</v>
      </c>
      <c r="D333" t="str">
        <v>Mujer</v>
      </c>
      <c r="E333">
        <v>1</v>
      </c>
    </row>
    <row r="334" spans="2:5" x14ac:dyDescent="0.2">
      <c r="B334" t="str">
        <v>McCoy, Miss. Agnes</v>
      </c>
      <c r="C334">
        <v>0</v>
      </c>
      <c r="D334" t="str">
        <v>Mujer</v>
      </c>
      <c r="E334">
        <v>1</v>
      </c>
    </row>
    <row r="335" spans="2:5" x14ac:dyDescent="0.2">
      <c r="B335" t="str">
        <v>Partner, Mr. Austen</v>
      </c>
      <c r="C335">
        <v>455</v>
      </c>
      <c r="D335" t="str">
        <v>Hombre</v>
      </c>
      <c r="E335">
        <v>0</v>
      </c>
    </row>
    <row r="336" spans="2:5" x14ac:dyDescent="0.2">
      <c r="B336" t="str">
        <v>Graham, Mr. George Edward</v>
      </c>
      <c r="C336">
        <v>38</v>
      </c>
      <c r="D336" t="str">
        <v>Hombre</v>
      </c>
      <c r="E336">
        <v>0</v>
      </c>
    </row>
    <row r="337" spans="2:5" x14ac:dyDescent="0.2">
      <c r="B337" t="str">
        <v>Vander Planke, Mr. Leo Edmondus</v>
      </c>
      <c r="C337">
        <v>16</v>
      </c>
      <c r="D337" t="str">
        <v>Hombre</v>
      </c>
      <c r="E337">
        <v>0</v>
      </c>
    </row>
    <row r="338" spans="2:5" x14ac:dyDescent="0.2">
      <c r="B338" t="str">
        <v>Frauenthal, Mrs. Henry William (Clara Heinsheimer)</v>
      </c>
      <c r="C338">
        <v>0</v>
      </c>
      <c r="D338" t="str">
        <v>Mujer</v>
      </c>
      <c r="E338">
        <v>1</v>
      </c>
    </row>
    <row r="339" spans="2:5" x14ac:dyDescent="0.2">
      <c r="B339" t="str">
        <v>Denkoff, Mr. Mitto</v>
      </c>
      <c r="C339">
        <v>0</v>
      </c>
      <c r="D339" t="str">
        <v>Hombre</v>
      </c>
      <c r="E339">
        <v>0</v>
      </c>
    </row>
    <row r="340" spans="2:5" x14ac:dyDescent="0.2">
      <c r="B340" t="str">
        <v>Pears, Mr. Thomas Clinton</v>
      </c>
      <c r="C340">
        <v>29</v>
      </c>
      <c r="D340" t="str">
        <v>Hombre</v>
      </c>
      <c r="E340">
        <v>0</v>
      </c>
    </row>
    <row r="341" spans="2:5" x14ac:dyDescent="0.2">
      <c r="B341" t="str">
        <v>Burns, Miss. Elizabeth Margaret</v>
      </c>
      <c r="C341">
        <v>41</v>
      </c>
      <c r="D341" t="str">
        <v>Mujer</v>
      </c>
      <c r="E341">
        <v>1</v>
      </c>
    </row>
    <row r="342" spans="2:5" x14ac:dyDescent="0.2">
      <c r="B342" t="str">
        <v>Dahl, Mr. Karl Edwart</v>
      </c>
      <c r="C342">
        <v>45</v>
      </c>
      <c r="D342" t="str">
        <v>Hombre</v>
      </c>
      <c r="E342">
        <v>1</v>
      </c>
    </row>
    <row r="343" spans="2:5" x14ac:dyDescent="0.2">
      <c r="B343" t="str">
        <v>Blackwell, Mr. Stephen Weart</v>
      </c>
      <c r="C343">
        <v>45</v>
      </c>
      <c r="D343" t="str">
        <v>Hombre</v>
      </c>
      <c r="E343">
        <v>0</v>
      </c>
    </row>
    <row r="344" spans="2:5" x14ac:dyDescent="0.2">
      <c r="B344" t="str">
        <v>Navratil, Master. Edmond Roger</v>
      </c>
      <c r="C344">
        <v>2</v>
      </c>
      <c r="D344" t="str">
        <v>Hombre</v>
      </c>
      <c r="E344">
        <v>1</v>
      </c>
    </row>
    <row r="345" spans="2:5" x14ac:dyDescent="0.2">
      <c r="B345" t="str">
        <v>Fortune, Miss. Alice Elizabeth</v>
      </c>
      <c r="C345">
        <v>24</v>
      </c>
      <c r="D345" t="str">
        <v>Mujer</v>
      </c>
      <c r="E345">
        <v>1</v>
      </c>
    </row>
    <row r="346" spans="2:5" x14ac:dyDescent="0.2">
      <c r="B346" t="str">
        <v>Collander, Mr. Erik Gustaf</v>
      </c>
      <c r="C346">
        <v>28</v>
      </c>
      <c r="D346" t="str">
        <v>Hombre</v>
      </c>
      <c r="E346">
        <v>0</v>
      </c>
    </row>
    <row r="347" spans="2:5" x14ac:dyDescent="0.2">
      <c r="B347" t="str">
        <v>Sedgwick, Mr. Charles Frederick Waddington</v>
      </c>
      <c r="C347">
        <v>25</v>
      </c>
      <c r="D347" t="str">
        <v>Hombre</v>
      </c>
      <c r="E347">
        <v>0</v>
      </c>
    </row>
    <row r="348" spans="2:5" x14ac:dyDescent="0.2">
      <c r="B348" t="str">
        <v>Fox, Mr. Stanley Hubert</v>
      </c>
      <c r="C348">
        <v>36</v>
      </c>
      <c r="D348" t="str">
        <v>Hombre</v>
      </c>
      <c r="E348">
        <v>0</v>
      </c>
    </row>
    <row r="349" spans="2:5" x14ac:dyDescent="0.2">
      <c r="B349" t="str">
        <v>Brown, Miss. Amelia "Mildred"</v>
      </c>
      <c r="C349">
        <v>24</v>
      </c>
      <c r="D349" t="str">
        <v>Mujer</v>
      </c>
      <c r="E349">
        <v>1</v>
      </c>
    </row>
    <row r="350" spans="2:5" x14ac:dyDescent="0.2">
      <c r="B350" t="str">
        <v>Smith, Miss. Marion Elsie</v>
      </c>
      <c r="C350">
        <v>40</v>
      </c>
      <c r="D350" t="str">
        <v>Mujer</v>
      </c>
      <c r="E350">
        <v>1</v>
      </c>
    </row>
    <row r="351" spans="2:5" x14ac:dyDescent="0.2">
      <c r="B351" t="str">
        <v>Davison, Mrs. Thomas Henry (Mary E Finck)</v>
      </c>
      <c r="C351">
        <v>0</v>
      </c>
      <c r="D351" t="str">
        <v>Mujer</v>
      </c>
      <c r="E351">
        <v>1</v>
      </c>
    </row>
    <row r="352" spans="2:5" x14ac:dyDescent="0.2">
      <c r="B352" t="str">
        <v>Coutts, Master. William Loch "William"</v>
      </c>
      <c r="C352">
        <v>3</v>
      </c>
      <c r="D352" t="str">
        <v>Hombre</v>
      </c>
      <c r="E352">
        <v>1</v>
      </c>
    </row>
    <row r="353" spans="2:5" x14ac:dyDescent="0.2">
      <c r="B353" t="str">
        <v>Dimic, Mr. Jovan</v>
      </c>
      <c r="C353">
        <v>42</v>
      </c>
      <c r="D353" t="str">
        <v>Hombre</v>
      </c>
      <c r="E353">
        <v>0</v>
      </c>
    </row>
    <row r="354" spans="2:5" x14ac:dyDescent="0.2">
      <c r="B354" t="str">
        <v>Odahl, Mr. Nils Martin</v>
      </c>
      <c r="C354">
        <v>23</v>
      </c>
      <c r="D354" t="str">
        <v>Hombre</v>
      </c>
      <c r="E354">
        <v>0</v>
      </c>
    </row>
    <row r="355" spans="2:5" x14ac:dyDescent="0.2">
      <c r="B355" t="str">
        <v>Williams-Lambert, Mr. Fletcher Fellows</v>
      </c>
      <c r="C355">
        <v>0</v>
      </c>
      <c r="D355" t="str">
        <v>Hombre</v>
      </c>
      <c r="E355">
        <v>0</v>
      </c>
    </row>
    <row r="356" spans="2:5" x14ac:dyDescent="0.2">
      <c r="B356" t="str">
        <v>Elias, Mr. Tannous</v>
      </c>
      <c r="C356">
        <v>15</v>
      </c>
      <c r="D356" t="str">
        <v>Hombre</v>
      </c>
      <c r="E356">
        <v>0</v>
      </c>
    </row>
    <row r="357" spans="2:5" x14ac:dyDescent="0.2">
      <c r="B357" t="str">
        <v>Arnold-Franchi, Mr. Josef</v>
      </c>
      <c r="C357">
        <v>25</v>
      </c>
      <c r="D357" t="str">
        <v>Hombre</v>
      </c>
      <c r="E357">
        <v>0</v>
      </c>
    </row>
    <row r="358" spans="2:5" x14ac:dyDescent="0.2">
      <c r="B358" t="str">
        <v>Yousif, Mr. Wazli</v>
      </c>
      <c r="C358">
        <v>0</v>
      </c>
      <c r="D358" t="str">
        <v>Hombre</v>
      </c>
      <c r="E358">
        <v>0</v>
      </c>
    </row>
    <row r="359" spans="2:5" x14ac:dyDescent="0.2">
      <c r="B359" t="str">
        <v>Vanden Steen, Mr. Leo Peter</v>
      </c>
      <c r="C359">
        <v>28</v>
      </c>
      <c r="D359" t="str">
        <v>Hombre</v>
      </c>
      <c r="E359">
        <v>0</v>
      </c>
    </row>
    <row r="360" spans="2:5" x14ac:dyDescent="0.2">
      <c r="B360" t="str">
        <v>Bowerman, Miss. Elsie Edith</v>
      </c>
      <c r="C360">
        <v>22</v>
      </c>
      <c r="D360" t="str">
        <v>Mujer</v>
      </c>
      <c r="E360">
        <v>1</v>
      </c>
    </row>
    <row r="361" spans="2:5" x14ac:dyDescent="0.2">
      <c r="B361" t="str">
        <v>Funk, Miss. Annie Clemmer</v>
      </c>
      <c r="C361">
        <v>38</v>
      </c>
      <c r="D361" t="str">
        <v>Mujer</v>
      </c>
      <c r="E361">
        <v>0</v>
      </c>
    </row>
    <row r="362" spans="2:5" x14ac:dyDescent="0.2">
      <c r="B362" t="str">
        <v>McGovern, Miss. Mary</v>
      </c>
      <c r="C362">
        <v>0</v>
      </c>
      <c r="D362" t="str">
        <v>Mujer</v>
      </c>
      <c r="E362">
        <v>1</v>
      </c>
    </row>
    <row r="363" spans="2:5" x14ac:dyDescent="0.2">
      <c r="B363" t="str">
        <v>Mockler, Miss. Helen Mary "Ellie"</v>
      </c>
      <c r="C363">
        <v>0</v>
      </c>
      <c r="D363" t="str">
        <v>Mujer</v>
      </c>
      <c r="E363">
        <v>1</v>
      </c>
    </row>
    <row r="364" spans="2:5" x14ac:dyDescent="0.2">
      <c r="B364" t="str">
        <v>Skoog, Mr. Wilhelm</v>
      </c>
      <c r="C364">
        <v>40</v>
      </c>
      <c r="D364" t="str">
        <v>Hombre</v>
      </c>
      <c r="E364">
        <v>0</v>
      </c>
    </row>
    <row r="365" spans="2:5" x14ac:dyDescent="0.2">
      <c r="B365" t="str">
        <v>del Carlo, Mr. Sebastiano</v>
      </c>
      <c r="C365">
        <v>29</v>
      </c>
      <c r="D365" t="str">
        <v>Hombre</v>
      </c>
      <c r="E365">
        <v>0</v>
      </c>
    </row>
    <row r="366" spans="2:5" x14ac:dyDescent="0.2">
      <c r="B366" t="str">
        <v>Barbara, Mrs. (Catherine David)</v>
      </c>
      <c r="C366">
        <v>45</v>
      </c>
      <c r="D366" t="str">
        <v>Mujer</v>
      </c>
      <c r="E366">
        <v>0</v>
      </c>
    </row>
    <row r="367" spans="2:5" x14ac:dyDescent="0.2">
      <c r="B367" t="str">
        <v>Asim, Mr. Adola</v>
      </c>
      <c r="C367">
        <v>35</v>
      </c>
      <c r="D367" t="str">
        <v>Hombre</v>
      </c>
      <c r="E367">
        <v>0</v>
      </c>
    </row>
    <row r="368" spans="2:5" x14ac:dyDescent="0.2">
      <c r="B368" t="str">
        <v>O'Brien, Mr. Thomas</v>
      </c>
      <c r="C368">
        <v>0</v>
      </c>
      <c r="D368" t="str">
        <v>Hombre</v>
      </c>
      <c r="E368">
        <v>0</v>
      </c>
    </row>
    <row r="369" spans="2:5" x14ac:dyDescent="0.2">
      <c r="B369" t="str">
        <v>Adahl, Mr. Mauritz Nils Martin</v>
      </c>
      <c r="C369">
        <v>30</v>
      </c>
      <c r="D369" t="str">
        <v>Hombre</v>
      </c>
      <c r="E369">
        <v>0</v>
      </c>
    </row>
    <row r="370" spans="2:5" x14ac:dyDescent="0.2">
      <c r="B370" t="str">
        <v>Warren, Mrs. Frank Manley (Anna Sophia Atkinson)</v>
      </c>
      <c r="C370">
        <v>60</v>
      </c>
      <c r="D370" t="str">
        <v>Mujer</v>
      </c>
      <c r="E370">
        <v>1</v>
      </c>
    </row>
    <row r="371" spans="2:5" x14ac:dyDescent="0.2">
      <c r="B371" t="str">
        <v>Moussa, Mrs. (Mantoura Boulos)</v>
      </c>
      <c r="C371">
        <v>0</v>
      </c>
      <c r="D371" t="str">
        <v>Mujer</v>
      </c>
      <c r="E371">
        <v>1</v>
      </c>
    </row>
    <row r="372" spans="2:5" x14ac:dyDescent="0.2">
      <c r="B372" t="str">
        <v>Jermyn, Miss. Annie</v>
      </c>
      <c r="C372">
        <v>0</v>
      </c>
      <c r="D372" t="str">
        <v>Mujer</v>
      </c>
      <c r="E372">
        <v>1</v>
      </c>
    </row>
    <row r="373" spans="2:5" x14ac:dyDescent="0.2">
      <c r="B373" t="str">
        <v>Aubart, Mme. Leontine Pauline</v>
      </c>
      <c r="C373">
        <v>24</v>
      </c>
      <c r="D373" t="str">
        <v>Mujer</v>
      </c>
      <c r="E373">
        <v>1</v>
      </c>
    </row>
    <row r="374" spans="2:5" x14ac:dyDescent="0.2">
      <c r="B374" t="str">
        <v>Harder, Mr. George Achilles</v>
      </c>
      <c r="C374">
        <v>25</v>
      </c>
      <c r="D374" t="str">
        <v>Hombre</v>
      </c>
      <c r="E374">
        <v>1</v>
      </c>
    </row>
    <row r="375" spans="2:5" x14ac:dyDescent="0.2">
      <c r="B375" t="str">
        <v>Wiklund, Mr. Jakob Alfred</v>
      </c>
      <c r="C375">
        <v>18</v>
      </c>
      <c r="D375" t="str">
        <v>Hombre</v>
      </c>
      <c r="E375">
        <v>0</v>
      </c>
    </row>
    <row r="376" spans="2:5" x14ac:dyDescent="0.2">
      <c r="B376" t="str">
        <v>Beavan, Mr. William Thomas</v>
      </c>
      <c r="C376">
        <v>19</v>
      </c>
      <c r="D376" t="str">
        <v>Hombre</v>
      </c>
      <c r="E376">
        <v>0</v>
      </c>
    </row>
    <row r="377" spans="2:5" x14ac:dyDescent="0.2">
      <c r="B377" t="str">
        <v>Ringhini, Mr. Sante</v>
      </c>
      <c r="C377">
        <v>22</v>
      </c>
      <c r="D377" t="str">
        <v>Hombre</v>
      </c>
      <c r="E377">
        <v>0</v>
      </c>
    </row>
    <row r="378" spans="2:5" x14ac:dyDescent="0.2">
      <c r="B378" t="str">
        <v>Palsson, Miss. Stina Viola</v>
      </c>
      <c r="C378">
        <v>3</v>
      </c>
      <c r="D378" t="str">
        <v>Mujer</v>
      </c>
      <c r="E378">
        <v>0</v>
      </c>
    </row>
    <row r="379" spans="2:5" x14ac:dyDescent="0.2">
      <c r="B379" t="str">
        <v>Meyer, Mrs. Edgar Joseph (Leila Saks)</v>
      </c>
      <c r="C379">
        <v>0</v>
      </c>
      <c r="D379" t="str">
        <v>Mujer</v>
      </c>
      <c r="E379">
        <v>1</v>
      </c>
    </row>
    <row r="380" spans="2:5" x14ac:dyDescent="0.2">
      <c r="B380" t="str">
        <v>Landergren, Miss. Aurora Adelia</v>
      </c>
      <c r="C380">
        <v>22</v>
      </c>
      <c r="D380" t="str">
        <v>Mujer</v>
      </c>
      <c r="E380">
        <v>1</v>
      </c>
    </row>
    <row r="381" spans="2:5" x14ac:dyDescent="0.2">
      <c r="B381" t="str">
        <v>Widener, Mr. Harry Elkins</v>
      </c>
      <c r="C381">
        <v>27</v>
      </c>
      <c r="D381" t="str">
        <v>Hombre</v>
      </c>
      <c r="E381">
        <v>0</v>
      </c>
    </row>
    <row r="382" spans="2:5" x14ac:dyDescent="0.2">
      <c r="B382" t="str">
        <v>Betros, Mr. Tannous</v>
      </c>
      <c r="C382">
        <v>20</v>
      </c>
      <c r="D382" t="str">
        <v>Hombre</v>
      </c>
      <c r="E382">
        <v>0</v>
      </c>
    </row>
    <row r="383" spans="2:5" x14ac:dyDescent="0.2">
      <c r="B383" t="str">
        <v>Gustafsson, Mr. Karl Gideon</v>
      </c>
      <c r="C383">
        <v>19</v>
      </c>
      <c r="D383" t="str">
        <v>Hombre</v>
      </c>
      <c r="E383">
        <v>0</v>
      </c>
    </row>
    <row r="384" spans="2:5" x14ac:dyDescent="0.2">
      <c r="B384" t="str">
        <v>Bidois, Miss. Rosalie</v>
      </c>
      <c r="C384">
        <v>42</v>
      </c>
      <c r="D384" t="str">
        <v>Mujer</v>
      </c>
      <c r="E384">
        <v>1</v>
      </c>
    </row>
    <row r="385" spans="2:5" x14ac:dyDescent="0.2">
      <c r="B385" t="str">
        <v>Nakid, Miss. Maria ("Mary")</v>
      </c>
      <c r="C385">
        <v>1</v>
      </c>
      <c r="D385" t="str">
        <v>Mujer</v>
      </c>
      <c r="E385">
        <v>1</v>
      </c>
    </row>
    <row r="386" spans="2:5" x14ac:dyDescent="0.2">
      <c r="B386" t="str">
        <v>Tikkanen, Mr. Juho</v>
      </c>
      <c r="C386">
        <v>32</v>
      </c>
      <c r="D386" t="str">
        <v>Hombre</v>
      </c>
      <c r="E386">
        <v>0</v>
      </c>
    </row>
    <row r="387" spans="2:5" x14ac:dyDescent="0.2">
      <c r="B387" t="str">
        <v>Holverson, Mrs. Alexander Oskar (Mary Aline Towner)</v>
      </c>
      <c r="C387">
        <v>35</v>
      </c>
      <c r="D387" t="str">
        <v>Mujer</v>
      </c>
      <c r="E387">
        <v>1</v>
      </c>
    </row>
    <row r="388" spans="2:5" x14ac:dyDescent="0.2">
      <c r="B388" t="str">
        <v>Plotcharsky, Mr. Vasil</v>
      </c>
      <c r="C388">
        <v>0</v>
      </c>
      <c r="D388" t="str">
        <v>Hombre</v>
      </c>
      <c r="E388">
        <v>0</v>
      </c>
    </row>
    <row r="389" spans="2:5" x14ac:dyDescent="0.2">
      <c r="B389" t="str">
        <v>Davies, Mr. Charles Henry</v>
      </c>
      <c r="C389">
        <v>18</v>
      </c>
      <c r="D389" t="str">
        <v>Hombre</v>
      </c>
      <c r="E389">
        <v>0</v>
      </c>
    </row>
    <row r="390" spans="2:5" x14ac:dyDescent="0.2">
      <c r="B390" t="str">
        <v>Goodwin, Master. Sidney Leonard</v>
      </c>
      <c r="C390">
        <v>1</v>
      </c>
      <c r="D390" t="str">
        <v>Hombre</v>
      </c>
      <c r="E390">
        <v>0</v>
      </c>
    </row>
    <row r="391" spans="2:5" x14ac:dyDescent="0.2">
      <c r="B391" t="str">
        <v>Buss, Miss. Kate</v>
      </c>
      <c r="C391">
        <v>36</v>
      </c>
      <c r="D391" t="str">
        <v>Mujer</v>
      </c>
      <c r="E391">
        <v>1</v>
      </c>
    </row>
    <row r="392" spans="2:5" x14ac:dyDescent="0.2">
      <c r="B392" t="str">
        <v>Sadlier, Mr. Matthew</v>
      </c>
      <c r="C392">
        <v>0</v>
      </c>
      <c r="D392" t="str">
        <v>Hombre</v>
      </c>
      <c r="E392">
        <v>0</v>
      </c>
    </row>
    <row r="393" spans="2:5" x14ac:dyDescent="0.2">
      <c r="B393" t="str">
        <v>Lehmann, Miss. Bertha</v>
      </c>
      <c r="C393">
        <v>17</v>
      </c>
      <c r="D393" t="str">
        <v>Mujer</v>
      </c>
      <c r="E393">
        <v>1</v>
      </c>
    </row>
    <row r="394" spans="2:5" x14ac:dyDescent="0.2">
      <c r="B394" t="str">
        <v>Carter, Mr. William Ernest</v>
      </c>
      <c r="C394">
        <v>36</v>
      </c>
      <c r="D394" t="str">
        <v>Hombre</v>
      </c>
      <c r="E394">
        <v>1</v>
      </c>
    </row>
    <row r="395" spans="2:5" x14ac:dyDescent="0.2">
      <c r="B395" t="str">
        <v>Jansson, Mr. Carl Olof</v>
      </c>
      <c r="C395">
        <v>21</v>
      </c>
      <c r="D395" t="str">
        <v>Hombre</v>
      </c>
      <c r="E395">
        <v>1</v>
      </c>
    </row>
    <row r="396" spans="2:5" x14ac:dyDescent="0.2">
      <c r="B396" t="str">
        <v>Gustafsson, Mr. Johan Birger</v>
      </c>
      <c r="C396">
        <v>28</v>
      </c>
      <c r="D396" t="str">
        <v>Hombre</v>
      </c>
      <c r="E396">
        <v>0</v>
      </c>
    </row>
    <row r="397" spans="2:5" x14ac:dyDescent="0.2">
      <c r="B397" t="str">
        <v>Newell, Miss. Marjorie</v>
      </c>
      <c r="C397">
        <v>23</v>
      </c>
      <c r="D397" t="str">
        <v>Mujer</v>
      </c>
      <c r="E397">
        <v>1</v>
      </c>
    </row>
    <row r="398" spans="2:5" x14ac:dyDescent="0.2">
      <c r="B398" t="str">
        <v>Sandstrom, Mrs. Hjalmar (Agnes Charlotta Bengtsson)</v>
      </c>
      <c r="C398">
        <v>24</v>
      </c>
      <c r="D398" t="str">
        <v>Mujer</v>
      </c>
      <c r="E398">
        <v>1</v>
      </c>
    </row>
    <row r="399" spans="2:5" x14ac:dyDescent="0.2">
      <c r="B399" t="str">
        <v>Johansson, Mr. Erik</v>
      </c>
      <c r="C399">
        <v>22</v>
      </c>
      <c r="D399" t="str">
        <v>Hombre</v>
      </c>
      <c r="E399">
        <v>0</v>
      </c>
    </row>
    <row r="400" spans="2:5" x14ac:dyDescent="0.2">
      <c r="B400" t="str">
        <v>Olsson, Miss. Elina</v>
      </c>
      <c r="C400">
        <v>31</v>
      </c>
      <c r="D400" t="str">
        <v>Mujer</v>
      </c>
      <c r="E400">
        <v>0</v>
      </c>
    </row>
    <row r="401" spans="2:5" x14ac:dyDescent="0.2">
      <c r="B401" t="str">
        <v>McKane, Mr. Peter David</v>
      </c>
      <c r="C401">
        <v>46</v>
      </c>
      <c r="D401" t="str">
        <v>Hombre</v>
      </c>
      <c r="E401">
        <v>0</v>
      </c>
    </row>
    <row r="402" spans="2:5" x14ac:dyDescent="0.2">
      <c r="B402" t="str">
        <v>Pain, Dr. Alfred</v>
      </c>
      <c r="C402">
        <v>23</v>
      </c>
      <c r="D402" t="str">
        <v>Hombre</v>
      </c>
      <c r="E402">
        <v>0</v>
      </c>
    </row>
    <row r="403" spans="2:5" x14ac:dyDescent="0.2">
      <c r="B403" t="str">
        <v>Trout, Mrs. William H (Jessie L)</v>
      </c>
      <c r="C403">
        <v>28</v>
      </c>
      <c r="D403" t="str">
        <v>Mujer</v>
      </c>
      <c r="E403">
        <v>1</v>
      </c>
    </row>
    <row r="404" spans="2:5" x14ac:dyDescent="0.2">
      <c r="B404" t="str">
        <v>Niskanen, Mr. Juha</v>
      </c>
      <c r="C404">
        <v>39</v>
      </c>
      <c r="D404" t="str">
        <v>Hombre</v>
      </c>
      <c r="E404">
        <v>1</v>
      </c>
    </row>
    <row r="405" spans="2:5" x14ac:dyDescent="0.2">
      <c r="B405" t="str">
        <v>Adams, Mr. John</v>
      </c>
      <c r="C405">
        <v>26</v>
      </c>
      <c r="D405" t="str">
        <v>Hombre</v>
      </c>
      <c r="E405">
        <v>0</v>
      </c>
    </row>
    <row r="406" spans="2:5" x14ac:dyDescent="0.2">
      <c r="B406" t="str">
        <v>Jussila, Miss. Mari Aina</v>
      </c>
      <c r="C406">
        <v>21</v>
      </c>
      <c r="D406" t="str">
        <v>Mujer</v>
      </c>
      <c r="E406">
        <v>0</v>
      </c>
    </row>
    <row r="407" spans="2:5" x14ac:dyDescent="0.2">
      <c r="B407" t="str">
        <v>Hakkarainen, Mr. Pekka Pietari</v>
      </c>
      <c r="C407">
        <v>28</v>
      </c>
      <c r="D407" t="str">
        <v>Hombre</v>
      </c>
      <c r="E407">
        <v>0</v>
      </c>
    </row>
    <row r="408" spans="2:5" x14ac:dyDescent="0.2">
      <c r="B408" t="str">
        <v>Oreskovic, Miss. Marija</v>
      </c>
      <c r="C408">
        <v>20</v>
      </c>
      <c r="D408" t="str">
        <v>Mujer</v>
      </c>
      <c r="E408">
        <v>0</v>
      </c>
    </row>
    <row r="409" spans="2:5" x14ac:dyDescent="0.2">
      <c r="B409" t="str">
        <v>Gale, Mr. Shadrach</v>
      </c>
      <c r="C409">
        <v>34</v>
      </c>
      <c r="D409" t="str">
        <v>Hombre</v>
      </c>
      <c r="E409">
        <v>0</v>
      </c>
    </row>
    <row r="410" spans="2:5" x14ac:dyDescent="0.2">
      <c r="B410" t="str">
        <v>Widegren, Mr. Carl/Charles Peter</v>
      </c>
      <c r="C410">
        <v>51</v>
      </c>
      <c r="D410" t="str">
        <v>Hombre</v>
      </c>
      <c r="E410">
        <v>0</v>
      </c>
    </row>
    <row r="411" spans="2:5" x14ac:dyDescent="0.2">
      <c r="B411" t="str">
        <v>Richards, Master. William Rowe</v>
      </c>
      <c r="C411">
        <v>3</v>
      </c>
      <c r="D411" t="str">
        <v>Hombre</v>
      </c>
      <c r="E411">
        <v>1</v>
      </c>
    </row>
    <row r="412" spans="2:5" x14ac:dyDescent="0.2">
      <c r="B412" t="str">
        <v>Birkeland, Mr. Hans Martin Monsen</v>
      </c>
      <c r="C412">
        <v>21</v>
      </c>
      <c r="D412" t="str">
        <v>Hombre</v>
      </c>
      <c r="E412">
        <v>0</v>
      </c>
    </row>
    <row r="413" spans="2:5" x14ac:dyDescent="0.2">
      <c r="B413" t="str">
        <v>Lefebre, Miss. Ida</v>
      </c>
      <c r="C413">
        <v>0</v>
      </c>
      <c r="D413" t="str">
        <v>Mujer</v>
      </c>
      <c r="E413">
        <v>0</v>
      </c>
    </row>
    <row r="414" spans="2:5" x14ac:dyDescent="0.2">
      <c r="B414" t="str">
        <v>Sdycoff, Mr. Todor</v>
      </c>
      <c r="C414">
        <v>0</v>
      </c>
      <c r="D414" t="str">
        <v>Hombre</v>
      </c>
      <c r="E414">
        <v>0</v>
      </c>
    </row>
    <row r="415" spans="2:5" x14ac:dyDescent="0.2">
      <c r="B415" t="str">
        <v>Hart, Mr. Henry</v>
      </c>
      <c r="C415">
        <v>0</v>
      </c>
      <c r="D415" t="str">
        <v>Hombre</v>
      </c>
      <c r="E415">
        <v>0</v>
      </c>
    </row>
    <row r="416" spans="2:5" x14ac:dyDescent="0.2">
      <c r="B416" t="str">
        <v>Minahan, Miss. Daisy E</v>
      </c>
      <c r="C416">
        <v>33</v>
      </c>
      <c r="D416" t="str">
        <v>Mujer</v>
      </c>
      <c r="E416">
        <v>1</v>
      </c>
    </row>
    <row r="417" spans="2:5" x14ac:dyDescent="0.2">
      <c r="B417" t="str">
        <v>Cunningham, Mr. Alfred Fleming</v>
      </c>
      <c r="C417">
        <v>0</v>
      </c>
      <c r="D417" t="str">
        <v>Hombre</v>
      </c>
      <c r="E417">
        <v>0</v>
      </c>
    </row>
    <row r="418" spans="2:5" x14ac:dyDescent="0.2">
      <c r="B418" t="str">
        <v>Sundman, Mr. Johan Julian</v>
      </c>
      <c r="C418">
        <v>44</v>
      </c>
      <c r="D418" t="str">
        <v>Hombre</v>
      </c>
      <c r="E418">
        <v>1</v>
      </c>
    </row>
    <row r="419" spans="2:5" x14ac:dyDescent="0.2">
      <c r="B419" t="str">
        <v>Meek, Mrs. Thomas (Annie Louise Rowley)</v>
      </c>
      <c r="C419">
        <v>0</v>
      </c>
      <c r="D419" t="str">
        <v>Mujer</v>
      </c>
      <c r="E419">
        <v>0</v>
      </c>
    </row>
    <row r="420" spans="2:5" x14ac:dyDescent="0.2">
      <c r="B420" t="str">
        <v>Drew, Mrs. James Vivian (Lulu Thorne Christian)</v>
      </c>
      <c r="C420">
        <v>34</v>
      </c>
      <c r="D420" t="str">
        <v>Mujer</v>
      </c>
      <c r="E420">
        <v>1</v>
      </c>
    </row>
    <row r="421" spans="2:5" x14ac:dyDescent="0.2">
      <c r="B421" t="str">
        <v>Silven, Miss. Lyyli Karoliina</v>
      </c>
      <c r="C421">
        <v>18</v>
      </c>
      <c r="D421" t="str">
        <v>Mujer</v>
      </c>
      <c r="E421">
        <v>1</v>
      </c>
    </row>
    <row r="422" spans="2:5" x14ac:dyDescent="0.2">
      <c r="B422" t="str">
        <v>Matthews, Mr. William John</v>
      </c>
      <c r="C422">
        <v>30</v>
      </c>
      <c r="D422" t="str">
        <v>Hombre</v>
      </c>
      <c r="E422">
        <v>0</v>
      </c>
    </row>
    <row r="423" spans="2:5" x14ac:dyDescent="0.2">
      <c r="B423" t="str">
        <v>Van Impe, Miss. Catharina</v>
      </c>
      <c r="C423">
        <v>10</v>
      </c>
      <c r="D423" t="str">
        <v>Mujer</v>
      </c>
      <c r="E423">
        <v>0</v>
      </c>
    </row>
    <row r="424" spans="2:5" x14ac:dyDescent="0.2">
      <c r="B424" t="str">
        <v>Gheorgheff, Mr. Stanio</v>
      </c>
      <c r="C424">
        <v>0</v>
      </c>
      <c r="D424" t="str">
        <v>Hombre</v>
      </c>
      <c r="E424">
        <v>0</v>
      </c>
    </row>
    <row r="425" spans="2:5" x14ac:dyDescent="0.2">
      <c r="B425" t="str">
        <v>Charters, Mr. David</v>
      </c>
      <c r="C425">
        <v>21</v>
      </c>
      <c r="D425" t="str">
        <v>Hombre</v>
      </c>
      <c r="E425">
        <v>0</v>
      </c>
    </row>
    <row r="426" spans="2:5" x14ac:dyDescent="0.2">
      <c r="B426" t="str">
        <v>Zimmerman, Mr. Leo</v>
      </c>
      <c r="C426">
        <v>29</v>
      </c>
      <c r="D426" t="str">
        <v>Hombre</v>
      </c>
      <c r="E426">
        <v>0</v>
      </c>
    </row>
    <row r="427" spans="2:5" x14ac:dyDescent="0.2">
      <c r="B427" t="str">
        <v>Danbom, Mrs. Ernst Gilbert (Anna Sigrid Maria Brogren)</v>
      </c>
      <c r="C427">
        <v>28</v>
      </c>
      <c r="D427" t="str">
        <v>Mujer</v>
      </c>
      <c r="E427">
        <v>0</v>
      </c>
    </row>
    <row r="428" spans="2:5" x14ac:dyDescent="0.2">
      <c r="B428" t="str">
        <v>Rosblom, Mr. Viktor Richard</v>
      </c>
      <c r="C428">
        <v>18</v>
      </c>
      <c r="D428" t="str">
        <v>Hombre</v>
      </c>
      <c r="E428">
        <v>0</v>
      </c>
    </row>
    <row r="429" spans="2:5" x14ac:dyDescent="0.2">
      <c r="B429" t="str">
        <v>Wiseman, Mr. Phillippe</v>
      </c>
      <c r="C429">
        <v>0</v>
      </c>
      <c r="D429" t="str">
        <v>Hombre</v>
      </c>
      <c r="E429">
        <v>0</v>
      </c>
    </row>
    <row r="430" spans="2:5" x14ac:dyDescent="0.2">
      <c r="B430" t="str">
        <v>Clarke, Mrs. Charles V (Ada Maria Winfield)</v>
      </c>
      <c r="C430">
        <v>28</v>
      </c>
      <c r="D430" t="str">
        <v>Mujer</v>
      </c>
      <c r="E430">
        <v>1</v>
      </c>
    </row>
    <row r="431" spans="2:5" x14ac:dyDescent="0.2">
      <c r="B431" t="str">
        <v>Phillips, Miss. Kate Florence ("Mrs Kate Louise Phillips Marshall")</v>
      </c>
      <c r="C431">
        <v>19</v>
      </c>
      <c r="D431" t="str">
        <v>Mujer</v>
      </c>
      <c r="E431">
        <v>1</v>
      </c>
    </row>
    <row r="432" spans="2:5" x14ac:dyDescent="0.2">
      <c r="B432" t="str">
        <v>Flynn, Mr. James</v>
      </c>
      <c r="C432">
        <v>0</v>
      </c>
      <c r="D432" t="str">
        <v>Hombre</v>
      </c>
      <c r="E432">
        <v>0</v>
      </c>
    </row>
    <row r="433" spans="2:5" x14ac:dyDescent="0.2">
      <c r="B433" t="str">
        <v>Pickard, Mr. Berk (Berk Trembisky)</v>
      </c>
      <c r="C433">
        <v>32</v>
      </c>
      <c r="D433" t="str">
        <v>Hombre</v>
      </c>
      <c r="E433">
        <v>1</v>
      </c>
    </row>
    <row r="434" spans="2:5" x14ac:dyDescent="0.2">
      <c r="B434" t="str">
        <v>Bjornstrom-Steffansson, Mr. Mauritz Hakan</v>
      </c>
      <c r="C434">
        <v>28</v>
      </c>
      <c r="D434" t="str">
        <v>Hombre</v>
      </c>
      <c r="E434">
        <v>1</v>
      </c>
    </row>
    <row r="435" spans="2:5" x14ac:dyDescent="0.2">
      <c r="B435" t="str">
        <v>Thorneycroft, Mrs. Percival (Florence Kate White)</v>
      </c>
      <c r="C435">
        <v>0</v>
      </c>
      <c r="D435" t="str">
        <v>Mujer</v>
      </c>
      <c r="E435">
        <v>1</v>
      </c>
    </row>
    <row r="436" spans="2:5" x14ac:dyDescent="0.2">
      <c r="B436" t="str">
        <v>Louch, Mrs. Charles Alexander (Alice Adelaide Slow)</v>
      </c>
      <c r="C436">
        <v>42</v>
      </c>
      <c r="D436" t="str">
        <v>Mujer</v>
      </c>
      <c r="E436">
        <v>1</v>
      </c>
    </row>
    <row r="437" spans="2:5" x14ac:dyDescent="0.2">
      <c r="B437" t="str">
        <v>Kallio, Mr. Nikolai Erland</v>
      </c>
      <c r="C437">
        <v>17</v>
      </c>
      <c r="D437" t="str">
        <v>Hombre</v>
      </c>
      <c r="E437">
        <v>0</v>
      </c>
    </row>
    <row r="438" spans="2:5" x14ac:dyDescent="0.2">
      <c r="B438" t="str">
        <v>Silvey, Mr. William Baird</v>
      </c>
      <c r="C438">
        <v>50</v>
      </c>
      <c r="D438" t="str">
        <v>Hombre</v>
      </c>
      <c r="E438">
        <v>0</v>
      </c>
    </row>
    <row r="439" spans="2:5" x14ac:dyDescent="0.2">
      <c r="B439" t="str">
        <v>Carter, Miss. Lucile Polk</v>
      </c>
      <c r="C439">
        <v>14</v>
      </c>
      <c r="D439" t="str">
        <v>Mujer</v>
      </c>
      <c r="E439">
        <v>1</v>
      </c>
    </row>
    <row r="440" spans="2:5" x14ac:dyDescent="0.2">
      <c r="B440" t="str">
        <v>Ford, Miss. Doolina Margaret "Daisy"</v>
      </c>
      <c r="C440">
        <v>21</v>
      </c>
      <c r="D440" t="str">
        <v>Mujer</v>
      </c>
      <c r="E440">
        <v>0</v>
      </c>
    </row>
    <row r="441" spans="2:5" x14ac:dyDescent="0.2">
      <c r="B441" t="str">
        <v>Richards, Mrs. Sidney (Emily Hocking)</v>
      </c>
      <c r="C441">
        <v>24</v>
      </c>
      <c r="D441" t="str">
        <v>Mujer</v>
      </c>
      <c r="E441">
        <v>1</v>
      </c>
    </row>
    <row r="442" spans="2:5" x14ac:dyDescent="0.2">
      <c r="B442" t="str">
        <v>Fortune, Mr. Mark</v>
      </c>
      <c r="C442">
        <v>64</v>
      </c>
      <c r="D442" t="str">
        <v>Hombre</v>
      </c>
      <c r="E442">
        <v>0</v>
      </c>
    </row>
    <row r="443" spans="2:5" x14ac:dyDescent="0.2">
      <c r="B443" t="str">
        <v>Kvillner, Mr. Johan Henrik Johannesson</v>
      </c>
      <c r="C443">
        <v>31</v>
      </c>
      <c r="D443" t="str">
        <v>Hombre</v>
      </c>
      <c r="E443">
        <v>0</v>
      </c>
    </row>
    <row r="444" spans="2:5" x14ac:dyDescent="0.2">
      <c r="B444" t="str">
        <v>Hart, Mrs. Benjamin (Esther Ada Bloomfield)</v>
      </c>
      <c r="C444">
        <v>45</v>
      </c>
      <c r="D444" t="str">
        <v>Mujer</v>
      </c>
      <c r="E444">
        <v>1</v>
      </c>
    </row>
    <row r="445" spans="2:5" x14ac:dyDescent="0.2">
      <c r="B445" t="str">
        <v>Hampe, Mr. Leon</v>
      </c>
      <c r="C445">
        <v>20</v>
      </c>
      <c r="D445" t="str">
        <v>Hombre</v>
      </c>
      <c r="E445">
        <v>0</v>
      </c>
    </row>
    <row r="446" spans="2:5" x14ac:dyDescent="0.2">
      <c r="B446" t="str">
        <v>Petterson, Mr. Johan Emil</v>
      </c>
      <c r="C446">
        <v>25</v>
      </c>
      <c r="D446" t="str">
        <v>Hombre</v>
      </c>
      <c r="E446">
        <v>0</v>
      </c>
    </row>
    <row r="447" spans="2:5" x14ac:dyDescent="0.2">
      <c r="B447" t="str">
        <v>Reynaldo, Ms. Encarnacion</v>
      </c>
      <c r="C447">
        <v>28</v>
      </c>
      <c r="D447" t="str">
        <v>Mujer</v>
      </c>
      <c r="E447">
        <v>1</v>
      </c>
    </row>
    <row r="448" spans="2:5" x14ac:dyDescent="0.2">
      <c r="B448" t="str">
        <v>Johannesen-Bratthammer, Mr. Bernt</v>
      </c>
      <c r="C448">
        <v>0</v>
      </c>
      <c r="D448" t="str">
        <v>Hombre</v>
      </c>
      <c r="E448">
        <v>1</v>
      </c>
    </row>
    <row r="449" spans="2:5" x14ac:dyDescent="0.2">
      <c r="B449" t="str">
        <v>Dodge, Master. Washington</v>
      </c>
      <c r="C449">
        <v>4</v>
      </c>
      <c r="D449" t="str">
        <v>Hombre</v>
      </c>
      <c r="E449">
        <v>1</v>
      </c>
    </row>
    <row r="450" spans="2:5" x14ac:dyDescent="0.2">
      <c r="B450" t="str">
        <v>Mellinger, Miss. Madeleine Violet</v>
      </c>
      <c r="C450">
        <v>13</v>
      </c>
      <c r="D450" t="str">
        <v>Mujer</v>
      </c>
      <c r="E450">
        <v>1</v>
      </c>
    </row>
    <row r="451" spans="2:5" x14ac:dyDescent="0.2">
      <c r="B451" t="str">
        <v>Seward, Mr. Frederic Kimber</v>
      </c>
      <c r="C451">
        <v>34</v>
      </c>
      <c r="D451" t="str">
        <v>Hombre</v>
      </c>
      <c r="E451">
        <v>1</v>
      </c>
    </row>
    <row r="452" spans="2:5" x14ac:dyDescent="0.2">
      <c r="B452" t="str">
        <v>Baclini, Miss. Marie Catherine</v>
      </c>
      <c r="C452">
        <v>5</v>
      </c>
      <c r="D452" t="str">
        <v>Mujer</v>
      </c>
      <c r="E452">
        <v>1</v>
      </c>
    </row>
    <row r="453" spans="2:5" x14ac:dyDescent="0.2">
      <c r="B453" t="str">
        <v>Peuchen, Major. Arthur Godfrey</v>
      </c>
      <c r="C453">
        <v>52</v>
      </c>
      <c r="D453" t="str">
        <v>Hombre</v>
      </c>
      <c r="E453">
        <v>1</v>
      </c>
    </row>
    <row r="454" spans="2:5" x14ac:dyDescent="0.2">
      <c r="B454" t="str">
        <v>West, Mr. Edwy Arthur</v>
      </c>
      <c r="C454">
        <v>36</v>
      </c>
      <c r="D454" t="str">
        <v>Hombre</v>
      </c>
      <c r="E454">
        <v>0</v>
      </c>
    </row>
    <row r="455" spans="2:5" x14ac:dyDescent="0.2">
      <c r="B455" t="str">
        <v>Hagland, Mr. Ingvald Olai Olsen</v>
      </c>
      <c r="C455">
        <v>0</v>
      </c>
      <c r="D455" t="str">
        <v>Hombre</v>
      </c>
      <c r="E455">
        <v>0</v>
      </c>
    </row>
    <row r="456" spans="2:5" x14ac:dyDescent="0.2">
      <c r="B456" t="str">
        <v>Foreman, Mr. Benjamin Laventall</v>
      </c>
      <c r="C456">
        <v>30</v>
      </c>
      <c r="D456" t="str">
        <v>Hombre</v>
      </c>
      <c r="E456">
        <v>0</v>
      </c>
    </row>
    <row r="457" spans="2:5" x14ac:dyDescent="0.2">
      <c r="B457" t="str">
        <v>Goldenberg, Mr. Samuel L</v>
      </c>
      <c r="C457">
        <v>49</v>
      </c>
      <c r="D457" t="str">
        <v>Hombre</v>
      </c>
      <c r="E457">
        <v>1</v>
      </c>
    </row>
    <row r="458" spans="2:5" x14ac:dyDescent="0.2">
      <c r="B458" t="str">
        <v>Peduzzi, Mr. Joseph</v>
      </c>
      <c r="C458">
        <v>0</v>
      </c>
      <c r="D458" t="str">
        <v>Hombre</v>
      </c>
      <c r="E458">
        <v>0</v>
      </c>
    </row>
    <row r="459" spans="2:5" x14ac:dyDescent="0.2">
      <c r="B459" t="str">
        <v>Jalsevac, Mr. Ivan</v>
      </c>
      <c r="C459">
        <v>29</v>
      </c>
      <c r="D459" t="str">
        <v>Hombre</v>
      </c>
      <c r="E459">
        <v>1</v>
      </c>
    </row>
    <row r="460" spans="2:5" x14ac:dyDescent="0.2">
      <c r="B460" t="str">
        <v>Millet, Mr. Francis Davis</v>
      </c>
      <c r="C460">
        <v>65</v>
      </c>
      <c r="D460" t="str">
        <v>Hombre</v>
      </c>
      <c r="E460">
        <v>0</v>
      </c>
    </row>
    <row r="461" spans="2:5" x14ac:dyDescent="0.2">
      <c r="B461" t="str">
        <v>Kenyon, Mrs. Frederick R (Marion)</v>
      </c>
      <c r="C461">
        <v>0</v>
      </c>
      <c r="D461" t="str">
        <v>Mujer</v>
      </c>
      <c r="E461">
        <v>1</v>
      </c>
    </row>
    <row r="462" spans="2:5" x14ac:dyDescent="0.2">
      <c r="B462" t="str">
        <v>Toomey, Miss. Ellen</v>
      </c>
      <c r="C462">
        <v>50</v>
      </c>
      <c r="D462" t="str">
        <v>Mujer</v>
      </c>
      <c r="E462">
        <v>1</v>
      </c>
    </row>
    <row r="463" spans="2:5" x14ac:dyDescent="0.2">
      <c r="B463" t="str">
        <v>O'Connor, Mr. Maurice</v>
      </c>
      <c r="C463">
        <v>0</v>
      </c>
      <c r="D463" t="str">
        <v>Hombre</v>
      </c>
      <c r="E463">
        <v>0</v>
      </c>
    </row>
    <row r="464" spans="2:5" x14ac:dyDescent="0.2">
      <c r="B464" t="str">
        <v>Anderson, Mr. Harry</v>
      </c>
      <c r="C464">
        <v>48</v>
      </c>
      <c r="D464" t="str">
        <v>Hombre</v>
      </c>
      <c r="E464">
        <v>1</v>
      </c>
    </row>
    <row r="465" spans="2:5" x14ac:dyDescent="0.2">
      <c r="B465" t="str">
        <v>Morley, Mr. William</v>
      </c>
      <c r="C465">
        <v>34</v>
      </c>
      <c r="D465" t="str">
        <v>Hombre</v>
      </c>
      <c r="E465">
        <v>0</v>
      </c>
    </row>
    <row r="466" spans="2:5" x14ac:dyDescent="0.2">
      <c r="B466" t="str">
        <v>Gee, Mr. Arthur H</v>
      </c>
      <c r="C466">
        <v>47</v>
      </c>
      <c r="D466" t="str">
        <v>Hombre</v>
      </c>
      <c r="E466">
        <v>0</v>
      </c>
    </row>
    <row r="467" spans="2:5" x14ac:dyDescent="0.2">
      <c r="B467" t="str">
        <v>Milling, Mr. Jacob Christian</v>
      </c>
      <c r="C467">
        <v>48</v>
      </c>
      <c r="D467" t="str">
        <v>Hombre</v>
      </c>
      <c r="E467">
        <v>0</v>
      </c>
    </row>
    <row r="468" spans="2:5" x14ac:dyDescent="0.2">
      <c r="B468" t="str">
        <v>Maisner, Mr. Simon</v>
      </c>
      <c r="C468">
        <v>0</v>
      </c>
      <c r="D468" t="str">
        <v>Hombre</v>
      </c>
      <c r="E468">
        <v>0</v>
      </c>
    </row>
    <row r="469" spans="2:5" x14ac:dyDescent="0.2">
      <c r="B469" t="str">
        <v>Goncalves, Mr. Manuel Estanslas</v>
      </c>
      <c r="C469">
        <v>38</v>
      </c>
      <c r="D469" t="str">
        <v>Hombre</v>
      </c>
      <c r="E469">
        <v>0</v>
      </c>
    </row>
    <row r="470" spans="2:5" x14ac:dyDescent="0.2">
      <c r="B470" t="str">
        <v>Campbell, Mr. William</v>
      </c>
      <c r="C470">
        <v>0</v>
      </c>
      <c r="D470" t="str">
        <v>Hombre</v>
      </c>
      <c r="E470">
        <v>0</v>
      </c>
    </row>
    <row r="471" spans="2:5" x14ac:dyDescent="0.2">
      <c r="B471" t="str">
        <v>Smart, Mr. John Montgomery</v>
      </c>
      <c r="C471">
        <v>56</v>
      </c>
      <c r="D471" t="str">
        <v>Hombre</v>
      </c>
      <c r="E471">
        <v>0</v>
      </c>
    </row>
    <row r="472" spans="2:5" x14ac:dyDescent="0.2">
      <c r="B472" t="str">
        <v>Scanlan, Mr. James</v>
      </c>
      <c r="C472">
        <v>0</v>
      </c>
      <c r="D472" t="str">
        <v>Hombre</v>
      </c>
      <c r="E472">
        <v>0</v>
      </c>
    </row>
    <row r="473" spans="2:5" x14ac:dyDescent="0.2">
      <c r="B473" t="str">
        <v>Baclini, Miss. Helene Barbara</v>
      </c>
      <c r="C473">
        <v>75</v>
      </c>
      <c r="D473" t="str">
        <v>Mujer</v>
      </c>
      <c r="E473">
        <v>1</v>
      </c>
    </row>
    <row r="474" spans="2:5" x14ac:dyDescent="0.2">
      <c r="B474" t="str">
        <v>Keefe, Mr. Arthur</v>
      </c>
      <c r="C474">
        <v>0</v>
      </c>
      <c r="D474" t="str">
        <v>Hombre</v>
      </c>
      <c r="E474">
        <v>0</v>
      </c>
    </row>
    <row r="475" spans="2:5" x14ac:dyDescent="0.2">
      <c r="B475" t="str">
        <v>Cacic, Mr. Luka</v>
      </c>
      <c r="C475">
        <v>38</v>
      </c>
      <c r="D475" t="str">
        <v>Hombre</v>
      </c>
      <c r="E475">
        <v>0</v>
      </c>
    </row>
    <row r="476" spans="2:5" x14ac:dyDescent="0.2">
      <c r="B476" t="str">
        <v>West, Mrs. Edwy Arthur (Ada Mary Worth)</v>
      </c>
      <c r="C476">
        <v>33</v>
      </c>
      <c r="D476" t="str">
        <v>Mujer</v>
      </c>
      <c r="E476">
        <v>1</v>
      </c>
    </row>
    <row r="477" spans="2:5" x14ac:dyDescent="0.2">
      <c r="B477" t="str">
        <v>Jerwan, Mrs. Amin S (Marie Marthe Thuillard)</v>
      </c>
      <c r="C477">
        <v>23</v>
      </c>
      <c r="D477" t="str">
        <v>Mujer</v>
      </c>
      <c r="E477">
        <v>1</v>
      </c>
    </row>
    <row r="478" spans="2:5" x14ac:dyDescent="0.2">
      <c r="B478" t="str">
        <v>Strandberg, Miss. Ida Sofia</v>
      </c>
      <c r="C478">
        <v>22</v>
      </c>
      <c r="D478" t="str">
        <v>Mujer</v>
      </c>
      <c r="E478">
        <v>0</v>
      </c>
    </row>
    <row r="479" spans="2:5" x14ac:dyDescent="0.2">
      <c r="B479" t="str">
        <v>Clifford, Mr. George Quincy</v>
      </c>
      <c r="C479">
        <v>0</v>
      </c>
      <c r="D479" t="str">
        <v>Hombre</v>
      </c>
      <c r="E479">
        <v>0</v>
      </c>
    </row>
    <row r="480" spans="2:5" x14ac:dyDescent="0.2">
      <c r="B480" t="str">
        <v>Renouf, Mr. Peter Henry</v>
      </c>
      <c r="C480">
        <v>34</v>
      </c>
      <c r="D480" t="str">
        <v>Hombre</v>
      </c>
      <c r="E480">
        <v>0</v>
      </c>
    </row>
    <row r="481" spans="2:5" x14ac:dyDescent="0.2">
      <c r="B481" t="str">
        <v>Braund, Mr. Lewis Richard</v>
      </c>
      <c r="C481">
        <v>29</v>
      </c>
      <c r="D481" t="str">
        <v>Hombre</v>
      </c>
      <c r="E481">
        <v>0</v>
      </c>
    </row>
    <row r="482" spans="2:5" x14ac:dyDescent="0.2">
      <c r="B482" t="str">
        <v>Karlsson, Mr. Nils August</v>
      </c>
      <c r="C482">
        <v>22</v>
      </c>
      <c r="D482" t="str">
        <v>Hombre</v>
      </c>
      <c r="E482">
        <v>0</v>
      </c>
    </row>
    <row r="483" spans="2:5" x14ac:dyDescent="0.2">
      <c r="B483" t="str">
        <v>Hirvonen, Miss. Hildur E</v>
      </c>
      <c r="C483">
        <v>2</v>
      </c>
      <c r="D483" t="str">
        <v>Mujer</v>
      </c>
      <c r="E483">
        <v>1</v>
      </c>
    </row>
    <row r="484" spans="2:5" x14ac:dyDescent="0.2">
      <c r="B484" t="str">
        <v>Goodwin, Master. Harold Victor</v>
      </c>
      <c r="C484">
        <v>9</v>
      </c>
      <c r="D484" t="str">
        <v>Hombre</v>
      </c>
      <c r="E484">
        <v>0</v>
      </c>
    </row>
    <row r="485" spans="2:5" x14ac:dyDescent="0.2">
      <c r="B485" t="str">
        <v>Frost, Mr. Anthony Wood "Archie"</v>
      </c>
      <c r="C485">
        <v>0</v>
      </c>
      <c r="D485" t="str">
        <v>Hombre</v>
      </c>
      <c r="E485">
        <v>0</v>
      </c>
    </row>
    <row r="486" spans="2:5" x14ac:dyDescent="0.2">
      <c r="B486" t="str">
        <v>Rouse, Mr. Richard Henry</v>
      </c>
      <c r="C486">
        <v>50</v>
      </c>
      <c r="D486" t="str">
        <v>Hombre</v>
      </c>
      <c r="E486">
        <v>0</v>
      </c>
    </row>
    <row r="487" spans="2:5" x14ac:dyDescent="0.2">
      <c r="B487" t="str">
        <v>Turkula, Mrs. (Hedwig)</v>
      </c>
      <c r="C487">
        <v>63</v>
      </c>
      <c r="D487" t="str">
        <v>Mujer</v>
      </c>
      <c r="E487">
        <v>1</v>
      </c>
    </row>
    <row r="488" spans="2:5" x14ac:dyDescent="0.2">
      <c r="B488" t="str">
        <v>Bishop, Mr. Dickinson H</v>
      </c>
      <c r="C488">
        <v>25</v>
      </c>
      <c r="D488" t="str">
        <v>Hombre</v>
      </c>
      <c r="E488">
        <v>1</v>
      </c>
    </row>
    <row r="489" spans="2:5" x14ac:dyDescent="0.2">
      <c r="B489" t="str">
        <v>Lefebre, Miss. Jeannie</v>
      </c>
      <c r="C489">
        <v>0</v>
      </c>
      <c r="D489" t="str">
        <v>Mujer</v>
      </c>
      <c r="E489">
        <v>0</v>
      </c>
    </row>
    <row r="490" spans="2:5" x14ac:dyDescent="0.2">
      <c r="B490" t="str">
        <v>Hoyt, Mrs. Frederick Maxfield (Jane Anne Forby)</v>
      </c>
      <c r="C490">
        <v>35</v>
      </c>
      <c r="D490" t="str">
        <v>Mujer</v>
      </c>
      <c r="E490">
        <v>1</v>
      </c>
    </row>
    <row r="491" spans="2:5" x14ac:dyDescent="0.2">
      <c r="B491" t="str">
        <v>Kent, Mr. Edward Austin</v>
      </c>
      <c r="C491">
        <v>58</v>
      </c>
      <c r="D491" t="str">
        <v>Hombre</v>
      </c>
      <c r="E491">
        <v>0</v>
      </c>
    </row>
    <row r="492" spans="2:5" x14ac:dyDescent="0.2">
      <c r="B492" t="str">
        <v>Somerton, Mr. Francis William</v>
      </c>
      <c r="C492">
        <v>30</v>
      </c>
      <c r="D492" t="str">
        <v>Hombre</v>
      </c>
      <c r="E492">
        <v>0</v>
      </c>
    </row>
    <row r="493" spans="2:5" x14ac:dyDescent="0.2">
      <c r="B493" t="str">
        <v>Coutts, Master. Eden Leslie "Neville"</v>
      </c>
      <c r="C493">
        <v>9</v>
      </c>
      <c r="D493" t="str">
        <v>Hombre</v>
      </c>
      <c r="E493">
        <v>1</v>
      </c>
    </row>
    <row r="494" spans="2:5" x14ac:dyDescent="0.2">
      <c r="B494" t="str">
        <v>Hagland, Mr. Konrad Mathias Reiersen</v>
      </c>
      <c r="C494">
        <v>0</v>
      </c>
      <c r="D494" t="str">
        <v>Hombre</v>
      </c>
      <c r="E494">
        <v>0</v>
      </c>
    </row>
    <row r="495" spans="2:5" x14ac:dyDescent="0.2">
      <c r="B495" t="str">
        <v>Windelov, Mr. Einar</v>
      </c>
      <c r="C495">
        <v>21</v>
      </c>
      <c r="D495" t="str">
        <v>Hombre</v>
      </c>
      <c r="E495">
        <v>0</v>
      </c>
    </row>
    <row r="496" spans="2:5" x14ac:dyDescent="0.2">
      <c r="B496" t="str">
        <v>Molson, Mr. Harry Markland</v>
      </c>
      <c r="C496">
        <v>55</v>
      </c>
      <c r="D496" t="str">
        <v>Hombre</v>
      </c>
      <c r="E496">
        <v>0</v>
      </c>
    </row>
    <row r="497" spans="2:5" x14ac:dyDescent="0.2">
      <c r="B497" t="str">
        <v>Artagaveytia, Mr. Ramon</v>
      </c>
      <c r="C497">
        <v>71</v>
      </c>
      <c r="D497" t="str">
        <v>Hombre</v>
      </c>
      <c r="E497">
        <v>0</v>
      </c>
    </row>
    <row r="498" spans="2:5" x14ac:dyDescent="0.2">
      <c r="B498" t="str">
        <v>Stanley, Mr. Edward Roland</v>
      </c>
      <c r="C498">
        <v>21</v>
      </c>
      <c r="D498" t="str">
        <v>Hombre</v>
      </c>
      <c r="E498">
        <v>0</v>
      </c>
    </row>
    <row r="499" spans="2:5" x14ac:dyDescent="0.2">
      <c r="B499" t="str">
        <v>Yousseff, Mr. Gerious</v>
      </c>
      <c r="C499">
        <v>0</v>
      </c>
      <c r="D499" t="str">
        <v>Hombre</v>
      </c>
      <c r="E499">
        <v>0</v>
      </c>
    </row>
    <row r="500" spans="2:5" x14ac:dyDescent="0.2">
      <c r="B500" t="str">
        <v>Eustis, Miss. Elizabeth Mussey</v>
      </c>
      <c r="C500">
        <v>54</v>
      </c>
      <c r="D500" t="str">
        <v>Mujer</v>
      </c>
      <c r="E500">
        <v>1</v>
      </c>
    </row>
    <row r="501" spans="2:5" x14ac:dyDescent="0.2">
      <c r="B501" t="str">
        <v>Shellard, Mr. Frederick William</v>
      </c>
      <c r="C501">
        <v>0</v>
      </c>
      <c r="D501" t="str">
        <v>Hombre</v>
      </c>
      <c r="E501">
        <v>0</v>
      </c>
    </row>
    <row r="502" spans="2:5" x14ac:dyDescent="0.2">
      <c r="B502" t="str">
        <v>Allison, Mrs. Hudson J C (Bessie Waldo Daniels)</v>
      </c>
      <c r="C502">
        <v>25</v>
      </c>
      <c r="D502" t="str">
        <v>Mujer</v>
      </c>
      <c r="E502">
        <v>0</v>
      </c>
    </row>
    <row r="503" spans="2:5" x14ac:dyDescent="0.2">
      <c r="B503" t="str">
        <v>Svensson, Mr. Olof</v>
      </c>
      <c r="C503">
        <v>24</v>
      </c>
      <c r="D503" t="str">
        <v>Hombre</v>
      </c>
      <c r="E503">
        <v>0</v>
      </c>
    </row>
    <row r="504" spans="2:5" x14ac:dyDescent="0.2">
      <c r="B504" t="str">
        <v>Calic, Mr. Petar</v>
      </c>
      <c r="C504">
        <v>17</v>
      </c>
      <c r="D504" t="str">
        <v>Hombre</v>
      </c>
      <c r="E504">
        <v>0</v>
      </c>
    </row>
    <row r="505" spans="2:5" x14ac:dyDescent="0.2">
      <c r="B505" t="str">
        <v>Canavan, Miss. Mary</v>
      </c>
      <c r="C505">
        <v>21</v>
      </c>
      <c r="D505" t="str">
        <v>Mujer</v>
      </c>
      <c r="E505">
        <v>0</v>
      </c>
    </row>
    <row r="506" spans="2:5" x14ac:dyDescent="0.2">
      <c r="B506" t="str">
        <v>O'Sullivan, Miss. Bridget Mary</v>
      </c>
      <c r="C506">
        <v>0</v>
      </c>
      <c r="D506" t="str">
        <v>Mujer</v>
      </c>
      <c r="E506">
        <v>0</v>
      </c>
    </row>
    <row r="507" spans="2:5" x14ac:dyDescent="0.2">
      <c r="B507" t="str">
        <v>Laitinen, Miss. Kristina Sofia</v>
      </c>
      <c r="C507">
        <v>37</v>
      </c>
      <c r="D507" t="str">
        <v>Mujer</v>
      </c>
      <c r="E507">
        <v>0</v>
      </c>
    </row>
    <row r="508" spans="2:5" x14ac:dyDescent="0.2">
      <c r="B508" t="str">
        <v>Maioni, Miss. Roberta</v>
      </c>
      <c r="C508">
        <v>16</v>
      </c>
      <c r="D508" t="str">
        <v>Mujer</v>
      </c>
      <c r="E508">
        <v>1</v>
      </c>
    </row>
    <row r="509" spans="2:5" x14ac:dyDescent="0.2">
      <c r="B509" t="str">
        <v>Penasco y Castellana, Mr. Victor de Satode</v>
      </c>
      <c r="C509">
        <v>18</v>
      </c>
      <c r="D509" t="str">
        <v>Hombre</v>
      </c>
      <c r="E509">
        <v>0</v>
      </c>
    </row>
    <row r="510" spans="2:5" x14ac:dyDescent="0.2">
      <c r="B510" t="str">
        <v>Quick, Mrs. Frederick Charles (Jane Richards)</v>
      </c>
      <c r="C510">
        <v>33</v>
      </c>
      <c r="D510" t="str">
        <v>Mujer</v>
      </c>
      <c r="E510">
        <v>1</v>
      </c>
    </row>
    <row r="511" spans="2:5" x14ac:dyDescent="0.2">
      <c r="B511" t="str">
        <v>Bradley, Mr. George ("George Arthur Brayton")</v>
      </c>
      <c r="C511">
        <v>0</v>
      </c>
      <c r="D511" t="str">
        <v>Hombre</v>
      </c>
      <c r="E511">
        <v>1</v>
      </c>
    </row>
    <row r="512" spans="2:5" x14ac:dyDescent="0.2">
      <c r="B512" t="str">
        <v>Olsen, Mr. Henry Margido</v>
      </c>
      <c r="C512">
        <v>28</v>
      </c>
      <c r="D512" t="str">
        <v>Hombre</v>
      </c>
      <c r="E512">
        <v>0</v>
      </c>
    </row>
    <row r="513" spans="2:5" x14ac:dyDescent="0.2">
      <c r="B513" t="str">
        <v>Lang, Mr. Fang</v>
      </c>
      <c r="C513">
        <v>26</v>
      </c>
      <c r="D513" t="str">
        <v>Hombre</v>
      </c>
      <c r="E513">
        <v>1</v>
      </c>
    </row>
    <row r="514" spans="2:5" x14ac:dyDescent="0.2">
      <c r="B514" t="str">
        <v>Daly, Mr. Eugene Patrick</v>
      </c>
      <c r="C514">
        <v>29</v>
      </c>
      <c r="D514" t="str">
        <v>Hombre</v>
      </c>
      <c r="E514">
        <v>1</v>
      </c>
    </row>
    <row r="515" spans="2:5" x14ac:dyDescent="0.2">
      <c r="B515" t="str">
        <v>Webber, Mr. James</v>
      </c>
      <c r="C515">
        <v>0</v>
      </c>
      <c r="D515" t="str">
        <v>Hombre</v>
      </c>
      <c r="E515">
        <v>0</v>
      </c>
    </row>
    <row r="516" spans="2:5" x14ac:dyDescent="0.2">
      <c r="B516" t="str">
        <v>McGough, Mr. James Robert</v>
      </c>
      <c r="C516">
        <v>36</v>
      </c>
      <c r="D516" t="str">
        <v>Hombre</v>
      </c>
      <c r="E516">
        <v>1</v>
      </c>
    </row>
    <row r="517" spans="2:5" x14ac:dyDescent="0.2">
      <c r="B517" t="str">
        <v>Rothschild, Mrs. Martin (Elizabeth L. Barrett)</v>
      </c>
      <c r="C517">
        <v>54</v>
      </c>
      <c r="D517" t="str">
        <v>Mujer</v>
      </c>
      <c r="E517">
        <v>1</v>
      </c>
    </row>
    <row r="518" spans="2:5" x14ac:dyDescent="0.2">
      <c r="B518" t="str">
        <v>Coleff, Mr. Satio</v>
      </c>
      <c r="C518">
        <v>24</v>
      </c>
      <c r="D518" t="str">
        <v>Hombre</v>
      </c>
      <c r="E518">
        <v>0</v>
      </c>
    </row>
    <row r="519" spans="2:5" x14ac:dyDescent="0.2">
      <c r="B519" t="str">
        <v>Walker, Mr. William Anderson</v>
      </c>
      <c r="C519">
        <v>47</v>
      </c>
      <c r="D519" t="str">
        <v>Hombre</v>
      </c>
      <c r="E519">
        <v>0</v>
      </c>
    </row>
    <row r="520" spans="2:5" x14ac:dyDescent="0.2">
      <c r="B520" t="str">
        <v>Lemore, Mrs. (Amelia Milley)</v>
      </c>
      <c r="C520">
        <v>34</v>
      </c>
      <c r="D520" t="str">
        <v>Mujer</v>
      </c>
      <c r="E520">
        <v>1</v>
      </c>
    </row>
    <row r="521" spans="2:5" x14ac:dyDescent="0.2">
      <c r="B521" t="str">
        <v>Ryan, Mr. Patrick</v>
      </c>
      <c r="C521">
        <v>0</v>
      </c>
      <c r="D521" t="str">
        <v>Hombre</v>
      </c>
      <c r="E521">
        <v>0</v>
      </c>
    </row>
    <row r="522" spans="2:5" x14ac:dyDescent="0.2">
      <c r="B522" t="str">
        <v>Angle, Mrs. William A (Florence "Mary" Agnes Hughes)</v>
      </c>
      <c r="C522">
        <v>36</v>
      </c>
      <c r="D522" t="str">
        <v>Mujer</v>
      </c>
      <c r="E522">
        <v>1</v>
      </c>
    </row>
    <row r="523" spans="2:5" x14ac:dyDescent="0.2">
      <c r="B523" t="str">
        <v>Pavlovic, Mr. Stefo</v>
      </c>
      <c r="C523">
        <v>32</v>
      </c>
      <c r="D523" t="str">
        <v>Hombre</v>
      </c>
      <c r="E523">
        <v>0</v>
      </c>
    </row>
    <row r="524" spans="2:5" x14ac:dyDescent="0.2">
      <c r="B524" t="str">
        <v>Perreault, Miss. Anne</v>
      </c>
      <c r="C524">
        <v>30</v>
      </c>
      <c r="D524" t="str">
        <v>Mujer</v>
      </c>
      <c r="E524">
        <v>1</v>
      </c>
    </row>
    <row r="525" spans="2:5" x14ac:dyDescent="0.2">
      <c r="B525" t="str">
        <v>Vovk, Mr. Janko</v>
      </c>
      <c r="C525">
        <v>22</v>
      </c>
      <c r="D525" t="str">
        <v>Hombre</v>
      </c>
      <c r="E525">
        <v>0</v>
      </c>
    </row>
    <row r="526" spans="2:5" x14ac:dyDescent="0.2">
      <c r="B526" t="str">
        <v>Lahoud, Mr. Sarkis</v>
      </c>
      <c r="C526">
        <v>0</v>
      </c>
      <c r="D526" t="str">
        <v>Hombre</v>
      </c>
      <c r="E526">
        <v>0</v>
      </c>
    </row>
    <row r="527" spans="2:5" x14ac:dyDescent="0.2">
      <c r="B527" t="str">
        <v>Hippach, Mrs. Louis Albert (Ida Sophia Fischer)</v>
      </c>
      <c r="C527">
        <v>44</v>
      </c>
      <c r="D527" t="str">
        <v>Mujer</v>
      </c>
      <c r="E527">
        <v>1</v>
      </c>
    </row>
    <row r="528" spans="2:5" x14ac:dyDescent="0.2">
      <c r="B528" t="str">
        <v>Kassem, Mr. Fared</v>
      </c>
      <c r="C528">
        <v>0</v>
      </c>
      <c r="D528" t="str">
        <v>Hombre</v>
      </c>
      <c r="E528">
        <v>0</v>
      </c>
    </row>
    <row r="529" spans="2:5" x14ac:dyDescent="0.2">
      <c r="B529" t="str">
        <v>Farrell, Mr. James</v>
      </c>
      <c r="C529">
        <v>405</v>
      </c>
      <c r="D529" t="str">
        <v>Hombre</v>
      </c>
      <c r="E529">
        <v>0</v>
      </c>
    </row>
    <row r="530" spans="2:5" x14ac:dyDescent="0.2">
      <c r="B530" t="str">
        <v>Ridsdale, Miss. Lucy</v>
      </c>
      <c r="C530">
        <v>50</v>
      </c>
      <c r="D530" t="str">
        <v>Mujer</v>
      </c>
      <c r="E530">
        <v>1</v>
      </c>
    </row>
    <row r="531" spans="2:5" x14ac:dyDescent="0.2">
      <c r="B531" t="str">
        <v>Farthing, Mr. John</v>
      </c>
      <c r="C531">
        <v>0</v>
      </c>
      <c r="D531" t="str">
        <v>Hombre</v>
      </c>
      <c r="E531">
        <v>0</v>
      </c>
    </row>
    <row r="532" spans="2:5" x14ac:dyDescent="0.2">
      <c r="B532" t="str">
        <v>Salonen, Mr. Johan Werner</v>
      </c>
      <c r="C532">
        <v>39</v>
      </c>
      <c r="D532" t="str">
        <v>Hombre</v>
      </c>
      <c r="E532">
        <v>0</v>
      </c>
    </row>
    <row r="533" spans="2:5" x14ac:dyDescent="0.2">
      <c r="B533" t="str">
        <v>Hocking, Mr. Richard George</v>
      </c>
      <c r="C533">
        <v>23</v>
      </c>
      <c r="D533" t="str">
        <v>Hombre</v>
      </c>
      <c r="E533">
        <v>0</v>
      </c>
    </row>
    <row r="534" spans="2:5" x14ac:dyDescent="0.2">
      <c r="B534" t="str">
        <v>Quick, Miss. Phyllis May</v>
      </c>
      <c r="C534">
        <v>2</v>
      </c>
      <c r="D534" t="str">
        <v>Mujer</v>
      </c>
      <c r="E534">
        <v>1</v>
      </c>
    </row>
    <row r="535" spans="2:5" x14ac:dyDescent="0.2">
      <c r="B535" t="str">
        <v>Toufik, Mr. Nakli</v>
      </c>
      <c r="C535">
        <v>0</v>
      </c>
      <c r="D535" t="str">
        <v>Hombre</v>
      </c>
      <c r="E535">
        <v>0</v>
      </c>
    </row>
    <row r="536" spans="2:5" x14ac:dyDescent="0.2">
      <c r="B536" t="str">
        <v>Elias, Mr. Joseph Jr</v>
      </c>
      <c r="C536">
        <v>17</v>
      </c>
      <c r="D536" t="str">
        <v>Hombre</v>
      </c>
      <c r="E536">
        <v>0</v>
      </c>
    </row>
    <row r="537" spans="2:5" x14ac:dyDescent="0.2">
      <c r="B537" t="str">
        <v>Peter, Mrs. Catherine (Catherine Rizk)</v>
      </c>
      <c r="C537">
        <v>0</v>
      </c>
      <c r="D537" t="str">
        <v>Mujer</v>
      </c>
      <c r="E537">
        <v>1</v>
      </c>
    </row>
    <row r="538" spans="2:5" x14ac:dyDescent="0.2">
      <c r="B538" t="str">
        <v>Cacic, Miss. Marija</v>
      </c>
      <c r="C538">
        <v>30</v>
      </c>
      <c r="D538" t="str">
        <v>Mujer</v>
      </c>
      <c r="E538">
        <v>0</v>
      </c>
    </row>
    <row r="539" spans="2:5" x14ac:dyDescent="0.2">
      <c r="B539" t="str">
        <v>Hart, Miss. Eva Miriam</v>
      </c>
      <c r="C539">
        <v>7</v>
      </c>
      <c r="D539" t="str">
        <v>Mujer</v>
      </c>
      <c r="E539">
        <v>1</v>
      </c>
    </row>
    <row r="540" spans="2:5" x14ac:dyDescent="0.2">
      <c r="B540" t="str">
        <v>Butt, Major. Archibald Willingham</v>
      </c>
      <c r="C540">
        <v>45</v>
      </c>
      <c r="D540" t="str">
        <v>Hombre</v>
      </c>
      <c r="E540">
        <v>0</v>
      </c>
    </row>
    <row r="541" spans="2:5" x14ac:dyDescent="0.2">
      <c r="B541" t="str">
        <v>LeRoy, Miss. Bertha</v>
      </c>
      <c r="C541">
        <v>30</v>
      </c>
      <c r="D541" t="str">
        <v>Mujer</v>
      </c>
      <c r="E541">
        <v>1</v>
      </c>
    </row>
    <row r="542" spans="2:5" x14ac:dyDescent="0.2">
      <c r="B542" t="str">
        <v>Risien, Mr. Samuel Beard</v>
      </c>
      <c r="C542">
        <v>0</v>
      </c>
      <c r="D542" t="str">
        <v>Hombre</v>
      </c>
      <c r="E542">
        <v>0</v>
      </c>
    </row>
    <row r="543" spans="2:5" x14ac:dyDescent="0.2">
      <c r="B543" t="str">
        <v>Frolicher, Miss. Hedwig Margaritha</v>
      </c>
      <c r="C543">
        <v>22</v>
      </c>
      <c r="D543" t="str">
        <v>Mujer</v>
      </c>
      <c r="E543">
        <v>1</v>
      </c>
    </row>
    <row r="544" spans="2:5" x14ac:dyDescent="0.2">
      <c r="B544" t="str">
        <v>Crosby, Miss. Harriet R</v>
      </c>
      <c r="C544">
        <v>36</v>
      </c>
      <c r="D544" t="str">
        <v>Mujer</v>
      </c>
      <c r="E544">
        <v>1</v>
      </c>
    </row>
    <row r="545" spans="2:5" x14ac:dyDescent="0.2">
      <c r="B545" t="str">
        <v>Andersson, Miss. Ingeborg Constanzia</v>
      </c>
      <c r="C545">
        <v>9</v>
      </c>
      <c r="D545" t="str">
        <v>Mujer</v>
      </c>
      <c r="E545">
        <v>0</v>
      </c>
    </row>
    <row r="546" spans="2:5" x14ac:dyDescent="0.2">
      <c r="B546" t="str">
        <v>Andersson, Miss. Sigrid Elisabeth</v>
      </c>
      <c r="C546">
        <v>11</v>
      </c>
      <c r="D546" t="str">
        <v>Mujer</v>
      </c>
      <c r="E546">
        <v>0</v>
      </c>
    </row>
    <row r="547" spans="2:5" x14ac:dyDescent="0.2">
      <c r="B547" t="str">
        <v>Beane, Mr. Edward</v>
      </c>
      <c r="C547">
        <v>32</v>
      </c>
      <c r="D547" t="str">
        <v>Hombre</v>
      </c>
      <c r="E547">
        <v>1</v>
      </c>
    </row>
    <row r="548" spans="2:5" x14ac:dyDescent="0.2">
      <c r="B548" t="str">
        <v>Douglas, Mr. Walter Donald</v>
      </c>
      <c r="C548">
        <v>50</v>
      </c>
      <c r="D548" t="str">
        <v>Hombre</v>
      </c>
      <c r="E548">
        <v>0</v>
      </c>
    </row>
    <row r="549" spans="2:5" x14ac:dyDescent="0.2">
      <c r="B549" t="str">
        <v>Nicholson, Mr. Arthur Ernest</v>
      </c>
      <c r="C549">
        <v>64</v>
      </c>
      <c r="D549" t="str">
        <v>Hombre</v>
      </c>
      <c r="E549">
        <v>0</v>
      </c>
    </row>
    <row r="550" spans="2:5" x14ac:dyDescent="0.2">
      <c r="B550" t="str">
        <v>Beane, Mrs. Edward (Ethel Clarke)</v>
      </c>
      <c r="C550">
        <v>19</v>
      </c>
      <c r="D550" t="str">
        <v>Mujer</v>
      </c>
      <c r="E550">
        <v>1</v>
      </c>
    </row>
    <row r="551" spans="2:5" x14ac:dyDescent="0.2">
      <c r="B551" t="str">
        <v>Padro y Manent, Mr. Julian</v>
      </c>
      <c r="C551">
        <v>0</v>
      </c>
      <c r="D551" t="str">
        <v>Hombre</v>
      </c>
      <c r="E551">
        <v>1</v>
      </c>
    </row>
    <row r="552" spans="2:5" x14ac:dyDescent="0.2">
      <c r="B552" t="str">
        <v>Goldsmith, Mr. Frank John</v>
      </c>
      <c r="C552">
        <v>33</v>
      </c>
      <c r="D552" t="str">
        <v>Hombre</v>
      </c>
      <c r="E552">
        <v>0</v>
      </c>
    </row>
    <row r="553" spans="2:5" x14ac:dyDescent="0.2">
      <c r="B553" t="str">
        <v>Davies, Master. John Morgan Jr</v>
      </c>
      <c r="C553">
        <v>8</v>
      </c>
      <c r="D553" t="str">
        <v>Hombre</v>
      </c>
      <c r="E553">
        <v>1</v>
      </c>
    </row>
    <row r="554" spans="2:5" x14ac:dyDescent="0.2">
      <c r="B554" t="str">
        <v>Thayer, Mr. John Borland Jr</v>
      </c>
      <c r="C554">
        <v>17</v>
      </c>
      <c r="D554" t="str">
        <v>Hombre</v>
      </c>
      <c r="E554">
        <v>1</v>
      </c>
    </row>
    <row r="555" spans="2:5" x14ac:dyDescent="0.2">
      <c r="B555" t="str">
        <v>Sharp, Mr. Percival James R</v>
      </c>
      <c r="C555">
        <v>27</v>
      </c>
      <c r="D555" t="str">
        <v>Hombre</v>
      </c>
      <c r="E555">
        <v>0</v>
      </c>
    </row>
    <row r="556" spans="2:5" x14ac:dyDescent="0.2">
      <c r="B556" t="str">
        <v>O'Brien, Mr. Timothy</v>
      </c>
      <c r="C556">
        <v>0</v>
      </c>
      <c r="D556" t="str">
        <v>Hombre</v>
      </c>
      <c r="E556">
        <v>0</v>
      </c>
    </row>
    <row r="557" spans="2:5" x14ac:dyDescent="0.2">
      <c r="B557" t="str">
        <v>Leeni, Mr. Fahim ("Philip Zenni")</v>
      </c>
      <c r="C557">
        <v>22</v>
      </c>
      <c r="D557" t="str">
        <v>Hombre</v>
      </c>
      <c r="E557">
        <v>1</v>
      </c>
    </row>
    <row r="558" spans="2:5" x14ac:dyDescent="0.2">
      <c r="B558" t="str">
        <v>Ohman, Miss. Velin</v>
      </c>
      <c r="C558">
        <v>22</v>
      </c>
      <c r="D558" t="str">
        <v>Mujer</v>
      </c>
      <c r="E558">
        <v>1</v>
      </c>
    </row>
    <row r="559" spans="2:5" x14ac:dyDescent="0.2">
      <c r="B559" t="str">
        <v>Wright, Mr. George</v>
      </c>
      <c r="C559">
        <v>62</v>
      </c>
      <c r="D559" t="str">
        <v>Hombre</v>
      </c>
      <c r="E559">
        <v>0</v>
      </c>
    </row>
    <row r="560" spans="2:5" x14ac:dyDescent="0.2">
      <c r="B560" t="str">
        <v>Duff Gordon, Lady. (Lucille Christiana Sutherland) ("Mrs Morgan")</v>
      </c>
      <c r="C560">
        <v>48</v>
      </c>
      <c r="D560" t="str">
        <v>Mujer</v>
      </c>
      <c r="E560">
        <v>1</v>
      </c>
    </row>
    <row r="561" spans="2:5" x14ac:dyDescent="0.2">
      <c r="B561" t="str">
        <v>Robbins, Mr. Victor</v>
      </c>
      <c r="C561">
        <v>0</v>
      </c>
      <c r="D561" t="str">
        <v>Hombre</v>
      </c>
      <c r="E561">
        <v>0</v>
      </c>
    </row>
    <row r="562" spans="2:5" x14ac:dyDescent="0.2">
      <c r="B562" t="str">
        <v>Taussig, Mrs. Emil (Tillie Mandelbaum)</v>
      </c>
      <c r="C562">
        <v>39</v>
      </c>
      <c r="D562" t="str">
        <v>Mujer</v>
      </c>
      <c r="E562">
        <v>1</v>
      </c>
    </row>
    <row r="563" spans="2:5" x14ac:dyDescent="0.2">
      <c r="B563" t="str">
        <v>de Messemaeker, Mrs. Guillaume Joseph (Emma)</v>
      </c>
      <c r="C563">
        <v>36</v>
      </c>
      <c r="D563" t="str">
        <v>Mujer</v>
      </c>
      <c r="E563">
        <v>1</v>
      </c>
    </row>
    <row r="564" spans="2:5" x14ac:dyDescent="0.2">
      <c r="B564" t="str">
        <v>Morrow, Mr. Thomas Rowan</v>
      </c>
      <c r="C564">
        <v>0</v>
      </c>
      <c r="D564" t="str">
        <v>Hombre</v>
      </c>
      <c r="E564">
        <v>0</v>
      </c>
    </row>
    <row r="565" spans="2:5" x14ac:dyDescent="0.2">
      <c r="B565" t="str">
        <v>Sivic, Mr. Husein</v>
      </c>
      <c r="C565">
        <v>40</v>
      </c>
      <c r="D565" t="str">
        <v>Hombre</v>
      </c>
      <c r="E565">
        <v>0</v>
      </c>
    </row>
    <row r="566" spans="2:5" x14ac:dyDescent="0.2">
      <c r="B566" t="str">
        <v>Norman, Mr. Robert Douglas</v>
      </c>
      <c r="C566">
        <v>28</v>
      </c>
      <c r="D566" t="str">
        <v>Hombre</v>
      </c>
      <c r="E566">
        <v>0</v>
      </c>
    </row>
    <row r="567" spans="2:5" x14ac:dyDescent="0.2">
      <c r="B567" t="str">
        <v>Simmons, Mr. John</v>
      </c>
      <c r="C567">
        <v>0</v>
      </c>
      <c r="D567" t="str">
        <v>Hombre</v>
      </c>
      <c r="E567">
        <v>0</v>
      </c>
    </row>
    <row r="568" spans="2:5" x14ac:dyDescent="0.2">
      <c r="B568" t="str">
        <v>Meanwell, Miss. (Marion Ogden)</v>
      </c>
      <c r="C568">
        <v>0</v>
      </c>
      <c r="D568" t="str">
        <v>Mujer</v>
      </c>
      <c r="E568">
        <v>0</v>
      </c>
    </row>
    <row r="569" spans="2:5" x14ac:dyDescent="0.2">
      <c r="B569" t="str">
        <v>Davies, Mr. Alfred J</v>
      </c>
      <c r="C569">
        <v>24</v>
      </c>
      <c r="D569" t="str">
        <v>Hombre</v>
      </c>
      <c r="E569">
        <v>0</v>
      </c>
    </row>
    <row r="570" spans="2:5" x14ac:dyDescent="0.2">
      <c r="B570" t="str">
        <v>Stoytcheff, Mr. Ilia</v>
      </c>
      <c r="C570">
        <v>19</v>
      </c>
      <c r="D570" t="str">
        <v>Hombre</v>
      </c>
      <c r="E570">
        <v>0</v>
      </c>
    </row>
    <row r="571" spans="2:5" x14ac:dyDescent="0.2">
      <c r="B571" t="str">
        <v>Palsson, Mrs. Nils (Alma Cornelia Berglund)</v>
      </c>
      <c r="C571">
        <v>29</v>
      </c>
      <c r="D571" t="str">
        <v>Mujer</v>
      </c>
      <c r="E571">
        <v>0</v>
      </c>
    </row>
    <row r="572" spans="2:5" x14ac:dyDescent="0.2">
      <c r="B572" t="str">
        <v>Doharr, Mr. Tannous</v>
      </c>
      <c r="C572">
        <v>0</v>
      </c>
      <c r="D572" t="str">
        <v>Hombre</v>
      </c>
      <c r="E572">
        <v>0</v>
      </c>
    </row>
    <row r="573" spans="2:5" x14ac:dyDescent="0.2">
      <c r="B573" t="str">
        <v>Jonsson, Mr. Carl</v>
      </c>
      <c r="C573">
        <v>32</v>
      </c>
      <c r="D573" t="str">
        <v>Hombre</v>
      </c>
      <c r="E573">
        <v>1</v>
      </c>
    </row>
    <row r="574" spans="2:5" x14ac:dyDescent="0.2">
      <c r="B574" t="str">
        <v>Harris, Mr. George</v>
      </c>
      <c r="C574">
        <v>62</v>
      </c>
      <c r="D574" t="str">
        <v>Hombre</v>
      </c>
      <c r="E574">
        <v>1</v>
      </c>
    </row>
    <row r="575" spans="2:5" x14ac:dyDescent="0.2">
      <c r="B575" t="str">
        <v>Appleton, Mrs. Edward Dale (Charlotte Lamson)</v>
      </c>
      <c r="C575">
        <v>53</v>
      </c>
      <c r="D575" t="str">
        <v>Mujer</v>
      </c>
      <c r="E575">
        <v>1</v>
      </c>
    </row>
    <row r="576" spans="2:5" x14ac:dyDescent="0.2">
      <c r="B576" t="str">
        <v>Flynn, Mr. John Irwin ("Irving")</v>
      </c>
      <c r="C576">
        <v>36</v>
      </c>
      <c r="D576" t="str">
        <v>Hombre</v>
      </c>
      <c r="E576">
        <v>1</v>
      </c>
    </row>
    <row r="577" spans="2:5" x14ac:dyDescent="0.2">
      <c r="B577" t="str">
        <v>Kelly, Miss. Mary</v>
      </c>
      <c r="C577">
        <v>0</v>
      </c>
      <c r="D577" t="str">
        <v>Mujer</v>
      </c>
      <c r="E577">
        <v>1</v>
      </c>
    </row>
    <row r="578" spans="2:5" x14ac:dyDescent="0.2">
      <c r="B578" t="str">
        <v>Rush, Mr. Alfred George John</v>
      </c>
      <c r="C578">
        <v>16</v>
      </c>
      <c r="D578" t="str">
        <v>Hombre</v>
      </c>
      <c r="E578">
        <v>0</v>
      </c>
    </row>
    <row r="579" spans="2:5" x14ac:dyDescent="0.2">
      <c r="B579" t="str">
        <v>Patchett, Mr. George</v>
      </c>
      <c r="C579">
        <v>19</v>
      </c>
      <c r="D579" t="str">
        <v>Hombre</v>
      </c>
      <c r="E579">
        <v>0</v>
      </c>
    </row>
    <row r="580" spans="2:5" x14ac:dyDescent="0.2">
      <c r="B580" t="str">
        <v>Garside, Miss. Ethel</v>
      </c>
      <c r="C580">
        <v>34</v>
      </c>
      <c r="D580" t="str">
        <v>Mujer</v>
      </c>
      <c r="E580">
        <v>1</v>
      </c>
    </row>
    <row r="581" spans="2:5" x14ac:dyDescent="0.2">
      <c r="B581" t="str">
        <v>Silvey, Mrs. William Baird (Alice Munger)</v>
      </c>
      <c r="C581">
        <v>39</v>
      </c>
      <c r="D581" t="str">
        <v>Mujer</v>
      </c>
      <c r="E581">
        <v>1</v>
      </c>
    </row>
    <row r="582" spans="2:5" x14ac:dyDescent="0.2">
      <c r="B582" t="str">
        <v>Caram, Mrs. Joseph (Maria Elias)</v>
      </c>
      <c r="C582">
        <v>0</v>
      </c>
      <c r="D582" t="str">
        <v>Mujer</v>
      </c>
      <c r="E582">
        <v>0</v>
      </c>
    </row>
    <row r="583" spans="2:5" x14ac:dyDescent="0.2">
      <c r="B583" t="str">
        <v>Jussila, Mr. Eiriik</v>
      </c>
      <c r="C583">
        <v>32</v>
      </c>
      <c r="D583" t="str">
        <v>Hombre</v>
      </c>
      <c r="E583">
        <v>1</v>
      </c>
    </row>
    <row r="584" spans="2:5" x14ac:dyDescent="0.2">
      <c r="B584" t="str">
        <v>Christy, Miss. Julie Rachel</v>
      </c>
      <c r="C584">
        <v>25</v>
      </c>
      <c r="D584" t="str">
        <v>Mujer</v>
      </c>
      <c r="E584">
        <v>1</v>
      </c>
    </row>
    <row r="585" spans="2:5" x14ac:dyDescent="0.2">
      <c r="B585" t="str">
        <v>Thayer, Mrs. John Borland (Marian Longstreth Morris)</v>
      </c>
      <c r="C585">
        <v>39</v>
      </c>
      <c r="D585" t="str">
        <v>Mujer</v>
      </c>
      <c r="E585">
        <v>1</v>
      </c>
    </row>
    <row r="586" spans="2:5" x14ac:dyDescent="0.2">
      <c r="B586" t="str">
        <v>Downton, Mr. William James</v>
      </c>
      <c r="C586">
        <v>54</v>
      </c>
      <c r="D586" t="str">
        <v>Hombre</v>
      </c>
      <c r="E586">
        <v>0</v>
      </c>
    </row>
    <row r="587" spans="2:5" x14ac:dyDescent="0.2">
      <c r="B587" t="str">
        <v>Ross, Mr. John Hugo</v>
      </c>
      <c r="C587">
        <v>36</v>
      </c>
      <c r="D587" t="str">
        <v>Hombre</v>
      </c>
      <c r="E587">
        <v>0</v>
      </c>
    </row>
    <row r="588" spans="2:5" x14ac:dyDescent="0.2">
      <c r="B588" t="str">
        <v>Paulner, Mr. Uscher</v>
      </c>
      <c r="C588">
        <v>0</v>
      </c>
      <c r="D588" t="str">
        <v>Hombre</v>
      </c>
      <c r="E588">
        <v>0</v>
      </c>
    </row>
    <row r="589" spans="2:5" x14ac:dyDescent="0.2">
      <c r="B589" t="str">
        <v>Taussig, Miss. Ruth</v>
      </c>
      <c r="C589">
        <v>18</v>
      </c>
      <c r="D589" t="str">
        <v>Mujer</v>
      </c>
      <c r="E589">
        <v>1</v>
      </c>
    </row>
    <row r="590" spans="2:5" x14ac:dyDescent="0.2">
      <c r="B590" t="str">
        <v>Jarvis, Mr. John Denzil</v>
      </c>
      <c r="C590">
        <v>47</v>
      </c>
      <c r="D590" t="str">
        <v>Hombre</v>
      </c>
      <c r="E590">
        <v>0</v>
      </c>
    </row>
    <row r="591" spans="2:5" x14ac:dyDescent="0.2">
      <c r="B591" t="str">
        <v>Frolicher-Stehli, Mr. Maxmillian</v>
      </c>
      <c r="C591">
        <v>60</v>
      </c>
      <c r="D591" t="str">
        <v>Hombre</v>
      </c>
      <c r="E591">
        <v>1</v>
      </c>
    </row>
    <row r="592" spans="2:5" x14ac:dyDescent="0.2">
      <c r="B592" t="str">
        <v>Gilinski, Mr. Eliezer</v>
      </c>
      <c r="C592">
        <v>22</v>
      </c>
      <c r="D592" t="str">
        <v>Hombre</v>
      </c>
      <c r="E592">
        <v>0</v>
      </c>
    </row>
    <row r="593" spans="2:5" x14ac:dyDescent="0.2">
      <c r="B593" t="str">
        <v>Murdlin, Mr. Joseph</v>
      </c>
      <c r="C593">
        <v>0</v>
      </c>
      <c r="D593" t="str">
        <v>Hombre</v>
      </c>
      <c r="E593">
        <v>0</v>
      </c>
    </row>
    <row r="594" spans="2:5" x14ac:dyDescent="0.2">
      <c r="B594" t="str">
        <v>Rintamaki, Mr. Matti</v>
      </c>
      <c r="C594">
        <v>35</v>
      </c>
      <c r="D594" t="str">
        <v>Hombre</v>
      </c>
      <c r="E594">
        <v>0</v>
      </c>
    </row>
    <row r="595" spans="2:5" x14ac:dyDescent="0.2">
      <c r="B595" t="str">
        <v>Stephenson, Mrs. Walter Bertram (Martha Eustis)</v>
      </c>
      <c r="C595">
        <v>52</v>
      </c>
      <c r="D595" t="str">
        <v>Mujer</v>
      </c>
      <c r="E595">
        <v>1</v>
      </c>
    </row>
    <row r="596" spans="2:5" x14ac:dyDescent="0.2">
      <c r="B596" t="str">
        <v>Elsbury, Mr. William James</v>
      </c>
      <c r="C596">
        <v>47</v>
      </c>
      <c r="D596" t="str">
        <v>Hombre</v>
      </c>
      <c r="E596">
        <v>0</v>
      </c>
    </row>
    <row r="597" spans="2:5" x14ac:dyDescent="0.2">
      <c r="B597" t="str">
        <v>Bourke, Miss. Mary</v>
      </c>
      <c r="C597">
        <v>0</v>
      </c>
      <c r="D597" t="str">
        <v>Mujer</v>
      </c>
      <c r="E597">
        <v>0</v>
      </c>
    </row>
    <row r="598" spans="2:5" x14ac:dyDescent="0.2">
      <c r="B598" t="str">
        <v>Chapman, Mr. John Henry</v>
      </c>
      <c r="C598">
        <v>37</v>
      </c>
      <c r="D598" t="str">
        <v>Hombre</v>
      </c>
      <c r="E598">
        <v>0</v>
      </c>
    </row>
    <row r="599" spans="2:5" x14ac:dyDescent="0.2">
      <c r="B599" t="str">
        <v>Van Impe, Mr. Jean Baptiste</v>
      </c>
      <c r="C599">
        <v>36</v>
      </c>
      <c r="D599" t="str">
        <v>Hombre</v>
      </c>
      <c r="E599">
        <v>0</v>
      </c>
    </row>
    <row r="600" spans="2:5" x14ac:dyDescent="0.2">
      <c r="B600" t="str">
        <v>Leitch, Miss. Jessie Wills</v>
      </c>
      <c r="C600">
        <v>0</v>
      </c>
      <c r="D600" t="str">
        <v>Mujer</v>
      </c>
      <c r="E600">
        <v>1</v>
      </c>
    </row>
    <row r="601" spans="2:5" x14ac:dyDescent="0.2">
      <c r="B601" t="str">
        <v>Johnson, Mr. Alfred</v>
      </c>
      <c r="C601">
        <v>49</v>
      </c>
      <c r="D601" t="str">
        <v>Hombre</v>
      </c>
      <c r="E601">
        <v>0</v>
      </c>
    </row>
    <row r="602" spans="2:5" x14ac:dyDescent="0.2">
      <c r="B602" t="str">
        <v>Boulos, Mr. Hanna</v>
      </c>
      <c r="C602">
        <v>0</v>
      </c>
      <c r="D602" t="str">
        <v>Hombre</v>
      </c>
      <c r="E602">
        <v>0</v>
      </c>
    </row>
    <row r="603" spans="2:5" x14ac:dyDescent="0.2">
      <c r="B603" t="str">
        <v>Duff Gordon, Sir. Cosmo Edmund ("Mr Morgan")</v>
      </c>
      <c r="C603">
        <v>49</v>
      </c>
      <c r="D603" t="str">
        <v>Hombre</v>
      </c>
      <c r="E603">
        <v>1</v>
      </c>
    </row>
    <row r="604" spans="2:5" x14ac:dyDescent="0.2">
      <c r="B604" t="str">
        <v>Jacobsohn, Mrs. Sidney Samuel (Amy Frances Christy)</v>
      </c>
      <c r="C604">
        <v>24</v>
      </c>
      <c r="D604" t="str">
        <v>Mujer</v>
      </c>
      <c r="E604">
        <v>1</v>
      </c>
    </row>
    <row r="605" spans="2:5" x14ac:dyDescent="0.2">
      <c r="B605" t="str">
        <v>Slabenoff, Mr. Petco</v>
      </c>
      <c r="C605">
        <v>0</v>
      </c>
      <c r="D605" t="str">
        <v>Hombre</v>
      </c>
      <c r="E605">
        <v>0</v>
      </c>
    </row>
    <row r="606" spans="2:5" x14ac:dyDescent="0.2">
      <c r="B606" t="str">
        <v>Harrington, Mr. Charles H</v>
      </c>
      <c r="C606">
        <v>0</v>
      </c>
      <c r="D606" t="str">
        <v>Hombre</v>
      </c>
      <c r="E606">
        <v>0</v>
      </c>
    </row>
    <row r="607" spans="2:5" x14ac:dyDescent="0.2">
      <c r="B607" t="str">
        <v>Torber, Mr. Ernst William</v>
      </c>
      <c r="C607">
        <v>44</v>
      </c>
      <c r="D607" t="str">
        <v>Hombre</v>
      </c>
      <c r="E607">
        <v>0</v>
      </c>
    </row>
    <row r="608" spans="2:5" x14ac:dyDescent="0.2">
      <c r="B608" t="str">
        <v>Homer, Mr. Harry ("Mr E Haven")</v>
      </c>
      <c r="C608">
        <v>35</v>
      </c>
      <c r="D608" t="str">
        <v>Hombre</v>
      </c>
      <c r="E608">
        <v>1</v>
      </c>
    </row>
    <row r="609" spans="2:5" x14ac:dyDescent="0.2">
      <c r="B609" t="str">
        <v>Lindell, Mr. Edvard Bengtsson</v>
      </c>
      <c r="C609">
        <v>36</v>
      </c>
      <c r="D609" t="str">
        <v>Hombre</v>
      </c>
      <c r="E609">
        <v>0</v>
      </c>
    </row>
    <row r="610" spans="2:5" x14ac:dyDescent="0.2">
      <c r="B610" t="str">
        <v>Karaic, Mr. Milan</v>
      </c>
      <c r="C610">
        <v>30</v>
      </c>
      <c r="D610" t="str">
        <v>Hombre</v>
      </c>
      <c r="E610">
        <v>0</v>
      </c>
    </row>
    <row r="611" spans="2:5" x14ac:dyDescent="0.2">
      <c r="B611" t="str">
        <v>Daniel, Mr. Robert Williams</v>
      </c>
      <c r="C611">
        <v>27</v>
      </c>
      <c r="D611" t="str">
        <v>Hombre</v>
      </c>
      <c r="E611">
        <v>1</v>
      </c>
    </row>
    <row r="612" spans="2:5" x14ac:dyDescent="0.2">
      <c r="B612" t="str">
        <v>Laroche, Mrs. Joseph (Juliette Marie Louise Lafargue)</v>
      </c>
      <c r="C612">
        <v>22</v>
      </c>
      <c r="D612" t="str">
        <v>Mujer</v>
      </c>
      <c r="E612">
        <v>1</v>
      </c>
    </row>
    <row r="613" spans="2:5" x14ac:dyDescent="0.2">
      <c r="B613" t="str">
        <v>Shutes, Miss. Elizabeth W</v>
      </c>
      <c r="C613">
        <v>40</v>
      </c>
      <c r="D613" t="str">
        <v>Mujer</v>
      </c>
      <c r="E613">
        <v>1</v>
      </c>
    </row>
    <row r="614" spans="2:5" x14ac:dyDescent="0.2">
      <c r="B614" t="str">
        <v>Andersson, Mrs. Anders Johan (Alfrida Konstantia Brogren)</v>
      </c>
      <c r="C614">
        <v>39</v>
      </c>
      <c r="D614" t="str">
        <v>Mujer</v>
      </c>
      <c r="E614">
        <v>0</v>
      </c>
    </row>
    <row r="615" spans="2:5" x14ac:dyDescent="0.2">
      <c r="B615" t="str">
        <v>Jardin, Mr. Jose Neto</v>
      </c>
      <c r="C615">
        <v>0</v>
      </c>
      <c r="D615" t="str">
        <v>Hombre</v>
      </c>
      <c r="E615">
        <v>0</v>
      </c>
    </row>
    <row r="616" spans="2:5" x14ac:dyDescent="0.2">
      <c r="B616" t="str">
        <v>Murphy, Miss. Margaret Jane</v>
      </c>
      <c r="C616">
        <v>0</v>
      </c>
      <c r="D616" t="str">
        <v>Mujer</v>
      </c>
      <c r="E616">
        <v>1</v>
      </c>
    </row>
    <row r="617" spans="2:5" x14ac:dyDescent="0.2">
      <c r="B617" t="str">
        <v>Horgan, Mr. John</v>
      </c>
      <c r="C617">
        <v>0</v>
      </c>
      <c r="D617" t="str">
        <v>Hombre</v>
      </c>
      <c r="E617">
        <v>0</v>
      </c>
    </row>
    <row r="618" spans="2:5" x14ac:dyDescent="0.2">
      <c r="B618" t="str">
        <v>Brocklebank, Mr. William Alfred</v>
      </c>
      <c r="C618">
        <v>35</v>
      </c>
      <c r="D618" t="str">
        <v>Hombre</v>
      </c>
      <c r="E618">
        <v>0</v>
      </c>
    </row>
    <row r="619" spans="2:5" x14ac:dyDescent="0.2">
      <c r="B619" t="str">
        <v>Herman, Miss. Alice</v>
      </c>
      <c r="C619">
        <v>24</v>
      </c>
      <c r="D619" t="str">
        <v>Mujer</v>
      </c>
      <c r="E619">
        <v>1</v>
      </c>
    </row>
    <row r="620" spans="2:5" x14ac:dyDescent="0.2">
      <c r="B620" t="str">
        <v>Danbom, Mr. Ernst Gilbert</v>
      </c>
      <c r="C620">
        <v>34</v>
      </c>
      <c r="D620" t="str">
        <v>Hombre</v>
      </c>
      <c r="E620">
        <v>0</v>
      </c>
    </row>
    <row r="621" spans="2:5" x14ac:dyDescent="0.2">
      <c r="B621" t="str">
        <v>Lobb, Mrs. William Arthur (Cordelia K Stanlick)</v>
      </c>
      <c r="C621">
        <v>26</v>
      </c>
      <c r="D621" t="str">
        <v>Mujer</v>
      </c>
      <c r="E621">
        <v>0</v>
      </c>
    </row>
    <row r="622" spans="2:5" x14ac:dyDescent="0.2">
      <c r="B622" t="str">
        <v>Becker, Miss. Marion Louise</v>
      </c>
      <c r="C622">
        <v>4</v>
      </c>
      <c r="D622" t="str">
        <v>Mujer</v>
      </c>
      <c r="E622">
        <v>1</v>
      </c>
    </row>
    <row r="623" spans="2:5" x14ac:dyDescent="0.2">
      <c r="B623" t="str">
        <v>Gavey, Mr. Lawrence</v>
      </c>
      <c r="C623">
        <v>26</v>
      </c>
      <c r="D623" t="str">
        <v>Hombre</v>
      </c>
      <c r="E623">
        <v>0</v>
      </c>
    </row>
    <row r="624" spans="2:5" x14ac:dyDescent="0.2">
      <c r="B624" t="str">
        <v>Yasbeck, Mr. Antoni</v>
      </c>
      <c r="C624">
        <v>27</v>
      </c>
      <c r="D624" t="str">
        <v>Hombre</v>
      </c>
      <c r="E624">
        <v>0</v>
      </c>
    </row>
    <row r="625" spans="2:5" x14ac:dyDescent="0.2">
      <c r="B625" t="str">
        <v>Kimball, Mr. Edwin Nelson Jr</v>
      </c>
      <c r="C625">
        <v>42</v>
      </c>
      <c r="D625" t="str">
        <v>Hombre</v>
      </c>
      <c r="E625">
        <v>1</v>
      </c>
    </row>
    <row r="626" spans="2:5" x14ac:dyDescent="0.2">
      <c r="B626" t="str">
        <v>Nakid, Mr. Sahid</v>
      </c>
      <c r="C626">
        <v>20</v>
      </c>
      <c r="D626" t="str">
        <v>Hombre</v>
      </c>
      <c r="E626">
        <v>1</v>
      </c>
    </row>
    <row r="627" spans="2:5" x14ac:dyDescent="0.2">
      <c r="B627" t="str">
        <v>Hansen, Mr. Henry Damsgaard</v>
      </c>
      <c r="C627">
        <v>21</v>
      </c>
      <c r="D627" t="str">
        <v>Hombre</v>
      </c>
      <c r="E627">
        <v>0</v>
      </c>
    </row>
    <row r="628" spans="2:5" x14ac:dyDescent="0.2">
      <c r="B628" t="str">
        <v>Bowen, Mr. David John "Dai"</v>
      </c>
      <c r="C628">
        <v>21</v>
      </c>
      <c r="D628" t="str">
        <v>Hombre</v>
      </c>
      <c r="E628">
        <v>0</v>
      </c>
    </row>
    <row r="629" spans="2:5" x14ac:dyDescent="0.2">
      <c r="B629" t="str">
        <v>Sutton, Mr. Frederick</v>
      </c>
      <c r="C629">
        <v>61</v>
      </c>
      <c r="D629" t="str">
        <v>Hombre</v>
      </c>
      <c r="E629">
        <v>0</v>
      </c>
    </row>
    <row r="630" spans="2:5" x14ac:dyDescent="0.2">
      <c r="B630" t="str">
        <v>Kirkland, Rev. Charles Leonard</v>
      </c>
      <c r="C630">
        <v>57</v>
      </c>
      <c r="D630" t="str">
        <v>Hombre</v>
      </c>
      <c r="E630">
        <v>0</v>
      </c>
    </row>
    <row r="631" spans="2:5" x14ac:dyDescent="0.2">
      <c r="B631" t="str">
        <v>Longley, Miss. Gretchen Fiske</v>
      </c>
      <c r="C631">
        <v>21</v>
      </c>
      <c r="D631" t="str">
        <v>Mujer</v>
      </c>
      <c r="E631">
        <v>1</v>
      </c>
    </row>
    <row r="632" spans="2:5" x14ac:dyDescent="0.2">
      <c r="B632" t="str">
        <v>Bostandyeff, Mr. Guentcho</v>
      </c>
      <c r="C632">
        <v>26</v>
      </c>
      <c r="D632" t="str">
        <v>Hombre</v>
      </c>
      <c r="E632">
        <v>0</v>
      </c>
    </row>
    <row r="633" spans="2:5" x14ac:dyDescent="0.2">
      <c r="B633" t="str">
        <v>O'Connell, Mr. Patrick D</v>
      </c>
      <c r="C633">
        <v>0</v>
      </c>
      <c r="D633" t="str">
        <v>Hombre</v>
      </c>
      <c r="E633">
        <v>0</v>
      </c>
    </row>
    <row r="634" spans="2:5" x14ac:dyDescent="0.2">
      <c r="B634" t="str">
        <v>Barkworth, Mr. Algernon Henry Wilson</v>
      </c>
      <c r="C634">
        <v>80</v>
      </c>
      <c r="D634" t="str">
        <v>Hombre</v>
      </c>
      <c r="E634">
        <v>1</v>
      </c>
    </row>
    <row r="635" spans="2:5" x14ac:dyDescent="0.2">
      <c r="B635" t="str">
        <v>Lundahl, Mr. Johan Svensson</v>
      </c>
      <c r="C635">
        <v>51</v>
      </c>
      <c r="D635" t="str">
        <v>Hombre</v>
      </c>
      <c r="E635">
        <v>0</v>
      </c>
    </row>
    <row r="636" spans="2:5" x14ac:dyDescent="0.2">
      <c r="B636" t="str">
        <v>Stahelin-Maeglin, Dr. Max</v>
      </c>
      <c r="C636">
        <v>32</v>
      </c>
      <c r="D636" t="str">
        <v>Hombre</v>
      </c>
      <c r="E636">
        <v>1</v>
      </c>
    </row>
    <row r="637" spans="2:5" x14ac:dyDescent="0.2">
      <c r="B637" t="str">
        <v>Parr, Mr. William Henry Marsh</v>
      </c>
      <c r="C637">
        <v>0</v>
      </c>
      <c r="D637" t="str">
        <v>Hombre</v>
      </c>
      <c r="E637">
        <v>0</v>
      </c>
    </row>
    <row r="638" spans="2:5" x14ac:dyDescent="0.2">
      <c r="B638" t="str">
        <v>Skoog, Miss. Mabel</v>
      </c>
      <c r="C638">
        <v>9</v>
      </c>
      <c r="D638" t="str">
        <v>Mujer</v>
      </c>
      <c r="E638">
        <v>0</v>
      </c>
    </row>
    <row r="639" spans="2:5" x14ac:dyDescent="0.2">
      <c r="B639" t="str">
        <v>Davis, Miss. Mary</v>
      </c>
      <c r="C639">
        <v>28</v>
      </c>
      <c r="D639" t="str">
        <v>Mujer</v>
      </c>
      <c r="E639">
        <v>1</v>
      </c>
    </row>
    <row r="640" spans="2:5" x14ac:dyDescent="0.2">
      <c r="B640" t="str">
        <v>Leinonen, Mr. Antti Gustaf</v>
      </c>
      <c r="C640">
        <v>32</v>
      </c>
      <c r="D640" t="str">
        <v>Hombre</v>
      </c>
      <c r="E640">
        <v>0</v>
      </c>
    </row>
    <row r="641" spans="2:5" x14ac:dyDescent="0.2">
      <c r="B641" t="str">
        <v>Collyer, Mr. Harvey</v>
      </c>
      <c r="C641">
        <v>31</v>
      </c>
      <c r="D641" t="str">
        <v>Hombre</v>
      </c>
      <c r="E641">
        <v>0</v>
      </c>
    </row>
    <row r="642" spans="2:5" x14ac:dyDescent="0.2">
      <c r="B642" t="str">
        <v>Panula, Mrs. Juha (Maria Emilia Ojala)</v>
      </c>
      <c r="C642">
        <v>41</v>
      </c>
      <c r="D642" t="str">
        <v>Mujer</v>
      </c>
      <c r="E642">
        <v>0</v>
      </c>
    </row>
    <row r="643" spans="2:5" x14ac:dyDescent="0.2">
      <c r="B643" t="str">
        <v>Thorneycroft, Mr. Percival</v>
      </c>
      <c r="C643">
        <v>0</v>
      </c>
      <c r="D643" t="str">
        <v>Hombre</v>
      </c>
      <c r="E643">
        <v>0</v>
      </c>
    </row>
    <row r="644" spans="2:5" x14ac:dyDescent="0.2">
      <c r="B644" t="str">
        <v>Jensen, Mr. Hans Peder</v>
      </c>
      <c r="C644">
        <v>20</v>
      </c>
      <c r="D644" t="str">
        <v>Hombre</v>
      </c>
      <c r="E644">
        <v>0</v>
      </c>
    </row>
    <row r="645" spans="2:5" x14ac:dyDescent="0.2">
      <c r="B645" t="str">
        <v>Sagesser, Mlle. Emma</v>
      </c>
      <c r="C645">
        <v>24</v>
      </c>
      <c r="D645" t="str">
        <v>Mujer</v>
      </c>
      <c r="E645">
        <v>1</v>
      </c>
    </row>
    <row r="646" spans="2:5" x14ac:dyDescent="0.2">
      <c r="B646" t="str">
        <v>Skoog, Miss. Margit Elizabeth</v>
      </c>
      <c r="C646">
        <v>2</v>
      </c>
      <c r="D646" t="str">
        <v>Mujer</v>
      </c>
      <c r="E646">
        <v>0</v>
      </c>
    </row>
    <row r="647" spans="2:5" x14ac:dyDescent="0.2">
      <c r="B647" t="str">
        <v>Foo, Mr. Choong</v>
      </c>
      <c r="C647">
        <v>0</v>
      </c>
      <c r="D647" t="str">
        <v>Hombre</v>
      </c>
      <c r="E647">
        <v>1</v>
      </c>
    </row>
    <row r="648" spans="2:5" x14ac:dyDescent="0.2">
      <c r="B648" t="str">
        <v>Baclini, Miss. Eugenie</v>
      </c>
      <c r="C648">
        <v>75</v>
      </c>
      <c r="D648" t="str">
        <v>Mujer</v>
      </c>
      <c r="E648">
        <v>1</v>
      </c>
    </row>
    <row r="649" spans="2:5" x14ac:dyDescent="0.2">
      <c r="B649" t="str">
        <v>Harper, Mr. Henry Sleeper</v>
      </c>
      <c r="C649">
        <v>48</v>
      </c>
      <c r="D649" t="str">
        <v>Hombre</v>
      </c>
      <c r="E649">
        <v>1</v>
      </c>
    </row>
    <row r="650" spans="2:5" x14ac:dyDescent="0.2">
      <c r="B650" t="str">
        <v>Cor, Mr. Liudevit</v>
      </c>
      <c r="C650">
        <v>19</v>
      </c>
      <c r="D650" t="str">
        <v>Hombre</v>
      </c>
      <c r="E650">
        <v>0</v>
      </c>
    </row>
    <row r="651" spans="2:5" x14ac:dyDescent="0.2">
      <c r="B651" t="str">
        <v>Simonius-Blumer, Col. Oberst Alfons</v>
      </c>
      <c r="C651">
        <v>56</v>
      </c>
      <c r="D651" t="str">
        <v>Hombre</v>
      </c>
      <c r="E651">
        <v>1</v>
      </c>
    </row>
    <row r="652" spans="2:5" x14ac:dyDescent="0.2">
      <c r="B652" t="str">
        <v>Willey, Mr. Edward</v>
      </c>
      <c r="C652">
        <v>0</v>
      </c>
      <c r="D652" t="str">
        <v>Hombre</v>
      </c>
      <c r="E652">
        <v>0</v>
      </c>
    </row>
    <row r="653" spans="2:5" x14ac:dyDescent="0.2">
      <c r="B653" t="str">
        <v>Stanley, Miss. Amy Zillah Elsie</v>
      </c>
      <c r="C653">
        <v>23</v>
      </c>
      <c r="D653" t="str">
        <v>Mujer</v>
      </c>
      <c r="E653">
        <v>1</v>
      </c>
    </row>
    <row r="654" spans="2:5" x14ac:dyDescent="0.2">
      <c r="B654" t="str">
        <v>Mitkoff, Mr. Mito</v>
      </c>
      <c r="C654">
        <v>0</v>
      </c>
      <c r="D654" t="str">
        <v>Hombre</v>
      </c>
      <c r="E654">
        <v>0</v>
      </c>
    </row>
    <row r="655" spans="2:5" x14ac:dyDescent="0.2">
      <c r="B655" t="str">
        <v>Doling, Miss. Elsie</v>
      </c>
      <c r="C655">
        <v>18</v>
      </c>
      <c r="D655" t="str">
        <v>Mujer</v>
      </c>
      <c r="E655">
        <v>1</v>
      </c>
    </row>
    <row r="656" spans="2:5" x14ac:dyDescent="0.2">
      <c r="B656" t="str">
        <v>Kalvik, Mr. Johannes Halvorsen</v>
      </c>
      <c r="C656">
        <v>21</v>
      </c>
      <c r="D656" t="str">
        <v>Hombre</v>
      </c>
      <c r="E656">
        <v>0</v>
      </c>
    </row>
    <row r="657" spans="2:5" x14ac:dyDescent="0.2">
      <c r="B657" t="str">
        <v>O'Leary, Miss. Hanora "Norah"</v>
      </c>
      <c r="C657">
        <v>0</v>
      </c>
      <c r="D657" t="str">
        <v>Mujer</v>
      </c>
      <c r="E657">
        <v>1</v>
      </c>
    </row>
    <row r="658" spans="2:5" x14ac:dyDescent="0.2">
      <c r="B658" t="str">
        <v>Hegarty, Miss. Hanora "Nora"</v>
      </c>
      <c r="C658">
        <v>18</v>
      </c>
      <c r="D658" t="str">
        <v>Mujer</v>
      </c>
      <c r="E658">
        <v>0</v>
      </c>
    </row>
    <row r="659" spans="2:5" x14ac:dyDescent="0.2">
      <c r="B659" t="str">
        <v>Hickman, Mr. Leonard Mark</v>
      </c>
      <c r="C659">
        <v>24</v>
      </c>
      <c r="D659" t="str">
        <v>Hombre</v>
      </c>
      <c r="E659">
        <v>0</v>
      </c>
    </row>
    <row r="660" spans="2:5" x14ac:dyDescent="0.2">
      <c r="B660" t="str">
        <v>Radeff, Mr. Alexander</v>
      </c>
      <c r="C660">
        <v>0</v>
      </c>
      <c r="D660" t="str">
        <v>Hombre</v>
      </c>
      <c r="E660">
        <v>0</v>
      </c>
    </row>
    <row r="661" spans="2:5" x14ac:dyDescent="0.2">
      <c r="B661" t="str">
        <v>Bourke, Mrs. John (Catherine)</v>
      </c>
      <c r="C661">
        <v>32</v>
      </c>
      <c r="D661" t="str">
        <v>Mujer</v>
      </c>
      <c r="E661">
        <v>0</v>
      </c>
    </row>
    <row r="662" spans="2:5" x14ac:dyDescent="0.2">
      <c r="B662" t="str">
        <v>Eitemiller, Mr. George Floyd</v>
      </c>
      <c r="C662">
        <v>23</v>
      </c>
      <c r="D662" t="str">
        <v>Hombre</v>
      </c>
      <c r="E662">
        <v>0</v>
      </c>
    </row>
    <row r="663" spans="2:5" x14ac:dyDescent="0.2">
      <c r="B663" t="str">
        <v>Newell, Mr. Arthur Webster</v>
      </c>
      <c r="C663">
        <v>58</v>
      </c>
      <c r="D663" t="str">
        <v>Hombre</v>
      </c>
      <c r="E663">
        <v>0</v>
      </c>
    </row>
    <row r="664" spans="2:5" x14ac:dyDescent="0.2">
      <c r="B664" t="str">
        <v>Frauenthal, Dr. Henry William</v>
      </c>
      <c r="C664">
        <v>50</v>
      </c>
      <c r="D664" t="str">
        <v>Hombre</v>
      </c>
      <c r="E664">
        <v>1</v>
      </c>
    </row>
    <row r="665" spans="2:5" x14ac:dyDescent="0.2">
      <c r="B665" t="str">
        <v>Badt, Mr. Mohamed</v>
      </c>
      <c r="C665">
        <v>40</v>
      </c>
      <c r="D665" t="str">
        <v>Hombre</v>
      </c>
      <c r="E665">
        <v>0</v>
      </c>
    </row>
    <row r="666" spans="2:5" x14ac:dyDescent="0.2">
      <c r="B666" t="str">
        <v>Colley, Mr. Edward Pomeroy</v>
      </c>
      <c r="C666">
        <v>47</v>
      </c>
      <c r="D666" t="str">
        <v>Hombre</v>
      </c>
      <c r="E666">
        <v>0</v>
      </c>
    </row>
    <row r="667" spans="2:5" x14ac:dyDescent="0.2">
      <c r="B667" t="str">
        <v>Coleff, Mr. Peju</v>
      </c>
      <c r="C667">
        <v>36</v>
      </c>
      <c r="D667" t="str">
        <v>Hombre</v>
      </c>
      <c r="E667">
        <v>0</v>
      </c>
    </row>
    <row r="668" spans="2:5" x14ac:dyDescent="0.2">
      <c r="B668" t="str">
        <v>Lindqvist, Mr. Eino William</v>
      </c>
      <c r="C668">
        <v>20</v>
      </c>
      <c r="D668" t="str">
        <v>Hombre</v>
      </c>
      <c r="E668">
        <v>1</v>
      </c>
    </row>
    <row r="669" spans="2:5" x14ac:dyDescent="0.2">
      <c r="B669" t="str">
        <v>Hickman, Mr. Lewis</v>
      </c>
      <c r="C669">
        <v>32</v>
      </c>
      <c r="D669" t="str">
        <v>Hombre</v>
      </c>
      <c r="E669">
        <v>0</v>
      </c>
    </row>
    <row r="670" spans="2:5" x14ac:dyDescent="0.2">
      <c r="B670" t="str">
        <v>Butler, Mr. Reginald Fenton</v>
      </c>
      <c r="C670">
        <v>25</v>
      </c>
      <c r="D670" t="str">
        <v>Hombre</v>
      </c>
      <c r="E670">
        <v>0</v>
      </c>
    </row>
    <row r="671" spans="2:5" x14ac:dyDescent="0.2">
      <c r="B671" t="str">
        <v>Rommetvedt, Mr. Knud Paust</v>
      </c>
      <c r="C671">
        <v>0</v>
      </c>
      <c r="D671" t="str">
        <v>Hombre</v>
      </c>
      <c r="E671">
        <v>0</v>
      </c>
    </row>
    <row r="672" spans="2:5" x14ac:dyDescent="0.2">
      <c r="B672" t="str">
        <v>Cook, Mr. Jacob</v>
      </c>
      <c r="C672">
        <v>43</v>
      </c>
      <c r="D672" t="str">
        <v>Hombre</v>
      </c>
      <c r="E672">
        <v>0</v>
      </c>
    </row>
    <row r="673" spans="2:5" x14ac:dyDescent="0.2">
      <c r="B673" t="str">
        <v>Taylor, Mrs. Elmer Zebley (Juliet Cummins Wright)</v>
      </c>
      <c r="C673">
        <v>0</v>
      </c>
      <c r="D673" t="str">
        <v>Mujer</v>
      </c>
      <c r="E673">
        <v>1</v>
      </c>
    </row>
    <row r="674" spans="2:5" x14ac:dyDescent="0.2">
      <c r="B674" t="str">
        <v>Brown, Mrs. Thomas William Solomon (Elizabeth Catherine Ford)</v>
      </c>
      <c r="C674">
        <v>40</v>
      </c>
      <c r="D674" t="str">
        <v>Mujer</v>
      </c>
      <c r="E674">
        <v>1</v>
      </c>
    </row>
    <row r="675" spans="2:5" x14ac:dyDescent="0.2">
      <c r="B675" t="str">
        <v>Davidson, Mr. Thornton</v>
      </c>
      <c r="C675">
        <v>31</v>
      </c>
      <c r="D675" t="str">
        <v>Hombre</v>
      </c>
      <c r="E675">
        <v>0</v>
      </c>
    </row>
    <row r="676" spans="2:5" x14ac:dyDescent="0.2">
      <c r="B676" t="str">
        <v>Mitchell, Mr. Henry Michael</v>
      </c>
      <c r="C676">
        <v>70</v>
      </c>
      <c r="D676" t="str">
        <v>Hombre</v>
      </c>
      <c r="E676">
        <v>0</v>
      </c>
    </row>
    <row r="677" spans="2:5" x14ac:dyDescent="0.2">
      <c r="B677" t="str">
        <v>Wilhelms, Mr. Charles</v>
      </c>
      <c r="C677">
        <v>31</v>
      </c>
      <c r="D677" t="str">
        <v>Hombre</v>
      </c>
      <c r="E677">
        <v>1</v>
      </c>
    </row>
    <row r="678" spans="2:5" x14ac:dyDescent="0.2">
      <c r="B678" t="str">
        <v>Watson, Mr. Ennis Hastings</v>
      </c>
      <c r="C678">
        <v>0</v>
      </c>
      <c r="D678" t="str">
        <v>Hombre</v>
      </c>
      <c r="E678">
        <v>0</v>
      </c>
    </row>
    <row r="679" spans="2:5" x14ac:dyDescent="0.2">
      <c r="B679" t="str">
        <v>Edvardsson, Mr. Gustaf Hjalmar</v>
      </c>
      <c r="C679">
        <v>18</v>
      </c>
      <c r="D679" t="str">
        <v>Hombre</v>
      </c>
      <c r="E679">
        <v>0</v>
      </c>
    </row>
    <row r="680" spans="2:5" x14ac:dyDescent="0.2">
      <c r="B680" t="str">
        <v>Sawyer, Mr. Frederick Charles</v>
      </c>
      <c r="C680">
        <v>245</v>
      </c>
      <c r="D680" t="str">
        <v>Hombre</v>
      </c>
      <c r="E680">
        <v>0</v>
      </c>
    </row>
    <row r="681" spans="2:5" x14ac:dyDescent="0.2">
      <c r="B681" t="str">
        <v>Turja, Miss. Anna Sofia</v>
      </c>
      <c r="C681">
        <v>18</v>
      </c>
      <c r="D681" t="str">
        <v>Mujer</v>
      </c>
      <c r="E681">
        <v>1</v>
      </c>
    </row>
    <row r="682" spans="2:5" x14ac:dyDescent="0.2">
      <c r="B682" t="str">
        <v>Goodwin, Mrs. Frederick (Augusta Tyler)</v>
      </c>
      <c r="C682">
        <v>43</v>
      </c>
      <c r="D682" t="str">
        <v>Mujer</v>
      </c>
      <c r="E682">
        <v>0</v>
      </c>
    </row>
    <row r="683" spans="2:5" x14ac:dyDescent="0.2">
      <c r="B683" t="str">
        <v>Cardeza, Mr. Thomas Drake Martinez</v>
      </c>
      <c r="C683">
        <v>36</v>
      </c>
      <c r="D683" t="str">
        <v>Hombre</v>
      </c>
      <c r="E683">
        <v>1</v>
      </c>
    </row>
    <row r="684" spans="2:5" x14ac:dyDescent="0.2">
      <c r="B684" t="str">
        <v>Peters, Miss. Katie</v>
      </c>
      <c r="C684">
        <v>0</v>
      </c>
      <c r="D684" t="str">
        <v>Mujer</v>
      </c>
      <c r="E684">
        <v>0</v>
      </c>
    </row>
    <row r="685" spans="2:5" x14ac:dyDescent="0.2">
      <c r="B685" t="str">
        <v>Hassab, Mr. Hammad</v>
      </c>
      <c r="C685">
        <v>27</v>
      </c>
      <c r="D685" t="str">
        <v>Hombre</v>
      </c>
      <c r="E685">
        <v>1</v>
      </c>
    </row>
    <row r="686" spans="2:5" x14ac:dyDescent="0.2">
      <c r="B686" t="str">
        <v>Olsvigen, Mr. Thor Anderson</v>
      </c>
      <c r="C686">
        <v>20</v>
      </c>
      <c r="D686" t="str">
        <v>Hombre</v>
      </c>
      <c r="E686">
        <v>0</v>
      </c>
    </row>
    <row r="687" spans="2:5" x14ac:dyDescent="0.2">
      <c r="B687" t="str">
        <v>Goodwin, Mr. Charles Edward</v>
      </c>
      <c r="C687">
        <v>14</v>
      </c>
      <c r="D687" t="str">
        <v>Hombre</v>
      </c>
      <c r="E687">
        <v>0</v>
      </c>
    </row>
    <row r="688" spans="2:5" x14ac:dyDescent="0.2">
      <c r="B688" t="str">
        <v>Brown, Mr. Thomas William Solomon</v>
      </c>
      <c r="C688">
        <v>60</v>
      </c>
      <c r="D688" t="str">
        <v>Hombre</v>
      </c>
      <c r="E688">
        <v>0</v>
      </c>
    </row>
    <row r="689" spans="2:5" x14ac:dyDescent="0.2">
      <c r="B689" t="str">
        <v>Laroche, Mr. Joseph Philippe Lemercier</v>
      </c>
      <c r="C689">
        <v>25</v>
      </c>
      <c r="D689" t="str">
        <v>Hombre</v>
      </c>
      <c r="E689">
        <v>0</v>
      </c>
    </row>
    <row r="690" spans="2:5" x14ac:dyDescent="0.2">
      <c r="B690" t="str">
        <v>Panula, Mr. Jaako Arnold</v>
      </c>
      <c r="C690">
        <v>14</v>
      </c>
      <c r="D690" t="str">
        <v>Hombre</v>
      </c>
      <c r="E690">
        <v>0</v>
      </c>
    </row>
    <row r="691" spans="2:5" x14ac:dyDescent="0.2">
      <c r="B691" t="str">
        <v>Dakic, Mr. Branko</v>
      </c>
      <c r="C691">
        <v>19</v>
      </c>
      <c r="D691" t="str">
        <v>Hombre</v>
      </c>
      <c r="E691">
        <v>0</v>
      </c>
    </row>
    <row r="692" spans="2:5" x14ac:dyDescent="0.2">
      <c r="B692" t="str">
        <v>Fischer, Mr. Eberhard Thelander</v>
      </c>
      <c r="C692">
        <v>18</v>
      </c>
      <c r="D692" t="str">
        <v>Hombre</v>
      </c>
      <c r="E692">
        <v>0</v>
      </c>
    </row>
    <row r="693" spans="2:5" x14ac:dyDescent="0.2">
      <c r="B693" t="str">
        <v>Madill, Miss. Georgette Alexandra</v>
      </c>
      <c r="C693">
        <v>15</v>
      </c>
      <c r="D693" t="str">
        <v>Mujer</v>
      </c>
      <c r="E693">
        <v>1</v>
      </c>
    </row>
    <row r="694" spans="2:5" x14ac:dyDescent="0.2">
      <c r="B694" t="str">
        <v>Dick, Mr. Albert Adrian</v>
      </c>
      <c r="C694">
        <v>31</v>
      </c>
      <c r="D694" t="str">
        <v>Hombre</v>
      </c>
      <c r="E694">
        <v>1</v>
      </c>
    </row>
    <row r="695" spans="2:5" x14ac:dyDescent="0.2">
      <c r="B695" t="str">
        <v>Karun, Miss. Manca</v>
      </c>
      <c r="C695">
        <v>4</v>
      </c>
      <c r="D695" t="str">
        <v>Mujer</v>
      </c>
      <c r="E695">
        <v>1</v>
      </c>
    </row>
    <row r="696" spans="2:5" x14ac:dyDescent="0.2">
      <c r="B696" t="str">
        <v>Lam, Mr. Ali</v>
      </c>
      <c r="C696">
        <v>0</v>
      </c>
      <c r="D696" t="str">
        <v>Hombre</v>
      </c>
      <c r="E696">
        <v>1</v>
      </c>
    </row>
    <row r="697" spans="2:5" x14ac:dyDescent="0.2">
      <c r="B697" t="str">
        <v>Saad, Mr. Khalil</v>
      </c>
      <c r="C697">
        <v>25</v>
      </c>
      <c r="D697" t="str">
        <v>Hombre</v>
      </c>
      <c r="E697">
        <v>0</v>
      </c>
    </row>
    <row r="698" spans="2:5" x14ac:dyDescent="0.2">
      <c r="B698" t="str">
        <v>Weir, Col. John</v>
      </c>
      <c r="C698">
        <v>60</v>
      </c>
      <c r="D698" t="str">
        <v>Hombre</v>
      </c>
      <c r="E698">
        <v>0</v>
      </c>
    </row>
    <row r="699" spans="2:5" x14ac:dyDescent="0.2">
      <c r="B699" t="str">
        <v>Chapman, Mr. Charles Henry</v>
      </c>
      <c r="C699">
        <v>52</v>
      </c>
      <c r="D699" t="str">
        <v>Hombre</v>
      </c>
      <c r="E699">
        <v>0</v>
      </c>
    </row>
    <row r="700" spans="2:5" x14ac:dyDescent="0.2">
      <c r="B700" t="str">
        <v>Kelly, Mr. James</v>
      </c>
      <c r="C700">
        <v>44</v>
      </c>
      <c r="D700" t="str">
        <v>Hombre</v>
      </c>
      <c r="E700">
        <v>0</v>
      </c>
    </row>
    <row r="701" spans="2:5" x14ac:dyDescent="0.2">
      <c r="B701" t="str">
        <v>Mullens, Miss. Katherine "Katie"</v>
      </c>
      <c r="C701">
        <v>0</v>
      </c>
      <c r="D701" t="str">
        <v>Mujer</v>
      </c>
      <c r="E701">
        <v>1</v>
      </c>
    </row>
    <row r="702" spans="2:5" x14ac:dyDescent="0.2">
      <c r="B702" t="str">
        <v>Thayer, Mr. John Borland</v>
      </c>
      <c r="C702">
        <v>49</v>
      </c>
      <c r="D702" t="str">
        <v>Hombre</v>
      </c>
      <c r="E702">
        <v>0</v>
      </c>
    </row>
    <row r="703" spans="2:5" x14ac:dyDescent="0.2">
      <c r="B703" t="str">
        <v>Humblen, Mr. Adolf Mathias Nicolai Olsen</v>
      </c>
      <c r="C703">
        <v>42</v>
      </c>
      <c r="D703" t="str">
        <v>Hombre</v>
      </c>
      <c r="E703">
        <v>0</v>
      </c>
    </row>
    <row r="704" spans="2:5" x14ac:dyDescent="0.2">
      <c r="B704" t="str">
        <v>Astor, Mrs. John Jacob (Madeleine Talmadge Force)</v>
      </c>
      <c r="C704">
        <v>18</v>
      </c>
      <c r="D704" t="str">
        <v>Mujer</v>
      </c>
      <c r="E704">
        <v>1</v>
      </c>
    </row>
    <row r="705" spans="2:5" x14ac:dyDescent="0.2">
      <c r="B705" t="str">
        <v>Silverthorne, Mr. Spencer Victor</v>
      </c>
      <c r="C705">
        <v>35</v>
      </c>
      <c r="D705" t="str">
        <v>Hombre</v>
      </c>
      <c r="E705">
        <v>1</v>
      </c>
    </row>
    <row r="706" spans="2:5" x14ac:dyDescent="0.2">
      <c r="B706" t="str">
        <v>Barbara, Miss. Saiide</v>
      </c>
      <c r="C706">
        <v>18</v>
      </c>
      <c r="D706" t="str">
        <v>Mujer</v>
      </c>
      <c r="E706">
        <v>0</v>
      </c>
    </row>
    <row r="707" spans="2:5" x14ac:dyDescent="0.2">
      <c r="B707" t="str">
        <v>Gallagher, Mr. Martin</v>
      </c>
      <c r="C707">
        <v>25</v>
      </c>
      <c r="D707" t="str">
        <v>Hombre</v>
      </c>
      <c r="E707">
        <v>0</v>
      </c>
    </row>
    <row r="708" spans="2:5" x14ac:dyDescent="0.2">
      <c r="B708" t="str">
        <v>Hansen, Mr. Henrik Juul</v>
      </c>
      <c r="C708">
        <v>26</v>
      </c>
      <c r="D708" t="str">
        <v>Hombre</v>
      </c>
      <c r="E708">
        <v>0</v>
      </c>
    </row>
    <row r="709" spans="2:5" x14ac:dyDescent="0.2">
      <c r="B709" t="str">
        <v>Morley, Mr. Henry Samuel ("Mr Henry Marshall")</v>
      </c>
      <c r="C709">
        <v>39</v>
      </c>
      <c r="D709" t="str">
        <v>Hombre</v>
      </c>
      <c r="E709">
        <v>0</v>
      </c>
    </row>
    <row r="710" spans="2:5" x14ac:dyDescent="0.2">
      <c r="B710" t="str">
        <v>Kelly, Mrs. Florence "Fannie"</v>
      </c>
      <c r="C710">
        <v>45</v>
      </c>
      <c r="D710" t="str">
        <v>Mujer</v>
      </c>
      <c r="E710">
        <v>1</v>
      </c>
    </row>
    <row r="711" spans="2:5" x14ac:dyDescent="0.2">
      <c r="B711" t="str">
        <v>Calderhead, Mr. Edward Pennington</v>
      </c>
      <c r="C711">
        <v>42</v>
      </c>
      <c r="D711" t="str">
        <v>Hombre</v>
      </c>
      <c r="E711">
        <v>1</v>
      </c>
    </row>
    <row r="712" spans="2:5" x14ac:dyDescent="0.2">
      <c r="B712" t="str">
        <v>Cleaver, Miss. Alice</v>
      </c>
      <c r="C712">
        <v>22</v>
      </c>
      <c r="D712" t="str">
        <v>Mujer</v>
      </c>
      <c r="E712">
        <v>1</v>
      </c>
    </row>
    <row r="713" spans="2:5" x14ac:dyDescent="0.2">
      <c r="B713" t="str">
        <v>Moubarek, Master. Halim Gonios ("William George")</v>
      </c>
      <c r="C713">
        <v>0</v>
      </c>
      <c r="D713" t="str">
        <v>Hombre</v>
      </c>
      <c r="E713">
        <v>1</v>
      </c>
    </row>
    <row r="714" spans="2:5" x14ac:dyDescent="0.2">
      <c r="B714" t="str">
        <v>Mayne, Mlle. Berthe Antonine ("Mrs de Villiers")</v>
      </c>
      <c r="C714">
        <v>24</v>
      </c>
      <c r="D714" t="str">
        <v>Mujer</v>
      </c>
      <c r="E714">
        <v>1</v>
      </c>
    </row>
    <row r="715" spans="2:5" x14ac:dyDescent="0.2">
      <c r="B715" t="str">
        <v>Klaber, Mr. Herman</v>
      </c>
      <c r="C715">
        <v>0</v>
      </c>
      <c r="D715" t="str">
        <v>Hombre</v>
      </c>
      <c r="E715">
        <v>0</v>
      </c>
    </row>
    <row r="716" spans="2:5" x14ac:dyDescent="0.2">
      <c r="B716" t="str">
        <v>Taylor, Mr. Elmer Zebley</v>
      </c>
      <c r="C716">
        <v>48</v>
      </c>
      <c r="D716" t="str">
        <v>Hombre</v>
      </c>
      <c r="E716">
        <v>1</v>
      </c>
    </row>
    <row r="717" spans="2:5" x14ac:dyDescent="0.2">
      <c r="B717" t="str">
        <v>Larsson, Mr. August Viktor</v>
      </c>
      <c r="C717">
        <v>29</v>
      </c>
      <c r="D717" t="str">
        <v>Hombre</v>
      </c>
      <c r="E717">
        <v>0</v>
      </c>
    </row>
    <row r="718" spans="2:5" x14ac:dyDescent="0.2">
      <c r="B718" t="str">
        <v>Greenberg, Mr. Samuel</v>
      </c>
      <c r="C718">
        <v>52</v>
      </c>
      <c r="D718" t="str">
        <v>Hombre</v>
      </c>
      <c r="E718">
        <v>0</v>
      </c>
    </row>
    <row r="719" spans="2:5" x14ac:dyDescent="0.2">
      <c r="B719" t="str">
        <v>Soholt, Mr. Peter Andreas Lauritz Andersen</v>
      </c>
      <c r="C719">
        <v>19</v>
      </c>
      <c r="D719" t="str">
        <v>Hombre</v>
      </c>
      <c r="E719">
        <v>0</v>
      </c>
    </row>
    <row r="720" spans="2:5" x14ac:dyDescent="0.2">
      <c r="B720" t="str">
        <v>Endres, Miss. Caroline Louise</v>
      </c>
      <c r="C720">
        <v>38</v>
      </c>
      <c r="D720" t="str">
        <v>Mujer</v>
      </c>
      <c r="E720">
        <v>1</v>
      </c>
    </row>
    <row r="721" spans="2:5" x14ac:dyDescent="0.2">
      <c r="B721" t="str">
        <v>Troutt, Miss. Edwina Celia "Winnie"</v>
      </c>
      <c r="C721">
        <v>27</v>
      </c>
      <c r="D721" t="str">
        <v>Mujer</v>
      </c>
      <c r="E721">
        <v>1</v>
      </c>
    </row>
    <row r="722" spans="2:5" x14ac:dyDescent="0.2">
      <c r="B722" t="str">
        <v>McEvoy, Mr. Michael</v>
      </c>
      <c r="C722">
        <v>0</v>
      </c>
      <c r="D722" t="str">
        <v>Hombre</v>
      </c>
      <c r="E722">
        <v>0</v>
      </c>
    </row>
    <row r="723" spans="2:5" x14ac:dyDescent="0.2">
      <c r="B723" t="str">
        <v>Johnson, Mr. Malkolm Joackim</v>
      </c>
      <c r="C723">
        <v>33</v>
      </c>
      <c r="D723" t="str">
        <v>Hombre</v>
      </c>
      <c r="E723">
        <v>0</v>
      </c>
    </row>
    <row r="724" spans="2:5" x14ac:dyDescent="0.2">
      <c r="B724" t="str">
        <v>Harper, Miss. Annie Jessie "Nina"</v>
      </c>
      <c r="C724">
        <v>6</v>
      </c>
      <c r="D724" t="str">
        <v>Mujer</v>
      </c>
      <c r="E724">
        <v>1</v>
      </c>
    </row>
    <row r="725" spans="2:5" x14ac:dyDescent="0.2">
      <c r="B725" t="str">
        <v>Jensen, Mr. Svend Lauritz</v>
      </c>
      <c r="C725">
        <v>17</v>
      </c>
      <c r="D725" t="str">
        <v>Hombre</v>
      </c>
      <c r="E725">
        <v>0</v>
      </c>
    </row>
    <row r="726" spans="2:5" x14ac:dyDescent="0.2">
      <c r="B726" t="str">
        <v>Gillespie, Mr. William Henry</v>
      </c>
      <c r="C726">
        <v>34</v>
      </c>
      <c r="D726" t="str">
        <v>Hombre</v>
      </c>
      <c r="E726">
        <v>0</v>
      </c>
    </row>
    <row r="727" spans="2:5" x14ac:dyDescent="0.2">
      <c r="B727" t="str">
        <v>Hodges, Mr. Henry Price</v>
      </c>
      <c r="C727">
        <v>50</v>
      </c>
      <c r="D727" t="str">
        <v>Hombre</v>
      </c>
      <c r="E727">
        <v>0</v>
      </c>
    </row>
    <row r="728" spans="2:5" x14ac:dyDescent="0.2">
      <c r="B728" t="str">
        <v>Chambers, Mr. Norman Campbell</v>
      </c>
      <c r="C728">
        <v>27</v>
      </c>
      <c r="D728" t="str">
        <v>Hombre</v>
      </c>
      <c r="E728">
        <v>1</v>
      </c>
    </row>
    <row r="729" spans="2:5" x14ac:dyDescent="0.2">
      <c r="B729" t="str">
        <v>Oreskovic, Mr. Luka</v>
      </c>
      <c r="C729">
        <v>20</v>
      </c>
      <c r="D729" t="str">
        <v>Hombre</v>
      </c>
      <c r="E729">
        <v>0</v>
      </c>
    </row>
    <row r="730" spans="2:5" x14ac:dyDescent="0.2">
      <c r="B730" t="str">
        <v>Renouf, Mrs. Peter Henry (Lillian Jefferys)</v>
      </c>
      <c r="C730">
        <v>30</v>
      </c>
      <c r="D730" t="str">
        <v>Mujer</v>
      </c>
      <c r="E730">
        <v>1</v>
      </c>
    </row>
    <row r="731" spans="2:5" x14ac:dyDescent="0.2">
      <c r="B731" t="str">
        <v>Mannion, Miss. Margareth</v>
      </c>
      <c r="C731">
        <v>0</v>
      </c>
      <c r="D731" t="str">
        <v>Mujer</v>
      </c>
      <c r="E731">
        <v>1</v>
      </c>
    </row>
    <row r="732" spans="2:5" x14ac:dyDescent="0.2">
      <c r="B732" t="str">
        <v>Bryhl, Mr. Kurt Arnold Gottfrid</v>
      </c>
      <c r="C732">
        <v>25</v>
      </c>
      <c r="D732" t="str">
        <v>Hombre</v>
      </c>
      <c r="E732">
        <v>0</v>
      </c>
    </row>
    <row r="733" spans="2:5" x14ac:dyDescent="0.2">
      <c r="B733" t="str">
        <v>Ilmakangas, Miss. Pieta Sofia</v>
      </c>
      <c r="C733">
        <v>25</v>
      </c>
      <c r="D733" t="str">
        <v>Mujer</v>
      </c>
      <c r="E733">
        <v>0</v>
      </c>
    </row>
    <row r="734" spans="2:5" x14ac:dyDescent="0.2">
      <c r="B734" t="str">
        <v>Allen, Miss. Elisabeth Walton</v>
      </c>
      <c r="C734">
        <v>29</v>
      </c>
      <c r="D734" t="str">
        <v>Mujer</v>
      </c>
      <c r="E734">
        <v>1</v>
      </c>
    </row>
    <row r="735" spans="2:5" x14ac:dyDescent="0.2">
      <c r="B735" t="str">
        <v>Hassan, Mr. Houssein G N</v>
      </c>
      <c r="C735">
        <v>11</v>
      </c>
      <c r="D735" t="str">
        <v>Hombre</v>
      </c>
      <c r="E735">
        <v>0</v>
      </c>
    </row>
    <row r="736" spans="2:5" x14ac:dyDescent="0.2">
      <c r="B736" t="str">
        <v>Knight, Mr. Robert J</v>
      </c>
      <c r="C736">
        <v>0</v>
      </c>
      <c r="D736" t="str">
        <v>Hombre</v>
      </c>
      <c r="E736">
        <v>0</v>
      </c>
    </row>
    <row r="737" spans="2:5" x14ac:dyDescent="0.2">
      <c r="B737" t="str">
        <v>Berriman, Mr. William John</v>
      </c>
      <c r="C737">
        <v>23</v>
      </c>
      <c r="D737" t="str">
        <v>Hombre</v>
      </c>
      <c r="E737">
        <v>0</v>
      </c>
    </row>
    <row r="738" spans="2:5" x14ac:dyDescent="0.2">
      <c r="B738" t="str">
        <v>Troupiansky, Mr. Moses Aaron</v>
      </c>
      <c r="C738">
        <v>23</v>
      </c>
      <c r="D738" t="str">
        <v>Hombre</v>
      </c>
      <c r="E738">
        <v>0</v>
      </c>
    </row>
    <row r="739" spans="2:5" x14ac:dyDescent="0.2">
      <c r="B739" t="str">
        <v>Williams, Mr. Leslie</v>
      </c>
      <c r="C739">
        <v>285</v>
      </c>
      <c r="D739" t="str">
        <v>Hombre</v>
      </c>
      <c r="E739">
        <v>0</v>
      </c>
    </row>
    <row r="740" spans="2:5" x14ac:dyDescent="0.2">
      <c r="B740" t="str">
        <v>Ford, Mrs. Edward (Margaret Ann Watson)</v>
      </c>
      <c r="C740">
        <v>48</v>
      </c>
      <c r="D740" t="str">
        <v>Mujer</v>
      </c>
      <c r="E740">
        <v>0</v>
      </c>
    </row>
    <row r="741" spans="2:5" x14ac:dyDescent="0.2">
      <c r="B741" t="str">
        <v>Lesurer, Mr. Gustave J</v>
      </c>
      <c r="C741">
        <v>35</v>
      </c>
      <c r="D741" t="str">
        <v>Hombre</v>
      </c>
      <c r="E741">
        <v>1</v>
      </c>
    </row>
    <row r="742" spans="2:5" x14ac:dyDescent="0.2">
      <c r="B742" t="str">
        <v>Ivanoff, Mr. Kanio</v>
      </c>
      <c r="C742">
        <v>0</v>
      </c>
      <c r="D742" t="str">
        <v>Hombre</v>
      </c>
      <c r="E742">
        <v>0</v>
      </c>
    </row>
    <row r="743" spans="2:5" x14ac:dyDescent="0.2">
      <c r="B743" t="str">
        <v>Nankoff, Mr. Minko</v>
      </c>
      <c r="C743">
        <v>0</v>
      </c>
      <c r="D743" t="str">
        <v>Hombre</v>
      </c>
      <c r="E743">
        <v>0</v>
      </c>
    </row>
    <row r="744" spans="2:5" x14ac:dyDescent="0.2">
      <c r="B744" t="str">
        <v>Hawksford, Mr. Walter James</v>
      </c>
      <c r="C744">
        <v>0</v>
      </c>
      <c r="D744" t="str">
        <v>Hombre</v>
      </c>
      <c r="E744">
        <v>1</v>
      </c>
    </row>
    <row r="745" spans="2:5" x14ac:dyDescent="0.2">
      <c r="B745" t="str">
        <v>Cavendish, Mr. Tyrell William</v>
      </c>
      <c r="C745">
        <v>36</v>
      </c>
      <c r="D745" t="str">
        <v>Hombre</v>
      </c>
      <c r="E745">
        <v>0</v>
      </c>
    </row>
    <row r="746" spans="2:5" x14ac:dyDescent="0.2">
      <c r="B746" t="str">
        <v>Ryerson, Miss. Susan Parker "Suzette"</v>
      </c>
      <c r="C746">
        <v>21</v>
      </c>
      <c r="D746" t="str">
        <v>Mujer</v>
      </c>
      <c r="E746">
        <v>1</v>
      </c>
    </row>
    <row r="747" spans="2:5" x14ac:dyDescent="0.2">
      <c r="B747" t="str">
        <v>McNamee, Mr. Neal</v>
      </c>
      <c r="C747">
        <v>24</v>
      </c>
      <c r="D747" t="str">
        <v>Hombre</v>
      </c>
      <c r="E747">
        <v>0</v>
      </c>
    </row>
    <row r="748" spans="2:5" x14ac:dyDescent="0.2">
      <c r="B748" t="str">
        <v>Stranden, Mr. Juho</v>
      </c>
      <c r="C748">
        <v>31</v>
      </c>
      <c r="D748" t="str">
        <v>Hombre</v>
      </c>
      <c r="E748">
        <v>1</v>
      </c>
    </row>
    <row r="749" spans="2:5" x14ac:dyDescent="0.2">
      <c r="B749" t="str">
        <v>Crosby, Capt. Edward Gifford</v>
      </c>
      <c r="C749">
        <v>70</v>
      </c>
      <c r="D749" t="str">
        <v>Hombre</v>
      </c>
      <c r="E749">
        <v>0</v>
      </c>
    </row>
    <row r="750" spans="2:5" x14ac:dyDescent="0.2">
      <c r="B750" t="str">
        <v>Abbott, Mr. Rossmore Edward</v>
      </c>
      <c r="C750">
        <v>16</v>
      </c>
      <c r="D750" t="str">
        <v>Hombre</v>
      </c>
      <c r="E750">
        <v>0</v>
      </c>
    </row>
    <row r="751" spans="2:5" x14ac:dyDescent="0.2">
      <c r="B751" t="str">
        <v>Sinkkonen, Miss. Anna</v>
      </c>
      <c r="C751">
        <v>30</v>
      </c>
      <c r="D751" t="str">
        <v>Mujer</v>
      </c>
      <c r="E751">
        <v>1</v>
      </c>
    </row>
    <row r="752" spans="2:5" x14ac:dyDescent="0.2">
      <c r="B752" t="str">
        <v>Marvin, Mr. Daniel Warner</v>
      </c>
      <c r="C752">
        <v>19</v>
      </c>
      <c r="D752" t="str">
        <v>Hombre</v>
      </c>
      <c r="E752">
        <v>0</v>
      </c>
    </row>
    <row r="753" spans="2:5" x14ac:dyDescent="0.2">
      <c r="B753" t="str">
        <v>Connaghton, Mr. Michael</v>
      </c>
      <c r="C753">
        <v>31</v>
      </c>
      <c r="D753" t="str">
        <v>Hombre</v>
      </c>
      <c r="E753">
        <v>0</v>
      </c>
    </row>
    <row r="754" spans="2:5" x14ac:dyDescent="0.2">
      <c r="B754" t="str">
        <v>Wells, Miss. Joan</v>
      </c>
      <c r="C754">
        <v>4</v>
      </c>
      <c r="D754" t="str">
        <v>Mujer</v>
      </c>
      <c r="E754">
        <v>1</v>
      </c>
    </row>
    <row r="755" spans="2:5" x14ac:dyDescent="0.2">
      <c r="B755" t="str">
        <v>Moor, Master. Meier</v>
      </c>
      <c r="C755">
        <v>6</v>
      </c>
      <c r="D755" t="str">
        <v>Hombre</v>
      </c>
      <c r="E755">
        <v>1</v>
      </c>
    </row>
    <row r="756" spans="2:5" x14ac:dyDescent="0.2">
      <c r="B756" t="str">
        <v>Vande Velde, Mr. Johannes Joseph</v>
      </c>
      <c r="C756">
        <v>33</v>
      </c>
      <c r="D756" t="str">
        <v>Hombre</v>
      </c>
      <c r="E756">
        <v>0</v>
      </c>
    </row>
    <row r="757" spans="2:5" x14ac:dyDescent="0.2">
      <c r="B757" t="str">
        <v>Jonkoff, Mr. Lalio</v>
      </c>
      <c r="C757">
        <v>23</v>
      </c>
      <c r="D757" t="str">
        <v>Hombre</v>
      </c>
      <c r="E757">
        <v>0</v>
      </c>
    </row>
    <row r="758" spans="2:5" x14ac:dyDescent="0.2">
      <c r="B758" t="str">
        <v>Herman, Mrs. Samuel (Jane Laver)</v>
      </c>
      <c r="C758">
        <v>48</v>
      </c>
      <c r="D758" t="str">
        <v>Mujer</v>
      </c>
      <c r="E758">
        <v>1</v>
      </c>
    </row>
    <row r="759" spans="2:5" x14ac:dyDescent="0.2">
      <c r="B759" t="str">
        <v>Hamalainen, Master. Viljo</v>
      </c>
      <c r="C759">
        <v>67</v>
      </c>
      <c r="D759" t="str">
        <v>Hombre</v>
      </c>
      <c r="E759">
        <v>1</v>
      </c>
    </row>
    <row r="760" spans="2:5" x14ac:dyDescent="0.2">
      <c r="B760" t="str">
        <v>Carlsson, Mr. August Sigfrid</v>
      </c>
      <c r="C760">
        <v>28</v>
      </c>
      <c r="D760" t="str">
        <v>Hombre</v>
      </c>
      <c r="E760">
        <v>0</v>
      </c>
    </row>
    <row r="761" spans="2:5" x14ac:dyDescent="0.2">
      <c r="B761" t="str">
        <v>Bailey, Mr. Percy Andrew</v>
      </c>
      <c r="C761">
        <v>18</v>
      </c>
      <c r="D761" t="str">
        <v>Hombre</v>
      </c>
      <c r="E761">
        <v>0</v>
      </c>
    </row>
    <row r="762" spans="2:5" x14ac:dyDescent="0.2">
      <c r="B762" t="str">
        <v>Theobald, Mr. Thomas Leonard</v>
      </c>
      <c r="C762">
        <v>34</v>
      </c>
      <c r="D762" t="str">
        <v>Hombre</v>
      </c>
      <c r="E762">
        <v>0</v>
      </c>
    </row>
    <row r="763" spans="2:5" x14ac:dyDescent="0.2">
      <c r="B763" t="str">
        <v>Rothes, the Countess. of (Lucy Noel Martha Dyer-Edwards)</v>
      </c>
      <c r="C763">
        <v>33</v>
      </c>
      <c r="D763" t="str">
        <v>Mujer</v>
      </c>
      <c r="E763">
        <v>1</v>
      </c>
    </row>
    <row r="764" spans="2:5" x14ac:dyDescent="0.2">
      <c r="B764" t="str">
        <v>Garfirth, Mr. John</v>
      </c>
      <c r="C764">
        <v>0</v>
      </c>
      <c r="D764" t="str">
        <v>Hombre</v>
      </c>
      <c r="E764">
        <v>0</v>
      </c>
    </row>
    <row r="765" spans="2:5" x14ac:dyDescent="0.2">
      <c r="B765" t="str">
        <v>Nirva, Mr. Iisakki Antino Aijo</v>
      </c>
      <c r="C765">
        <v>41</v>
      </c>
      <c r="D765" t="str">
        <v>Hombre</v>
      </c>
      <c r="E765">
        <v>0</v>
      </c>
    </row>
    <row r="766" spans="2:5" x14ac:dyDescent="0.2">
      <c r="B766" t="str">
        <v>Barah, Mr. Hanna Assi</v>
      </c>
      <c r="C766">
        <v>20</v>
      </c>
      <c r="D766" t="str">
        <v>Hombre</v>
      </c>
      <c r="E766">
        <v>1</v>
      </c>
    </row>
    <row r="767" spans="2:5" x14ac:dyDescent="0.2">
      <c r="B767" t="str">
        <v>Carter, Mrs. William Ernest (Lucile Polk)</v>
      </c>
      <c r="C767">
        <v>36</v>
      </c>
      <c r="D767" t="str">
        <v>Mujer</v>
      </c>
      <c r="E767">
        <v>1</v>
      </c>
    </row>
    <row r="768" spans="2:5" x14ac:dyDescent="0.2">
      <c r="B768" t="str">
        <v>Eklund, Mr. Hans Linus</v>
      </c>
      <c r="C768">
        <v>16</v>
      </c>
      <c r="D768" t="str">
        <v>Hombre</v>
      </c>
      <c r="E768">
        <v>0</v>
      </c>
    </row>
    <row r="769" spans="2:5" x14ac:dyDescent="0.2">
      <c r="B769" t="str">
        <v>Hogeboom, Mrs. John C (Anna Andrews)</v>
      </c>
      <c r="C769">
        <v>51</v>
      </c>
      <c r="D769" t="str">
        <v>Mujer</v>
      </c>
      <c r="E769">
        <v>1</v>
      </c>
    </row>
    <row r="770" spans="2:5" x14ac:dyDescent="0.2">
      <c r="B770" t="str">
        <v>Brewe, Dr. Arthur Jackson</v>
      </c>
      <c r="C770">
        <v>0</v>
      </c>
      <c r="D770" t="str">
        <v>Hombre</v>
      </c>
      <c r="E770">
        <v>0</v>
      </c>
    </row>
    <row r="771" spans="2:5" x14ac:dyDescent="0.2">
      <c r="B771" t="str">
        <v>Mangan, Miss. Mary</v>
      </c>
      <c r="C771">
        <v>305</v>
      </c>
      <c r="D771" t="str">
        <v>Mujer</v>
      </c>
      <c r="E771">
        <v>0</v>
      </c>
    </row>
    <row r="772" spans="2:5" x14ac:dyDescent="0.2">
      <c r="B772" t="str">
        <v>Moran, Mr. Daniel J</v>
      </c>
      <c r="C772">
        <v>0</v>
      </c>
      <c r="D772" t="str">
        <v>Hombre</v>
      </c>
      <c r="E772">
        <v>0</v>
      </c>
    </row>
    <row r="773" spans="2:5" x14ac:dyDescent="0.2">
      <c r="B773" t="str">
        <v>Gronnestad, Mr. Daniel Danielsen</v>
      </c>
      <c r="C773">
        <v>32</v>
      </c>
      <c r="D773" t="str">
        <v>Hombre</v>
      </c>
      <c r="E773">
        <v>0</v>
      </c>
    </row>
    <row r="774" spans="2:5" x14ac:dyDescent="0.2">
      <c r="B774" t="str">
        <v>Lievens, Mr. Rene Aime</v>
      </c>
      <c r="C774">
        <v>24</v>
      </c>
      <c r="D774" t="str">
        <v>Hombre</v>
      </c>
      <c r="E774">
        <v>0</v>
      </c>
    </row>
    <row r="775" spans="2:5" x14ac:dyDescent="0.2">
      <c r="B775" t="str">
        <v>Jensen, Mr. Niels Peder</v>
      </c>
      <c r="C775">
        <v>48</v>
      </c>
      <c r="D775" t="str">
        <v>Hombre</v>
      </c>
      <c r="E775">
        <v>0</v>
      </c>
    </row>
    <row r="776" spans="2:5" x14ac:dyDescent="0.2">
      <c r="B776" t="str">
        <v>Mack, Mrs. (Mary)</v>
      </c>
      <c r="C776">
        <v>57</v>
      </c>
      <c r="D776" t="str">
        <v>Mujer</v>
      </c>
      <c r="E776">
        <v>0</v>
      </c>
    </row>
    <row r="777" spans="2:5" x14ac:dyDescent="0.2">
      <c r="B777" t="str">
        <v>Elias, Mr. Dibo</v>
      </c>
      <c r="C777">
        <v>0</v>
      </c>
      <c r="D777" t="str">
        <v>Hombre</v>
      </c>
      <c r="E777">
        <v>0</v>
      </c>
    </row>
    <row r="778" spans="2:5" x14ac:dyDescent="0.2">
      <c r="B778" t="str">
        <v>Hocking, Mrs. Elizabeth (Eliza Needs)</v>
      </c>
      <c r="C778">
        <v>54</v>
      </c>
      <c r="D778" t="str">
        <v>Mujer</v>
      </c>
      <c r="E778">
        <v>1</v>
      </c>
    </row>
    <row r="779" spans="2:5" x14ac:dyDescent="0.2">
      <c r="B779" t="str">
        <v>Myhrman, Mr. Pehr Fabian Oliver Malkolm</v>
      </c>
      <c r="C779">
        <v>18</v>
      </c>
      <c r="D779" t="str">
        <v>Hombre</v>
      </c>
      <c r="E779">
        <v>0</v>
      </c>
    </row>
    <row r="780" spans="2:5" x14ac:dyDescent="0.2">
      <c r="B780" t="str">
        <v>Tobin, Mr. Roger</v>
      </c>
      <c r="C780">
        <v>0</v>
      </c>
      <c r="D780" t="str">
        <v>Hombre</v>
      </c>
      <c r="E780">
        <v>0</v>
      </c>
    </row>
    <row r="781" spans="2:5" x14ac:dyDescent="0.2">
      <c r="B781" t="str">
        <v>Emanuel, Miss. Virginia Ethel</v>
      </c>
      <c r="C781">
        <v>5</v>
      </c>
      <c r="D781" t="str">
        <v>Mujer</v>
      </c>
      <c r="E781">
        <v>1</v>
      </c>
    </row>
    <row r="782" spans="2:5" x14ac:dyDescent="0.2">
      <c r="B782" t="str">
        <v>Kilgannon, Mr. Thomas J</v>
      </c>
      <c r="C782">
        <v>0</v>
      </c>
      <c r="D782" t="str">
        <v>Hombre</v>
      </c>
      <c r="E782">
        <v>0</v>
      </c>
    </row>
    <row r="783" spans="2:5" x14ac:dyDescent="0.2">
      <c r="B783" t="str">
        <v>Robert, Mrs. Edward Scott (Elisabeth Walton McMillan)</v>
      </c>
      <c r="C783">
        <v>43</v>
      </c>
      <c r="D783" t="str">
        <v>Mujer</v>
      </c>
      <c r="E783">
        <v>1</v>
      </c>
    </row>
    <row r="784" spans="2:5" x14ac:dyDescent="0.2">
      <c r="B784" t="str">
        <v>Ayoub, Miss. Banoura</v>
      </c>
      <c r="C784">
        <v>13</v>
      </c>
      <c r="D784" t="str">
        <v>Mujer</v>
      </c>
      <c r="E784">
        <v>1</v>
      </c>
    </row>
    <row r="785" spans="2:5" x14ac:dyDescent="0.2">
      <c r="B785" t="str">
        <v>Dick, Mrs. Albert Adrian (Vera Gillespie)</v>
      </c>
      <c r="C785">
        <v>17</v>
      </c>
      <c r="D785" t="str">
        <v>Mujer</v>
      </c>
      <c r="E785">
        <v>1</v>
      </c>
    </row>
    <row r="786" spans="2:5" x14ac:dyDescent="0.2">
      <c r="B786" t="str">
        <v>Long, Mr. Milton Clyde</v>
      </c>
      <c r="C786">
        <v>29</v>
      </c>
      <c r="D786" t="str">
        <v>Hombre</v>
      </c>
      <c r="E786">
        <v>0</v>
      </c>
    </row>
    <row r="787" spans="2:5" x14ac:dyDescent="0.2">
      <c r="B787" t="str">
        <v>Johnston, Mr. Andrew G</v>
      </c>
      <c r="C787">
        <v>0</v>
      </c>
      <c r="D787" t="str">
        <v>Hombre</v>
      </c>
      <c r="E787">
        <v>0</v>
      </c>
    </row>
    <row r="788" spans="2:5" x14ac:dyDescent="0.2">
      <c r="B788" t="str">
        <v>Ali, Mr. William</v>
      </c>
      <c r="C788">
        <v>25</v>
      </c>
      <c r="D788" t="str">
        <v>Hombre</v>
      </c>
      <c r="E788">
        <v>0</v>
      </c>
    </row>
    <row r="789" spans="2:5" x14ac:dyDescent="0.2">
      <c r="B789" t="str">
        <v>Harmer, Mr. Abraham (David Lishin)</v>
      </c>
      <c r="C789">
        <v>25</v>
      </c>
      <c r="D789" t="str">
        <v>Hombre</v>
      </c>
      <c r="E789">
        <v>0</v>
      </c>
    </row>
    <row r="790" spans="2:5" x14ac:dyDescent="0.2">
      <c r="B790" t="str">
        <v>Sjoblom, Miss. Anna Sofia</v>
      </c>
      <c r="C790">
        <v>18</v>
      </c>
      <c r="D790" t="str">
        <v>Mujer</v>
      </c>
      <c r="E790">
        <v>1</v>
      </c>
    </row>
    <row r="791" spans="2:5" x14ac:dyDescent="0.2">
      <c r="B791" t="str">
        <v>Rice, Master. George Hugh</v>
      </c>
      <c r="C791">
        <v>8</v>
      </c>
      <c r="D791" t="str">
        <v>Hombre</v>
      </c>
      <c r="E791">
        <v>0</v>
      </c>
    </row>
    <row r="792" spans="2:5" x14ac:dyDescent="0.2">
      <c r="B792" t="str">
        <v>Dean, Master. Bertram Vere</v>
      </c>
      <c r="C792">
        <v>1</v>
      </c>
      <c r="D792" t="str">
        <v>Hombre</v>
      </c>
      <c r="E792">
        <v>1</v>
      </c>
    </row>
    <row r="793" spans="2:5" x14ac:dyDescent="0.2">
      <c r="B793" t="str">
        <v>Guggenheim, Mr. Benjamin</v>
      </c>
      <c r="C793">
        <v>46</v>
      </c>
      <c r="D793" t="str">
        <v>Hombre</v>
      </c>
      <c r="E793">
        <v>0</v>
      </c>
    </row>
    <row r="794" spans="2:5" x14ac:dyDescent="0.2">
      <c r="B794" t="str">
        <v>Keane, Mr. Andrew "Andy"</v>
      </c>
      <c r="C794">
        <v>0</v>
      </c>
      <c r="D794" t="str">
        <v>Hombre</v>
      </c>
      <c r="E794">
        <v>0</v>
      </c>
    </row>
    <row r="795" spans="2:5" x14ac:dyDescent="0.2">
      <c r="B795" t="str">
        <v>Gaskell, Mr. Alfred</v>
      </c>
      <c r="C795">
        <v>16</v>
      </c>
      <c r="D795" t="str">
        <v>Hombre</v>
      </c>
      <c r="E795">
        <v>0</v>
      </c>
    </row>
    <row r="796" spans="2:5" x14ac:dyDescent="0.2">
      <c r="B796" t="str">
        <v>Sage, Miss. Stella Anna</v>
      </c>
      <c r="C796">
        <v>0</v>
      </c>
      <c r="D796" t="str">
        <v>Mujer</v>
      </c>
      <c r="E796">
        <v>0</v>
      </c>
    </row>
    <row r="797" spans="2:5" x14ac:dyDescent="0.2">
      <c r="B797" t="str">
        <v>Hoyt, Mr. William Fisher</v>
      </c>
      <c r="C797">
        <v>0</v>
      </c>
      <c r="D797" t="str">
        <v>Hombre</v>
      </c>
      <c r="E797">
        <v>0</v>
      </c>
    </row>
    <row r="798" spans="2:5" x14ac:dyDescent="0.2">
      <c r="B798" t="str">
        <v>Dantcheff, Mr. Ristiu</v>
      </c>
      <c r="C798">
        <v>25</v>
      </c>
      <c r="D798" t="str">
        <v>Hombre</v>
      </c>
      <c r="E798">
        <v>0</v>
      </c>
    </row>
    <row r="799" spans="2:5" x14ac:dyDescent="0.2">
      <c r="B799" t="str">
        <v>Otter, Mr. Richard</v>
      </c>
      <c r="C799">
        <v>39</v>
      </c>
      <c r="D799" t="str">
        <v>Hombre</v>
      </c>
      <c r="E799">
        <v>0</v>
      </c>
    </row>
    <row r="800" spans="2:5" x14ac:dyDescent="0.2">
      <c r="B800" t="str">
        <v>Leader, Dr. Alice (Farnham)</v>
      </c>
      <c r="C800">
        <v>49</v>
      </c>
      <c r="D800" t="str">
        <v>Mujer</v>
      </c>
      <c r="E800">
        <v>1</v>
      </c>
    </row>
    <row r="801" spans="2:5" x14ac:dyDescent="0.2">
      <c r="B801" t="str">
        <v>Osman, Mrs. Mara</v>
      </c>
      <c r="C801">
        <v>31</v>
      </c>
      <c r="D801" t="str">
        <v>Mujer</v>
      </c>
      <c r="E801">
        <v>1</v>
      </c>
    </row>
    <row r="802" spans="2:5" x14ac:dyDescent="0.2">
      <c r="B802" t="str">
        <v>Ibrahim Shawah, Mr. Yousseff</v>
      </c>
      <c r="C802">
        <v>30</v>
      </c>
      <c r="D802" t="str">
        <v>Hombre</v>
      </c>
      <c r="E802">
        <v>0</v>
      </c>
    </row>
    <row r="803" spans="2:5" x14ac:dyDescent="0.2">
      <c r="B803" t="str">
        <v>Van Impe, Mrs. Jean Baptiste (Rosalie Paula Govaert)</v>
      </c>
      <c r="C803">
        <v>30</v>
      </c>
      <c r="D803" t="str">
        <v>Mujer</v>
      </c>
      <c r="E803">
        <v>0</v>
      </c>
    </row>
    <row r="804" spans="2:5" x14ac:dyDescent="0.2">
      <c r="B804" t="str">
        <v>Ponesell, Mr. Martin</v>
      </c>
      <c r="C804">
        <v>34</v>
      </c>
      <c r="D804" t="str">
        <v>Hombre</v>
      </c>
      <c r="E804">
        <v>0</v>
      </c>
    </row>
    <row r="805" spans="2:5" x14ac:dyDescent="0.2">
      <c r="B805" t="str">
        <v>Collyer, Mrs. Harvey (Charlotte Annie Tate)</v>
      </c>
      <c r="C805">
        <v>31</v>
      </c>
      <c r="D805" t="str">
        <v>Mujer</v>
      </c>
      <c r="E805">
        <v>1</v>
      </c>
    </row>
    <row r="806" spans="2:5" x14ac:dyDescent="0.2">
      <c r="B806" t="str">
        <v>Carter, Master. William Thornton II</v>
      </c>
      <c r="C806">
        <v>11</v>
      </c>
      <c r="D806" t="str">
        <v>Hombre</v>
      </c>
      <c r="E806">
        <v>1</v>
      </c>
    </row>
    <row r="807" spans="2:5" x14ac:dyDescent="0.2">
      <c r="B807" t="str">
        <v>Thomas, Master. Assad Alexander</v>
      </c>
      <c r="C807">
        <v>42</v>
      </c>
      <c r="D807" t="str">
        <v>Hombre</v>
      </c>
      <c r="E807">
        <v>1</v>
      </c>
    </row>
    <row r="808" spans="2:5" x14ac:dyDescent="0.2">
      <c r="B808" t="str">
        <v>Hedman, Mr. Oskar Arvid</v>
      </c>
      <c r="C808">
        <v>27</v>
      </c>
      <c r="D808" t="str">
        <v>Hombre</v>
      </c>
      <c r="E808">
        <v>1</v>
      </c>
    </row>
    <row r="809" spans="2:5" x14ac:dyDescent="0.2">
      <c r="B809" t="str">
        <v>Johansson, Mr. Karl Johan</v>
      </c>
      <c r="C809">
        <v>31</v>
      </c>
      <c r="D809" t="str">
        <v>Hombre</v>
      </c>
      <c r="E809">
        <v>0</v>
      </c>
    </row>
    <row r="810" spans="2:5" x14ac:dyDescent="0.2">
      <c r="B810" t="str">
        <v>Andrews, Mr. Thomas Jr</v>
      </c>
      <c r="C810">
        <v>39</v>
      </c>
      <c r="D810" t="str">
        <v>Hombre</v>
      </c>
      <c r="E810">
        <v>0</v>
      </c>
    </row>
    <row r="811" spans="2:5" x14ac:dyDescent="0.2">
      <c r="B811" t="str">
        <v>Pettersson, Miss. Ellen Natalia</v>
      </c>
      <c r="C811">
        <v>18</v>
      </c>
      <c r="D811" t="str">
        <v>Mujer</v>
      </c>
      <c r="E811">
        <v>0</v>
      </c>
    </row>
    <row r="812" spans="2:5" x14ac:dyDescent="0.2">
      <c r="B812" t="str">
        <v>Meyer, Mr. August</v>
      </c>
      <c r="C812">
        <v>39</v>
      </c>
      <c r="D812" t="str">
        <v>Hombre</v>
      </c>
      <c r="E812">
        <v>0</v>
      </c>
    </row>
    <row r="813" spans="2:5" x14ac:dyDescent="0.2">
      <c r="B813" t="str">
        <v>Chambers, Mrs. Norman Campbell (Bertha Griggs)</v>
      </c>
      <c r="C813">
        <v>33</v>
      </c>
      <c r="D813" t="str">
        <v>Mujer</v>
      </c>
      <c r="E813">
        <v>1</v>
      </c>
    </row>
    <row r="814" spans="2:5" x14ac:dyDescent="0.2">
      <c r="B814" t="str">
        <v>Alexander, Mr. William</v>
      </c>
      <c r="C814">
        <v>26</v>
      </c>
      <c r="D814" t="str">
        <v>Hombre</v>
      </c>
      <c r="E814">
        <v>0</v>
      </c>
    </row>
    <row r="815" spans="2:5" x14ac:dyDescent="0.2">
      <c r="B815" t="str">
        <v>Lester, Mr. James</v>
      </c>
      <c r="C815">
        <v>39</v>
      </c>
      <c r="D815" t="str">
        <v>Hombre</v>
      </c>
      <c r="E815">
        <v>0</v>
      </c>
    </row>
    <row r="816" spans="2:5" x14ac:dyDescent="0.2">
      <c r="B816" t="str">
        <v>Slemen, Mr. Richard James</v>
      </c>
      <c r="C816">
        <v>35</v>
      </c>
      <c r="D816" t="str">
        <v>Hombre</v>
      </c>
      <c r="E816">
        <v>0</v>
      </c>
    </row>
    <row r="817" spans="2:5" x14ac:dyDescent="0.2">
      <c r="B817" t="str">
        <v>Andersson, Miss. Ebba Iris Alfrida</v>
      </c>
      <c r="C817">
        <v>6</v>
      </c>
      <c r="D817" t="str">
        <v>Mujer</v>
      </c>
      <c r="E817">
        <v>0</v>
      </c>
    </row>
    <row r="818" spans="2:5" x14ac:dyDescent="0.2">
      <c r="B818" t="str">
        <v>Tomlin, Mr. Ernest Portage</v>
      </c>
      <c r="C818">
        <v>305</v>
      </c>
      <c r="D818" t="str">
        <v>Hombre</v>
      </c>
      <c r="E818">
        <v>0</v>
      </c>
    </row>
    <row r="819" spans="2:5" x14ac:dyDescent="0.2">
      <c r="B819" t="str">
        <v>Fry, Mr. Richard</v>
      </c>
      <c r="C819">
        <v>0</v>
      </c>
      <c r="D819" t="str">
        <v>Hombre</v>
      </c>
      <c r="E819">
        <v>0</v>
      </c>
    </row>
    <row r="820" spans="2:5" x14ac:dyDescent="0.2">
      <c r="B820" t="str">
        <v>Heininen, Miss. Wendla Maria</v>
      </c>
      <c r="C820">
        <v>23</v>
      </c>
      <c r="D820" t="str">
        <v>Mujer</v>
      </c>
      <c r="E820">
        <v>0</v>
      </c>
    </row>
    <row r="821" spans="2:5" x14ac:dyDescent="0.2">
      <c r="B821" t="str">
        <v>Mallet, Mr. Albert</v>
      </c>
      <c r="C821">
        <v>31</v>
      </c>
      <c r="D821" t="str">
        <v>Hombre</v>
      </c>
      <c r="E821">
        <v>0</v>
      </c>
    </row>
    <row r="822" spans="2:5" x14ac:dyDescent="0.2">
      <c r="B822" t="str">
        <v>Holm, Mr. John Fredrik Alexander</v>
      </c>
      <c r="C822">
        <v>43</v>
      </c>
      <c r="D822" t="str">
        <v>Hombre</v>
      </c>
      <c r="E822">
        <v>0</v>
      </c>
    </row>
    <row r="823" spans="2:5" x14ac:dyDescent="0.2">
      <c r="B823" t="str">
        <v>Skoog, Master. Karl Thorsten</v>
      </c>
      <c r="C823">
        <v>10</v>
      </c>
      <c r="D823" t="str">
        <v>Hombre</v>
      </c>
      <c r="E823">
        <v>0</v>
      </c>
    </row>
    <row r="824" spans="2:5" x14ac:dyDescent="0.2">
      <c r="B824" t="str">
        <v>Hays, Mrs. Charles Melville (Clara Jennings Gregg)</v>
      </c>
      <c r="C824">
        <v>52</v>
      </c>
      <c r="D824" t="str">
        <v>Mujer</v>
      </c>
      <c r="E824">
        <v>1</v>
      </c>
    </row>
    <row r="825" spans="2:5" x14ac:dyDescent="0.2">
      <c r="B825" t="str">
        <v>Lulic, Mr. Nikola</v>
      </c>
      <c r="C825">
        <v>27</v>
      </c>
      <c r="D825" t="str">
        <v>Hombre</v>
      </c>
      <c r="E825">
        <v>1</v>
      </c>
    </row>
    <row r="826" spans="2:5" x14ac:dyDescent="0.2">
      <c r="B826" t="str">
        <v>Reuchlin, Jonkheer. John George</v>
      </c>
      <c r="C826">
        <v>38</v>
      </c>
      <c r="D826" t="str">
        <v>Hombre</v>
      </c>
      <c r="E826">
        <v>0</v>
      </c>
    </row>
    <row r="827" spans="2:5" x14ac:dyDescent="0.2">
      <c r="B827" t="str">
        <v>Moor, Mrs. (Beila)</v>
      </c>
      <c r="C827">
        <v>27</v>
      </c>
      <c r="D827" t="str">
        <v>Mujer</v>
      </c>
      <c r="E827">
        <v>1</v>
      </c>
    </row>
    <row r="828" spans="2:5" x14ac:dyDescent="0.2">
      <c r="B828" t="str">
        <v>Panula, Master. Urho Abraham</v>
      </c>
      <c r="C828">
        <v>2</v>
      </c>
      <c r="D828" t="str">
        <v>Hombre</v>
      </c>
      <c r="E828">
        <v>0</v>
      </c>
    </row>
    <row r="829" spans="2:5" x14ac:dyDescent="0.2">
      <c r="B829" t="str">
        <v>Flynn, Mr. John</v>
      </c>
      <c r="C829">
        <v>0</v>
      </c>
      <c r="D829" t="str">
        <v>Hombre</v>
      </c>
      <c r="E829">
        <v>0</v>
      </c>
    </row>
    <row r="830" spans="2:5" x14ac:dyDescent="0.2">
      <c r="B830" t="str">
        <v>Lam, Mr. Len</v>
      </c>
      <c r="C830">
        <v>0</v>
      </c>
      <c r="D830" t="str">
        <v>Hombre</v>
      </c>
      <c r="E830">
        <v>0</v>
      </c>
    </row>
    <row r="831" spans="2:5" x14ac:dyDescent="0.2">
      <c r="B831" t="str">
        <v>Mallet, Master. Andre</v>
      </c>
      <c r="C831">
        <v>1</v>
      </c>
      <c r="D831" t="str">
        <v>Hombre</v>
      </c>
      <c r="E831">
        <v>1</v>
      </c>
    </row>
    <row r="832" spans="2:5" x14ac:dyDescent="0.2">
      <c r="B832" t="str">
        <v>McCormack, Mr. Thomas Joseph</v>
      </c>
      <c r="C832">
        <v>0</v>
      </c>
      <c r="D832" t="str">
        <v>Hombre</v>
      </c>
      <c r="E832">
        <v>1</v>
      </c>
    </row>
    <row r="833" spans="2:5" x14ac:dyDescent="0.2">
      <c r="B833" t="str">
        <v>Stone, Mrs. George Nelson (Martha Evelyn)</v>
      </c>
      <c r="C833">
        <v>62</v>
      </c>
      <c r="D833" t="str">
        <v>Mujer</v>
      </c>
      <c r="E833">
        <v>1</v>
      </c>
    </row>
    <row r="834" spans="2:5" x14ac:dyDescent="0.2">
      <c r="B834" t="str">
        <v>Yasbeck, Mrs. Antoni (Selini Alexander)</v>
      </c>
      <c r="C834">
        <v>15</v>
      </c>
      <c r="D834" t="str">
        <v>Mujer</v>
      </c>
      <c r="E834">
        <v>1</v>
      </c>
    </row>
    <row r="835" spans="2:5" x14ac:dyDescent="0.2">
      <c r="B835" t="str">
        <v>Richards, Master. George Sibley</v>
      </c>
      <c r="C835">
        <v>83</v>
      </c>
      <c r="D835" t="str">
        <v>Hombre</v>
      </c>
      <c r="E835">
        <v>1</v>
      </c>
    </row>
    <row r="836" spans="2:5" x14ac:dyDescent="0.2">
      <c r="B836" t="str">
        <v>Saad, Mr. Amin</v>
      </c>
      <c r="C836">
        <v>0</v>
      </c>
      <c r="D836" t="str">
        <v>Hombre</v>
      </c>
      <c r="E836">
        <v>0</v>
      </c>
    </row>
    <row r="837" spans="2:5" x14ac:dyDescent="0.2">
      <c r="B837" t="str">
        <v>Augustsson, Mr. Albert</v>
      </c>
      <c r="C837">
        <v>23</v>
      </c>
      <c r="D837" t="str">
        <v>Hombre</v>
      </c>
      <c r="E837">
        <v>0</v>
      </c>
    </row>
    <row r="838" spans="2:5" x14ac:dyDescent="0.2">
      <c r="B838" t="str">
        <v>Allum, Mr. Owen George</v>
      </c>
      <c r="C838">
        <v>18</v>
      </c>
      <c r="D838" t="str">
        <v>Hombre</v>
      </c>
      <c r="E838">
        <v>0</v>
      </c>
    </row>
    <row r="839" spans="2:5" x14ac:dyDescent="0.2">
      <c r="B839" t="str">
        <v>Compton, Miss. Sara Rebecca</v>
      </c>
      <c r="C839">
        <v>39</v>
      </c>
      <c r="D839" t="str">
        <v>Mujer</v>
      </c>
      <c r="E839">
        <v>1</v>
      </c>
    </row>
    <row r="840" spans="2:5" x14ac:dyDescent="0.2">
      <c r="B840" t="str">
        <v>Pasic, Mr. Jakob</v>
      </c>
      <c r="C840">
        <v>21</v>
      </c>
      <c r="D840" t="str">
        <v>Hombre</v>
      </c>
      <c r="E840">
        <v>0</v>
      </c>
    </row>
    <row r="841" spans="2:5" x14ac:dyDescent="0.2">
      <c r="B841" t="str">
        <v>Sirota, Mr. Maurice</v>
      </c>
      <c r="C841">
        <v>0</v>
      </c>
      <c r="D841" t="str">
        <v>Hombre</v>
      </c>
      <c r="E841">
        <v>0</v>
      </c>
    </row>
    <row r="842" spans="2:5" x14ac:dyDescent="0.2">
      <c r="B842" t="str">
        <v>Chip, Mr. Chang</v>
      </c>
      <c r="C842">
        <v>32</v>
      </c>
      <c r="D842" t="str">
        <v>Hombre</v>
      </c>
      <c r="E842">
        <v>1</v>
      </c>
    </row>
    <row r="843" spans="2:5" x14ac:dyDescent="0.2">
      <c r="B843" t="str">
        <v>Marechal, Mr. Pierre</v>
      </c>
      <c r="C843">
        <v>0</v>
      </c>
      <c r="D843" t="str">
        <v>Hombre</v>
      </c>
      <c r="E843">
        <v>1</v>
      </c>
    </row>
    <row r="844" spans="2:5" x14ac:dyDescent="0.2">
      <c r="B844" t="str">
        <v>Alhomaki, Mr. Ilmari Rudolf</v>
      </c>
      <c r="C844">
        <v>20</v>
      </c>
      <c r="D844" t="str">
        <v>Hombre</v>
      </c>
      <c r="E844">
        <v>0</v>
      </c>
    </row>
    <row r="845" spans="2:5" x14ac:dyDescent="0.2">
      <c r="B845" t="str">
        <v>Mudd, Mr. Thomas Charles</v>
      </c>
      <c r="C845">
        <v>16</v>
      </c>
      <c r="D845" t="str">
        <v>Hombre</v>
      </c>
      <c r="E845">
        <v>0</v>
      </c>
    </row>
    <row r="846" spans="2:5" x14ac:dyDescent="0.2">
      <c r="B846" t="str">
        <v>Serepeca, Miss. Augusta</v>
      </c>
      <c r="C846">
        <v>30</v>
      </c>
      <c r="D846" t="str">
        <v>Mujer</v>
      </c>
      <c r="E846">
        <v>1</v>
      </c>
    </row>
    <row r="847" spans="2:5" x14ac:dyDescent="0.2">
      <c r="B847" t="str">
        <v>Lemberopolous, Mr. Peter L</v>
      </c>
      <c r="C847">
        <v>345</v>
      </c>
      <c r="D847" t="str">
        <v>Hombre</v>
      </c>
      <c r="E847">
        <v>0</v>
      </c>
    </row>
    <row r="848" spans="2:5" x14ac:dyDescent="0.2">
      <c r="B848" t="str">
        <v>Culumovic, Mr. Jeso</v>
      </c>
      <c r="C848">
        <v>17</v>
      </c>
      <c r="D848" t="str">
        <v>Hombre</v>
      </c>
      <c r="E848">
        <v>0</v>
      </c>
    </row>
    <row r="849" spans="2:5" x14ac:dyDescent="0.2">
      <c r="B849" t="str">
        <v>Abbing, Mr. Anthony</v>
      </c>
      <c r="C849">
        <v>42</v>
      </c>
      <c r="D849" t="str">
        <v>Hombre</v>
      </c>
      <c r="E849">
        <v>0</v>
      </c>
    </row>
    <row r="850" spans="2:5" x14ac:dyDescent="0.2">
      <c r="B850" t="str">
        <v>Sage, Mr. Douglas Bullen</v>
      </c>
      <c r="C850">
        <v>0</v>
      </c>
      <c r="D850" t="str">
        <v>Hombre</v>
      </c>
      <c r="E850">
        <v>0</v>
      </c>
    </row>
    <row r="851" spans="2:5" x14ac:dyDescent="0.2">
      <c r="B851" t="str">
        <v>Markoff, Mr. Marin</v>
      </c>
      <c r="C851">
        <v>35</v>
      </c>
      <c r="D851" t="str">
        <v>Hombre</v>
      </c>
      <c r="E851">
        <v>0</v>
      </c>
    </row>
    <row r="852" spans="2:5" x14ac:dyDescent="0.2">
      <c r="B852" t="str">
        <v>Harper, Rev. John</v>
      </c>
      <c r="C852">
        <v>28</v>
      </c>
      <c r="D852" t="str">
        <v>Hombre</v>
      </c>
      <c r="E852">
        <v>0</v>
      </c>
    </row>
    <row r="853" spans="2:5" x14ac:dyDescent="0.2">
      <c r="B853" t="str">
        <v>Goldenberg, Mrs. Samuel L (Edwiga Grabowska)</v>
      </c>
      <c r="C853">
        <v>0</v>
      </c>
      <c r="D853" t="str">
        <v>Mujer</v>
      </c>
      <c r="E853">
        <v>1</v>
      </c>
    </row>
    <row r="854" spans="2:5" x14ac:dyDescent="0.2">
      <c r="B854" t="str">
        <v>Andersson, Master. Sigvard Harald Elias</v>
      </c>
      <c r="C854">
        <v>4</v>
      </c>
      <c r="D854" t="str">
        <v>Hombre</v>
      </c>
      <c r="E854">
        <v>0</v>
      </c>
    </row>
    <row r="855" spans="2:5" x14ac:dyDescent="0.2">
      <c r="B855" t="str">
        <v>Svensson, Mr. Johan</v>
      </c>
      <c r="C855">
        <v>74</v>
      </c>
      <c r="D855" t="str">
        <v>Hombre</v>
      </c>
      <c r="E855">
        <v>0</v>
      </c>
    </row>
    <row r="856" spans="2:5" x14ac:dyDescent="0.2">
      <c r="B856" t="str">
        <v>Boulos, Miss. Nourelain</v>
      </c>
      <c r="C856">
        <v>9</v>
      </c>
      <c r="D856" t="str">
        <v>Mujer</v>
      </c>
      <c r="E856">
        <v>0</v>
      </c>
    </row>
    <row r="857" spans="2:5" x14ac:dyDescent="0.2">
      <c r="B857" t="str">
        <v>Lines, Miss. Mary Conover</v>
      </c>
      <c r="C857">
        <v>16</v>
      </c>
      <c r="D857" t="str">
        <v>Mujer</v>
      </c>
      <c r="E857">
        <v>1</v>
      </c>
    </row>
    <row r="858" spans="2:5" x14ac:dyDescent="0.2">
      <c r="B858" t="str">
        <v>Carter, Mrs. Ernest Courtenay (Lilian Hughes)</v>
      </c>
      <c r="C858">
        <v>44</v>
      </c>
      <c r="D858" t="str">
        <v>Mujer</v>
      </c>
      <c r="E858">
        <v>0</v>
      </c>
    </row>
    <row r="859" spans="2:5" x14ac:dyDescent="0.2">
      <c r="B859" t="str">
        <v>Aks, Mrs. Sam (Leah Rosen)</v>
      </c>
      <c r="C859">
        <v>18</v>
      </c>
      <c r="D859" t="str">
        <v>Mujer</v>
      </c>
      <c r="E859">
        <v>1</v>
      </c>
    </row>
    <row r="860" spans="2:5" x14ac:dyDescent="0.2">
      <c r="B860" t="str">
        <v>Wick, Mrs. George Dennick (Mary Hitchcock)</v>
      </c>
      <c r="C860">
        <v>45</v>
      </c>
      <c r="D860" t="str">
        <v>Mujer</v>
      </c>
      <c r="E860">
        <v>1</v>
      </c>
    </row>
    <row r="861" spans="2:5" x14ac:dyDescent="0.2">
      <c r="B861" t="str">
        <v>Daly, Mr. Peter Denis </v>
      </c>
      <c r="C861">
        <v>51</v>
      </c>
      <c r="D861" t="str">
        <v>Hombre</v>
      </c>
      <c r="E861">
        <v>1</v>
      </c>
    </row>
    <row r="862" spans="2:5" x14ac:dyDescent="0.2">
      <c r="B862" t="str">
        <v>Baclini, Mrs. Solomon (Latifa Qurban)</v>
      </c>
      <c r="C862">
        <v>24</v>
      </c>
      <c r="D862" t="str">
        <v>Mujer</v>
      </c>
      <c r="E862">
        <v>1</v>
      </c>
    </row>
    <row r="863" spans="2:5" x14ac:dyDescent="0.2">
      <c r="B863" t="str">
        <v>Razi, Mr. Raihed</v>
      </c>
      <c r="C863">
        <v>0</v>
      </c>
      <c r="D863" t="str">
        <v>Hombre</v>
      </c>
      <c r="E863">
        <v>0</v>
      </c>
    </row>
    <row r="864" spans="2:5" x14ac:dyDescent="0.2">
      <c r="B864" t="str">
        <v>Hansen, Mr. Claus Peter</v>
      </c>
      <c r="C864">
        <v>41</v>
      </c>
      <c r="D864" t="str">
        <v>Hombre</v>
      </c>
      <c r="E864">
        <v>0</v>
      </c>
    </row>
    <row r="865" spans="2:5" x14ac:dyDescent="0.2">
      <c r="B865" t="str">
        <v>Giles, Mr. Frederick Edward</v>
      </c>
      <c r="C865">
        <v>21</v>
      </c>
      <c r="D865" t="str">
        <v>Hombre</v>
      </c>
      <c r="E865">
        <v>0</v>
      </c>
    </row>
    <row r="866" spans="2:5" x14ac:dyDescent="0.2">
      <c r="B866" t="str">
        <v>Swift, Mrs. Frederick Joel (Margaret Welles Barron)</v>
      </c>
      <c r="C866">
        <v>48</v>
      </c>
      <c r="D866" t="str">
        <v>Mujer</v>
      </c>
      <c r="E866">
        <v>1</v>
      </c>
    </row>
    <row r="867" spans="2:5" x14ac:dyDescent="0.2">
      <c r="B867" t="str">
        <v>Sage, Miss. Dorothy Edith "Dolly"</v>
      </c>
      <c r="C867">
        <v>0</v>
      </c>
      <c r="D867" t="str">
        <v>Mujer</v>
      </c>
      <c r="E867">
        <v>0</v>
      </c>
    </row>
    <row r="868" spans="2:5" x14ac:dyDescent="0.2">
      <c r="B868" t="str">
        <v>Gill, Mr. John William</v>
      </c>
      <c r="C868">
        <v>24</v>
      </c>
      <c r="D868" t="str">
        <v>Hombre</v>
      </c>
      <c r="E868">
        <v>0</v>
      </c>
    </row>
    <row r="869" spans="2:5" x14ac:dyDescent="0.2">
      <c r="B869" t="str">
        <v>Bystrom, Mrs. (Karolina)</v>
      </c>
      <c r="C869">
        <v>42</v>
      </c>
      <c r="D869" t="str">
        <v>Mujer</v>
      </c>
      <c r="E869">
        <v>1</v>
      </c>
    </row>
    <row r="870" spans="2:5" x14ac:dyDescent="0.2">
      <c r="B870" t="str">
        <v>Duran y More, Miss. Asuncion</v>
      </c>
      <c r="C870">
        <v>27</v>
      </c>
      <c r="D870" t="str">
        <v>Mujer</v>
      </c>
      <c r="E870">
        <v>1</v>
      </c>
    </row>
    <row r="871" spans="2:5" x14ac:dyDescent="0.2">
      <c r="B871" t="str">
        <v>Roebling, Mr. Washington Augustus II</v>
      </c>
      <c r="C871">
        <v>31</v>
      </c>
      <c r="D871" t="str">
        <v>Hombre</v>
      </c>
      <c r="E871">
        <v>0</v>
      </c>
    </row>
    <row r="872" spans="2:5" x14ac:dyDescent="0.2">
      <c r="B872" t="str">
        <v>van Melkebeke, Mr. Philemon</v>
      </c>
      <c r="C872">
        <v>0</v>
      </c>
      <c r="D872" t="str">
        <v>Hombre</v>
      </c>
      <c r="E872">
        <v>0</v>
      </c>
    </row>
    <row r="873" spans="2:5" x14ac:dyDescent="0.2">
      <c r="B873" t="str">
        <v>Johnson, Master. Harold Theodor</v>
      </c>
      <c r="C873">
        <v>4</v>
      </c>
      <c r="D873" t="str">
        <v>Hombre</v>
      </c>
      <c r="E873">
        <v>1</v>
      </c>
    </row>
    <row r="874" spans="2:5" x14ac:dyDescent="0.2">
      <c r="B874" t="str">
        <v>Balkic, Mr. Cerin</v>
      </c>
      <c r="C874">
        <v>26</v>
      </c>
      <c r="D874" t="str">
        <v>Hombre</v>
      </c>
      <c r="E874">
        <v>0</v>
      </c>
    </row>
    <row r="875" spans="2:5" x14ac:dyDescent="0.2">
      <c r="B875" t="str">
        <v>Beckwith, Mrs. Richard Leonard (Sallie Monypeny)</v>
      </c>
      <c r="C875">
        <v>47</v>
      </c>
      <c r="D875" t="str">
        <v>Mujer</v>
      </c>
      <c r="E875">
        <v>1</v>
      </c>
    </row>
    <row r="876" spans="2:5" x14ac:dyDescent="0.2">
      <c r="B876" t="str">
        <v>Carlsson, Mr. Frans Olof</v>
      </c>
      <c r="C876">
        <v>33</v>
      </c>
      <c r="D876" t="str">
        <v>Hombre</v>
      </c>
      <c r="E876">
        <v>0</v>
      </c>
    </row>
    <row r="877" spans="2:5" x14ac:dyDescent="0.2">
      <c r="B877" t="str">
        <v>Vander Cruyssen, Mr. Victor</v>
      </c>
      <c r="C877">
        <v>47</v>
      </c>
      <c r="D877" t="str">
        <v>Hombre</v>
      </c>
      <c r="E877">
        <v>0</v>
      </c>
    </row>
    <row r="878" spans="2:5" x14ac:dyDescent="0.2">
      <c r="B878" t="str">
        <v>Abelson, Mrs. Samuel (Hannah Wizosky)</v>
      </c>
      <c r="C878">
        <v>28</v>
      </c>
      <c r="D878" t="str">
        <v>Mujer</v>
      </c>
      <c r="E878">
        <v>1</v>
      </c>
    </row>
    <row r="879" spans="2:5" x14ac:dyDescent="0.2">
      <c r="B879" t="str">
        <v>Najib, Miss. Adele Kiamie "Jane"</v>
      </c>
      <c r="C879">
        <v>15</v>
      </c>
      <c r="D879" t="str">
        <v>Mujer</v>
      </c>
      <c r="E879">
        <v>1</v>
      </c>
    </row>
    <row r="880" spans="2:5" x14ac:dyDescent="0.2">
      <c r="B880" t="str">
        <v>Gustafsson, Mr. Alfred Ossian</v>
      </c>
      <c r="C880">
        <v>20</v>
      </c>
      <c r="D880" t="str">
        <v>Hombre</v>
      </c>
      <c r="E880">
        <v>0</v>
      </c>
    </row>
    <row r="881" spans="2:5" x14ac:dyDescent="0.2">
      <c r="B881" t="str">
        <v>Petroff, Mr. Nedelio</v>
      </c>
      <c r="C881">
        <v>19</v>
      </c>
      <c r="D881" t="str">
        <v>Hombre</v>
      </c>
      <c r="E881">
        <v>0</v>
      </c>
    </row>
    <row r="882" spans="2:5" x14ac:dyDescent="0.2">
      <c r="B882" t="str">
        <v>Laleff, Mr. Kristo</v>
      </c>
      <c r="C882">
        <v>0</v>
      </c>
      <c r="D882" t="str">
        <v>Hombre</v>
      </c>
      <c r="E882">
        <v>0</v>
      </c>
    </row>
    <row r="883" spans="2:5" x14ac:dyDescent="0.2">
      <c r="B883" t="str">
        <v>Potter, Mrs. Thomas Jr (Lily Alexenia Wilson)</v>
      </c>
      <c r="C883">
        <v>56</v>
      </c>
      <c r="D883" t="str">
        <v>Mujer</v>
      </c>
      <c r="E883">
        <v>1</v>
      </c>
    </row>
    <row r="884" spans="2:5" x14ac:dyDescent="0.2">
      <c r="B884" t="str">
        <v>Shelley, Mrs. William (Imanita Parrish Hall)</v>
      </c>
      <c r="C884">
        <v>25</v>
      </c>
      <c r="D884" t="str">
        <v>Mujer</v>
      </c>
      <c r="E884">
        <v>1</v>
      </c>
    </row>
    <row r="885" spans="2:5" x14ac:dyDescent="0.2">
      <c r="B885" t="str">
        <v>Markun, Mr. Johann</v>
      </c>
      <c r="C885">
        <v>33</v>
      </c>
      <c r="D885" t="str">
        <v>Hombre</v>
      </c>
      <c r="E885">
        <v>0</v>
      </c>
    </row>
    <row r="886" spans="2:5" x14ac:dyDescent="0.2">
      <c r="B886" t="str">
        <v>Dahlberg, Miss. Gerda Ulrika</v>
      </c>
      <c r="C886">
        <v>22</v>
      </c>
      <c r="D886" t="str">
        <v>Mujer</v>
      </c>
      <c r="E886">
        <v>0</v>
      </c>
    </row>
    <row r="887" spans="2:5" x14ac:dyDescent="0.2">
      <c r="B887" t="str">
        <v>Banfield, Mr. Frederick James</v>
      </c>
      <c r="C887">
        <v>28</v>
      </c>
      <c r="D887" t="str">
        <v>Hombre</v>
      </c>
      <c r="E887">
        <v>0</v>
      </c>
    </row>
    <row r="888" spans="2:5" x14ac:dyDescent="0.2">
      <c r="B888" t="str">
        <v>Sutehall, Mr. Henry Jr</v>
      </c>
      <c r="C888">
        <v>25</v>
      </c>
      <c r="D888" t="str">
        <v>Hombre</v>
      </c>
      <c r="E888">
        <v>0</v>
      </c>
    </row>
    <row r="889" spans="2:5" x14ac:dyDescent="0.2">
      <c r="B889" t="str">
        <v>Rice, Mrs. William (Margaret Norton)</v>
      </c>
      <c r="C889">
        <v>39</v>
      </c>
      <c r="D889" t="str">
        <v>Mujer</v>
      </c>
      <c r="E889">
        <v>0</v>
      </c>
    </row>
    <row r="890" spans="2:5" x14ac:dyDescent="0.2">
      <c r="B890" t="str">
        <v>Montvila, Rev. Juozas</v>
      </c>
      <c r="C890">
        <v>27</v>
      </c>
      <c r="D890" t="str">
        <v>Hombre</v>
      </c>
      <c r="E890">
        <v>0</v>
      </c>
    </row>
    <row r="891" spans="2:5" x14ac:dyDescent="0.2">
      <c r="B891" t="str">
        <v>Graham, Miss. Margaret Edith</v>
      </c>
      <c r="C891">
        <v>19</v>
      </c>
      <c r="D891" t="str">
        <v>Mujer</v>
      </c>
      <c r="E891">
        <v>1</v>
      </c>
    </row>
    <row r="892" spans="2:5" x14ac:dyDescent="0.2">
      <c r="B892" t="str">
        <v>Johnston, Miss. Catherine Helen "Carrie"</v>
      </c>
      <c r="C892">
        <v>0</v>
      </c>
      <c r="D892" t="str">
        <v>Mujer</v>
      </c>
      <c r="E892">
        <v>0</v>
      </c>
    </row>
    <row r="893" spans="2:5" x14ac:dyDescent="0.2">
      <c r="B893" t="str">
        <v>Behr, Mr. Karl Howell</v>
      </c>
      <c r="C893">
        <v>26</v>
      </c>
      <c r="D893" t="str">
        <v>Hombre</v>
      </c>
      <c r="E893">
        <v>1</v>
      </c>
    </row>
    <row r="894" spans="2:5" x14ac:dyDescent="0.2">
      <c r="B894" t="str">
        <v>Dooley, Mr. Patrick</v>
      </c>
      <c r="C894">
        <v>32</v>
      </c>
      <c r="D894" t="str">
        <v>Hombre</v>
      </c>
      <c r="E8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Hoja7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2026-06-16T23:10:23Z</dcterms:created>
  <dcterms:modified xsi:type="dcterms:W3CDTF">2026-06-17T01:02:41Z</dcterms:modified>
</cp:coreProperties>
</file>