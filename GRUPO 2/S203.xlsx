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Ex2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gonnomada/Desktop/GitHub/scotiabank-excel-dashboards-2026/GRUPO 2/"/>
    </mc:Choice>
  </mc:AlternateContent>
  <xr:revisionPtr revIDLastSave="0" documentId="13_ncr:1_{FAFB3415-FB9C-3447-919F-1122C0F9AC44}" xr6:coauthVersionLast="47" xr6:coauthVersionMax="47" xr10:uidLastSave="{00000000-0000-0000-0000-000000000000}"/>
  <bookViews>
    <workbookView xWindow="0" yWindow="0" windowWidth="38400" windowHeight="21600" activeTab="1" xr2:uid="{96FFD785-E8FA-404B-BD78-7CE178EF2DC9}"/>
  </bookViews>
  <sheets>
    <sheet name="ESTADÍSTICA DESCRIPTIVA" sheetId="1" r:id="rId1"/>
    <sheet name="ANÁLISIS DE TENDENCIA TEMPORAL" sheetId="2" r:id="rId2"/>
  </sheets>
  <definedNames>
    <definedName name="_xlchart.v1.0" hidden="1">'ESTADÍSTICA DESCRIPTIVA'!$C$7:$C$19</definedName>
    <definedName name="_xlchart.v1.1" hidden="1">'ESTADÍSTICA DESCRIPTIVA'!$C$7:$C$19</definedName>
    <definedName name="_xlchart.v1.10" hidden="1">'ANÁLISIS DE TENDENCIA TEMPORAL'!$D$7:$D$19</definedName>
    <definedName name="_xlchart.v1.11" hidden="1">'ANÁLISIS DE TENDENCIA TEMPORAL'!$C$7:$C$19</definedName>
    <definedName name="_xlchart.v1.12" hidden="1">'ANÁLISIS DE TENDENCIA TEMPORAL'!$D$6</definedName>
    <definedName name="_xlchart.v1.13" hidden="1">'ANÁLISIS DE TENDENCIA TEMPORAL'!$D$7:$D$19</definedName>
    <definedName name="_xlchart.v1.14" hidden="1">'ANÁLISIS DE TENDENCIA TEMPORAL'!$C$7:$C$19</definedName>
    <definedName name="_xlchart.v1.15" hidden="1">'ANÁLISIS DE TENDENCIA TEMPORAL'!$D$6</definedName>
    <definedName name="_xlchart.v1.16" hidden="1">'ANÁLISIS DE TENDENCIA TEMPORAL'!$D$7:$D$19</definedName>
    <definedName name="_xlchart.v1.17" hidden="1">'ANÁLISIS DE TENDENCIA TEMPORAL'!$C$7:$C$19</definedName>
    <definedName name="_xlchart.v1.18" hidden="1">'ANÁLISIS DE TENDENCIA TEMPORAL'!$D$6</definedName>
    <definedName name="_xlchart.v1.19" hidden="1">'ANÁLISIS DE TENDENCIA TEMPORAL'!$D$7:$D$19</definedName>
    <definedName name="_xlchart.v1.2" hidden="1">'ESTADÍSTICA DESCRIPTIVA'!$C$7:$C$19</definedName>
    <definedName name="_xlchart.v1.20" hidden="1">'ANÁLISIS DE TENDENCIA TEMPORAL'!$C$7:$C$19</definedName>
    <definedName name="_xlchart.v1.21" hidden="1">'ANÁLISIS DE TENDENCIA TEMPORAL'!$D$6</definedName>
    <definedName name="_xlchart.v1.22" hidden="1">'ANÁLISIS DE TENDENCIA TEMPORAL'!$D$7:$D$19</definedName>
    <definedName name="_xlchart.v1.23" hidden="1">'ANÁLISIS DE TENDENCIA TEMPORAL'!$C$7:$C$19</definedName>
    <definedName name="_xlchart.v1.24" hidden="1">'ANÁLISIS DE TENDENCIA TEMPORAL'!$D$6</definedName>
    <definedName name="_xlchart.v1.25" hidden="1">'ANÁLISIS DE TENDENCIA TEMPORAL'!$D$7:$D$19</definedName>
    <definedName name="_xlchart.v1.26" hidden="1">'ANÁLISIS DE TENDENCIA TEMPORAL'!$C$7:$C$19</definedName>
    <definedName name="_xlchart.v1.27" hidden="1">'ANÁLISIS DE TENDENCIA TEMPORAL'!$D$6</definedName>
    <definedName name="_xlchart.v1.28" hidden="1">'ANÁLISIS DE TENDENCIA TEMPORAL'!$D$7:$D$19</definedName>
    <definedName name="_xlchart.v1.3" hidden="1">'ESTADÍSTICA DESCRIPTIVA'!$C$6</definedName>
    <definedName name="_xlchart.v1.4" hidden="1">'ESTADÍSTICA DESCRIPTIVA'!$C$7:$C$19</definedName>
    <definedName name="_xlchart.v1.5" hidden="1">'ANÁLISIS DE TENDENCIA TEMPORAL'!$C$7:$C$19</definedName>
    <definedName name="_xlchart.v1.6" hidden="1">'ANÁLISIS DE TENDENCIA TEMPORAL'!$D$6</definedName>
    <definedName name="_xlchart.v1.7" hidden="1">'ANÁLISIS DE TENDENCIA TEMPORAL'!$D$7:$D$19</definedName>
    <definedName name="_xlchart.v1.8" hidden="1">'ANÁLISIS DE TENDENCIA TEMPORAL'!$C$7:$C$19</definedName>
    <definedName name="_xlchart.v1.9" hidden="1">'ANÁLISIS DE TENDENCIA TEMPORAL'!$D$6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8" i="2" l="1"/>
  <c r="M37" i="2"/>
  <c r="M36" i="2"/>
  <c r="F8" i="2"/>
  <c r="F9" i="2"/>
  <c r="F10" i="2"/>
  <c r="F11" i="2"/>
  <c r="F12" i="2"/>
  <c r="F13" i="2"/>
  <c r="F14" i="2"/>
  <c r="F15" i="2"/>
  <c r="F16" i="2"/>
  <c r="F17" i="2"/>
  <c r="F18" i="2"/>
  <c r="F19" i="2"/>
  <c r="F7" i="2"/>
  <c r="E12" i="2" a="1"/>
  <c r="E12" i="2" s="1"/>
  <c r="E13" i="2" a="1"/>
  <c r="E13" i="2"/>
  <c r="E14" i="2" a="1"/>
  <c r="E14" i="2" s="1"/>
  <c r="E15" i="2" a="1"/>
  <c r="E15" i="2" s="1"/>
  <c r="E16" i="2" a="1"/>
  <c r="E16" i="2" s="1"/>
  <c r="E17" i="2" a="1"/>
  <c r="E17" i="2" s="1"/>
  <c r="E18" i="2" a="1"/>
  <c r="E18" i="2" s="1"/>
  <c r="E19" i="2" a="1"/>
  <c r="E19" i="2" s="1"/>
  <c r="E9" i="2" a="1"/>
  <c r="E9" i="2" s="1"/>
  <c r="E10" i="2" a="1"/>
  <c r="E10" i="2" s="1"/>
  <c r="E11" i="2" a="1"/>
  <c r="E11" i="2" s="1"/>
  <c r="E8" i="2" a="1"/>
  <c r="E8" i="2" s="1"/>
  <c r="E7" i="2" a="1"/>
  <c r="E7" i="2" s="1"/>
  <c r="F29" i="2" a="1"/>
  <c r="F29" i="2" s="1"/>
  <c r="E29" i="2" a="1"/>
  <c r="E29" i="2" s="1"/>
  <c r="H25" i="2"/>
  <c r="F25" i="2"/>
  <c r="C25" i="2" a="1"/>
  <c r="C25" i="2" s="1"/>
  <c r="E21" i="2"/>
  <c r="J82" i="1"/>
  <c r="J83" i="1"/>
  <c r="J84" i="1"/>
  <c r="J85" i="1"/>
  <c r="J81" i="1"/>
  <c r="I82" i="1"/>
  <c r="I83" i="1"/>
  <c r="I84" i="1"/>
  <c r="I85" i="1"/>
  <c r="I81" i="1"/>
  <c r="I61" i="1"/>
  <c r="I62" i="1"/>
  <c r="I63" i="1"/>
  <c r="I64" i="1"/>
  <c r="I65" i="1"/>
  <c r="I66" i="1"/>
  <c r="N66" i="1" s="1"/>
  <c r="I67" i="1"/>
  <c r="I68" i="1"/>
  <c r="I69" i="1"/>
  <c r="I60" i="1"/>
  <c r="I59" i="1"/>
  <c r="I53" i="1"/>
  <c r="I54" i="1"/>
  <c r="I55" i="1"/>
  <c r="N55" i="1" s="1"/>
  <c r="I56" i="1"/>
  <c r="I57" i="1"/>
  <c r="I52" i="1"/>
  <c r="I47" i="1"/>
  <c r="I48" i="1"/>
  <c r="I49" i="1"/>
  <c r="I50" i="1"/>
  <c r="I46" i="1"/>
  <c r="I13" i="1"/>
  <c r="I12" i="1"/>
  <c r="L26" i="1" s="1"/>
  <c r="I11" i="1"/>
  <c r="I10" i="1"/>
  <c r="N60" i="1" l="1"/>
  <c r="N54" i="1"/>
  <c r="N65" i="1"/>
  <c r="N56" i="1"/>
  <c r="N67" i="1"/>
  <c r="N64" i="1"/>
  <c r="N63" i="1"/>
  <c r="N46" i="1"/>
  <c r="N53" i="1"/>
  <c r="N59" i="1"/>
  <c r="N62" i="1"/>
  <c r="N52" i="1"/>
  <c r="N61" i="1"/>
  <c r="N49" i="1"/>
  <c r="N48" i="1"/>
  <c r="N47" i="1"/>
  <c r="N68" i="1"/>
  <c r="M26" i="1"/>
  <c r="K26" i="1"/>
  <c r="O26" i="1" s="1" a="1"/>
  <c r="O26" i="1" s="1"/>
  <c r="L25" i="1"/>
  <c r="L27" i="1"/>
  <c r="M27" i="1" l="1"/>
  <c r="K27" i="1"/>
  <c r="O27" i="1" s="1" a="1"/>
  <c r="O27" i="1" s="1"/>
  <c r="K25" i="1"/>
  <c r="M25" i="1"/>
  <c r="O25" i="1" l="1" a="1"/>
  <c r="O2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<sst xmlns="http://schemas.openxmlformats.org/spreadsheetml/2006/main" count="174" uniqueCount="128">
  <si>
    <t>ANÁLISIS SIN TENDENCIA</t>
  </si>
  <si>
    <t>ESTADÍSTICA DESCRIPTIVA INDIVIDUAL</t>
  </si>
  <si>
    <t>X</t>
  </si>
  <si>
    <t>Pago</t>
  </si>
  <si>
    <t>Cantidad</t>
  </si>
  <si>
    <t>Días</t>
  </si>
  <si>
    <t>INDICADOR DIFERENCIAS</t>
  </si>
  <si>
    <t>Total Pagado</t>
  </si>
  <si>
    <t>INDICADOR PROPORCIONES</t>
  </si>
  <si>
    <t>INDICADORES ACUMULADOS</t>
  </si>
  <si>
    <t>INDICADORES DE PROMEDIOS / VENTANA</t>
  </si>
  <si>
    <t>ESTADÍSTICA</t>
  </si>
  <si>
    <t>AGREGACIÓN</t>
  </si>
  <si>
    <t>DESCRIPCIÓN</t>
  </si>
  <si>
    <t>TOTAL</t>
  </si>
  <si>
    <t>RECUENTO / CONTAR</t>
  </si>
  <si>
    <t>NÚMERO DE DATOS OBSERVADOS</t>
  </si>
  <si>
    <t>SUMA</t>
  </si>
  <si>
    <t>ACUMULADO TOTAL / VOLUMEN DE DATOS</t>
  </si>
  <si>
    <t>X - PAGOS RECIBIDOS</t>
  </si>
  <si>
    <t>MEDIA</t>
  </si>
  <si>
    <t>PROMEDIO</t>
  </si>
  <si>
    <t>BALANCE / DATO UNIFORME IDEAL</t>
  </si>
  <si>
    <t>DESVIACIÓN</t>
  </si>
  <si>
    <t>DESVEST.M / DESVEST.P</t>
  </si>
  <si>
    <t>CUÁNTAS VECES SE ALEJA UN DATO DE LA MEDIA</t>
  </si>
  <si>
    <t>(EN UNA POBLACIÓN NORMAL)</t>
  </si>
  <si>
    <t>POBLACIÓN NORMAL ES UNA CAMPANA EN SU DISTRIBUCIÓN</t>
  </si>
  <si>
    <t>SUPONE QUE TODOS DATOS ESTÁN CERCA DEL VALOR DE LA MEDIA / PROMEDIO</t>
  </si>
  <si>
    <t>Y SE ALEJAN CON CADA VEZ MENOS PROBABILIDAD DE FORMA INVERSA A UNA EXPONENCIAL</t>
  </si>
  <si>
    <t>INTERVALO DE CREDIBILIDAD / INTERVALOR DE COBERTURA PROBABILÍSTICA</t>
  </si>
  <si>
    <t>POBLACIÓN</t>
  </si>
  <si>
    <t>VECES</t>
  </si>
  <si>
    <t>MENOR</t>
  </si>
  <si>
    <t>MAYOR</t>
  </si>
  <si>
    <t>CONFIANZA DEL 5%</t>
  </si>
  <si>
    <t>SOPORTE</t>
  </si>
  <si>
    <t>GRUPOS AUTOMÁTICOS</t>
  </si>
  <si>
    <t>UNIFORMES POBLACIONALMENTE</t>
  </si>
  <si>
    <t>CUARTIL 1</t>
  </si>
  <si>
    <t>CUARTIL 2</t>
  </si>
  <si>
    <t>CUARTIL 3</t>
  </si>
  <si>
    <t>QUINTIL 1</t>
  </si>
  <si>
    <t>CUARTIL 0</t>
  </si>
  <si>
    <t>CUARTIL 4</t>
  </si>
  <si>
    <t>PERCENTIL</t>
  </si>
  <si>
    <t>MEDIANA</t>
  </si>
  <si>
    <t>MÍNIMO</t>
  </si>
  <si>
    <t>MÁXIMO</t>
  </si>
  <si>
    <t>GRUPO BAJO</t>
  </si>
  <si>
    <t>GRUPO MEDIO-BAJO</t>
  </si>
  <si>
    <t>GRUPO MEDIO-ALTO</t>
  </si>
  <si>
    <t>GRUPO ALTO</t>
  </si>
  <si>
    <t>QUINTIL 2</t>
  </si>
  <si>
    <t>QUINTIL 0</t>
  </si>
  <si>
    <t>QUINTIL 3</t>
  </si>
  <si>
    <t>QUINTIL 4</t>
  </si>
  <si>
    <t>QUINTIL 5</t>
  </si>
  <si>
    <t>GRUPO CENTRAL</t>
  </si>
  <si>
    <t>GRUPO SUPERIOR BAJO</t>
  </si>
  <si>
    <t>GRUPO SUPERIOR ALTO</t>
  </si>
  <si>
    <t>GRUPO INFERIOR ALTO</t>
  </si>
  <si>
    <t>GRUPO INFERIOR BAJO</t>
  </si>
  <si>
    <t>DECIL 0</t>
  </si>
  <si>
    <t>DECIL 1</t>
  </si>
  <si>
    <t>DECIL 2</t>
  </si>
  <si>
    <t>DECIL 3</t>
  </si>
  <si>
    <t>DECIL 4</t>
  </si>
  <si>
    <t>DECIL 5</t>
  </si>
  <si>
    <t>DECIL 6</t>
  </si>
  <si>
    <t>DECIL 7</t>
  </si>
  <si>
    <t>DECIL 8</t>
  </si>
  <si>
    <t>DECIL 9</t>
  </si>
  <si>
    <t>DECIL 10</t>
  </si>
  <si>
    <t>GRUPO CENTRAL ALTO</t>
  </si>
  <si>
    <t>GRUPO CENTRAL BAJO</t>
  </si>
  <si>
    <t>GRUPO SUPERIOR MEDIO</t>
  </si>
  <si>
    <t>GRUPO INFERIOR MEDIO</t>
  </si>
  <si>
    <t>GRUPO CENTRAL MEDIO-ALTO</t>
  </si>
  <si>
    <t>GRUPO CENTRAL MEDIO-BAJO</t>
  </si>
  <si>
    <t>Q1</t>
  </si>
  <si>
    <t>Q2</t>
  </si>
  <si>
    <t>PAGO</t>
  </si>
  <si>
    <t>K-ÉSIMO ORDENADO MAYORES / MENORES</t>
  </si>
  <si>
    <t>K</t>
  </si>
  <si>
    <t>PODEMOS OBSERVAR QUE EL MÁXIMO SE ALEJA DE LOS VALORES</t>
  </si>
  <si>
    <t>PODEMOS OBSERVAR QUE EL MÍNIMO NO SE ALEJA TANTO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</si>
  <si>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</si>
  <si>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</si>
  <si>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</si>
  <si>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</si>
  <si>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</si>
  <si>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</si>
  <si>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</si>
  <si>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</si>
  <si>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</si>
  <si>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</si>
  <si>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</si>
  <si>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</si>
  <si>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</si>
  <si>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Mayor (5)</t>
  </si>
  <si>
    <t>Menor(5)</t>
  </si>
  <si>
    <t>Nivel de confianza(95.0%)</t>
  </si>
  <si>
    <t>SESGO POSITIVO / DERECHA</t>
  </si>
  <si>
    <t>CASI NORMAL</t>
  </si>
  <si>
    <t>Posición</t>
  </si>
  <si>
    <t>Jerarquía</t>
  </si>
  <si>
    <t>Porcentaje</t>
  </si>
  <si>
    <t>ÍNDICE</t>
  </si>
  <si>
    <t>EJERCICIO DE CLASE</t>
  </si>
  <si>
    <t>CALCULAR LA ESTADÍSTICA DESCRIPTIVA Y LA CURVA PERCENTIL DE UN EJE DE DATOS</t>
  </si>
  <si>
    <t>CURVA PERCENTIL</t>
  </si>
  <si>
    <t>DESVEST^2</t>
  </si>
  <si>
    <t>FECHA</t>
  </si>
  <si>
    <t>ANÁLISIS CON TENDENCIA FECHA</t>
  </si>
  <si>
    <t>INDICADOR DEL ACUMULADO</t>
  </si>
  <si>
    <t>ACUMULADO X</t>
  </si>
  <si>
    <t>% ACUMULADO X</t>
  </si>
  <si>
    <t>=</t>
  </si>
  <si>
    <t>SECUENCIA(5)</t>
  </si>
  <si>
    <t>INDICE(B7:D19,3,3)</t>
  </si>
  <si>
    <t>INDICE(D7:D19, 2)</t>
  </si>
  <si>
    <t>INDICE(D7:D19, SECUENCIA(5,1, 3))</t>
  </si>
  <si>
    <t>ENERO</t>
  </si>
  <si>
    <t>FEBRERO</t>
  </si>
  <si>
    <t>MARZO</t>
  </si>
  <si>
    <t>INICIO</t>
  </si>
  <si>
    <t>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</si>
</sst>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8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4" fillId="4" borderId="1" applyNumberFormat="0" applyAlignment="0" applyProtection="0"/>
    <xf numFmtId="0" fontId="1" fillId="5" borderId="2" applyNumberFormat="0" applyFont="0" applyAlignment="0" applyProtection="0"/>
    <xf numFmtId="0" fontId="1" fillId="6" borderId="0" applyNumberFormat="0" applyBorder="0" applyAlignment="0" applyProtection="0"/>
  </cellStyleXfs>
  <cellXfs count="66">
    <xf numFmtId="0" fontId="0" fillId="0" borderId="0" xfId="0"/>
    <xf numFmtId="0" fontId="0" fillId="0" borderId="0" xfId="0" applyAlignment="1">
      <alignment horizontal="center"/>
    </xf>
    <xf numFmtId="0" fontId="3" fillId="3" borderId="1" xfId="4" applyAlignment="1">
      <alignment horizontal="center"/>
    </xf>
    <xf numFmtId="0" fontId="0" fillId="5" borderId="2" xfId="6" applyFont="1"/>
    <xf numFmtId="0" fontId="0" fillId="5" borderId="3" xfId="6" applyFont="1" applyBorder="1" applyAlignment="1">
      <alignment horizontal="center"/>
    </xf>
    <xf numFmtId="0" fontId="0" fillId="5" borderId="4" xfId="6" applyFont="1" applyBorder="1" applyAlignment="1">
      <alignment horizontal="center"/>
    </xf>
    <xf numFmtId="0" fontId="0" fillId="5" borderId="5" xfId="6" applyFont="1" applyBorder="1" applyAlignment="1">
      <alignment horizontal="center"/>
    </xf>
    <xf numFmtId="44" fontId="0" fillId="0" borderId="0" xfId="1" applyFont="1"/>
    <xf numFmtId="0" fontId="0" fillId="7" borderId="0" xfId="0" applyFill="1" applyAlignment="1">
      <alignment horizontal="center"/>
    </xf>
    <xf numFmtId="44" fontId="0" fillId="0" borderId="0" xfId="0" applyNumberFormat="1"/>
    <xf numFmtId="44" fontId="0" fillId="0" borderId="0" xfId="0" applyNumberFormat="1" applyAlignment="1">
      <alignment horizontal="center"/>
    </xf>
    <xf numFmtId="0" fontId="0" fillId="0" borderId="0" xfId="0" applyAlignment="1"/>
    <xf numFmtId="9" fontId="0" fillId="0" borderId="0" xfId="2" applyFont="1"/>
    <xf numFmtId="9" fontId="0" fillId="8" borderId="0" xfId="0" applyNumberFormat="1" applyFill="1" applyAlignment="1">
      <alignment horizontal="center"/>
    </xf>
    <xf numFmtId="44" fontId="0" fillId="8" borderId="0" xfId="0" applyNumberFormat="1" applyFill="1" applyAlignment="1">
      <alignment horizontal="center"/>
    </xf>
    <xf numFmtId="9" fontId="0" fillId="8" borderId="0" xfId="2" applyFont="1" applyFill="1"/>
    <xf numFmtId="9" fontId="0" fillId="9" borderId="0" xfId="0" applyNumberFormat="1" applyFill="1" applyAlignment="1">
      <alignment horizontal="center"/>
    </xf>
    <xf numFmtId="44" fontId="0" fillId="9" borderId="0" xfId="0" applyNumberFormat="1" applyFill="1" applyAlignment="1">
      <alignment horizontal="center"/>
    </xf>
    <xf numFmtId="9" fontId="0" fillId="9" borderId="0" xfId="2" applyFont="1" applyFill="1"/>
    <xf numFmtId="9" fontId="0" fillId="10" borderId="0" xfId="0" applyNumberFormat="1" applyFill="1" applyAlignment="1">
      <alignment horizontal="center"/>
    </xf>
    <xf numFmtId="44" fontId="0" fillId="10" borderId="0" xfId="0" applyNumberFormat="1" applyFill="1" applyAlignment="1">
      <alignment horizontal="center"/>
    </xf>
    <xf numFmtId="9" fontId="0" fillId="10" borderId="0" xfId="2" applyFont="1" applyFill="1"/>
    <xf numFmtId="0" fontId="1" fillId="6" borderId="0" xfId="7" applyAlignment="1"/>
    <xf numFmtId="0" fontId="1" fillId="6" borderId="2" xfId="7" applyBorder="1"/>
    <xf numFmtId="44" fontId="0" fillId="11" borderId="0" xfId="1" applyFont="1" applyFill="1"/>
    <xf numFmtId="44" fontId="0" fillId="12" borderId="0" xfId="1" applyFont="1" applyFill="1"/>
    <xf numFmtId="44" fontId="0" fillId="8" borderId="0" xfId="1" applyFont="1" applyFill="1"/>
    <xf numFmtId="44" fontId="0" fillId="13" borderId="0" xfId="1" applyFont="1" applyFill="1"/>
    <xf numFmtId="0" fontId="4" fillId="4" borderId="6" xfId="5" applyBorder="1" applyAlignment="1">
      <alignment horizontal="center"/>
    </xf>
    <xf numFmtId="0" fontId="4" fillId="4" borderId="7" xfId="5" applyBorder="1" applyAlignment="1">
      <alignment horizontal="center"/>
    </xf>
    <xf numFmtId="0" fontId="4" fillId="4" borderId="8" xfId="5" applyBorder="1" applyAlignment="1">
      <alignment horizontal="center"/>
    </xf>
    <xf numFmtId="0" fontId="4" fillId="4" borderId="6" xfId="5" applyBorder="1" applyAlignment="1">
      <alignment horizontal="left"/>
    </xf>
    <xf numFmtId="0" fontId="4" fillId="4" borderId="7" xfId="5" applyBorder="1" applyAlignment="1">
      <alignment horizontal="left"/>
    </xf>
    <xf numFmtId="0" fontId="4" fillId="4" borderId="8" xfId="5" applyBorder="1" applyAlignment="1">
      <alignment horizontal="left"/>
    </xf>
    <xf numFmtId="0" fontId="4" fillId="4" borderId="6" xfId="5" applyBorder="1" applyAlignment="1">
      <alignment horizontal="right"/>
    </xf>
    <xf numFmtId="0" fontId="4" fillId="4" borderId="7" xfId="5" applyBorder="1" applyAlignment="1">
      <alignment horizontal="right"/>
    </xf>
    <xf numFmtId="0" fontId="4" fillId="4" borderId="8" xfId="5" applyBorder="1" applyAlignment="1">
      <alignment horizontal="right"/>
    </xf>
    <xf numFmtId="44" fontId="0" fillId="0" borderId="0" xfId="1" applyFont="1" applyAlignment="1">
      <alignment horizontal="center"/>
    </xf>
    <xf numFmtId="0" fontId="0" fillId="0" borderId="0" xfId="0" applyFill="1" applyBorder="1" applyAlignment="1"/>
    <xf numFmtId="0" fontId="0" fillId="0" borderId="9" xfId="0" applyFill="1" applyBorder="1" applyAlignment="1"/>
    <xf numFmtId="0" fontId="7" fillId="0" borderId="10" xfId="0" applyFont="1" applyFill="1" applyBorder="1" applyAlignment="1">
      <alignment horizontal="center"/>
    </xf>
    <xf numFmtId="0" fontId="7" fillId="0" borderId="10" xfId="0" applyFont="1" applyFill="1" applyBorder="1" applyAlignment="1">
      <alignment horizontal="centerContinuous"/>
    </xf>
    <xf numFmtId="44" fontId="0" fillId="0" borderId="0" xfId="1" applyFont="1" applyFill="1" applyBorder="1" applyAlignment="1"/>
    <xf numFmtId="0" fontId="5" fillId="0" borderId="0" xfId="0" applyFont="1"/>
    <xf numFmtId="44" fontId="0" fillId="0" borderId="0" xfId="0" applyNumberFormat="1" applyFill="1" applyBorder="1" applyAlignment="1"/>
    <xf numFmtId="10" fontId="0" fillId="0" borderId="0" xfId="0" applyNumberFormat="1" applyFill="1" applyBorder="1" applyAlignment="1"/>
    <xf numFmtId="44" fontId="0" fillId="0" borderId="9" xfId="0" applyNumberFormat="1" applyFill="1" applyBorder="1" applyAlignment="1"/>
    <xf numFmtId="10" fontId="0" fillId="0" borderId="9" xfId="0" applyNumberFormat="1" applyFill="1" applyBorder="1" applyAlignment="1"/>
    <xf numFmtId="0" fontId="0" fillId="14" borderId="0" xfId="0" applyFill="1" applyBorder="1" applyAlignment="1"/>
    <xf numFmtId="0" fontId="0" fillId="14" borderId="0" xfId="0" applyFill="1"/>
    <xf numFmtId="0" fontId="0" fillId="15" borderId="0" xfId="0" applyFill="1" applyBorder="1" applyAlignment="1"/>
    <xf numFmtId="0" fontId="0" fillId="15" borderId="0" xfId="0" applyFill="1"/>
    <xf numFmtId="0" fontId="0" fillId="16" borderId="0" xfId="0" applyFill="1" applyBorder="1" applyAlignment="1"/>
    <xf numFmtId="0" fontId="0" fillId="16" borderId="0" xfId="0" applyFill="1"/>
    <xf numFmtId="0" fontId="0" fillId="12" borderId="9" xfId="0" applyFill="1" applyBorder="1" applyAlignment="1"/>
    <xf numFmtId="0" fontId="0" fillId="12" borderId="0" xfId="0" applyFill="1"/>
    <xf numFmtId="0" fontId="0" fillId="17" borderId="0" xfId="0" applyFill="1" applyBorder="1" applyAlignment="1"/>
    <xf numFmtId="0" fontId="0" fillId="17" borderId="0" xfId="0" applyFill="1"/>
    <xf numFmtId="0" fontId="0" fillId="18" borderId="0" xfId="0" applyFill="1" applyBorder="1" applyAlignment="1"/>
    <xf numFmtId="0" fontId="0" fillId="18" borderId="0" xfId="0" applyFill="1"/>
    <xf numFmtId="0" fontId="2" fillId="2" borderId="0" xfId="3"/>
    <xf numFmtId="0" fontId="2" fillId="2" borderId="0" xfId="3" applyAlignment="1">
      <alignment horizontal="center"/>
    </xf>
    <xf numFmtId="0" fontId="0" fillId="12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8" borderId="0" xfId="0" applyFill="1"/>
    <xf numFmtId="9" fontId="0" fillId="0" borderId="0" xfId="0" applyNumberFormat="1"/>
  </cellXfs>
  <cellStyles count="8">
    <cellStyle name="20% - Énfasis3" xfId="7" builtinId="38"/>
    <cellStyle name="Cálculo" xfId="5" builtinId="22"/>
    <cellStyle name="Entrada" xfId="4" builtinId="20"/>
    <cellStyle name="Moneda" xfId="1" builtinId="4"/>
    <cellStyle name="Neutral" xfId="3" builtinId="28"/>
    <cellStyle name="Normal" xfId="0" builtinId="0"/>
    <cellStyle name="Notas" xfId="6" builtinId="1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CURVA</a:t>
            </a:r>
            <a:r>
              <a:rPr lang="es-MX" baseline="0"/>
              <a:t> CUARTIL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'ESTADÍSTICA DESCRIPTIVA'!$I$46:$I$50</c:f>
              <c:numCache>
                <c:formatCode>_("$"* #,##0.00_);_("$"* \(#,##0.00\);_("$"* "-"??_);_(@_)</c:formatCode>
                <c:ptCount val="5"/>
                <c:pt idx="0">
                  <c:v>200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900</c:v>
                </c:pt>
              </c:numCache>
            </c:numRef>
          </c:xVal>
          <c:yVal>
            <c:numRef>
              <c:f>'ESTADÍSTICA DESCRIPTIVA'!$L$46:$L$50</c:f>
              <c:numCache>
                <c:formatCode>0%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AF-384A-94A2-7D9FF23E0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1987520"/>
        <c:axId val="853555648"/>
      </c:scatterChart>
      <c:valAx>
        <c:axId val="791987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53555648"/>
        <c:crosses val="autoZero"/>
        <c:crossBetween val="midCat"/>
      </c:valAx>
      <c:valAx>
        <c:axId val="85355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91987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CURVA QUINTIL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'ESTADÍSTICA DESCRIPTIVA'!$I$52:$I$57</c:f>
              <c:numCache>
                <c:formatCode>_("$"* #,##0.00_);_("$"* \(#,##0.00\);_("$"* "-"??_);_(@_)</c:formatCode>
                <c:ptCount val="6"/>
                <c:pt idx="0">
                  <c:v>200</c:v>
                </c:pt>
                <c:pt idx="1">
                  <c:v>370</c:v>
                </c:pt>
                <c:pt idx="2">
                  <c:v>440.00000000000006</c:v>
                </c:pt>
                <c:pt idx="3">
                  <c:v>509.99999999999994</c:v>
                </c:pt>
                <c:pt idx="4">
                  <c:v>630.00000000000011</c:v>
                </c:pt>
                <c:pt idx="5">
                  <c:v>900</c:v>
                </c:pt>
              </c:numCache>
            </c:numRef>
          </c:xVal>
          <c:yVal>
            <c:numRef>
              <c:f>'ESTADÍSTICA DESCRIPTIVA'!$L$52:$L$57</c:f>
              <c:numCache>
                <c:formatCode>0%</c:formatCode>
                <c:ptCount val="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CC-364A-BEA3-F31C4164A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2091200"/>
        <c:axId val="792093440"/>
      </c:scatterChart>
      <c:valAx>
        <c:axId val="792091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92093440"/>
        <c:crosses val="autoZero"/>
        <c:crossBetween val="midCat"/>
      </c:valAx>
      <c:valAx>
        <c:axId val="79209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92091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CURVA DECIL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'ESTADÍSTICA DESCRIPTIVA'!$I$59:$I$69</c:f>
              <c:numCache>
                <c:formatCode>_("$"* #,##0.00_);_("$"* \(#,##0.00\);_("$"* "-"??_);_(@_)</c:formatCode>
                <c:ptCount val="11"/>
                <c:pt idx="0">
                  <c:v>200</c:v>
                </c:pt>
                <c:pt idx="1">
                  <c:v>310</c:v>
                </c:pt>
                <c:pt idx="2">
                  <c:v>370</c:v>
                </c:pt>
                <c:pt idx="3">
                  <c:v>400</c:v>
                </c:pt>
                <c:pt idx="4">
                  <c:v>440.00000000000006</c:v>
                </c:pt>
                <c:pt idx="5">
                  <c:v>500</c:v>
                </c:pt>
                <c:pt idx="6">
                  <c:v>509.99999999999994</c:v>
                </c:pt>
                <c:pt idx="7">
                  <c:v>569.99999999999989</c:v>
                </c:pt>
                <c:pt idx="8">
                  <c:v>630.00000000000011</c:v>
                </c:pt>
                <c:pt idx="9">
                  <c:v>674</c:v>
                </c:pt>
                <c:pt idx="10">
                  <c:v>900</c:v>
                </c:pt>
              </c:numCache>
            </c:numRef>
          </c:xVal>
          <c:yVal>
            <c:numRef>
              <c:f>'ESTADÍSTICA DESCRIPTIVA'!$L$59:$L$69</c:f>
              <c:numCache>
                <c:formatCode>0%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313-0247-A073-A139805CE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0243712"/>
        <c:axId val="830250880"/>
      </c:scatterChart>
      <c:valAx>
        <c:axId val="830243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30250880"/>
        <c:crosses val="autoZero"/>
        <c:crossBetween val="midCat"/>
      </c:valAx>
      <c:valAx>
        <c:axId val="83025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30243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COLA MENOR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8671697287839018E-2"/>
                  <c:y val="-0.187090988626421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yVal>
            <c:numRef>
              <c:f>'ESTADÍSTICA DESCRIPTIVA'!$J$81:$J$85</c:f>
              <c:numCache>
                <c:formatCode>_("$"* #,##0.00_);_("$"* \(#,##0.00\);_("$"* "-"??_);_(@_)</c:formatCode>
                <c:ptCount val="5"/>
                <c:pt idx="0">
                  <c:v>200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1C-4A4D-AFD5-257B36542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2004352"/>
        <c:axId val="792010176"/>
      </c:scatterChart>
      <c:valAx>
        <c:axId val="792004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92010176"/>
        <c:crosses val="autoZero"/>
        <c:crossBetween val="midCat"/>
      </c:valAx>
      <c:valAx>
        <c:axId val="79201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92004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0907699037620304E-2"/>
                  <c:y val="-0.4369561096529600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yVal>
            <c:numRef>
              <c:f>'ESTADÍSTICA DESCRIPTIVA'!$I$81:$I$85</c:f>
              <c:numCache>
                <c:formatCode>_("$"* #,##0.00_);_("$"* \(#,##0.00\);_("$"* "-"??_);_(@_)</c:formatCode>
                <c:ptCount val="5"/>
                <c:pt idx="0">
                  <c:v>900</c:v>
                </c:pt>
                <c:pt idx="1">
                  <c:v>680</c:v>
                </c:pt>
                <c:pt idx="2">
                  <c:v>650</c:v>
                </c:pt>
                <c:pt idx="3">
                  <c:v>600</c:v>
                </c:pt>
                <c:pt idx="4">
                  <c:v>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2FF-AD42-80A6-0AD4A4429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5862272"/>
        <c:axId val="715856896"/>
      </c:scatterChart>
      <c:valAx>
        <c:axId val="715862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15856896"/>
        <c:crosses val="autoZero"/>
        <c:crossBetween val="midCat"/>
      </c:valAx>
      <c:valAx>
        <c:axId val="71585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15862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ALEJAMIENTO</a:t>
            </a:r>
            <a:r>
              <a:rPr lang="es-MX" baseline="0"/>
              <a:t> DEL MENOR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DAF-1444-B63C-D9A0CEDEC206}"/>
              </c:ext>
            </c:extLst>
          </c:dPt>
          <c:val>
            <c:numRef>
              <c:f>'ESTADÍSTICA DESCRIPTIVA'!$J$81:$J$85</c:f>
              <c:numCache>
                <c:formatCode>_("$"* #,##0.00_);_("$"* \(#,##0.00\);_("$"* "-"??_);_(@_)</c:formatCode>
                <c:ptCount val="5"/>
                <c:pt idx="0">
                  <c:v>200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AF-1444-B63C-D9A0CEDEC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3020672"/>
        <c:axId val="833014400"/>
      </c:barChart>
      <c:catAx>
        <c:axId val="8330206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33014400"/>
        <c:crosses val="autoZero"/>
        <c:auto val="1"/>
        <c:lblAlgn val="ctr"/>
        <c:lblOffset val="100"/>
        <c:noMultiLvlLbl val="0"/>
      </c:catAx>
      <c:valAx>
        <c:axId val="83301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33020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ALEJAMIENTO DEL MAYOR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015-FB41-878F-B6F49E1860F8}"/>
              </c:ext>
            </c:extLst>
          </c:dPt>
          <c:val>
            <c:numRef>
              <c:f>'ESTADÍSTICA DESCRIPTIVA'!$I$81:$I$85</c:f>
              <c:numCache>
                <c:formatCode>_("$"* #,##0.00_);_("$"* \(#,##0.00\);_("$"* "-"??_);_(@_)</c:formatCode>
                <c:ptCount val="5"/>
                <c:pt idx="0">
                  <c:v>900</c:v>
                </c:pt>
                <c:pt idx="1">
                  <c:v>680</c:v>
                </c:pt>
                <c:pt idx="2">
                  <c:v>650</c:v>
                </c:pt>
                <c:pt idx="3">
                  <c:v>600</c:v>
                </c:pt>
                <c:pt idx="4">
                  <c:v>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15-FB41-878F-B6F49E186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5769600"/>
        <c:axId val="778928576"/>
      </c:barChart>
      <c:catAx>
        <c:axId val="7157696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78928576"/>
        <c:crosses val="autoZero"/>
        <c:auto val="1"/>
        <c:lblAlgn val="ctr"/>
        <c:lblOffset val="100"/>
        <c:noMultiLvlLbl val="0"/>
      </c:catAx>
      <c:valAx>
        <c:axId val="77892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15769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CURVA PERCENTIL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'ESTADÍSTICA DESCRIPTIVA'!$D$46</c:f>
              <c:strCache>
                <c:ptCount val="1"/>
                <c:pt idx="0">
                  <c:v>Porcentaje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'ESTADÍSTICA DESCRIPTIVA'!$B$47:$B$59</c:f>
              <c:numCache>
                <c:formatCode>_("$"* #,##0.00_);_("$"* \(#,##0.00\);_("$"* "-"??_);_(@_)</c:formatCode>
                <c:ptCount val="13"/>
                <c:pt idx="0">
                  <c:v>900</c:v>
                </c:pt>
                <c:pt idx="1">
                  <c:v>680</c:v>
                </c:pt>
                <c:pt idx="2">
                  <c:v>650</c:v>
                </c:pt>
                <c:pt idx="3">
                  <c:v>600</c:v>
                </c:pt>
                <c:pt idx="4">
                  <c:v>550</c:v>
                </c:pt>
                <c:pt idx="5">
                  <c:v>500</c:v>
                </c:pt>
                <c:pt idx="6">
                  <c:v>500</c:v>
                </c:pt>
                <c:pt idx="7">
                  <c:v>450</c:v>
                </c:pt>
                <c:pt idx="8">
                  <c:v>400</c:v>
                </c:pt>
                <c:pt idx="9">
                  <c:v>400</c:v>
                </c:pt>
                <c:pt idx="10">
                  <c:v>350</c:v>
                </c:pt>
                <c:pt idx="11">
                  <c:v>300</c:v>
                </c:pt>
                <c:pt idx="12">
                  <c:v>200</c:v>
                </c:pt>
              </c:numCache>
            </c:numRef>
          </c:xVal>
          <c:yVal>
            <c:numRef>
              <c:f>'ESTADÍSTICA DESCRIPTIVA'!$D$47:$D$59</c:f>
              <c:numCache>
                <c:formatCode>0.00%</c:formatCode>
                <c:ptCount val="13"/>
                <c:pt idx="0">
                  <c:v>1</c:v>
                </c:pt>
                <c:pt idx="1">
                  <c:v>0.91600000000000004</c:v>
                </c:pt>
                <c:pt idx="2">
                  <c:v>0.83299999999999996</c:v>
                </c:pt>
                <c:pt idx="3">
                  <c:v>0.75</c:v>
                </c:pt>
                <c:pt idx="4">
                  <c:v>0.66600000000000004</c:v>
                </c:pt>
                <c:pt idx="5">
                  <c:v>0.5</c:v>
                </c:pt>
                <c:pt idx="6">
                  <c:v>0.5</c:v>
                </c:pt>
                <c:pt idx="7">
                  <c:v>0.41599999999999998</c:v>
                </c:pt>
                <c:pt idx="8">
                  <c:v>0.25</c:v>
                </c:pt>
                <c:pt idx="9">
                  <c:v>0.25</c:v>
                </c:pt>
                <c:pt idx="10">
                  <c:v>0.16600000000000001</c:v>
                </c:pt>
                <c:pt idx="11">
                  <c:v>8.3000000000000004E-2</c:v>
                </c:pt>
                <c:pt idx="1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85-DD40-B57D-CD2AC2089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0575488"/>
        <c:axId val="703793792"/>
      </c:scatterChart>
      <c:valAx>
        <c:axId val="780575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03793792"/>
        <c:crosses val="autoZero"/>
        <c:crossBetween val="midCat"/>
      </c:valAx>
      <c:valAx>
        <c:axId val="70379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80575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'ANÁLISIS DE TENDENCIA TEMPORAL'!$D$6</c:f>
              <c:strCache>
                <c:ptCount val="1"/>
                <c:pt idx="0">
                  <c:v>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'ANÁLISIS DE TENDENCIA TEMPORAL'!$C$7:$C$19</c:f>
              <c:numCache>
                <c:formatCode>m/d/yy</c:formatCode>
                <c:ptCount val="13"/>
                <c:pt idx="0">
                  <c:v>46023</c:v>
                </c:pt>
                <c:pt idx="1">
                  <c:v>46035</c:v>
                </c:pt>
                <c:pt idx="2">
                  <c:v>46052</c:v>
                </c:pt>
                <c:pt idx="3">
                  <c:v>46056</c:v>
                </c:pt>
                <c:pt idx="4">
                  <c:v>46061</c:v>
                </c:pt>
                <c:pt idx="5">
                  <c:v>46072</c:v>
                </c:pt>
                <c:pt idx="6">
                  <c:v>46080</c:v>
                </c:pt>
                <c:pt idx="7">
                  <c:v>46083</c:v>
                </c:pt>
                <c:pt idx="8">
                  <c:v>46088</c:v>
                </c:pt>
                <c:pt idx="9">
                  <c:v>46096</c:v>
                </c:pt>
                <c:pt idx="10">
                  <c:v>46109</c:v>
                </c:pt>
                <c:pt idx="11">
                  <c:v>46121</c:v>
                </c:pt>
                <c:pt idx="12">
                  <c:v>46137</c:v>
                </c:pt>
              </c:numCache>
            </c:numRef>
          </c:cat>
          <c:val>
            <c:numRef>
              <c:f>'ANÁLISIS DE TENDENCIA TEMPORAL'!$D$7:$D$19</c:f>
              <c:numCache>
                <c:formatCode>_("$"* #,##0.00_);_("$"* \(#,##0.00\);_("$"* "-"??_);_(@_)</c:formatCode>
                <c:ptCount val="13"/>
                <c:pt idx="0">
                  <c:v>500</c:v>
                </c:pt>
                <c:pt idx="1">
                  <c:v>900</c:v>
                </c:pt>
                <c:pt idx="2">
                  <c:v>400</c:v>
                </c:pt>
                <c:pt idx="3">
                  <c:v>680</c:v>
                </c:pt>
                <c:pt idx="4">
                  <c:v>600</c:v>
                </c:pt>
                <c:pt idx="5">
                  <c:v>400</c:v>
                </c:pt>
                <c:pt idx="6">
                  <c:v>200</c:v>
                </c:pt>
                <c:pt idx="7">
                  <c:v>300</c:v>
                </c:pt>
                <c:pt idx="8">
                  <c:v>500</c:v>
                </c:pt>
                <c:pt idx="9">
                  <c:v>450</c:v>
                </c:pt>
                <c:pt idx="10">
                  <c:v>650</c:v>
                </c:pt>
                <c:pt idx="11">
                  <c:v>350</c:v>
                </c:pt>
                <c:pt idx="12">
                  <c:v>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4C-8342-A46A-8498F1CC5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92174464"/>
        <c:axId val="792167296"/>
      </c:barChart>
      <c:dateAx>
        <c:axId val="792174464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92167296"/>
        <c:crosses val="autoZero"/>
        <c:auto val="1"/>
        <c:lblOffset val="100"/>
        <c:baseTimeUnit val="days"/>
      </c:dateAx>
      <c:valAx>
        <c:axId val="79216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92174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'ANÁLISIS DE TENDENCIA TEMPORAL'!$F$6</c:f>
              <c:strCache>
                <c:ptCount val="1"/>
                <c:pt idx="0">
                  <c:v>% ACUMULADO 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'ANÁLISIS DE TENDENCIA TEMPORAL'!$C$7:$C$19</c:f>
              <c:numCache>
                <c:formatCode>m/d/yy</c:formatCode>
                <c:ptCount val="13"/>
                <c:pt idx="0">
                  <c:v>46023</c:v>
                </c:pt>
                <c:pt idx="1">
                  <c:v>46035</c:v>
                </c:pt>
                <c:pt idx="2">
                  <c:v>46052</c:v>
                </c:pt>
                <c:pt idx="3">
                  <c:v>46056</c:v>
                </c:pt>
                <c:pt idx="4">
                  <c:v>46061</c:v>
                </c:pt>
                <c:pt idx="5">
                  <c:v>46072</c:v>
                </c:pt>
                <c:pt idx="6">
                  <c:v>46080</c:v>
                </c:pt>
                <c:pt idx="7">
                  <c:v>46083</c:v>
                </c:pt>
                <c:pt idx="8">
                  <c:v>46088</c:v>
                </c:pt>
                <c:pt idx="9">
                  <c:v>46096</c:v>
                </c:pt>
                <c:pt idx="10">
                  <c:v>46109</c:v>
                </c:pt>
                <c:pt idx="11">
                  <c:v>46121</c:v>
                </c:pt>
                <c:pt idx="12">
                  <c:v>46137</c:v>
                </c:pt>
              </c:numCache>
            </c:numRef>
          </c:cat>
          <c:val>
            <c:numRef>
              <c:f>'ANÁLISIS DE TENDENCIA TEMPORAL'!$F$7:$F$19</c:f>
              <c:numCache>
                <c:formatCode>0%</c:formatCode>
                <c:ptCount val="13"/>
                <c:pt idx="0">
                  <c:v>7.716049382716049E-2</c:v>
                </c:pt>
                <c:pt idx="1">
                  <c:v>0.21604938271604937</c:v>
                </c:pt>
                <c:pt idx="2">
                  <c:v>0.27777777777777779</c:v>
                </c:pt>
                <c:pt idx="3">
                  <c:v>0.38271604938271603</c:v>
                </c:pt>
                <c:pt idx="4">
                  <c:v>0.47530864197530864</c:v>
                </c:pt>
                <c:pt idx="5">
                  <c:v>0.53703703703703709</c:v>
                </c:pt>
                <c:pt idx="6">
                  <c:v>0.5679012345679012</c:v>
                </c:pt>
                <c:pt idx="7">
                  <c:v>0.61419753086419748</c:v>
                </c:pt>
                <c:pt idx="8">
                  <c:v>0.69135802469135799</c:v>
                </c:pt>
                <c:pt idx="9">
                  <c:v>0.76080246913580252</c:v>
                </c:pt>
                <c:pt idx="10">
                  <c:v>0.86111111111111116</c:v>
                </c:pt>
                <c:pt idx="11">
                  <c:v>0.91512345679012341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A5-4940-BA13-BEF635DCC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796544"/>
        <c:axId val="832864256"/>
      </c:areaChart>
      <c:dateAx>
        <c:axId val="720796544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32864256"/>
        <c:crosses val="autoZero"/>
        <c:auto val="1"/>
        <c:lblOffset val="100"/>
        <c:baseTimeUnit val="days"/>
      </c:dateAx>
      <c:valAx>
        <c:axId val="8328642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20796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DISTRIBUCIÓN DEL EJE X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MX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DISTRIBUCIÓN DEL EJE X</a:t>
          </a:r>
        </a:p>
      </cx:txPr>
    </cx:title>
    <cx:plotArea>
      <cx:plotAreaRegion>
        <cx:series layoutId="clusteredColumn" uniqueId="{00000000-E377-C44C-A28A-40E9EFB5D5BC}">
          <cx:tx>
            <cx:txData>
              <cx:f>_xlchart.v1.3</cx:f>
              <cx:v>X</cx:v>
            </cx:txData>
          </cx:tx>
          <cx:dataPt idx="0"/>
          <cx:dataPt idx="1"/>
          <cx:dataPt idx="3"/>
          <cx:dataId val="0"/>
          <cx:layoutPr>
            <cx:binning intervalClosed="r">
              <cx:binCount val="7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DISTRIBUCIÓN DE LOS DATOS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MX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DISTRIBUCIÓN DE LOS DATOS</a:t>
          </a:r>
        </a:p>
      </cx:txPr>
    </cx:title>
    <cx:plotArea>
      <cx:plotAreaRegion>
        <cx:series layoutId="clusteredColumn" uniqueId="{00000000-CB04-AF49-BE7F-1D0BCA55396C}">
          <cx:dataId val="0"/>
          <cx:layoutPr>
            <cx:binning intervalClosed="r">
              <cx:binCount val="6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10" Type="http://schemas.openxmlformats.org/officeDocument/2006/relationships/chart" Target="../charts/chart8.xml"/><Relationship Id="rId4" Type="http://schemas.openxmlformats.org/officeDocument/2006/relationships/chart" Target="../charts/chart3.xml"/><Relationship Id="rId9" Type="http://schemas.microsoft.com/office/2014/relationships/chartEx" Target="../charts/chartEx2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494542</xdr:colOff>
      <xdr:row>13</xdr:row>
      <xdr:rowOff>1963</xdr:rowOff>
    </xdr:from>
    <xdr:to>
      <xdr:col>26</xdr:col>
      <xdr:colOff>643164</xdr:colOff>
      <xdr:row>30</xdr:row>
      <xdr:rowOff>96006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2805EC95-CEE4-E9CA-9DA5-1FEA34BBEA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677846" y="2655356"/>
              <a:ext cx="7598532" cy="3155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16</xdr:col>
      <xdr:colOff>609415</xdr:colOff>
      <xdr:row>44</xdr:row>
      <xdr:rowOff>89485</xdr:rowOff>
    </xdr:from>
    <xdr:to>
      <xdr:col>23</xdr:col>
      <xdr:colOff>410911</xdr:colOff>
      <xdr:row>62</xdr:row>
      <xdr:rowOff>12545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D434C9A-C10C-C507-F9ED-8F9D42D7D1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602554</xdr:colOff>
      <xdr:row>62</xdr:row>
      <xdr:rowOff>176131</xdr:rowOff>
    </xdr:from>
    <xdr:to>
      <xdr:col>23</xdr:col>
      <xdr:colOff>407882</xdr:colOff>
      <xdr:row>83</xdr:row>
      <xdr:rowOff>176130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8484E8-AD3B-8174-3C15-9D9133C921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577170</xdr:colOff>
      <xdr:row>84</xdr:row>
      <xdr:rowOff>164872</xdr:rowOff>
    </xdr:from>
    <xdr:to>
      <xdr:col>23</xdr:col>
      <xdr:colOff>430892</xdr:colOff>
      <xdr:row>102</xdr:row>
      <xdr:rowOff>158749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3D8FB7E-4E10-8E09-5A2B-3136BAE22D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100919</xdr:colOff>
      <xdr:row>87</xdr:row>
      <xdr:rowOff>62821</xdr:rowOff>
    </xdr:from>
    <xdr:to>
      <xdr:col>8</xdr:col>
      <xdr:colOff>420687</xdr:colOff>
      <xdr:row>100</xdr:row>
      <xdr:rowOff>152628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3EFB81F-C79A-065A-28C8-2C4019B684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44223</xdr:colOff>
      <xdr:row>87</xdr:row>
      <xdr:rowOff>28801</xdr:rowOff>
    </xdr:from>
    <xdr:to>
      <xdr:col>14</xdr:col>
      <xdr:colOff>420687</xdr:colOff>
      <xdr:row>100</xdr:row>
      <xdr:rowOff>118608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ADA0E90-1603-60B3-BB8F-551051CDA7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66902</xdr:colOff>
      <xdr:row>101</xdr:row>
      <xdr:rowOff>74158</xdr:rowOff>
    </xdr:from>
    <xdr:to>
      <xdr:col>8</xdr:col>
      <xdr:colOff>386670</xdr:colOff>
      <xdr:row>114</xdr:row>
      <xdr:rowOff>163965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30345FAD-B032-5688-9964-0712AAC580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803955</xdr:colOff>
      <xdr:row>101</xdr:row>
      <xdr:rowOff>51481</xdr:rowOff>
    </xdr:from>
    <xdr:to>
      <xdr:col>14</xdr:col>
      <xdr:colOff>352651</xdr:colOff>
      <xdr:row>114</xdr:row>
      <xdr:rowOff>141288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450E650-68BF-B54A-2591-DC854F9AFB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355600</xdr:colOff>
      <xdr:row>28</xdr:row>
      <xdr:rowOff>172720</xdr:rowOff>
    </xdr:from>
    <xdr:to>
      <xdr:col>9</xdr:col>
      <xdr:colOff>680720</xdr:colOff>
      <xdr:row>42</xdr:row>
      <xdr:rowOff>60960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Gráfico 9">
              <a:extLst>
                <a:ext uri="{FF2B5EF4-FFF2-40B4-BE49-F238E27FC236}">
                  <a16:creationId xmlns:a16="http://schemas.microsoft.com/office/drawing/2014/main" id="{EB005099-68E7-0DA7-3C3C-E49F62C04E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63920" y="546608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0</xdr:col>
      <xdr:colOff>60960</xdr:colOff>
      <xdr:row>60</xdr:row>
      <xdr:rowOff>20320</xdr:rowOff>
    </xdr:from>
    <xdr:to>
      <xdr:col>3</xdr:col>
      <xdr:colOff>670560</xdr:colOff>
      <xdr:row>73</xdr:row>
      <xdr:rowOff>121920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46087022-C4D3-F648-7EBC-7D1A85A5CA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814982</xdr:colOff>
      <xdr:row>4</xdr:row>
      <xdr:rowOff>194474</xdr:rowOff>
    </xdr:from>
    <xdr:to>
      <xdr:col>13</xdr:col>
      <xdr:colOff>431645</xdr:colOff>
      <xdr:row>18</xdr:row>
      <xdr:rowOff>101601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7F0F38D-A3FE-E086-83C3-2734B51CA0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814981</xdr:colOff>
      <xdr:row>19</xdr:row>
      <xdr:rowOff>178891</xdr:rowOff>
    </xdr:from>
    <xdr:to>
      <xdr:col>14</xdr:col>
      <xdr:colOff>431643</xdr:colOff>
      <xdr:row>33</xdr:row>
      <xdr:rowOff>86017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8582BE6-5CAC-4412-792C-B162FC262E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5F9D9-854A-2546-96A3-CB0B9D8E0742}">
  <dimension ref="A1:O85"/>
  <sheetViews>
    <sheetView zoomScale="125" workbookViewId="0">
      <selection activeCell="D1" sqref="D1"/>
    </sheetView>
  </sheetViews>
  <sheetFormatPr baseColWidth="10" defaultRowHeight="16" x14ac:dyDescent="0.2"/>
  <cols>
    <col min="1" max="1" width="27.6640625" customWidth="1"/>
    <col min="2" max="2" width="12.83203125" customWidth="1"/>
    <col min="3" max="3" width="12.33203125" customWidth="1"/>
    <col min="7" max="7" width="12.6640625" customWidth="1"/>
    <col min="8" max="8" width="21.5" customWidth="1"/>
    <col min="11" max="11" width="11.6640625" customWidth="1"/>
  </cols>
  <sheetData>
    <row r="1" spans="2:15" x14ac:dyDescent="0.2">
      <c r="C1" t="s">
        <v>7</v>
      </c>
      <c r="D1" t="s">
        <v>10</v>
      </c>
    </row>
    <row r="2" spans="2:15" x14ac:dyDescent="0.2">
      <c r="C2" t="s">
        <v>5</v>
      </c>
      <c r="D2" t="s">
        <v>9</v>
      </c>
      <c r="H2" t="s">
        <v>19</v>
      </c>
    </row>
    <row r="3" spans="2:15" x14ac:dyDescent="0.2">
      <c r="C3" t="s">
        <v>4</v>
      </c>
      <c r="D3" t="s">
        <v>8</v>
      </c>
    </row>
    <row r="4" spans="2:15" x14ac:dyDescent="0.2">
      <c r="C4" t="s">
        <v>3</v>
      </c>
      <c r="D4" t="s">
        <v>6</v>
      </c>
      <c r="H4" s="2" t="s">
        <v>0</v>
      </c>
      <c r="I4" s="2"/>
      <c r="J4" s="2"/>
      <c r="K4" s="2"/>
      <c r="L4" s="2"/>
      <c r="M4" s="2"/>
      <c r="N4" s="2"/>
      <c r="O4" s="2"/>
    </row>
    <row r="6" spans="2:15" x14ac:dyDescent="0.2">
      <c r="B6" t="s">
        <v>108</v>
      </c>
      <c r="C6" s="8" t="s">
        <v>2</v>
      </c>
      <c r="H6" s="4" t="s">
        <v>1</v>
      </c>
      <c r="I6" s="5"/>
      <c r="J6" s="5"/>
      <c r="K6" s="5"/>
      <c r="L6" s="5"/>
      <c r="M6" s="5"/>
      <c r="N6" s="5"/>
      <c r="O6" s="6"/>
    </row>
    <row r="7" spans="2:15" x14ac:dyDescent="0.2">
      <c r="B7">
        <v>1</v>
      </c>
      <c r="C7" s="7">
        <v>500</v>
      </c>
    </row>
    <row r="8" spans="2:15" x14ac:dyDescent="0.2">
      <c r="B8" s="49">
        <v>2</v>
      </c>
      <c r="C8" s="7">
        <v>900</v>
      </c>
      <c r="H8" t="s">
        <v>11</v>
      </c>
      <c r="K8" t="s">
        <v>12</v>
      </c>
      <c r="N8" t="s">
        <v>13</v>
      </c>
    </row>
    <row r="9" spans="2:15" x14ac:dyDescent="0.2">
      <c r="B9">
        <v>3</v>
      </c>
      <c r="C9" s="7">
        <v>400</v>
      </c>
    </row>
    <row r="10" spans="2:15" x14ac:dyDescent="0.2">
      <c r="B10" s="51">
        <v>4</v>
      </c>
      <c r="C10" s="7">
        <v>680</v>
      </c>
      <c r="G10" s="23" t="s">
        <v>36</v>
      </c>
      <c r="H10" t="s">
        <v>14</v>
      </c>
      <c r="I10">
        <f>COUNT(C7:C19)</f>
        <v>13</v>
      </c>
      <c r="K10" t="s">
        <v>15</v>
      </c>
      <c r="N10" t="s">
        <v>16</v>
      </c>
    </row>
    <row r="11" spans="2:15" x14ac:dyDescent="0.2">
      <c r="B11">
        <v>5</v>
      </c>
      <c r="C11" s="7">
        <v>600</v>
      </c>
      <c r="H11" t="s">
        <v>17</v>
      </c>
      <c r="I11" s="9">
        <f>SUM(C7:C19)</f>
        <v>6480</v>
      </c>
      <c r="K11" t="s">
        <v>17</v>
      </c>
      <c r="N11" t="s">
        <v>18</v>
      </c>
    </row>
    <row r="12" spans="2:15" x14ac:dyDescent="0.2">
      <c r="B12">
        <v>6</v>
      </c>
      <c r="C12" s="7">
        <v>400</v>
      </c>
      <c r="H12" t="s">
        <v>20</v>
      </c>
      <c r="I12" s="9">
        <f>AVERAGE(C7:C19)</f>
        <v>498.46153846153845</v>
      </c>
      <c r="K12" t="s">
        <v>21</v>
      </c>
      <c r="N12" t="s">
        <v>22</v>
      </c>
    </row>
    <row r="13" spans="2:15" x14ac:dyDescent="0.2">
      <c r="B13" s="55">
        <v>7</v>
      </c>
      <c r="C13" s="7">
        <v>200</v>
      </c>
      <c r="H13" t="s">
        <v>23</v>
      </c>
      <c r="I13" s="7">
        <f>_xlfn.STDEV.S(C7:C19)</f>
        <v>183.11408801828779</v>
      </c>
      <c r="K13" t="s">
        <v>24</v>
      </c>
      <c r="N13" t="s">
        <v>25</v>
      </c>
    </row>
    <row r="14" spans="2:15" x14ac:dyDescent="0.2">
      <c r="B14" s="57">
        <v>8</v>
      </c>
      <c r="C14" s="7">
        <v>300</v>
      </c>
      <c r="N14" t="s">
        <v>26</v>
      </c>
    </row>
    <row r="15" spans="2:15" x14ac:dyDescent="0.2">
      <c r="B15">
        <v>9</v>
      </c>
      <c r="C15" s="7">
        <v>500</v>
      </c>
    </row>
    <row r="16" spans="2:15" x14ac:dyDescent="0.2">
      <c r="B16">
        <v>10</v>
      </c>
      <c r="C16" s="7">
        <v>450</v>
      </c>
      <c r="I16" t="s">
        <v>27</v>
      </c>
    </row>
    <row r="17" spans="1:15" x14ac:dyDescent="0.2">
      <c r="B17" s="53">
        <v>11</v>
      </c>
      <c r="C17" s="7">
        <v>650</v>
      </c>
      <c r="J17" t="s">
        <v>28</v>
      </c>
    </row>
    <row r="18" spans="1:15" x14ac:dyDescent="0.2">
      <c r="B18" s="59">
        <v>12</v>
      </c>
      <c r="C18" s="7">
        <v>350</v>
      </c>
      <c r="J18" t="s">
        <v>29</v>
      </c>
    </row>
    <row r="19" spans="1:15" x14ac:dyDescent="0.2">
      <c r="B19">
        <v>13</v>
      </c>
      <c r="C19" s="7">
        <v>550</v>
      </c>
    </row>
    <row r="20" spans="1:15" x14ac:dyDescent="0.2">
      <c r="I20" t="s">
        <v>30</v>
      </c>
    </row>
    <row r="22" spans="1:15" x14ac:dyDescent="0.2">
      <c r="A22" s="60" t="s">
        <v>109</v>
      </c>
      <c r="B22" s="3" t="s">
        <v>110</v>
      </c>
      <c r="C22" s="3"/>
      <c r="D22" s="3"/>
      <c r="E22" s="3"/>
      <c r="F22" s="3"/>
      <c r="G22" s="3"/>
      <c r="H22" s="3"/>
    </row>
    <row r="23" spans="1:15" ht="17" thickBot="1" x14ac:dyDescent="0.25"/>
    <row r="24" spans="1:15" x14ac:dyDescent="0.2">
      <c r="A24" s="41" t="s">
        <v>2</v>
      </c>
      <c r="B24" s="41"/>
      <c r="I24" s="1" t="s">
        <v>31</v>
      </c>
      <c r="J24" s="1" t="s">
        <v>32</v>
      </c>
      <c r="K24" s="11" t="s">
        <v>33</v>
      </c>
      <c r="L24" s="11" t="s">
        <v>20</v>
      </c>
      <c r="M24" s="11" t="s">
        <v>34</v>
      </c>
    </row>
    <row r="25" spans="1:15" x14ac:dyDescent="0.2">
      <c r="A25" s="38"/>
      <c r="B25" s="38"/>
      <c r="I25" s="13">
        <v>0.67</v>
      </c>
      <c r="J25" s="1">
        <v>1</v>
      </c>
      <c r="K25" s="14">
        <f>L25-J25*$I$13</f>
        <v>315.34745044325064</v>
      </c>
      <c r="L25" s="10">
        <f>$I$12</f>
        <v>498.46153846153845</v>
      </c>
      <c r="M25" s="14">
        <f>L25+J25*$I$13</f>
        <v>681.57562647982627</v>
      </c>
      <c r="O25" s="15" cm="1">
        <f t="array" ref="O25">COUNT(_xlfn._xlws.FILTER($C$7:$C$19,($C$7:$C$19&gt;=K25)*($C$7:$C$19&lt;=M25)))/COUNTA($C$7:$C$19)</f>
        <v>0.76923076923076927</v>
      </c>
    </row>
    <row r="26" spans="1:15" x14ac:dyDescent="0.2">
      <c r="A26" s="38" t="s">
        <v>87</v>
      </c>
      <c r="B26" s="42">
        <v>498.46153846153845</v>
      </c>
      <c r="H26" s="22" t="s">
        <v>35</v>
      </c>
      <c r="I26" s="16">
        <v>0.95</v>
      </c>
      <c r="J26" s="1">
        <v>2</v>
      </c>
      <c r="K26" s="17">
        <f t="shared" ref="K26:K27" si="0">L26-J26*$I$13</f>
        <v>132.23336242496288</v>
      </c>
      <c r="L26" s="10">
        <f t="shared" ref="L26:L27" si="1">$I$12</f>
        <v>498.46153846153845</v>
      </c>
      <c r="M26" s="17">
        <f t="shared" ref="M26:M27" si="2">L26+J26*$I$13</f>
        <v>864.68971449811397</v>
      </c>
      <c r="O26" s="18" cm="1">
        <f t="array" ref="O26">COUNT(_xlfn._xlws.FILTER($C$7:$C$19,($C$7:$C$19&gt;=K26)*($C$7:$C$19&lt;=M26)))/COUNTA($C$7:$C$19)</f>
        <v>0.92307692307692313</v>
      </c>
    </row>
    <row r="27" spans="1:15" x14ac:dyDescent="0.2">
      <c r="A27" s="38" t="s">
        <v>88</v>
      </c>
      <c r="B27" s="42">
        <v>50.786710277674061</v>
      </c>
      <c r="I27" s="19">
        <v>0.99</v>
      </c>
      <c r="J27" s="1">
        <v>3</v>
      </c>
      <c r="K27" s="20">
        <f t="shared" si="0"/>
        <v>-50.880725593324883</v>
      </c>
      <c r="L27" s="10">
        <f t="shared" si="1"/>
        <v>498.46153846153845</v>
      </c>
      <c r="M27" s="20">
        <f t="shared" si="2"/>
        <v>1047.8038025164019</v>
      </c>
      <c r="O27" s="21" cm="1">
        <f t="array" ref="O27">COUNT(_xlfn._xlws.FILTER($C$7:$C$19,($C$7:$C$19&gt;=K27)*($C$7:$C$19&lt;=M27)))/COUNTA($C$7:$C$19)</f>
        <v>1</v>
      </c>
    </row>
    <row r="28" spans="1:15" x14ac:dyDescent="0.2">
      <c r="A28" s="38" t="s">
        <v>89</v>
      </c>
      <c r="B28" s="42">
        <v>500</v>
      </c>
    </row>
    <row r="29" spans="1:15" x14ac:dyDescent="0.2">
      <c r="A29" s="38" t="s">
        <v>90</v>
      </c>
      <c r="B29" s="42">
        <v>500</v>
      </c>
    </row>
    <row r="30" spans="1:15" x14ac:dyDescent="0.2">
      <c r="A30" s="38" t="s">
        <v>91</v>
      </c>
      <c r="B30" s="42">
        <v>183.11408801828779</v>
      </c>
    </row>
    <row r="31" spans="1:15" x14ac:dyDescent="0.2">
      <c r="A31" s="38" t="s">
        <v>92</v>
      </c>
      <c r="B31" s="42">
        <v>33530.769230769249</v>
      </c>
      <c r="C31" s="43" t="s">
        <v>112</v>
      </c>
    </row>
    <row r="32" spans="1:15" x14ac:dyDescent="0.2">
      <c r="A32" s="38" t="s">
        <v>93</v>
      </c>
      <c r="B32" s="38">
        <v>0.71916154835136625</v>
      </c>
      <c r="C32" t="s">
        <v>103</v>
      </c>
    </row>
    <row r="33" spans="1:15" x14ac:dyDescent="0.2">
      <c r="A33" s="38" t="s">
        <v>94</v>
      </c>
      <c r="B33" s="38">
        <v>0.57245345572185091</v>
      </c>
      <c r="C33" t="s">
        <v>104</v>
      </c>
    </row>
    <row r="34" spans="1:15" x14ac:dyDescent="0.2">
      <c r="A34" s="38" t="s">
        <v>95</v>
      </c>
      <c r="B34" s="42">
        <v>700</v>
      </c>
    </row>
    <row r="35" spans="1:15" x14ac:dyDescent="0.2">
      <c r="A35" s="38" t="s">
        <v>96</v>
      </c>
      <c r="B35" s="42">
        <v>200</v>
      </c>
    </row>
    <row r="36" spans="1:15" x14ac:dyDescent="0.2">
      <c r="A36" s="38" t="s">
        <v>97</v>
      </c>
      <c r="B36" s="42">
        <v>900</v>
      </c>
    </row>
    <row r="37" spans="1:15" x14ac:dyDescent="0.2">
      <c r="A37" s="38" t="s">
        <v>98</v>
      </c>
      <c r="B37" s="42">
        <v>6480</v>
      </c>
    </row>
    <row r="38" spans="1:15" x14ac:dyDescent="0.2">
      <c r="A38" s="38" t="s">
        <v>99</v>
      </c>
      <c r="B38" s="38">
        <v>13</v>
      </c>
    </row>
    <row r="39" spans="1:15" x14ac:dyDescent="0.2">
      <c r="A39" s="38" t="s">
        <v>100</v>
      </c>
      <c r="B39" s="42">
        <v>550</v>
      </c>
    </row>
    <row r="40" spans="1:15" x14ac:dyDescent="0.2">
      <c r="A40" s="38" t="s">
        <v>101</v>
      </c>
      <c r="B40" s="42">
        <v>400</v>
      </c>
    </row>
    <row r="41" spans="1:15" ht="17" thickBot="1" x14ac:dyDescent="0.25">
      <c r="A41" s="39" t="s">
        <v>102</v>
      </c>
      <c r="B41" s="39">
        <v>110.65473592958871</v>
      </c>
      <c r="H41" s="31" t="s">
        <v>37</v>
      </c>
      <c r="I41" s="32"/>
      <c r="J41" s="32"/>
      <c r="K41" s="33"/>
    </row>
    <row r="42" spans="1:15" x14ac:dyDescent="0.2">
      <c r="H42" s="34" t="s">
        <v>38</v>
      </c>
      <c r="I42" s="35"/>
      <c r="J42" s="35"/>
      <c r="K42" s="36"/>
    </row>
    <row r="44" spans="1:15" x14ac:dyDescent="0.2">
      <c r="C44" s="61" t="s">
        <v>111</v>
      </c>
      <c r="D44" s="61"/>
    </row>
    <row r="45" spans="1:15" ht="17" thickBot="1" x14ac:dyDescent="0.25"/>
    <row r="46" spans="1:15" x14ac:dyDescent="0.2">
      <c r="A46" s="40" t="s">
        <v>105</v>
      </c>
      <c r="B46" s="40" t="s">
        <v>2</v>
      </c>
      <c r="C46" s="40" t="s">
        <v>106</v>
      </c>
      <c r="D46" s="40" t="s">
        <v>107</v>
      </c>
      <c r="G46" t="s">
        <v>47</v>
      </c>
      <c r="H46" t="s">
        <v>43</v>
      </c>
      <c r="I46" s="7">
        <f>_xlfn.PERCENTILE.INC($C$7:$C$19,L46)</f>
        <v>200</v>
      </c>
      <c r="K46" t="s">
        <v>45</v>
      </c>
      <c r="L46" s="12">
        <v>0</v>
      </c>
      <c r="N46" t="str">
        <f>I46&amp;"-"&amp;I47</f>
        <v>200-400</v>
      </c>
      <c r="O46" t="s">
        <v>49</v>
      </c>
    </row>
    <row r="47" spans="1:15" x14ac:dyDescent="0.2">
      <c r="A47" s="48">
        <v>2</v>
      </c>
      <c r="B47" s="44">
        <v>900</v>
      </c>
      <c r="C47" s="38">
        <v>1</v>
      </c>
      <c r="D47" s="45">
        <v>1</v>
      </c>
      <c r="H47" t="s">
        <v>39</v>
      </c>
      <c r="I47" s="7">
        <f t="shared" ref="I47" si="3">_xlfn.PERCENTILE.INC($C$7:$C$19,L47)</f>
        <v>400</v>
      </c>
      <c r="K47" t="s">
        <v>45</v>
      </c>
      <c r="L47" s="12">
        <v>0.25</v>
      </c>
      <c r="N47" t="str">
        <f t="shared" ref="N47:N49" si="4">I47&amp;"-"&amp;I48</f>
        <v>400-500</v>
      </c>
      <c r="O47" t="s">
        <v>50</v>
      </c>
    </row>
    <row r="48" spans="1:15" x14ac:dyDescent="0.2">
      <c r="A48" s="50">
        <v>4</v>
      </c>
      <c r="B48" s="44">
        <v>680</v>
      </c>
      <c r="C48" s="38">
        <v>2</v>
      </c>
      <c r="D48" s="45">
        <v>0.91600000000000004</v>
      </c>
      <c r="G48" t="s">
        <v>46</v>
      </c>
      <c r="H48" t="s">
        <v>40</v>
      </c>
      <c r="I48" s="7">
        <f>_xlfn.PERCENTILE.INC($C$7:$C$19,L48)</f>
        <v>500</v>
      </c>
      <c r="K48" t="s">
        <v>45</v>
      </c>
      <c r="L48" s="12">
        <v>0.5</v>
      </c>
      <c r="N48" t="str">
        <f t="shared" si="4"/>
        <v>500-600</v>
      </c>
      <c r="O48" t="s">
        <v>51</v>
      </c>
    </row>
    <row r="49" spans="1:15" x14ac:dyDescent="0.2">
      <c r="A49" s="52">
        <v>11</v>
      </c>
      <c r="B49" s="44">
        <v>650</v>
      </c>
      <c r="C49" s="38">
        <v>3</v>
      </c>
      <c r="D49" s="45">
        <v>0.83299999999999996</v>
      </c>
      <c r="H49" t="s">
        <v>41</v>
      </c>
      <c r="I49" s="7">
        <f>_xlfn.PERCENTILE.INC($C$7:$C$19,L49)</f>
        <v>600</v>
      </c>
      <c r="K49" t="s">
        <v>45</v>
      </c>
      <c r="L49" s="12">
        <v>0.75</v>
      </c>
      <c r="N49" t="str">
        <f t="shared" si="4"/>
        <v>600-900</v>
      </c>
      <c r="O49" t="s">
        <v>52</v>
      </c>
    </row>
    <row r="50" spans="1:15" x14ac:dyDescent="0.2">
      <c r="A50" s="38">
        <v>5</v>
      </c>
      <c r="B50" s="44">
        <v>600</v>
      </c>
      <c r="C50" s="38">
        <v>4</v>
      </c>
      <c r="D50" s="45">
        <v>0.75</v>
      </c>
      <c r="G50" t="s">
        <v>48</v>
      </c>
      <c r="H50" t="s">
        <v>44</v>
      </c>
      <c r="I50" s="7">
        <f>_xlfn.PERCENTILE.INC($C$7:$C$19,L50)</f>
        <v>900</v>
      </c>
      <c r="K50" t="s">
        <v>45</v>
      </c>
      <c r="L50" s="12">
        <v>1</v>
      </c>
    </row>
    <row r="51" spans="1:15" x14ac:dyDescent="0.2">
      <c r="A51" s="38">
        <v>13</v>
      </c>
      <c r="B51" s="44">
        <v>550</v>
      </c>
      <c r="C51" s="38">
        <v>5</v>
      </c>
      <c r="D51" s="45">
        <v>0.66600000000000004</v>
      </c>
    </row>
    <row r="52" spans="1:15" x14ac:dyDescent="0.2">
      <c r="A52" s="38">
        <v>1</v>
      </c>
      <c r="B52" s="44">
        <v>500</v>
      </c>
      <c r="C52" s="38">
        <v>6</v>
      </c>
      <c r="D52" s="45">
        <v>0.5</v>
      </c>
      <c r="G52" t="s">
        <v>47</v>
      </c>
      <c r="H52" t="s">
        <v>54</v>
      </c>
      <c r="I52" s="7">
        <f>_xlfn.PERCENTILE.INC($C$7:$C$19,L52)</f>
        <v>200</v>
      </c>
      <c r="K52" t="s">
        <v>45</v>
      </c>
      <c r="L52" s="12">
        <v>0</v>
      </c>
      <c r="N52" t="str">
        <f>I52&amp;"-"&amp;I53</f>
        <v>200-370</v>
      </c>
      <c r="O52" t="s">
        <v>62</v>
      </c>
    </row>
    <row r="53" spans="1:15" x14ac:dyDescent="0.2">
      <c r="A53" s="38">
        <v>9</v>
      </c>
      <c r="B53" s="44">
        <v>500</v>
      </c>
      <c r="C53" s="38">
        <v>6</v>
      </c>
      <c r="D53" s="45">
        <v>0.5</v>
      </c>
      <c r="H53" t="s">
        <v>42</v>
      </c>
      <c r="I53" s="7">
        <f t="shared" ref="I53:I57" si="5">_xlfn.PERCENTILE.INC($C$7:$C$19,L53)</f>
        <v>370</v>
      </c>
      <c r="K53" t="s">
        <v>45</v>
      </c>
      <c r="L53" s="12">
        <v>0.2</v>
      </c>
      <c r="N53" t="str">
        <f t="shared" ref="N53:N56" si="6">I53&amp;"-"&amp;I54</f>
        <v>370-440</v>
      </c>
      <c r="O53" t="s">
        <v>61</v>
      </c>
    </row>
    <row r="54" spans="1:15" x14ac:dyDescent="0.2">
      <c r="A54" s="38">
        <v>10</v>
      </c>
      <c r="B54" s="44">
        <v>450</v>
      </c>
      <c r="C54" s="38">
        <v>8</v>
      </c>
      <c r="D54" s="45">
        <v>0.41599999999999998</v>
      </c>
      <c r="H54" t="s">
        <v>53</v>
      </c>
      <c r="I54" s="7">
        <f t="shared" si="5"/>
        <v>440.00000000000006</v>
      </c>
      <c r="K54" t="s">
        <v>45</v>
      </c>
      <c r="L54" s="12">
        <v>0.4</v>
      </c>
      <c r="N54" t="str">
        <f t="shared" si="6"/>
        <v>440-510</v>
      </c>
      <c r="O54" t="s">
        <v>58</v>
      </c>
    </row>
    <row r="55" spans="1:15" x14ac:dyDescent="0.2">
      <c r="A55" s="38">
        <v>3</v>
      </c>
      <c r="B55" s="44">
        <v>400</v>
      </c>
      <c r="C55" s="38">
        <v>9</v>
      </c>
      <c r="D55" s="45">
        <v>0.25</v>
      </c>
      <c r="H55" t="s">
        <v>55</v>
      </c>
      <c r="I55" s="7">
        <f t="shared" si="5"/>
        <v>509.99999999999994</v>
      </c>
      <c r="K55" t="s">
        <v>45</v>
      </c>
      <c r="L55" s="12">
        <v>0.6</v>
      </c>
      <c r="N55" t="str">
        <f t="shared" si="6"/>
        <v>510-630</v>
      </c>
      <c r="O55" t="s">
        <v>59</v>
      </c>
    </row>
    <row r="56" spans="1:15" x14ac:dyDescent="0.2">
      <c r="A56" s="38">
        <v>6</v>
      </c>
      <c r="B56" s="44">
        <v>400</v>
      </c>
      <c r="C56" s="38">
        <v>9</v>
      </c>
      <c r="D56" s="45">
        <v>0.25</v>
      </c>
      <c r="H56" t="s">
        <v>56</v>
      </c>
      <c r="I56" s="7">
        <f t="shared" si="5"/>
        <v>630.00000000000011</v>
      </c>
      <c r="K56" t="s">
        <v>45</v>
      </c>
      <c r="L56" s="12">
        <v>0.8</v>
      </c>
      <c r="N56" t="str">
        <f t="shared" si="6"/>
        <v>630-900</v>
      </c>
      <c r="O56" t="s">
        <v>60</v>
      </c>
    </row>
    <row r="57" spans="1:15" x14ac:dyDescent="0.2">
      <c r="A57" s="58">
        <v>12</v>
      </c>
      <c r="B57" s="44">
        <v>350</v>
      </c>
      <c r="C57" s="38">
        <v>11</v>
      </c>
      <c r="D57" s="45">
        <v>0.16600000000000001</v>
      </c>
      <c r="G57" t="s">
        <v>48</v>
      </c>
      <c r="H57" t="s">
        <v>57</v>
      </c>
      <c r="I57" s="7">
        <f t="shared" si="5"/>
        <v>900</v>
      </c>
      <c r="K57" t="s">
        <v>45</v>
      </c>
      <c r="L57" s="12">
        <v>1</v>
      </c>
    </row>
    <row r="58" spans="1:15" x14ac:dyDescent="0.2">
      <c r="A58" s="56">
        <v>8</v>
      </c>
      <c r="B58" s="44">
        <v>300</v>
      </c>
      <c r="C58" s="38">
        <v>12</v>
      </c>
      <c r="D58" s="45">
        <v>8.3000000000000004E-2</v>
      </c>
    </row>
    <row r="59" spans="1:15" ht="17" thickBot="1" x14ac:dyDescent="0.25">
      <c r="A59" s="54">
        <v>7</v>
      </c>
      <c r="B59" s="46">
        <v>200</v>
      </c>
      <c r="C59" s="39">
        <v>13</v>
      </c>
      <c r="D59" s="47">
        <v>0</v>
      </c>
      <c r="G59" t="s">
        <v>47</v>
      </c>
      <c r="H59" t="s">
        <v>63</v>
      </c>
      <c r="I59" s="7">
        <f>_xlfn.PERCENTILE.INC($C$7:$C$19,L59)</f>
        <v>200</v>
      </c>
      <c r="K59" t="s">
        <v>45</v>
      </c>
      <c r="L59" s="12">
        <v>0</v>
      </c>
      <c r="N59" t="str">
        <f>I59&amp;"-"&amp;I60</f>
        <v>200-310</v>
      </c>
      <c r="O59" t="s">
        <v>62</v>
      </c>
    </row>
    <row r="60" spans="1:15" x14ac:dyDescent="0.2">
      <c r="H60" t="s">
        <v>64</v>
      </c>
      <c r="I60" s="7">
        <f>_xlfn.PERCENTILE.INC($C$7:$C$19,L60)</f>
        <v>310</v>
      </c>
      <c r="K60" t="s">
        <v>45</v>
      </c>
      <c r="L60" s="12">
        <v>0.1</v>
      </c>
      <c r="N60" t="str">
        <f t="shared" ref="N60:N69" si="7">I60&amp;"-"&amp;I61</f>
        <v>310-370</v>
      </c>
      <c r="O60" t="s">
        <v>77</v>
      </c>
    </row>
    <row r="61" spans="1:15" x14ac:dyDescent="0.2">
      <c r="G61" t="s">
        <v>42</v>
      </c>
      <c r="H61" t="s">
        <v>65</v>
      </c>
      <c r="I61" s="7">
        <f t="shared" ref="I61:I69" si="8">_xlfn.PERCENTILE.INC($C$7:$C$19,L61)</f>
        <v>370</v>
      </c>
      <c r="K61" t="s">
        <v>45</v>
      </c>
      <c r="L61" s="12">
        <v>0.2</v>
      </c>
      <c r="N61" t="str">
        <f t="shared" si="7"/>
        <v>370-400</v>
      </c>
      <c r="O61" t="s">
        <v>61</v>
      </c>
    </row>
    <row r="62" spans="1:15" x14ac:dyDescent="0.2">
      <c r="H62" t="s">
        <v>66</v>
      </c>
      <c r="I62" s="7">
        <f t="shared" si="8"/>
        <v>400</v>
      </c>
      <c r="K62" t="s">
        <v>45</v>
      </c>
      <c r="L62" s="12">
        <v>0.3</v>
      </c>
      <c r="N62" t="str">
        <f t="shared" si="7"/>
        <v>400-440</v>
      </c>
      <c r="O62" t="s">
        <v>75</v>
      </c>
    </row>
    <row r="63" spans="1:15" x14ac:dyDescent="0.2">
      <c r="G63" t="s">
        <v>53</v>
      </c>
      <c r="H63" t="s">
        <v>67</v>
      </c>
      <c r="I63" s="7">
        <f t="shared" si="8"/>
        <v>440.00000000000006</v>
      </c>
      <c r="K63" t="s">
        <v>45</v>
      </c>
      <c r="L63" s="12">
        <v>0.4</v>
      </c>
      <c r="N63" t="str">
        <f t="shared" si="7"/>
        <v>440-500</v>
      </c>
      <c r="O63" t="s">
        <v>79</v>
      </c>
    </row>
    <row r="64" spans="1:15" x14ac:dyDescent="0.2">
      <c r="G64" t="s">
        <v>46</v>
      </c>
      <c r="H64" t="s">
        <v>68</v>
      </c>
      <c r="I64" s="7">
        <f t="shared" si="8"/>
        <v>500</v>
      </c>
      <c r="K64" t="s">
        <v>45</v>
      </c>
      <c r="L64" s="12">
        <v>0.5</v>
      </c>
      <c r="N64" t="str">
        <f t="shared" si="7"/>
        <v>500-510</v>
      </c>
      <c r="O64" t="s">
        <v>78</v>
      </c>
    </row>
    <row r="65" spans="7:15" x14ac:dyDescent="0.2">
      <c r="G65" t="s">
        <v>55</v>
      </c>
      <c r="H65" t="s">
        <v>69</v>
      </c>
      <c r="I65" s="7">
        <f t="shared" si="8"/>
        <v>509.99999999999994</v>
      </c>
      <c r="K65" t="s">
        <v>45</v>
      </c>
      <c r="L65" s="12">
        <v>0.6</v>
      </c>
      <c r="N65" t="str">
        <f t="shared" si="7"/>
        <v>510-570</v>
      </c>
      <c r="O65" t="s">
        <v>74</v>
      </c>
    </row>
    <row r="66" spans="7:15" x14ac:dyDescent="0.2">
      <c r="H66" t="s">
        <v>70</v>
      </c>
      <c r="I66" s="7">
        <f t="shared" si="8"/>
        <v>569.99999999999989</v>
      </c>
      <c r="K66" t="s">
        <v>45</v>
      </c>
      <c r="L66" s="12">
        <v>0.7</v>
      </c>
      <c r="N66" t="str">
        <f t="shared" si="7"/>
        <v>570-630</v>
      </c>
      <c r="O66" t="s">
        <v>59</v>
      </c>
    </row>
    <row r="67" spans="7:15" x14ac:dyDescent="0.2">
      <c r="G67" t="s">
        <v>56</v>
      </c>
      <c r="H67" t="s">
        <v>71</v>
      </c>
      <c r="I67" s="7">
        <f t="shared" si="8"/>
        <v>630.00000000000011</v>
      </c>
      <c r="K67" t="s">
        <v>45</v>
      </c>
      <c r="L67" s="12">
        <v>0.8</v>
      </c>
      <c r="N67" t="str">
        <f t="shared" si="7"/>
        <v>630-674</v>
      </c>
      <c r="O67" t="s">
        <v>76</v>
      </c>
    </row>
    <row r="68" spans="7:15" x14ac:dyDescent="0.2">
      <c r="H68" t="s">
        <v>72</v>
      </c>
      <c r="I68" s="7">
        <f t="shared" si="8"/>
        <v>674</v>
      </c>
      <c r="K68" t="s">
        <v>45</v>
      </c>
      <c r="L68" s="12">
        <v>0.9</v>
      </c>
      <c r="N68" t="str">
        <f t="shared" si="7"/>
        <v>674-900</v>
      </c>
      <c r="O68" t="s">
        <v>60</v>
      </c>
    </row>
    <row r="69" spans="7:15" x14ac:dyDescent="0.2">
      <c r="G69" t="s">
        <v>48</v>
      </c>
      <c r="H69" t="s">
        <v>73</v>
      </c>
      <c r="I69" s="7">
        <f t="shared" si="8"/>
        <v>900</v>
      </c>
      <c r="K69" t="s">
        <v>45</v>
      </c>
      <c r="L69" s="12">
        <v>1</v>
      </c>
    </row>
    <row r="73" spans="7:15" x14ac:dyDescent="0.2">
      <c r="I73" t="s">
        <v>47</v>
      </c>
      <c r="J73" t="s">
        <v>80</v>
      </c>
      <c r="K73" t="s">
        <v>81</v>
      </c>
      <c r="L73" t="s">
        <v>81</v>
      </c>
      <c r="M73" t="s">
        <v>48</v>
      </c>
    </row>
    <row r="74" spans="7:15" x14ac:dyDescent="0.2">
      <c r="H74" t="s">
        <v>82</v>
      </c>
      <c r="I74" s="27">
        <v>200</v>
      </c>
      <c r="J74" s="24">
        <v>400</v>
      </c>
      <c r="K74" s="26">
        <v>500</v>
      </c>
      <c r="L74" s="25">
        <v>600</v>
      </c>
      <c r="M74" s="27">
        <v>900</v>
      </c>
    </row>
    <row r="78" spans="7:15" x14ac:dyDescent="0.2">
      <c r="H78" s="28" t="s">
        <v>83</v>
      </c>
      <c r="I78" s="29"/>
      <c r="J78" s="30"/>
    </row>
    <row r="80" spans="7:15" x14ac:dyDescent="0.2">
      <c r="H80" s="1" t="s">
        <v>84</v>
      </c>
      <c r="I80" s="1" t="s">
        <v>34</v>
      </c>
      <c r="J80" s="1" t="s">
        <v>33</v>
      </c>
    </row>
    <row r="81" spans="8:12" x14ac:dyDescent="0.2">
      <c r="H81" s="1">
        <v>1</v>
      </c>
      <c r="I81" s="37">
        <f>LARGE($C$7:$C$19,H81)</f>
        <v>900</v>
      </c>
      <c r="J81" s="37">
        <f>SMALL($C$7:$C$19,H81)</f>
        <v>200</v>
      </c>
    </row>
    <row r="82" spans="8:12" x14ac:dyDescent="0.2">
      <c r="H82" s="1">
        <v>2</v>
      </c>
      <c r="I82" s="37">
        <f t="shared" ref="I82:I85" si="9">LARGE($C$7:$C$19,H82)</f>
        <v>680</v>
      </c>
      <c r="J82" s="37">
        <f t="shared" ref="J82:J85" si="10">SMALL($C$7:$C$19,H82)</f>
        <v>300</v>
      </c>
      <c r="L82" t="s">
        <v>85</v>
      </c>
    </row>
    <row r="83" spans="8:12" x14ac:dyDescent="0.2">
      <c r="H83" s="1">
        <v>3</v>
      </c>
      <c r="I83" s="37">
        <f t="shared" si="9"/>
        <v>650</v>
      </c>
      <c r="J83" s="37">
        <f t="shared" si="10"/>
        <v>350</v>
      </c>
      <c r="L83" t="s">
        <v>86</v>
      </c>
    </row>
    <row r="84" spans="8:12" x14ac:dyDescent="0.2">
      <c r="H84" s="1">
        <v>4</v>
      </c>
      <c r="I84" s="37">
        <f t="shared" si="9"/>
        <v>600</v>
      </c>
      <c r="J84" s="37">
        <f t="shared" si="10"/>
        <v>400</v>
      </c>
    </row>
    <row r="85" spans="8:12" x14ac:dyDescent="0.2">
      <c r="H85" s="1">
        <v>5</v>
      </c>
      <c r="I85" s="37">
        <f t="shared" si="9"/>
        <v>550</v>
      </c>
      <c r="J85" s="37">
        <f t="shared" si="10"/>
        <v>400</v>
      </c>
    </row>
  </sheetData>
  <sortState xmlns:xlrd2="http://schemas.microsoft.com/office/spreadsheetml/2017/richdata2" ref="A47:D59">
    <sortCondition ref="C48"/>
  </sortState>
  <mergeCells count="6">
    <mergeCell ref="H78:J78"/>
    <mergeCell ref="C44:D44"/>
    <mergeCell ref="H4:O4"/>
    <mergeCell ref="H6:O6"/>
    <mergeCell ref="H41:K41"/>
    <mergeCell ref="H42:K42"/>
  </mergeCells>
  <phoneticPr fontId="6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1DC48-4A75-C04C-9758-CDFC76037E54}">
  <dimension ref="B4:O38"/>
  <sheetViews>
    <sheetView tabSelected="1" topLeftCell="A2" zoomScale="149" workbookViewId="0">
      <selection activeCell="H13" sqref="H13"/>
    </sheetView>
  </sheetViews>
  <sheetFormatPr baseColWidth="10" defaultRowHeight="16" x14ac:dyDescent="0.2"/>
  <cols>
    <col min="5" max="5" width="15" customWidth="1"/>
    <col min="6" max="6" width="19.5" customWidth="1"/>
  </cols>
  <sheetData>
    <row r="4" spans="2:15" x14ac:dyDescent="0.2">
      <c r="E4" t="s">
        <v>115</v>
      </c>
      <c r="H4" s="2" t="s">
        <v>114</v>
      </c>
      <c r="I4" s="2"/>
      <c r="J4" s="2"/>
      <c r="K4" s="2"/>
      <c r="L4" s="2"/>
      <c r="M4" s="2"/>
      <c r="N4" s="2"/>
      <c r="O4" s="2"/>
    </row>
    <row r="6" spans="2:15" x14ac:dyDescent="0.2">
      <c r="B6" t="s">
        <v>108</v>
      </c>
      <c r="C6" s="62" t="s">
        <v>113</v>
      </c>
      <c r="D6" s="8" t="s">
        <v>2</v>
      </c>
      <c r="E6" s="64" t="s">
        <v>116</v>
      </c>
      <c r="F6" s="64" t="s">
        <v>117</v>
      </c>
    </row>
    <row r="7" spans="2:15" x14ac:dyDescent="0.2">
      <c r="B7">
        <v>1</v>
      </c>
      <c r="C7" s="63">
        <v>46023</v>
      </c>
      <c r="D7" s="37">
        <v>500</v>
      </c>
      <c r="E7" s="7" cm="1">
        <f t="array" ref="E7">SUM(INDEX($D$7:$D$19,_xlfn.SEQUENCE(B7)))</f>
        <v>500</v>
      </c>
      <c r="F7" s="12">
        <f>E7/$E$21</f>
        <v>7.716049382716049E-2</v>
      </c>
    </row>
    <row r="8" spans="2:15" x14ac:dyDescent="0.2">
      <c r="B8">
        <v>2</v>
      </c>
      <c r="C8" s="63">
        <v>46035</v>
      </c>
      <c r="D8" s="37">
        <v>900</v>
      </c>
      <c r="E8" s="7" cm="1">
        <f t="array" ref="E8">SUM(INDEX($D$7:$D$19,_xlfn.SEQUENCE(B8)))</f>
        <v>1400</v>
      </c>
      <c r="F8" s="12">
        <f t="shared" ref="F8:F19" si="0">E8/$E$21</f>
        <v>0.21604938271604937</v>
      </c>
    </row>
    <row r="9" spans="2:15" x14ac:dyDescent="0.2">
      <c r="B9">
        <v>3</v>
      </c>
      <c r="C9" s="63">
        <v>46052</v>
      </c>
      <c r="D9" s="37">
        <v>400</v>
      </c>
      <c r="E9" s="7" cm="1">
        <f t="array" ref="E9">SUM(INDEX($D$7:$D$19,_xlfn.SEQUENCE(B9)))</f>
        <v>1800</v>
      </c>
      <c r="F9" s="12">
        <f t="shared" si="0"/>
        <v>0.27777777777777779</v>
      </c>
    </row>
    <row r="10" spans="2:15" x14ac:dyDescent="0.2">
      <c r="B10">
        <v>4</v>
      </c>
      <c r="C10" s="63">
        <v>46056</v>
      </c>
      <c r="D10" s="37">
        <v>680</v>
      </c>
      <c r="E10" s="7" cm="1">
        <f t="array" ref="E10">SUM(INDEX($D$7:$D$19,_xlfn.SEQUENCE(B10)))</f>
        <v>2480</v>
      </c>
      <c r="F10" s="12">
        <f t="shared" si="0"/>
        <v>0.38271604938271603</v>
      </c>
    </row>
    <row r="11" spans="2:15" x14ac:dyDescent="0.2">
      <c r="B11">
        <v>5</v>
      </c>
      <c r="C11" s="63">
        <v>46061</v>
      </c>
      <c r="D11" s="37">
        <v>600</v>
      </c>
      <c r="E11" s="7" cm="1">
        <f t="array" ref="E11">SUM(INDEX($D$7:$D$19,_xlfn.SEQUENCE(B11)))</f>
        <v>3080</v>
      </c>
      <c r="F11" s="12">
        <f t="shared" si="0"/>
        <v>0.47530864197530864</v>
      </c>
    </row>
    <row r="12" spans="2:15" x14ac:dyDescent="0.2">
      <c r="B12">
        <v>6</v>
      </c>
      <c r="C12" s="63">
        <v>46072</v>
      </c>
      <c r="D12" s="37">
        <v>400</v>
      </c>
      <c r="E12" s="7" cm="1">
        <f t="array" ref="E12">SUM(INDEX($D$7:$D$19,_xlfn.SEQUENCE(B12)))</f>
        <v>3480</v>
      </c>
      <c r="F12" s="12">
        <f t="shared" si="0"/>
        <v>0.53703703703703709</v>
      </c>
    </row>
    <row r="13" spans="2:15" x14ac:dyDescent="0.2">
      <c r="B13">
        <v>7</v>
      </c>
      <c r="C13" s="63">
        <v>46080</v>
      </c>
      <c r="D13" s="37">
        <v>200</v>
      </c>
      <c r="E13" s="7" cm="1">
        <f t="array" ref="E13">SUM(INDEX($D$7:$D$19,_xlfn.SEQUENCE(B13)))</f>
        <v>3680</v>
      </c>
      <c r="F13" s="12">
        <f t="shared" si="0"/>
        <v>0.5679012345679012</v>
      </c>
    </row>
    <row r="14" spans="2:15" x14ac:dyDescent="0.2">
      <c r="B14">
        <v>8</v>
      </c>
      <c r="C14" s="63">
        <v>46083</v>
      </c>
      <c r="D14" s="37">
        <v>300</v>
      </c>
      <c r="E14" s="7" cm="1">
        <f t="array" ref="E14">SUM(INDEX($D$7:$D$19,_xlfn.SEQUENCE(B14)))</f>
        <v>3980</v>
      </c>
      <c r="F14" s="12">
        <f t="shared" si="0"/>
        <v>0.61419753086419748</v>
      </c>
    </row>
    <row r="15" spans="2:15" x14ac:dyDescent="0.2">
      <c r="B15">
        <v>9</v>
      </c>
      <c r="C15" s="63">
        <v>46088</v>
      </c>
      <c r="D15" s="37">
        <v>500</v>
      </c>
      <c r="E15" s="7" cm="1">
        <f t="array" ref="E15">SUM(INDEX($D$7:$D$19,_xlfn.SEQUENCE(B15)))</f>
        <v>4480</v>
      </c>
      <c r="F15" s="12">
        <f t="shared" si="0"/>
        <v>0.69135802469135799</v>
      </c>
    </row>
    <row r="16" spans="2:15" x14ac:dyDescent="0.2">
      <c r="B16">
        <v>10</v>
      </c>
      <c r="C16" s="63">
        <v>46096</v>
      </c>
      <c r="D16" s="37">
        <v>450</v>
      </c>
      <c r="E16" s="7" cm="1">
        <f t="array" ref="E16">SUM(INDEX($D$7:$D$19,_xlfn.SEQUENCE(B16)))</f>
        <v>4930</v>
      </c>
      <c r="F16" s="12">
        <f t="shared" si="0"/>
        <v>0.76080246913580252</v>
      </c>
    </row>
    <row r="17" spans="2:8" x14ac:dyDescent="0.2">
      <c r="B17">
        <v>11</v>
      </c>
      <c r="C17" s="63">
        <v>46109</v>
      </c>
      <c r="D17" s="37">
        <v>650</v>
      </c>
      <c r="E17" s="7" cm="1">
        <f t="array" ref="E17">SUM(INDEX($D$7:$D$19,_xlfn.SEQUENCE(B17)))</f>
        <v>5580</v>
      </c>
      <c r="F17" s="12">
        <f t="shared" si="0"/>
        <v>0.86111111111111116</v>
      </c>
    </row>
    <row r="18" spans="2:8" x14ac:dyDescent="0.2">
      <c r="B18">
        <v>12</v>
      </c>
      <c r="C18" s="63">
        <v>46121</v>
      </c>
      <c r="D18" s="37">
        <v>350</v>
      </c>
      <c r="E18" s="7" cm="1">
        <f t="array" ref="E18">SUM(INDEX($D$7:$D$19,_xlfn.SEQUENCE(B18)))</f>
        <v>5930</v>
      </c>
      <c r="F18" s="12">
        <f t="shared" si="0"/>
        <v>0.91512345679012341</v>
      </c>
    </row>
    <row r="19" spans="2:8" x14ac:dyDescent="0.2">
      <c r="B19">
        <v>13</v>
      </c>
      <c r="C19" s="63">
        <v>46137</v>
      </c>
      <c r="D19" s="37">
        <v>550</v>
      </c>
      <c r="E19" s="7" cm="1">
        <f t="array" ref="E19">SUM(INDEX($D$7:$D$19,_xlfn.SEQUENCE(B19)))</f>
        <v>6480</v>
      </c>
      <c r="F19" s="12">
        <f t="shared" si="0"/>
        <v>1</v>
      </c>
    </row>
    <row r="21" spans="2:8" x14ac:dyDescent="0.2">
      <c r="E21" s="9">
        <f>SUM(D7:D19)</f>
        <v>6480</v>
      </c>
    </row>
    <row r="23" spans="2:8" x14ac:dyDescent="0.2">
      <c r="B23" t="s">
        <v>118</v>
      </c>
      <c r="C23" t="s">
        <v>119</v>
      </c>
      <c r="E23" t="s">
        <v>118</v>
      </c>
      <c r="F23" t="s">
        <v>120</v>
      </c>
      <c r="H23" t="s">
        <v>121</v>
      </c>
    </row>
    <row r="25" spans="2:8" x14ac:dyDescent="0.2">
      <c r="C25" cm="1">
        <f t="array" ref="C25:C29">_xlfn.SEQUENCE(5)</f>
        <v>1</v>
      </c>
      <c r="F25" s="7">
        <f>INDEX(B7:D19,3,3)</f>
        <v>400</v>
      </c>
      <c r="H25" s="7">
        <f>INDEX(D7:D19, 2)</f>
        <v>900</v>
      </c>
    </row>
    <row r="26" spans="2:8" x14ac:dyDescent="0.2">
      <c r="C26">
        <v>2</v>
      </c>
    </row>
    <row r="27" spans="2:8" x14ac:dyDescent="0.2">
      <c r="C27">
        <v>3</v>
      </c>
      <c r="F27" t="s">
        <v>122</v>
      </c>
    </row>
    <row r="28" spans="2:8" x14ac:dyDescent="0.2">
      <c r="C28">
        <v>4</v>
      </c>
    </row>
    <row r="29" spans="2:8" x14ac:dyDescent="0.2">
      <c r="C29">
        <v>5</v>
      </c>
      <c r="E29" cm="1">
        <f t="array" ref="E29:E33">_xlfn.SEQUENCE(5,1,3)</f>
        <v>3</v>
      </c>
      <c r="F29" s="7" cm="1">
        <f t="array" ref="F29:F33">INDEX(D7:D19, _xlfn.SEQUENCE(5, 1, 3))</f>
        <v>400</v>
      </c>
    </row>
    <row r="30" spans="2:8" x14ac:dyDescent="0.2">
      <c r="E30">
        <v>4</v>
      </c>
      <c r="F30" s="7">
        <v>680</v>
      </c>
    </row>
    <row r="31" spans="2:8" x14ac:dyDescent="0.2">
      <c r="E31">
        <v>5</v>
      </c>
      <c r="F31" s="7">
        <v>600</v>
      </c>
    </row>
    <row r="32" spans="2:8" x14ac:dyDescent="0.2">
      <c r="E32">
        <v>6</v>
      </c>
      <c r="F32" s="7">
        <v>400</v>
      </c>
    </row>
    <row r="33" spans="5:13" x14ac:dyDescent="0.2">
      <c r="E33">
        <v>7</v>
      </c>
      <c r="F33" s="7">
        <v>200</v>
      </c>
    </row>
    <row r="34" spans="5:13" x14ac:dyDescent="0.2">
      <c r="F34" s="7"/>
    </row>
    <row r="35" spans="5:13" x14ac:dyDescent="0.2">
      <c r="F35" s="7"/>
      <c r="K35" t="s">
        <v>126</v>
      </c>
      <c r="L35" t="s">
        <v>127</v>
      </c>
    </row>
    <row r="36" spans="5:13" x14ac:dyDescent="0.2">
      <c r="J36" t="s">
        <v>123</v>
      </c>
      <c r="K36" s="65">
        <v>0</v>
      </c>
      <c r="L36" s="65">
        <v>0.28000000000000003</v>
      </c>
      <c r="M36" s="65">
        <f>L36-K36</f>
        <v>0.28000000000000003</v>
      </c>
    </row>
    <row r="37" spans="5:13" x14ac:dyDescent="0.2">
      <c r="J37" t="s">
        <v>124</v>
      </c>
      <c r="K37" s="65">
        <v>0.28000000000000003</v>
      </c>
      <c r="L37" s="65">
        <v>0.56999999999999995</v>
      </c>
      <c r="M37" s="65">
        <f>L37-K37</f>
        <v>0.28999999999999992</v>
      </c>
    </row>
    <row r="38" spans="5:13" x14ac:dyDescent="0.2">
      <c r="J38" t="s">
        <v>125</v>
      </c>
      <c r="K38" s="65">
        <v>0.56999999999999995</v>
      </c>
      <c r="L38" s="65">
        <v>1</v>
      </c>
      <c r="M38" s="65">
        <f>L38-K38</f>
        <v>0.43000000000000005</v>
      </c>
    </row>
  </sheetData>
  <mergeCells count="1">
    <mergeCell ref="H4:O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ESTADÍSTICA DESCRIPTIVA</vt:lpstr>
      <vt:lpstr>ANÁLISIS DE TENDENCIA TEMPORAL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Badillo Salas</dc:creator>
  <cp:lastModifiedBy>Alan Badillo Salas</cp:lastModifiedBy>
  <dcterms:created xsi:type="dcterms:W3CDTF">2026-06-24T23:08:36Z</dcterms:created>
  <dcterms:modified xsi:type="dcterms:W3CDTF">2026-06-25T01:02:03Z</dcterms:modified>
</cp:coreProperties>
</file>