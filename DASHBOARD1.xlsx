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"/>
    </mc:Choice>
  </mc:AlternateContent>
  <xr:revisionPtr revIDLastSave="0" documentId="13_ncr:1_{D94D4D5F-7FC4-204E-BECA-5125FD49FCB9}" xr6:coauthVersionLast="47" xr6:coauthVersionMax="47" xr10:uidLastSave="{00000000-0000-0000-0000-000000000000}"/>
  <bookViews>
    <workbookView xWindow="0" yWindow="600" windowWidth="28800" windowHeight="16160" activeTab="4" xr2:uid="{535DC7C3-8A8A-184D-A926-0931CED7ADA0}"/>
  </bookViews>
  <sheets>
    <sheet name="factVentas" sheetId="5" r:id="rId1"/>
    <sheet name="ventas" sheetId="4" r:id="rId2"/>
    <sheet name="Diseño" sheetId="1" r:id="rId3"/>
    <sheet name="DASHBOARD 1 - VENTAS" sheetId="2" r:id="rId4"/>
    <sheet name="DASHBOARD 1 - VENTAS (C)" sheetId="3" r:id="rId5"/>
  </sheets>
  <definedNames>
    <definedName name="DatosExternos_1" localSheetId="1" hidden="1">ventas!$A$1:$AB$473</definedName>
    <definedName name="DatosExternos_2" localSheetId="0" hidden="1">factVentas!$A$1:$J$450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3" i="3" l="1" a="1"/>
  <c r="M23" i="3" s="1"/>
  <c r="M9" i="3" a="1"/>
  <c r="M9" i="3" s="1"/>
  <c r="S51" i="3" a="1"/>
  <c r="S51" i="3" s="1"/>
  <c r="S52" i="3" a="1"/>
  <c r="S52" i="3" s="1"/>
  <c r="S53" i="3" a="1"/>
  <c r="S53" i="3" s="1"/>
  <c r="S54" i="3" a="1"/>
  <c r="S54" i="3" s="1"/>
  <c r="S50" i="3" a="1"/>
  <c r="S50" i="3" s="1"/>
  <c r="S36" i="3" a="1"/>
  <c r="S36" i="3" s="1"/>
  <c r="R51" i="3" a="1"/>
  <c r="R51" i="3" s="1"/>
  <c r="R52" i="3" a="1"/>
  <c r="R52" i="3" s="1"/>
  <c r="R53" i="3" a="1"/>
  <c r="R53" i="3" s="1"/>
  <c r="R54" i="3" a="1"/>
  <c r="R54" i="3" s="1"/>
  <c r="R50" i="3" a="1"/>
  <c r="R50" i="3" s="1"/>
  <c r="R36" i="3" a="1"/>
  <c r="R36" i="3" s="1"/>
  <c r="P51" i="3" a="1"/>
  <c r="P51" i="3" s="1"/>
  <c r="Q51" i="3" s="1" a="1"/>
  <c r="Q51" i="3" s="1"/>
  <c r="P52" i="3" a="1"/>
  <c r="P52" i="3" s="1"/>
  <c r="Q52" i="3" s="1" a="1"/>
  <c r="Q52" i="3" s="1"/>
  <c r="P53" i="3" a="1"/>
  <c r="P53" i="3" s="1"/>
  <c r="Q53" i="3" s="1" a="1"/>
  <c r="Q53" i="3" s="1"/>
  <c r="P54" i="3" a="1"/>
  <c r="P54" i="3" s="1"/>
  <c r="Q54" i="3" s="1" a="1"/>
  <c r="Q54" i="3" s="1"/>
  <c r="P50" i="3" a="1"/>
  <c r="P50" i="3" s="1"/>
  <c r="Q50" i="3" s="1" a="1"/>
  <c r="Q50" i="3" s="1"/>
  <c r="P36" i="3" a="1"/>
  <c r="P36" i="3" s="1"/>
  <c r="Q36" i="3" s="1" a="1"/>
  <c r="Q36" i="3" s="1"/>
  <c r="N51" i="3" a="1"/>
  <c r="N51" i="3" s="1"/>
  <c r="O51" i="3" s="1"/>
  <c r="N52" i="3" a="1"/>
  <c r="N52" i="3" s="1"/>
  <c r="O52" i="3" s="1"/>
  <c r="N53" i="3" a="1"/>
  <c r="N53" i="3" s="1"/>
  <c r="O53" i="3" s="1"/>
  <c r="N54" i="3" a="1"/>
  <c r="N54" i="3" s="1"/>
  <c r="O54" i="3" s="1"/>
  <c r="N50" i="3" a="1"/>
  <c r="N50" i="3" s="1"/>
  <c r="O50" i="3" s="1"/>
  <c r="M51" i="3" a="1"/>
  <c r="M51" i="3" s="1"/>
  <c r="M52" i="3" a="1"/>
  <c r="M52" i="3" s="1"/>
  <c r="M53" i="3" a="1"/>
  <c r="M53" i="3" s="1"/>
  <c r="M54" i="3" a="1"/>
  <c r="M54" i="3" s="1"/>
  <c r="M50" i="3" a="1"/>
  <c r="M50" i="3" s="1"/>
  <c r="M36" i="3" a="1"/>
  <c r="M36" i="3" s="1"/>
  <c r="S37" i="3" a="1"/>
  <c r="S37" i="3" s="1"/>
  <c r="S38" i="3" a="1"/>
  <c r="S38" i="3" s="1"/>
  <c r="S39" i="3" a="1"/>
  <c r="S39" i="3" s="1"/>
  <c r="S40" i="3" a="1"/>
  <c r="S40" i="3" s="1"/>
  <c r="S41" i="3" a="1"/>
  <c r="S41" i="3" s="1"/>
  <c r="S42" i="3" a="1"/>
  <c r="S42" i="3" s="1"/>
  <c r="S43" i="3" a="1"/>
  <c r="S43" i="3" s="1"/>
  <c r="S44" i="3" a="1"/>
  <c r="S44" i="3" s="1"/>
  <c r="S45" i="3" a="1"/>
  <c r="S45" i="3" s="1"/>
  <c r="S46" i="3" a="1"/>
  <c r="S46" i="3" s="1"/>
  <c r="S47" i="3" a="1"/>
  <c r="S47" i="3" s="1"/>
  <c r="R37" i="3" a="1"/>
  <c r="R37" i="3" s="1"/>
  <c r="R38" i="3" a="1"/>
  <c r="R38" i="3" s="1"/>
  <c r="R39" i="3" a="1"/>
  <c r="R39" i="3" s="1"/>
  <c r="R40" i="3" a="1"/>
  <c r="R40" i="3" s="1"/>
  <c r="R41" i="3" a="1"/>
  <c r="R41" i="3" s="1"/>
  <c r="R42" i="3" a="1"/>
  <c r="R42" i="3" s="1"/>
  <c r="R43" i="3" a="1"/>
  <c r="R43" i="3" s="1"/>
  <c r="R44" i="3" a="1"/>
  <c r="R44" i="3" s="1"/>
  <c r="R45" i="3" a="1"/>
  <c r="R45" i="3" s="1"/>
  <c r="R46" i="3" a="1"/>
  <c r="R46" i="3" s="1"/>
  <c r="R47" i="3" a="1"/>
  <c r="R47" i="3" s="1"/>
  <c r="R22" i="3" a="1"/>
  <c r="R22" i="3" s="1"/>
  <c r="P37" i="3" a="1"/>
  <c r="P37" i="3" s="1"/>
  <c r="Q37" i="3" s="1" a="1"/>
  <c r="Q37" i="3" s="1"/>
  <c r="P38" i="3" a="1"/>
  <c r="P38" i="3" s="1"/>
  <c r="Q38" i="3" s="1" a="1"/>
  <c r="Q38" i="3" s="1"/>
  <c r="P39" i="3" a="1"/>
  <c r="P39" i="3" s="1"/>
  <c r="Q39" i="3" s="1" a="1"/>
  <c r="Q39" i="3" s="1"/>
  <c r="P40" i="3" a="1"/>
  <c r="P40" i="3" s="1"/>
  <c r="Q40" i="3" s="1" a="1"/>
  <c r="Q40" i="3" s="1"/>
  <c r="P41" i="3" a="1"/>
  <c r="P41" i="3" s="1"/>
  <c r="Q41" i="3" s="1" a="1"/>
  <c r="Q41" i="3" s="1"/>
  <c r="P42" i="3" a="1"/>
  <c r="P42" i="3" s="1"/>
  <c r="Q42" i="3" s="1" a="1"/>
  <c r="Q42" i="3" s="1"/>
  <c r="P43" i="3" a="1"/>
  <c r="P43" i="3" s="1"/>
  <c r="Q43" i="3" s="1" a="1"/>
  <c r="Q43" i="3" s="1"/>
  <c r="P44" i="3" a="1"/>
  <c r="P44" i="3" s="1"/>
  <c r="Q44" i="3" s="1" a="1"/>
  <c r="Q44" i="3" s="1"/>
  <c r="P45" i="3" a="1"/>
  <c r="P45" i="3" s="1"/>
  <c r="Q45" i="3" s="1" a="1"/>
  <c r="Q45" i="3" s="1"/>
  <c r="P46" i="3" a="1"/>
  <c r="P46" i="3" s="1"/>
  <c r="Q46" i="3" s="1" a="1"/>
  <c r="Q46" i="3" s="1"/>
  <c r="P47" i="3" a="1"/>
  <c r="P47" i="3" s="1"/>
  <c r="Q47" i="3" s="1" a="1"/>
  <c r="Q47" i="3" s="1"/>
  <c r="P22" i="3" a="1"/>
  <c r="P22" i="3" s="1"/>
  <c r="Q22" i="3" s="1" a="1"/>
  <c r="Q22" i="3" s="1"/>
  <c r="N37" i="3" a="1"/>
  <c r="N37" i="3" s="1"/>
  <c r="O37" i="3" s="1"/>
  <c r="N38" i="3" a="1"/>
  <c r="N38" i="3" s="1"/>
  <c r="O38" i="3" s="1"/>
  <c r="N39" i="3" a="1"/>
  <c r="N39" i="3" s="1"/>
  <c r="O39" i="3" s="1"/>
  <c r="N40" i="3" a="1"/>
  <c r="N40" i="3" s="1"/>
  <c r="O40" i="3" s="1"/>
  <c r="N41" i="3" a="1"/>
  <c r="N41" i="3" s="1"/>
  <c r="O41" i="3" s="1"/>
  <c r="N42" i="3" a="1"/>
  <c r="N42" i="3" s="1"/>
  <c r="O42" i="3" s="1"/>
  <c r="N43" i="3" a="1"/>
  <c r="N43" i="3" s="1"/>
  <c r="O43" i="3" s="1"/>
  <c r="N44" i="3" a="1"/>
  <c r="N44" i="3" s="1"/>
  <c r="O44" i="3" s="1"/>
  <c r="N45" i="3" a="1"/>
  <c r="N45" i="3" s="1"/>
  <c r="O45" i="3" s="1"/>
  <c r="N46" i="3" a="1"/>
  <c r="N46" i="3" s="1"/>
  <c r="O46" i="3" s="1"/>
  <c r="N47" i="3" a="1"/>
  <c r="N47" i="3" s="1"/>
  <c r="O47" i="3" s="1"/>
  <c r="N36" i="3" a="1"/>
  <c r="N36" i="3" s="1"/>
  <c r="O36" i="3" s="1"/>
  <c r="N22" i="3" a="1"/>
  <c r="N22" i="3" s="1"/>
  <c r="M37" i="3" a="1"/>
  <c r="M37" i="3" s="1"/>
  <c r="T37" i="3" s="1"/>
  <c r="M38" i="3" a="1"/>
  <c r="M38" i="3" s="1"/>
  <c r="M39" i="3" a="1"/>
  <c r="M39" i="3" s="1"/>
  <c r="M40" i="3" a="1"/>
  <c r="M40" i="3" s="1"/>
  <c r="M41" i="3" a="1"/>
  <c r="M41" i="3" s="1"/>
  <c r="M42" i="3" a="1"/>
  <c r="M42" i="3" s="1"/>
  <c r="T42" i="3" s="1"/>
  <c r="M43" i="3" a="1"/>
  <c r="M43" i="3" s="1"/>
  <c r="T43" i="3" s="1"/>
  <c r="M44" i="3" a="1"/>
  <c r="M44" i="3" s="1"/>
  <c r="M45" i="3" a="1"/>
  <c r="M45" i="3" s="1"/>
  <c r="M46" i="3" a="1"/>
  <c r="M46" i="3" s="1"/>
  <c r="M47" i="3" a="1"/>
  <c r="M47" i="3" s="1"/>
  <c r="M22" i="3" a="1"/>
  <c r="M22" i="3" s="1"/>
  <c r="S23" i="3" a="1"/>
  <c r="S23" i="3" s="1"/>
  <c r="S24" i="3" a="1"/>
  <c r="S24" i="3" s="1"/>
  <c r="S25" i="3" a="1"/>
  <c r="S25" i="3" s="1"/>
  <c r="S26" i="3" a="1"/>
  <c r="S26" i="3" s="1"/>
  <c r="S27" i="3" a="1"/>
  <c r="S27" i="3" s="1"/>
  <c r="S28" i="3" a="1"/>
  <c r="S28" i="3" s="1"/>
  <c r="S29" i="3" a="1"/>
  <c r="S29" i="3" s="1"/>
  <c r="S30" i="3" a="1"/>
  <c r="S30" i="3" s="1"/>
  <c r="S31" i="3" a="1"/>
  <c r="S31" i="3" s="1"/>
  <c r="S32" i="3" a="1"/>
  <c r="S32" i="3" s="1"/>
  <c r="S33" i="3" a="1"/>
  <c r="S33" i="3" s="1"/>
  <c r="S22" i="3" a="1"/>
  <c r="S22" i="3" s="1"/>
  <c r="S19" i="3" a="1"/>
  <c r="S19" i="3" s="1"/>
  <c r="S20" i="3" s="1"/>
  <c r="R23" i="3" a="1"/>
  <c r="R23" i="3" s="1"/>
  <c r="R24" i="3" a="1"/>
  <c r="R24" i="3" s="1"/>
  <c r="R25" i="3" a="1"/>
  <c r="R25" i="3" s="1"/>
  <c r="R26" i="3" a="1"/>
  <c r="R26" i="3" s="1"/>
  <c r="R27" i="3" a="1"/>
  <c r="R27" i="3" s="1"/>
  <c r="R28" i="3" a="1"/>
  <c r="R28" i="3" s="1"/>
  <c r="R29" i="3" a="1"/>
  <c r="R29" i="3" s="1"/>
  <c r="R30" i="3" a="1"/>
  <c r="R30" i="3" s="1"/>
  <c r="R31" i="3" a="1"/>
  <c r="R31" i="3" s="1"/>
  <c r="R32" i="3" a="1"/>
  <c r="R32" i="3" s="1"/>
  <c r="R33" i="3" a="1"/>
  <c r="R33" i="3" s="1"/>
  <c r="R19" i="3" a="1"/>
  <c r="R19" i="3" s="1"/>
  <c r="R20" i="3" s="1"/>
  <c r="P23" i="3" a="1"/>
  <c r="P23" i="3" s="1"/>
  <c r="Q23" i="3" s="1" a="1"/>
  <c r="Q23" i="3" s="1"/>
  <c r="P24" i="3" a="1"/>
  <c r="P24" i="3" s="1"/>
  <c r="Q24" i="3" s="1" a="1"/>
  <c r="Q24" i="3" s="1"/>
  <c r="P25" i="3" a="1"/>
  <c r="P25" i="3" s="1"/>
  <c r="Q25" i="3" s="1" a="1"/>
  <c r="Q25" i="3" s="1"/>
  <c r="P26" i="3" a="1"/>
  <c r="P26" i="3" s="1"/>
  <c r="Q26" i="3" s="1" a="1"/>
  <c r="Q26" i="3" s="1"/>
  <c r="P27" i="3" a="1"/>
  <c r="P27" i="3" s="1"/>
  <c r="Q27" i="3" s="1" a="1"/>
  <c r="Q27" i="3" s="1"/>
  <c r="P28" i="3" a="1"/>
  <c r="P28" i="3" s="1"/>
  <c r="Q28" i="3" s="1" a="1"/>
  <c r="Q28" i="3" s="1"/>
  <c r="P29" i="3" a="1"/>
  <c r="P29" i="3" s="1"/>
  <c r="Q29" i="3" s="1" a="1"/>
  <c r="Q29" i="3" s="1"/>
  <c r="P30" i="3" a="1"/>
  <c r="P30" i="3" s="1"/>
  <c r="Q30" i="3" s="1" a="1"/>
  <c r="Q30" i="3" s="1"/>
  <c r="P31" i="3" a="1"/>
  <c r="P31" i="3" s="1"/>
  <c r="Q31" i="3" s="1" a="1"/>
  <c r="Q31" i="3" s="1"/>
  <c r="P32" i="3" a="1"/>
  <c r="P32" i="3" s="1"/>
  <c r="Q32" i="3" s="1" a="1"/>
  <c r="Q32" i="3" s="1"/>
  <c r="P33" i="3" a="1"/>
  <c r="P33" i="3" s="1"/>
  <c r="Q33" i="3" s="1" a="1"/>
  <c r="Q33" i="3" s="1"/>
  <c r="P19" i="3" a="1"/>
  <c r="P19" i="3" s="1"/>
  <c r="Q19" i="3" s="1" a="1"/>
  <c r="Q19" i="3" s="1"/>
  <c r="N23" i="3" a="1"/>
  <c r="N23" i="3" s="1"/>
  <c r="O23" i="3" s="1"/>
  <c r="N24" i="3" a="1"/>
  <c r="N24" i="3" s="1"/>
  <c r="O24" i="3" s="1"/>
  <c r="N25" i="3" a="1"/>
  <c r="N25" i="3" s="1"/>
  <c r="O25" i="3" s="1"/>
  <c r="N26" i="3" a="1"/>
  <c r="N26" i="3" s="1"/>
  <c r="O26" i="3" s="1"/>
  <c r="N27" i="3" a="1"/>
  <c r="N27" i="3" s="1"/>
  <c r="O27" i="3" s="1"/>
  <c r="N28" i="3" a="1"/>
  <c r="N28" i="3" s="1"/>
  <c r="O28" i="3" s="1"/>
  <c r="N29" i="3" a="1"/>
  <c r="N29" i="3" s="1"/>
  <c r="O29" i="3" s="1"/>
  <c r="N30" i="3" a="1"/>
  <c r="N30" i="3" s="1"/>
  <c r="O30" i="3" s="1"/>
  <c r="N31" i="3" a="1"/>
  <c r="N31" i="3" s="1"/>
  <c r="O31" i="3" s="1"/>
  <c r="N32" i="3" a="1"/>
  <c r="N32" i="3" s="1"/>
  <c r="O32" i="3" s="1"/>
  <c r="N33" i="3" a="1"/>
  <c r="N33" i="3" s="1"/>
  <c r="O33" i="3" s="1"/>
  <c r="N19" i="3" a="1"/>
  <c r="N19" i="3" s="1"/>
  <c r="O19" i="3" s="1"/>
  <c r="M19" i="3" a="1"/>
  <c r="M19" i="3" s="1"/>
  <c r="M20" i="3" s="1"/>
  <c r="M24" i="3" a="1"/>
  <c r="M24" i="3" s="1"/>
  <c r="M25" i="3" a="1"/>
  <c r="M25" i="3" s="1"/>
  <c r="T25" i="3" s="1"/>
  <c r="M26" i="3" a="1"/>
  <c r="M26" i="3" s="1"/>
  <c r="M27" i="3" a="1"/>
  <c r="M27" i="3" s="1"/>
  <c r="M28" i="3" a="1"/>
  <c r="M28" i="3" s="1"/>
  <c r="M29" i="3" a="1"/>
  <c r="M29" i="3" s="1"/>
  <c r="M30" i="3" a="1"/>
  <c r="M30" i="3" s="1"/>
  <c r="M31" i="3" a="1"/>
  <c r="M31" i="3" s="1"/>
  <c r="M32" i="3" a="1"/>
  <c r="M32" i="3" s="1"/>
  <c r="M33" i="3" a="1"/>
  <c r="M33" i="3" s="1"/>
  <c r="T33" i="3" s="1"/>
  <c r="S10" i="3" a="1"/>
  <c r="S10" i="3" s="1"/>
  <c r="S11" i="3" a="1"/>
  <c r="S11" i="3" s="1"/>
  <c r="S12" i="3" a="1"/>
  <c r="S12" i="3" s="1"/>
  <c r="S9" i="3" a="1"/>
  <c r="S9" i="3" s="1"/>
  <c r="R10" i="3" a="1"/>
  <c r="R10" i="3" s="1"/>
  <c r="R11" i="3" a="1"/>
  <c r="R11" i="3" s="1"/>
  <c r="R12" i="3" a="1"/>
  <c r="R12" i="3" s="1"/>
  <c r="R9" i="3" a="1"/>
  <c r="R9" i="3" s="1"/>
  <c r="P10" i="3" a="1"/>
  <c r="P10" i="3" s="1"/>
  <c r="Q10" i="3" s="1" a="1"/>
  <c r="Q10" i="3" s="1"/>
  <c r="P11" i="3" a="1"/>
  <c r="P11" i="3" s="1"/>
  <c r="Q11" i="3" s="1" a="1"/>
  <c r="Q11" i="3" s="1"/>
  <c r="P12" i="3" a="1"/>
  <c r="P12" i="3" s="1"/>
  <c r="Q12" i="3" s="1" a="1"/>
  <c r="Q12" i="3" s="1"/>
  <c r="P9" i="3" a="1"/>
  <c r="P9" i="3" s="1"/>
  <c r="Q9" i="3" s="1" a="1"/>
  <c r="Q9" i="3" s="1"/>
  <c r="N10" i="3" a="1"/>
  <c r="N10" i="3" s="1"/>
  <c r="O10" i="3" s="1"/>
  <c r="N11" i="3" a="1"/>
  <c r="N11" i="3" s="1"/>
  <c r="O11" i="3" s="1"/>
  <c r="N12" i="3" a="1"/>
  <c r="N12" i="3" s="1"/>
  <c r="O12" i="3" s="1"/>
  <c r="N9" i="3" a="1"/>
  <c r="N9" i="3" s="1"/>
  <c r="O9" i="3" s="1"/>
  <c r="M10" i="3" a="1"/>
  <c r="M10" i="3" s="1"/>
  <c r="M11" i="3" a="1"/>
  <c r="M11" i="3" s="1"/>
  <c r="M12" i="3" a="1"/>
  <c r="M12" i="3" s="1"/>
  <c r="F9" i="3"/>
  <c r="E9" i="3"/>
  <c r="H8" i="2"/>
  <c r="L8" i="2" s="1"/>
  <c r="L12" i="2" s="1"/>
  <c r="K14" i="2"/>
  <c r="K23" i="2" s="1"/>
  <c r="L23" i="2" s="1"/>
  <c r="L18" i="2"/>
  <c r="L17" i="2"/>
  <c r="T19" i="2"/>
  <c r="V19" i="2" s="1"/>
  <c r="W19" i="2" s="1"/>
  <c r="T18" i="2"/>
  <c r="V18" i="2" s="1"/>
  <c r="Q10" i="2"/>
  <c r="Q12" i="2" s="1"/>
  <c r="Q13" i="2" s="1"/>
  <c r="Q11" i="1"/>
  <c r="H26" i="3" l="1" a="1"/>
  <c r="H26" i="3" s="1"/>
  <c r="T28" i="3"/>
  <c r="H24" i="3" a="1"/>
  <c r="H24" i="3" s="1"/>
  <c r="H25" i="3" s="1"/>
  <c r="T10" i="3"/>
  <c r="T12" i="3"/>
  <c r="T9" i="3"/>
  <c r="T11" i="3"/>
  <c r="T27" i="3"/>
  <c r="T47" i="3"/>
  <c r="T39" i="3"/>
  <c r="T32" i="3"/>
  <c r="T24" i="3"/>
  <c r="T46" i="3"/>
  <c r="T38" i="3"/>
  <c r="T31" i="3"/>
  <c r="T23" i="3"/>
  <c r="T45" i="3"/>
  <c r="T36" i="3"/>
  <c r="T30" i="3"/>
  <c r="T44" i="3"/>
  <c r="T50" i="3"/>
  <c r="T29" i="3"/>
  <c r="T54" i="3"/>
  <c r="T53" i="3"/>
  <c r="T41" i="3"/>
  <c r="T52" i="3"/>
  <c r="S34" i="3"/>
  <c r="T26" i="3"/>
  <c r="T40" i="3"/>
  <c r="T51" i="3"/>
  <c r="O55" i="3"/>
  <c r="R34" i="3"/>
  <c r="S55" i="3"/>
  <c r="R55" i="3"/>
  <c r="Q55" i="3"/>
  <c r="P55" i="3"/>
  <c r="O48" i="3"/>
  <c r="N55" i="3"/>
  <c r="M55" i="3"/>
  <c r="M48" i="3"/>
  <c r="S48" i="3"/>
  <c r="R48" i="3"/>
  <c r="Q48" i="3"/>
  <c r="P48" i="3"/>
  <c r="P34" i="3"/>
  <c r="Q34" i="3"/>
  <c r="N48" i="3"/>
  <c r="O22" i="3"/>
  <c r="O34" i="3" s="1"/>
  <c r="N34" i="3"/>
  <c r="M34" i="3"/>
  <c r="T22" i="3"/>
  <c r="T19" i="3"/>
  <c r="T20" i="3" s="1"/>
  <c r="Q20" i="3"/>
  <c r="P20" i="3"/>
  <c r="O20" i="3"/>
  <c r="N20" i="3"/>
  <c r="R13" i="3"/>
  <c r="Q13" i="3"/>
  <c r="P13" i="3"/>
  <c r="K8" i="2"/>
  <c r="K25" i="2"/>
  <c r="H33" i="3" a="1"/>
  <c r="H33" i="3" s="1"/>
  <c r="Q14" i="2"/>
  <c r="I32" i="3" a="1"/>
  <c r="I32" i="3" s="1"/>
  <c r="J8" i="2"/>
  <c r="I25" i="3" a="1"/>
  <c r="I25" i="3" s="1"/>
  <c r="N13" i="3"/>
  <c r="M13" i="3"/>
  <c r="H27" i="3" a="1"/>
  <c r="H27" i="3" s="1"/>
  <c r="B14" i="3" a="1"/>
  <c r="B14" i="3" s="1"/>
  <c r="H19" i="3" a="1"/>
  <c r="H19" i="3" s="1"/>
  <c r="H18" i="3" a="1"/>
  <c r="H18" i="3" s="1"/>
  <c r="H15" i="3" s="1"/>
  <c r="I9" i="3"/>
  <c r="G9" i="3"/>
  <c r="H12" i="3" a="1"/>
  <c r="H12" i="3" s="1"/>
  <c r="H9" i="3"/>
  <c r="O13" i="3"/>
  <c r="S13" i="3"/>
  <c r="K26" i="2"/>
  <c r="X19" i="2"/>
  <c r="X18" i="2"/>
  <c r="W18" i="2"/>
  <c r="T55" i="3" l="1"/>
  <c r="T48" i="3"/>
  <c r="M57" i="3"/>
  <c r="T34" i="3"/>
  <c r="T57" i="3" s="1"/>
  <c r="O57" i="3"/>
  <c r="N57" i="3"/>
  <c r="P57" i="3"/>
  <c r="R57" i="3"/>
  <c r="Q57" i="3"/>
  <c r="S57" i="3"/>
  <c r="T13" i="3"/>
  <c r="H21" i="3"/>
  <c r="L25" i="2"/>
  <c r="K32" i="2"/>
  <c r="I19" i="3"/>
  <c r="I24" i="3"/>
  <c r="I33" i="3"/>
  <c r="I18" i="3"/>
  <c r="H13" i="3"/>
  <c r="I13" i="3" s="1"/>
  <c r="K20" i="2"/>
  <c r="L26" i="2"/>
  <c r="L32" i="2" l="1"/>
  <c r="K28" i="2"/>
  <c r="I26" i="3"/>
  <c r="I27" i="3" l="1"/>
  <c r="H2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A509A2-6658-8D40-9941-3B551E900B74}" keepAlive="1" name="Consulta - factVentas" description="Conexión a la consulta 'factVentas' en el libro." type="5" refreshedVersion="8" background="1" saveData="1">
    <dbPr connection="Provider=Microsoft.Mashup.OleDb.1;Data Source=$Workbook$;Location=factVentas;Extended Properties=&quot;&quot;" command="SELECT * FROM [factVentas]"/>
  </connection>
  <connection id="2" xr16:uid="{AE729343-DCE1-0D40-B01D-7D7AACF3EBCC}" keepAlive="1" name="Consulta - ventas" description="Conexión a la consulta 'ventas' en el libro." type="5" refreshedVersion="8" background="1" saveData="1">
    <dbPr connection="Provider=Microsoft.Mashup.OleDb.1;Data Source=$Workbook$;Location=ventas;Extended Properties=&quot;&quot;" command="SELECT * FROM [venta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<sst xmlns="http://schemas.openxmlformats.org/spreadsheetml/2006/main" count="3599" uniqueCount="676">
  <si>
    <t>Tabla observación</t>
  </si>
  <si>
    <t>Concentrado de Datos / Tabla de Hechos</t>
  </si>
  <si>
    <t>Columnas de monitoreo</t>
  </si>
  <si>
    <t>ID / FOLIO / GUÍA / NÚMERO CUENTA / NÚMERO TARJETA</t>
  </si>
  <si>
    <t>Diseño de seguimiento / rastreo</t>
  </si>
  <si>
    <t>FOLIO</t>
  </si>
  <si>
    <t>NÚMERO DE CUENTA</t>
  </si>
  <si>
    <t>ESTADO</t>
  </si>
  <si>
    <t>DEPÓSITOS</t>
  </si>
  <si>
    <t>RETIROS</t>
  </si>
  <si>
    <t>BALANCE</t>
  </si>
  <si>
    <t>ACTIVA</t>
  </si>
  <si>
    <t>No. Cuenta</t>
  </si>
  <si>
    <t>Dinámico</t>
  </si>
  <si>
    <t>Estático</t>
  </si>
  <si>
    <t>Movientos</t>
  </si>
  <si>
    <t>Periodos</t>
  </si>
  <si>
    <t>Columnas temporales o secuenciales</t>
  </si>
  <si>
    <t>FECHA</t>
  </si>
  <si>
    <t>FECHA / PASO / ESTADO ORDINAL / NÚMERO SECUENCIAL</t>
  </si>
  <si>
    <t>Diseño de tendencia</t>
  </si>
  <si>
    <t>ANUAL</t>
  </si>
  <si>
    <t>TRIMESTRAL</t>
  </si>
  <si>
    <t>Trimestre 1</t>
  </si>
  <si>
    <t>Trimestre 2</t>
  </si>
  <si>
    <t>Trimestre 3</t>
  </si>
  <si>
    <t>Trimestre 4</t>
  </si>
  <si>
    <t>MENSUAL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</si>
  <si>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</si>
  <si>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</si>
  <si>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</si>
  <si>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</si>
  <si>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</si>
  <si>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</si>
  <si>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</si>
  <si>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</si>
  <si>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</si>
  <si>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</si>
  <si>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</si>
  <si>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</si>
  <si>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1. APERTURA</t>
  </si>
  <si>
    <t>2. APROBACIÓN CRÉDITO</t>
  </si>
  <si>
    <t>3. AUTORIZACIÓN</t>
  </si>
  <si>
    <t>4. NÚMERO CLIENTE</t>
  </si>
  <si>
    <t>5. NÚMERO DE CUENTA</t>
  </si>
  <si>
    <t>6. NÚMERO DE TARJETA</t>
  </si>
  <si>
    <t>7. CIERRE</t>
  </si>
  <si>
    <t>Columnas categóricas</t>
  </si>
  <si>
    <t>CATEGÓRIA / GRUPO / SEGMENTO / CLÚSTER</t>
  </si>
  <si>
    <t>TIPO CUENTA</t>
  </si>
  <si>
    <t>TIPO TRANSACCIÓN</t>
  </si>
  <si>
    <t>TIPO MOVIMIENTO</t>
  </si>
  <si>
    <t>DÉBITO</t>
  </si>
  <si>
    <t>DEPÓSITO</t>
  </si>
  <si>
    <t>EFECTIVO</t>
  </si>
  <si>
    <t>CRÉDITO</t>
  </si>
  <si>
    <t>PAGO MENSUAL</t>
  </si>
  <si>
    <t>TRANSFERENCIA</t>
  </si>
  <si>
    <t>GRUPO</t>
  </si>
  <si>
    <t>DÉBITO-DEPÓSITO-EFECTIVO</t>
  </si>
  <si>
    <t>DÉBITO-DEPÓSITO-TARJETA</t>
  </si>
  <si>
    <t>DÉBITO-DEPÓSITO-TRANSFERENCIA</t>
  </si>
  <si>
    <t>…</t>
  </si>
  <si>
    <t>ENTRE GRUPOS</t>
  </si>
  <si>
    <t>1. Diseño de grupos</t>
  </si>
  <si>
    <t>2. Diseño entre grupos</t>
  </si>
  <si>
    <t>3. Diseño por grupos</t>
  </si>
  <si>
    <t>Determinar como se comportan varios grupos</t>
  </si>
  <si>
    <t>Determinar cómo se comportan 2 grupos</t>
  </si>
  <si>
    <t>Determinar cómo se comporta un grupo combinado (perfiles)</t>
  </si>
  <si>
    <t>Columna medible (continua / indicador)</t>
  </si>
  <si>
    <t>CANTIDAD / TOTAL / PRECIO / SUMA / DIFERNCIA / ACUMULACIÓN / MoM / %</t>
  </si>
  <si>
    <t>Diseño incorporado a los anteriores</t>
  </si>
  <si>
    <t>Tarjetas</t>
  </si>
  <si>
    <t>Tendencias</t>
  </si>
  <si>
    <t>Grupos</t>
  </si>
  <si>
    <t>VENTAS</t>
  </si>
  <si>
    <t>TOTAL</t>
  </si>
  <si>
    <t>PERIODO</t>
  </si>
  <si>
    <t>INICIO</t>
  </si>
  <si>
    <t>FIN</t>
  </si>
  <si>
    <t>DURACIÓN</t>
  </si>
  <si>
    <t>AÑOS</t>
  </si>
  <si>
    <t>MESES</t>
  </si>
  <si>
    <t>DÍAS</t>
  </si>
  <si>
    <t>TABLA DE OBSERVACIÓN</t>
  </si>
  <si>
    <t>VENTA DE EQUIPOS CELULARES DE UNA FINANCIERA</t>
  </si>
  <si>
    <t>DÍAS CON VENTA</t>
  </si>
  <si>
    <t>%</t>
  </si>
  <si>
    <t>VENTA</t>
  </si>
  <si>
    <t>PRECIO</t>
  </si>
  <si>
    <t>ANTICIPO</t>
  </si>
  <si>
    <t>MONTO</t>
  </si>
  <si>
    <t>INTERÉS</t>
  </si>
  <si>
    <t>SUBTOTAL</t>
  </si>
  <si>
    <t>SEMANA</t>
  </si>
  <si>
    <t>SEMANAL</t>
  </si>
  <si>
    <t>PLAZOS</t>
  </si>
  <si>
    <t>INVERSIÓN</t>
  </si>
  <si>
    <t>SUMA</t>
  </si>
  <si>
    <t>PROMEDIO</t>
  </si>
  <si>
    <t>MARGEN</t>
  </si>
  <si>
    <t>SEMANAS</t>
  </si>
  <si>
    <t>RECAUDACIÓN</t>
  </si>
  <si>
    <t>INICIAL</t>
  </si>
  <si>
    <t>FINAL</t>
  </si>
  <si>
    <t>RECAUDACIÓN SEMANAL</t>
  </si>
  <si>
    <t>ventaFolio</t>
  </si>
  <si>
    <t>sucursalOrigenFolio</t>
  </si>
  <si>
    <t>vendedorOrigenFolio</t>
  </si>
  <si>
    <t>vendedorOrigenNombre</t>
  </si>
  <si>
    <t>codigo</t>
  </si>
  <si>
    <t>estado</t>
  </si>
  <si>
    <t>creada</t>
  </si>
  <si>
    <t>equipoFolio</t>
  </si>
  <si>
    <t>clienteNombre</t>
  </si>
  <si>
    <t>clienteFolio</t>
  </si>
  <si>
    <t>equipoMarca</t>
  </si>
  <si>
    <t>equipoModelo</t>
  </si>
  <si>
    <t>configuracionVariante</t>
  </si>
  <si>
    <t>configuracionMemoria</t>
  </si>
  <si>
    <t>configuracionAlmacenamiento</t>
  </si>
  <si>
    <t>financiamientoPlazos</t>
  </si>
  <si>
    <t>financiamientoPrecio</t>
  </si>
  <si>
    <t>financiamientoInteres</t>
  </si>
  <si>
    <t>financiamientoAnticipo</t>
  </si>
  <si>
    <t>financiamientoSubtotal</t>
  </si>
  <si>
    <t>financiamientoTotal</t>
  </si>
  <si>
    <t>financiamientoSemanal</t>
  </si>
  <si>
    <t>financiamientoRecurrente</t>
  </si>
  <si>
    <t>anticipoConcepto</t>
  </si>
  <si>
    <t>anticipoFecha</t>
  </si>
  <si>
    <t>anticipoMontoRecibido</t>
  </si>
  <si>
    <t>anticipoMontoAportado</t>
  </si>
  <si>
    <t>anticipoMontoDevuelto</t>
  </si>
  <si>
    <t>HUMBERTO LA</t>
  </si>
  <si>
    <t>Contrato liberado</t>
  </si>
  <si>
    <t>MARIA DS</t>
  </si>
  <si>
    <t>HONOR</t>
  </si>
  <si>
    <t>PLAY 9A</t>
  </si>
  <si>
    <t>-</t>
  </si>
  <si>
    <t>Anticipo</t>
  </si>
  <si>
    <t>ANGELA ES</t>
  </si>
  <si>
    <t>Contrato generado</t>
  </si>
  <si>
    <t>SUSANA MM</t>
  </si>
  <si>
    <t>SAMSUNG</t>
  </si>
  <si>
    <t xml:space="preserve">A56 </t>
  </si>
  <si>
    <t>5G</t>
  </si>
  <si>
    <t>JOSHUA GR</t>
  </si>
  <si>
    <t>VICTOR ZL</t>
  </si>
  <si>
    <t>ENGANCHE CERO</t>
  </si>
  <si>
    <t>LIZET MG</t>
  </si>
  <si>
    <t>CARLA MD</t>
  </si>
  <si>
    <t>XIAOMI</t>
  </si>
  <si>
    <t>NOTE 14</t>
  </si>
  <si>
    <t>PRO ACCESS ENGANCHE 0</t>
  </si>
  <si>
    <t>LUIS HH</t>
  </si>
  <si>
    <t>JESUS MA</t>
  </si>
  <si>
    <t>MOTOROLA</t>
  </si>
  <si>
    <t>G06</t>
  </si>
  <si>
    <t>LTE</t>
  </si>
  <si>
    <t>DEV PV</t>
  </si>
  <si>
    <t>Enrolado</t>
  </si>
  <si>
    <t>CLIENTE M(</t>
  </si>
  <si>
    <t>OMAR VS</t>
  </si>
  <si>
    <t>JOSE BZ</t>
  </si>
  <si>
    <t>X7C</t>
  </si>
  <si>
    <t>BRENDA PM</t>
  </si>
  <si>
    <t>ROCIO MS</t>
  </si>
  <si>
    <t>15C</t>
  </si>
  <si>
    <t>MONICA HG</t>
  </si>
  <si>
    <t>Venta cancelada</t>
  </si>
  <si>
    <t>LAURA VI</t>
  </si>
  <si>
    <t>MAGIC 7</t>
  </si>
  <si>
    <t>LITE ENGANCHE CERO</t>
  </si>
  <si>
    <t>En proceso de pago</t>
  </si>
  <si>
    <t>GABRIELA TG</t>
  </si>
  <si>
    <t>BRANDON SL</t>
  </si>
  <si>
    <t>X6C</t>
  </si>
  <si>
    <t>JUAN NA</t>
  </si>
  <si>
    <t>MOTO G86</t>
  </si>
  <si>
    <t>MAURICIO HN</t>
  </si>
  <si>
    <t>GUADALUPE AC</t>
  </si>
  <si>
    <t>A5</t>
  </si>
  <si>
    <t>MARCOS PH</t>
  </si>
  <si>
    <t>MOTO G04</t>
  </si>
  <si>
    <t>S</t>
  </si>
  <si>
    <t>JOSE MS</t>
  </si>
  <si>
    <t>Venta en revisión</t>
  </si>
  <si>
    <t>MARIA LR</t>
  </si>
  <si>
    <t>MARTÍN HB</t>
  </si>
  <si>
    <t>TECNO</t>
  </si>
  <si>
    <t>SPARK GO</t>
  </si>
  <si>
    <t>GO 2</t>
  </si>
  <si>
    <t>HELEN GH</t>
  </si>
  <si>
    <t>REDMI A5</t>
  </si>
  <si>
    <t>ANTERIOR</t>
  </si>
  <si>
    <t>SUEMI AJ</t>
  </si>
  <si>
    <t>ACCESS</t>
  </si>
  <si>
    <t>NOE AR</t>
  </si>
  <si>
    <t>FIDELIA SA</t>
  </si>
  <si>
    <t>REDMI NOTE 14 PRO</t>
  </si>
  <si>
    <t>OSCAR LS</t>
  </si>
  <si>
    <t>IRVIN AG</t>
  </si>
  <si>
    <t>INFINIX</t>
  </si>
  <si>
    <t>INFINIX HOT 60I</t>
  </si>
  <si>
    <t>ROGELIO GC</t>
  </si>
  <si>
    <t>DULCE GT</t>
  </si>
  <si>
    <t>OLIVIA SR</t>
  </si>
  <si>
    <t>REDMI 15C</t>
  </si>
  <si>
    <t>JOSE OM</t>
  </si>
  <si>
    <t>X5B PLUS</t>
  </si>
  <si>
    <t>GABRIELA MI</t>
  </si>
  <si>
    <t>YEIMI GC</t>
  </si>
  <si>
    <t>YOSELIN MM</t>
  </si>
  <si>
    <t>YESENIA LH</t>
  </si>
  <si>
    <t>ANDRES TA</t>
  </si>
  <si>
    <t>X9C</t>
  </si>
  <si>
    <t>ALAN HF</t>
  </si>
  <si>
    <t>RIGOBERTO LM</t>
  </si>
  <si>
    <t>MOTO G04S</t>
  </si>
  <si>
    <t>ISIDRO GA</t>
  </si>
  <si>
    <t>REDMI 14C</t>
  </si>
  <si>
    <t>SARAI HS</t>
  </si>
  <si>
    <t>X6B</t>
  </si>
  <si>
    <t>HENRI PG</t>
  </si>
  <si>
    <t>DAVID VM</t>
  </si>
  <si>
    <t>REALME</t>
  </si>
  <si>
    <t>NOTE 60</t>
  </si>
  <si>
    <t>JAZMIN DM</t>
  </si>
  <si>
    <t>JONATHAN MG</t>
  </si>
  <si>
    <t>FRANCISCO SE</t>
  </si>
  <si>
    <t>GABRIELA SH</t>
  </si>
  <si>
    <t>LUIS AD</t>
  </si>
  <si>
    <t>MARIANA BM</t>
  </si>
  <si>
    <t>ZTE</t>
  </si>
  <si>
    <t>BLADE A55</t>
  </si>
  <si>
    <t>SOFIA SB</t>
  </si>
  <si>
    <t>AXEL IH</t>
  </si>
  <si>
    <t>OLGA MX</t>
  </si>
  <si>
    <t>NUBIA</t>
  </si>
  <si>
    <t>MUSIC</t>
  </si>
  <si>
    <t>ESTHER MC</t>
  </si>
  <si>
    <t>FERNANDO AA</t>
  </si>
  <si>
    <t>ALBERTO DM</t>
  </si>
  <si>
    <t>CIRILA AR</t>
  </si>
  <si>
    <t>ADRIAN AM</t>
  </si>
  <si>
    <t>JUAN MT</t>
  </si>
  <si>
    <t>ALMA HG</t>
  </si>
  <si>
    <t>BRIAN RD</t>
  </si>
  <si>
    <t>LAURA SS</t>
  </si>
  <si>
    <t>ARELI MR</t>
  </si>
  <si>
    <t>TANIA GS</t>
  </si>
  <si>
    <t>OSCAR GF</t>
  </si>
  <si>
    <t>JUAN LP</t>
  </si>
  <si>
    <t>THELMA FR</t>
  </si>
  <si>
    <t>EUGENIA SC</t>
  </si>
  <si>
    <t>JANET GS</t>
  </si>
  <si>
    <t>KAREN RG</t>
  </si>
  <si>
    <t>ERIC QA</t>
  </si>
  <si>
    <t>SIMON SG</t>
  </si>
  <si>
    <t>RENE LS</t>
  </si>
  <si>
    <t>DIANA BT</t>
  </si>
  <si>
    <t>MONSERRAT GR</t>
  </si>
  <si>
    <t>LUIS PM</t>
  </si>
  <si>
    <t>BRENDA FO</t>
  </si>
  <si>
    <t>RUBI TQ</t>
  </si>
  <si>
    <t>OSCAR CR</t>
  </si>
  <si>
    <t>X6B PLUS</t>
  </si>
  <si>
    <t>IRVIN CR</t>
  </si>
  <si>
    <t>WENDY BB</t>
  </si>
  <si>
    <t>MIGUEL DC</t>
  </si>
  <si>
    <t>ISRAEL PS</t>
  </si>
  <si>
    <t>LESLY RV</t>
  </si>
  <si>
    <t>JOSE HR</t>
  </si>
  <si>
    <t>FERNANDO TR</t>
  </si>
  <si>
    <t>LUIS MH</t>
  </si>
  <si>
    <t>YAEL ZG</t>
  </si>
  <si>
    <t>MARIA HG</t>
  </si>
  <si>
    <t>FATIMA DR</t>
  </si>
  <si>
    <t>G15</t>
  </si>
  <si>
    <t>FATIMA MJ</t>
  </si>
  <si>
    <t>RAUL TG</t>
  </si>
  <si>
    <t>REDMI A05</t>
  </si>
  <si>
    <t>ANGEL QP</t>
  </si>
  <si>
    <t xml:space="preserve">SAMSUNG </t>
  </si>
  <si>
    <t>A06</t>
  </si>
  <si>
    <t>NORMA MM</t>
  </si>
  <si>
    <t>OPPO</t>
  </si>
  <si>
    <t>A40</t>
  </si>
  <si>
    <t>YURIMI SM</t>
  </si>
  <si>
    <t>ANGELICA LM</t>
  </si>
  <si>
    <t>DENILSON OS</t>
  </si>
  <si>
    <t>PLAY 9T</t>
  </si>
  <si>
    <t>ALFONSO GI</t>
  </si>
  <si>
    <t xml:space="preserve">MOTOROLA </t>
  </si>
  <si>
    <t>G04S</t>
  </si>
  <si>
    <t>DANIEL RH</t>
  </si>
  <si>
    <t>SONIA RS</t>
  </si>
  <si>
    <t>ROSA GA</t>
  </si>
  <si>
    <t>HELADIA EA</t>
  </si>
  <si>
    <t>MIGUEL VR</t>
  </si>
  <si>
    <t>YOSHUA GM</t>
  </si>
  <si>
    <t>MARCO MH</t>
  </si>
  <si>
    <t>MIRIAM CS</t>
  </si>
  <si>
    <t>A15</t>
  </si>
  <si>
    <t>EDUARDO SC</t>
  </si>
  <si>
    <t>ITZEL VM</t>
  </si>
  <si>
    <t>JONATHAN HC</t>
  </si>
  <si>
    <t>A16</t>
  </si>
  <si>
    <t>NUVIA JO</t>
  </si>
  <si>
    <t>ERICK HM</t>
  </si>
  <si>
    <t>A55</t>
  </si>
  <si>
    <t>GUILLERMO SA</t>
  </si>
  <si>
    <t>EVEYN SR</t>
  </si>
  <si>
    <t>ALEJANDRA MJ</t>
  </si>
  <si>
    <t>HUGO SM</t>
  </si>
  <si>
    <t>SANDRA SO</t>
  </si>
  <si>
    <t>JORGE LH</t>
  </si>
  <si>
    <t>MARCO HM</t>
  </si>
  <si>
    <t>14C</t>
  </si>
  <si>
    <t>ADRIANA BR</t>
  </si>
  <si>
    <t>ROSALBA CS</t>
  </si>
  <si>
    <t xml:space="preserve"> HONOR</t>
  </si>
  <si>
    <t xml:space="preserve"> X7A</t>
  </si>
  <si>
    <t>ARISMENDEZ AB</t>
  </si>
  <si>
    <t xml:space="preserve"> XIAOMI </t>
  </si>
  <si>
    <t xml:space="preserve"> REDMI NOTE 12 Pro</t>
  </si>
  <si>
    <t>JESUS RR</t>
  </si>
  <si>
    <t>MARIA PR</t>
  </si>
  <si>
    <t>MARIA HH</t>
  </si>
  <si>
    <t>A07</t>
  </si>
  <si>
    <t>GERARDO MG</t>
  </si>
  <si>
    <t>JUAN MM</t>
  </si>
  <si>
    <t>ROQUE PF</t>
  </si>
  <si>
    <t>JOSHUA AO</t>
  </si>
  <si>
    <t>JONATHAN MC</t>
  </si>
  <si>
    <t>ELIZABETH NC</t>
  </si>
  <si>
    <t>ERIKA LG</t>
  </si>
  <si>
    <t>X5B</t>
  </si>
  <si>
    <t>JOSE RV</t>
  </si>
  <si>
    <t>MAYTE RV</t>
  </si>
  <si>
    <t>ARELY MT</t>
  </si>
  <si>
    <t>DANIELA RB</t>
  </si>
  <si>
    <t>KARLA LM</t>
  </si>
  <si>
    <t>ADRIAN DD</t>
  </si>
  <si>
    <t>BRYAN MO</t>
  </si>
  <si>
    <t>ELOISA PL</t>
  </si>
  <si>
    <t>AGUSTIN OR</t>
  </si>
  <si>
    <t>VIRIDIANA PG</t>
  </si>
  <si>
    <t>ALBERTO CG</t>
  </si>
  <si>
    <t>CHRISTIAN GD</t>
  </si>
  <si>
    <t>ARELI JV</t>
  </si>
  <si>
    <t>EVELYN NL</t>
  </si>
  <si>
    <t>SERAFIN MM</t>
  </si>
  <si>
    <t>JESSICA DV</t>
  </si>
  <si>
    <t>JORGE HM</t>
  </si>
  <si>
    <t>MARIA PC</t>
  </si>
  <si>
    <t>JORGE HS</t>
  </si>
  <si>
    <t>TANIA NM</t>
  </si>
  <si>
    <t>JORGE RN</t>
  </si>
  <si>
    <t>GUADALUPE VP</t>
  </si>
  <si>
    <t>ALMA AR</t>
  </si>
  <si>
    <t>MERDECES OF</t>
  </si>
  <si>
    <t>LORENZO SG</t>
  </si>
  <si>
    <t>GABRIELA RM</t>
  </si>
  <si>
    <t>ANGELICA BG</t>
  </si>
  <si>
    <t>ELVIRA RP</t>
  </si>
  <si>
    <t>JESHUA GR</t>
  </si>
  <si>
    <t>MARIA CB</t>
  </si>
  <si>
    <t>VICTOR AZ</t>
  </si>
  <si>
    <t>HECTOR DL</t>
  </si>
  <si>
    <t>CIRILO AM</t>
  </si>
  <si>
    <t>GUILLERMO MR</t>
  </si>
  <si>
    <t>JENNIFER RP</t>
  </si>
  <si>
    <t>X7B</t>
  </si>
  <si>
    <t>ABIGAIL CE</t>
  </si>
  <si>
    <t>MAGIC 6 LITE</t>
  </si>
  <si>
    <t>MARISOL GD</t>
  </si>
  <si>
    <t>JUANA SG</t>
  </si>
  <si>
    <t>HOT 50i</t>
  </si>
  <si>
    <t>SANDRA DN</t>
  </si>
  <si>
    <t>X8B</t>
  </si>
  <si>
    <t>CESAR TR</t>
  </si>
  <si>
    <t>X9B</t>
  </si>
  <si>
    <t>90 LITE</t>
  </si>
  <si>
    <t>S24 ULTRA</t>
  </si>
  <si>
    <t>BERNARDO DL</t>
  </si>
  <si>
    <t xml:space="preserve">XIAOMI </t>
  </si>
  <si>
    <t xml:space="preserve">REDMI NOTE 13 PRO </t>
  </si>
  <si>
    <t>PEDRO LR</t>
  </si>
  <si>
    <t>MIRIAM DH</t>
  </si>
  <si>
    <t>DIEGO RM</t>
  </si>
  <si>
    <t>JONATHAN FC</t>
  </si>
  <si>
    <t xml:space="preserve">REALME </t>
  </si>
  <si>
    <t>NOTE 50</t>
  </si>
  <si>
    <t>DANIEL DM</t>
  </si>
  <si>
    <t>TERESA FR</t>
  </si>
  <si>
    <t>LUZ LE</t>
  </si>
  <si>
    <t>ELIZABETH MD</t>
  </si>
  <si>
    <t>DIANA LS</t>
  </si>
  <si>
    <t>ROBERTO EM</t>
  </si>
  <si>
    <t>MARCO TF</t>
  </si>
  <si>
    <t xml:space="preserve">HONOR </t>
  </si>
  <si>
    <t>Magic 5 Lite</t>
  </si>
  <si>
    <t>GABRIEL SM</t>
  </si>
  <si>
    <t>JONATHAN VF</t>
  </si>
  <si>
    <t>PAD X9</t>
  </si>
  <si>
    <t>RICARDO MB</t>
  </si>
  <si>
    <t>JENNIFER TT</t>
  </si>
  <si>
    <t>MIRIAM RG</t>
  </si>
  <si>
    <t>A05</t>
  </si>
  <si>
    <t>LUIS RV</t>
  </si>
  <si>
    <t>POCO C65</t>
  </si>
  <si>
    <t>JESSICA MT</t>
  </si>
  <si>
    <t>ADRIAN CC</t>
  </si>
  <si>
    <t>ONE PLUS</t>
  </si>
  <si>
    <t>NORD N30 SE 5G</t>
  </si>
  <si>
    <t>LUIS FJ</t>
  </si>
  <si>
    <t>MAGIC5 LITE 5G</t>
  </si>
  <si>
    <t>GERARDO JN</t>
  </si>
  <si>
    <t>ALBERTO BD</t>
  </si>
  <si>
    <t>URIEL MM</t>
  </si>
  <si>
    <t>REDMI 13C</t>
  </si>
  <si>
    <t>2024-01-01 00:00</t>
  </si>
  <si>
    <t>IRMA JG</t>
  </si>
  <si>
    <t>ANAYELI GJ</t>
  </si>
  <si>
    <t>ALAN UR</t>
  </si>
  <si>
    <t>X8A</t>
  </si>
  <si>
    <t>OSCAR CC</t>
  </si>
  <si>
    <t>A54 5G</t>
  </si>
  <si>
    <t>SAMARA RC</t>
  </si>
  <si>
    <t>CRISTIAN VV</t>
  </si>
  <si>
    <t>MIRIAM ST</t>
  </si>
  <si>
    <t>EDER RM</t>
  </si>
  <si>
    <t>LESLI MR</t>
  </si>
  <si>
    <t>JORGE DC</t>
  </si>
  <si>
    <t>DANIELA SC</t>
  </si>
  <si>
    <t>ISRAEL OR</t>
  </si>
  <si>
    <t>HUGO RA</t>
  </si>
  <si>
    <t>FRANCISCO MG</t>
  </si>
  <si>
    <t>C51</t>
  </si>
  <si>
    <t>SHEYLA AB</t>
  </si>
  <si>
    <t>CARLOS RH</t>
  </si>
  <si>
    <t>NUBIA MUSIC</t>
  </si>
  <si>
    <t>GERARDO GT</t>
  </si>
  <si>
    <t>SANDRA MM</t>
  </si>
  <si>
    <t>X6A PLUS</t>
  </si>
  <si>
    <t>GUADALUPE JR</t>
  </si>
  <si>
    <t>FRANCISCO VA</t>
  </si>
  <si>
    <t>ANA FR</t>
  </si>
  <si>
    <t>JOSE MM</t>
  </si>
  <si>
    <t>KARLA AC</t>
  </si>
  <si>
    <t>MARIA LA</t>
  </si>
  <si>
    <t>A54 BLADE</t>
  </si>
  <si>
    <t>AIDE SA</t>
  </si>
  <si>
    <t>BERNARDO DC</t>
  </si>
  <si>
    <t>ARALY GS</t>
  </si>
  <si>
    <t>JOSELYN PG</t>
  </si>
  <si>
    <t>GABRIELA GG</t>
  </si>
  <si>
    <t>ANGEL AM</t>
  </si>
  <si>
    <t>ALDO HC</t>
  </si>
  <si>
    <t>MARCO MG</t>
  </si>
  <si>
    <t>CITLALI GS</t>
  </si>
  <si>
    <t>YESSENIA VL</t>
  </si>
  <si>
    <t>BRENDA OG</t>
  </si>
  <si>
    <t>ERIK AC</t>
  </si>
  <si>
    <t>JAIME RC</t>
  </si>
  <si>
    <t>JESUS SH</t>
  </si>
  <si>
    <t>CARLOS TB</t>
  </si>
  <si>
    <t>JONATHAN TR</t>
  </si>
  <si>
    <t>NEO</t>
  </si>
  <si>
    <t>VIVIANA MJ</t>
  </si>
  <si>
    <t>EDITH HA</t>
  </si>
  <si>
    <t xml:space="preserve">NUBIA </t>
  </si>
  <si>
    <t>NEO 2</t>
  </si>
  <si>
    <t>MIGUEL GM</t>
  </si>
  <si>
    <t>LORENA ME</t>
  </si>
  <si>
    <t>MARTHA RG</t>
  </si>
  <si>
    <t>REDMO NOTE 14 PRO</t>
  </si>
  <si>
    <t>DALIA SP</t>
  </si>
  <si>
    <t>NOTE 14 ACC</t>
  </si>
  <si>
    <t>RICARDO SH</t>
  </si>
  <si>
    <t>ADI AC</t>
  </si>
  <si>
    <t>ALEJANDRO RI</t>
  </si>
  <si>
    <t>ANA RB</t>
  </si>
  <si>
    <t>LETICIA PM</t>
  </si>
  <si>
    <t>IVONNE PC</t>
  </si>
  <si>
    <t>ERIC JS</t>
  </si>
  <si>
    <t>LUZ ER</t>
  </si>
  <si>
    <t>ESPERANZA FH</t>
  </si>
  <si>
    <t>OSCAR GD</t>
  </si>
  <si>
    <t>MARICELA MG</t>
  </si>
  <si>
    <t>ADRIANA HH</t>
  </si>
  <si>
    <t>URIEL AR</t>
  </si>
  <si>
    <t>ARACELI CM</t>
  </si>
  <si>
    <t>CLAUDIA CO</t>
  </si>
  <si>
    <t>GABRIELA MM</t>
  </si>
  <si>
    <t>VALERIA HF</t>
  </si>
  <si>
    <t>HONOT</t>
  </si>
  <si>
    <t>400 LITE</t>
  </si>
  <si>
    <t>MARIBEL GA</t>
  </si>
  <si>
    <t>CESAR SR</t>
  </si>
  <si>
    <t>PERLA CL</t>
  </si>
  <si>
    <t>CLAUDIA NS</t>
  </si>
  <si>
    <t>BETZAIRA TS</t>
  </si>
  <si>
    <t>MARIA SG</t>
  </si>
  <si>
    <t>PAMELA VC</t>
  </si>
  <si>
    <t>MARCOS MR</t>
  </si>
  <si>
    <t>JOSE GQ</t>
  </si>
  <si>
    <t>JONATHAN RS</t>
  </si>
  <si>
    <t>JORGE GC</t>
  </si>
  <si>
    <t>LIZBETH MT</t>
  </si>
  <si>
    <t>URIEL DG</t>
  </si>
  <si>
    <t>JUANA PM</t>
  </si>
  <si>
    <t>GUSTAVO SI</t>
  </si>
  <si>
    <t>REDMI 15</t>
  </si>
  <si>
    <t>JEOVANNI GM</t>
  </si>
  <si>
    <t>ERNESTO VP</t>
  </si>
  <si>
    <t>JONATHAN VG</t>
  </si>
  <si>
    <t>MARIA GE</t>
  </si>
  <si>
    <t>HOT 60i</t>
  </si>
  <si>
    <t>JESUS DA</t>
  </si>
  <si>
    <t>MIGUEL RC</t>
  </si>
  <si>
    <t>EDGE 40 NEO</t>
  </si>
  <si>
    <t>SUGEY ER</t>
  </si>
  <si>
    <t>JUAN LS</t>
  </si>
  <si>
    <t>OSCAR GN</t>
  </si>
  <si>
    <t>JOSE GG</t>
  </si>
  <si>
    <t>EDUARDO PG</t>
  </si>
  <si>
    <t>X8C</t>
  </si>
  <si>
    <t>SIN ENGANCHE</t>
  </si>
  <si>
    <t>ISRAEL AO</t>
  </si>
  <si>
    <t>CARLOS PC</t>
  </si>
  <si>
    <t>MARISOL RM</t>
  </si>
  <si>
    <t>MARISOL GC</t>
  </si>
  <si>
    <t>OSCAR RG</t>
  </si>
  <si>
    <t>DIANA AS</t>
  </si>
  <si>
    <t>NORMA HM</t>
  </si>
  <si>
    <t>ALICIA ES</t>
  </si>
  <si>
    <t>ANTONIO VC</t>
  </si>
  <si>
    <t>JOSE TG</t>
  </si>
  <si>
    <t>JUANA DC</t>
  </si>
  <si>
    <t>JUAN CB</t>
  </si>
  <si>
    <t>EVELIN BR</t>
  </si>
  <si>
    <t>MARICELA MH</t>
  </si>
  <si>
    <t>GABRIELA SS</t>
  </si>
  <si>
    <t>MARCO RR</t>
  </si>
  <si>
    <t>VIOLETA HA</t>
  </si>
  <si>
    <t>HOT 60 PRO</t>
  </si>
  <si>
    <t>S25 ULTRA</t>
  </si>
  <si>
    <t>ISELA TT</t>
  </si>
  <si>
    <t>JACIEL BR</t>
  </si>
  <si>
    <t>GUADALUPE CM</t>
  </si>
  <si>
    <t>FATIMA AP</t>
  </si>
  <si>
    <t>MARIO GF</t>
  </si>
  <si>
    <t>JOSE CH</t>
  </si>
  <si>
    <t>JUAN TR</t>
  </si>
  <si>
    <t>JOANNA BS</t>
  </si>
  <si>
    <t>LIDIA PG</t>
  </si>
  <si>
    <t>KEVIN GC</t>
  </si>
  <si>
    <t>MARTIN FS</t>
  </si>
  <si>
    <t>CLAUDIA TC</t>
  </si>
  <si>
    <t>ROBERTO EA</t>
  </si>
  <si>
    <t>DOLORES MV</t>
  </si>
  <si>
    <t>GABRIEL VS</t>
  </si>
  <si>
    <t>GABRIELA MG</t>
  </si>
  <si>
    <t>OLGA FL</t>
  </si>
  <si>
    <t>JENIFER MF</t>
  </si>
  <si>
    <t>CARLOS CA</t>
  </si>
  <si>
    <t>LUZ CM</t>
  </si>
  <si>
    <t>SERGIO GS</t>
  </si>
  <si>
    <t>IRIS CO</t>
  </si>
  <si>
    <t>DARIANA RM</t>
  </si>
  <si>
    <t>ALFREDO RV</t>
  </si>
  <si>
    <t>JOSE CC</t>
  </si>
  <si>
    <t>CRISTHIAN CC</t>
  </si>
  <si>
    <t>CINTHYA TD</t>
  </si>
  <si>
    <t>ISABEL VH</t>
  </si>
  <si>
    <t>PAOLA TC</t>
  </si>
  <si>
    <t>ALEJANDRO PB</t>
  </si>
  <si>
    <t>GISSELA DG</t>
  </si>
  <si>
    <t>EDGAR AM</t>
  </si>
  <si>
    <t>ARMANDO EG</t>
  </si>
  <si>
    <t>ROSA DC</t>
  </si>
  <si>
    <t>JOSE OE</t>
  </si>
  <si>
    <t>ESTEFANIA BC</t>
  </si>
  <si>
    <t>MARIANA AP</t>
  </si>
  <si>
    <t>NICOLAS RC</t>
  </si>
  <si>
    <t>TOMAS LL</t>
  </si>
  <si>
    <t>CESAR SB</t>
  </si>
  <si>
    <t>SANDRA VM</t>
  </si>
  <si>
    <t>ITZEL HG</t>
  </si>
  <si>
    <t>ANOE QR</t>
  </si>
  <si>
    <t>ERNESTINA CM</t>
  </si>
  <si>
    <t>EDUARDO CL</t>
  </si>
  <si>
    <t>ISAAC GS</t>
  </si>
  <si>
    <t>VIRGINIA GC</t>
  </si>
  <si>
    <t>FRANCISCO BT</t>
  </si>
  <si>
    <t>EDGE FUSION 60</t>
  </si>
  <si>
    <t>SILVIA RM</t>
  </si>
  <si>
    <t>NESTOR GM</t>
  </si>
  <si>
    <t>ESMERALDA MV</t>
  </si>
  <si>
    <t>LUIS JG</t>
  </si>
  <si>
    <t>ALAN ML</t>
  </si>
  <si>
    <t>LITE ENGANCHE CERO ESPECIAL UNICO</t>
  </si>
  <si>
    <t>HILDA AH</t>
  </si>
  <si>
    <t>PROMO</t>
  </si>
  <si>
    <t>ARIZBETH MS</t>
  </si>
  <si>
    <t>MASTER PV</t>
  </si>
  <si>
    <t>En proceso de enrolamiento</t>
  </si>
  <si>
    <t>MARIA OA</t>
  </si>
  <si>
    <t>MICAELA MG</t>
  </si>
  <si>
    <t>MAGIC 7 LITE</t>
  </si>
  <si>
    <t>ERICK FM</t>
  </si>
  <si>
    <t>VENTA COLABORADOR</t>
  </si>
  <si>
    <t>ABUD VR</t>
  </si>
  <si>
    <t>MOTO G35</t>
  </si>
  <si>
    <t>JUAN CH</t>
  </si>
  <si>
    <t>LUIS ML</t>
  </si>
  <si>
    <t>EMPLEADO</t>
  </si>
  <si>
    <t>BERENICE VI</t>
  </si>
  <si>
    <t>SUSTITUCION</t>
  </si>
  <si>
    <t>DANIEL PG</t>
  </si>
  <si>
    <t>NOTE 15 PRO</t>
  </si>
  <si>
    <t>SIN INTERES SIN ENGANCHE</t>
  </si>
  <si>
    <t>JORGE DT</t>
  </si>
  <si>
    <t>MAGIC 8 LITE</t>
  </si>
  <si>
    <t>MARIA CP</t>
  </si>
  <si>
    <t>JESUS GF</t>
  </si>
  <si>
    <t>Venta publicada</t>
  </si>
  <si>
    <t>PROMO ABRIL 10</t>
  </si>
  <si>
    <t>VIRGINIA CG</t>
  </si>
  <si>
    <t>REDMI NOTE 15 PRO</t>
  </si>
  <si>
    <t>REDMI NOTE 14</t>
  </si>
  <si>
    <t>TANIA MG</t>
  </si>
  <si>
    <t>X5C PLUS</t>
  </si>
  <si>
    <t>ENGANCHE 0</t>
  </si>
  <si>
    <t>A36 5 G</t>
  </si>
  <si>
    <t>VENTA EMPLEADO</t>
  </si>
  <si>
    <t>EUROPA OJ</t>
  </si>
  <si>
    <t>SUSTITUCION 2</t>
  </si>
  <si>
    <t>NORMA AP</t>
  </si>
  <si>
    <t>REDMI NOTE 15</t>
  </si>
  <si>
    <t>En espera de revision</t>
  </si>
  <si>
    <t>DESCONOCIDO DD</t>
  </si>
  <si>
    <t>ESTEFANI RM</t>
  </si>
  <si>
    <t>PRUEBA CS</t>
  </si>
  <si>
    <t>Equipo entregado</t>
  </si>
  <si>
    <t>PRUEBA PU</t>
  </si>
  <si>
    <t>H200</t>
  </si>
  <si>
    <t>LITE</t>
  </si>
  <si>
    <t>MIGUEL CU</t>
  </si>
  <si>
    <t>ESPECIAL INTERES CERO</t>
  </si>
  <si>
    <t>IVAN CP</t>
  </si>
  <si>
    <t>EDGE 70</t>
  </si>
  <si>
    <t>4G</t>
  </si>
  <si>
    <t>X7D</t>
  </si>
  <si>
    <t>256 GB</t>
  </si>
  <si>
    <t>ESMERALDA MG</t>
  </si>
  <si>
    <t>MARIA OM</t>
  </si>
  <si>
    <t>QUETZALI SP</t>
  </si>
  <si>
    <t>SPARK GO 2</t>
  </si>
  <si>
    <t>ANA PR</t>
  </si>
  <si>
    <t>MARIA BA</t>
  </si>
  <si>
    <t>folio</t>
  </si>
  <si>
    <t>fecha</t>
  </si>
  <si>
    <t>plazos</t>
  </si>
  <si>
    <t>precio</t>
  </si>
  <si>
    <t>interes</t>
  </si>
  <si>
    <t>anticipo</t>
  </si>
  <si>
    <t>subtotal</t>
  </si>
  <si>
    <t>total</t>
  </si>
  <si>
    <t>semanal</t>
  </si>
  <si>
    <t>monto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</si>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</sst>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44" formatCode="_-&quot;$&quot;* #,##0.00_-;\-&quot;$&quot;* #,##0.00_-;_-&quot;$&quot;* &quot;-&quot;??_-;_-@_-"/>
    <numFmt numFmtId="164" formatCode="0.0"/>
  </numFmts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b/>
      <sz val="12"/>
      <name val="Aptos Narrow"/>
      <scheme val="minor"/>
    </font>
    <font>
      <sz val="12"/>
      <color theme="2" tint="-0.249977111117893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6" fontId="0" fillId="0" borderId="0" xfId="0" applyNumberFormat="1"/>
    <xf numFmtId="14" fontId="0" fillId="0" borderId="0" xfId="0" applyNumberFormat="1"/>
    <xf numFmtId="0" fontId="0" fillId="2" borderId="0" xfId="0" applyFill="1" applyAlignment="1">
      <alignment horizontal="center"/>
    </xf>
    <xf numFmtId="0" fontId="0" fillId="0" borderId="1" xfId="0" applyBorder="1"/>
    <xf numFmtId="6" fontId="0" fillId="0" borderId="1" xfId="0" applyNumberFormat="1" applyBorder="1"/>
    <xf numFmtId="0" fontId="6" fillId="0" borderId="0" xfId="0" applyFont="1"/>
    <xf numFmtId="0" fontId="6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/>
    <xf numFmtId="9" fontId="0" fillId="0" borderId="0" xfId="2" applyFont="1"/>
    <xf numFmtId="44" fontId="0" fillId="0" borderId="0" xfId="1" applyFont="1"/>
    <xf numFmtId="44" fontId="0" fillId="0" borderId="0" xfId="0" applyNumberFormat="1"/>
    <xf numFmtId="14" fontId="0" fillId="2" borderId="0" xfId="0" applyNumberForma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14" fontId="0" fillId="5" borderId="0" xfId="0" applyNumberFormat="1" applyFill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9" fontId="9" fillId="3" borderId="2" xfId="2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/>
    </xf>
    <xf numFmtId="0" fontId="5" fillId="3" borderId="0" xfId="0" applyFont="1" applyFill="1"/>
    <xf numFmtId="0" fontId="10" fillId="3" borderId="0" xfId="0" applyFont="1" applyFill="1" applyAlignment="1">
      <alignment horizontal="center"/>
    </xf>
    <xf numFmtId="44" fontId="0" fillId="3" borderId="0" xfId="1" applyFont="1" applyFill="1" applyAlignment="1">
      <alignment horizontal="center"/>
    </xf>
    <xf numFmtId="44" fontId="0" fillId="3" borderId="0" xfId="0" applyNumberFormat="1" applyFill="1" applyAlignment="1">
      <alignment horizontal="center"/>
    </xf>
    <xf numFmtId="9" fontId="0" fillId="3" borderId="0" xfId="2" applyFont="1" applyFill="1" applyAlignment="1">
      <alignment horizontal="right"/>
    </xf>
    <xf numFmtId="0" fontId="0" fillId="7" borderId="0" xfId="0" applyFill="1"/>
    <xf numFmtId="0" fontId="0" fillId="7" borderId="0" xfId="0" applyFill="1" applyAlignment="1">
      <alignment horizontal="center"/>
    </xf>
    <xf numFmtId="0" fontId="8" fillId="3" borderId="0" xfId="0" applyFont="1" applyFill="1" applyAlignment="1">
      <alignment horizontal="center"/>
    </xf>
    <xf numFmtId="9" fontId="8" fillId="3" borderId="2" xfId="2" applyFont="1" applyFill="1" applyBorder="1" applyAlignment="1">
      <alignment horizontal="center"/>
    </xf>
    <xf numFmtId="44" fontId="0" fillId="3" borderId="0" xfId="1" applyFont="1" applyFill="1" applyBorder="1"/>
    <xf numFmtId="44" fontId="0" fillId="3" borderId="0" xfId="0" applyNumberFormat="1" applyFill="1"/>
    <xf numFmtId="0" fontId="0" fillId="3" borderId="1" xfId="0" applyFill="1" applyBorder="1"/>
    <xf numFmtId="44" fontId="0" fillId="3" borderId="1" xfId="1" applyFont="1" applyFill="1" applyBorder="1"/>
    <xf numFmtId="44" fontId="0" fillId="3" borderId="1" xfId="0" applyNumberFormat="1" applyFill="1" applyBorder="1"/>
    <xf numFmtId="9" fontId="7" fillId="3" borderId="0" xfId="0" applyNumberFormat="1" applyFont="1" applyFill="1"/>
    <xf numFmtId="44" fontId="7" fillId="3" borderId="0" xfId="0" applyNumberFormat="1" applyFont="1" applyFill="1"/>
    <xf numFmtId="0" fontId="3" fillId="9" borderId="0" xfId="0" applyFont="1" applyFill="1"/>
    <xf numFmtId="0" fontId="0" fillId="10" borderId="0" xfId="0" applyFill="1"/>
    <xf numFmtId="44" fontId="0" fillId="10" borderId="0" xfId="1" applyFont="1" applyFill="1" applyBorder="1"/>
    <xf numFmtId="0" fontId="0" fillId="10" borderId="1" xfId="0" applyFill="1" applyBorder="1"/>
    <xf numFmtId="44" fontId="0" fillId="10" borderId="1" xfId="1" applyFont="1" applyFill="1" applyBorder="1"/>
    <xf numFmtId="44" fontId="0" fillId="10" borderId="1" xfId="0" applyNumberFormat="1" applyFill="1" applyBorder="1"/>
    <xf numFmtId="44" fontId="7" fillId="3" borderId="0" xfId="1" applyFont="1" applyFill="1" applyBorder="1"/>
    <xf numFmtId="9" fontId="0" fillId="10" borderId="1" xfId="0" applyNumberFormat="1" applyFill="1" applyBorder="1"/>
    <xf numFmtId="0" fontId="9" fillId="3" borderId="0" xfId="0" applyFont="1" applyFill="1" applyAlignment="1">
      <alignment vertical="center"/>
    </xf>
    <xf numFmtId="0" fontId="7" fillId="10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 vertical="center"/>
    </xf>
    <xf numFmtId="22" fontId="0" fillId="0" borderId="0" xfId="0" applyNumberFormat="1"/>
    <xf numFmtId="2" fontId="0" fillId="3" borderId="0" xfId="0" applyNumberFormat="1" applyFill="1" applyAlignment="1">
      <alignment horizontal="right"/>
    </xf>
    <xf numFmtId="164" fontId="0" fillId="3" borderId="0" xfId="0" applyNumberFormat="1" applyFill="1"/>
    <xf numFmtId="9" fontId="0" fillId="3" borderId="0" xfId="0" applyNumberFormat="1" applyFill="1"/>
    <xf numFmtId="0" fontId="7" fillId="10" borderId="0" xfId="0" applyFont="1" applyFill="1" applyAlignment="1">
      <alignment horizontal="center"/>
    </xf>
    <xf numFmtId="9" fontId="0" fillId="10" borderId="0" xfId="0" applyNumberFormat="1" applyFill="1"/>
    <xf numFmtId="164" fontId="0" fillId="3" borderId="1" xfId="0" applyNumberFormat="1" applyFill="1" applyBorder="1"/>
    <xf numFmtId="164" fontId="0" fillId="10" borderId="1" xfId="0" applyNumberFormat="1" applyFill="1" applyBorder="1"/>
    <xf numFmtId="44" fontId="0" fillId="10" borderId="0" xfId="0" applyNumberFormat="1" applyFill="1"/>
    <xf numFmtId="164" fontId="0" fillId="10" borderId="0" xfId="0" applyNumberFormat="1" applyFill="1"/>
    <xf numFmtId="164" fontId="7" fillId="3" borderId="0" xfId="0" applyNumberFormat="1" applyFont="1" applyFill="1"/>
    <xf numFmtId="1" fontId="0" fillId="3" borderId="1" xfId="0" applyNumberFormat="1" applyFill="1" applyBorder="1"/>
    <xf numFmtId="1" fontId="0" fillId="3" borderId="0" xfId="0" applyNumberFormat="1" applyFill="1"/>
    <xf numFmtId="9" fontId="0" fillId="3" borderId="1" xfId="2" applyFont="1" applyFill="1" applyBorder="1"/>
    <xf numFmtId="9" fontId="0" fillId="3" borderId="0" xfId="2" applyFont="1" applyFill="1" applyBorder="1"/>
    <xf numFmtId="44" fontId="11" fillId="3" borderId="1" xfId="1" applyFont="1" applyFill="1" applyBorder="1"/>
    <xf numFmtId="44" fontId="11" fillId="3" borderId="0" xfId="1" applyFont="1" applyFill="1" applyBorder="1"/>
    <xf numFmtId="44" fontId="11" fillId="10" borderId="0" xfId="1" applyFont="1" applyFill="1" applyBorder="1"/>
    <xf numFmtId="44" fontId="11" fillId="10" borderId="1" xfId="1" applyFont="1" applyFill="1" applyBorder="1"/>
    <xf numFmtId="0" fontId="11" fillId="3" borderId="0" xfId="0" applyFont="1" applyFill="1"/>
    <xf numFmtId="1" fontId="0" fillId="10" borderId="1" xfId="0" applyNumberFormat="1" applyFill="1" applyBorder="1"/>
    <xf numFmtId="9" fontId="0" fillId="10" borderId="0" xfId="2" applyFont="1" applyFill="1" applyBorder="1"/>
    <xf numFmtId="9" fontId="0" fillId="10" borderId="1" xfId="2" applyFont="1" applyFill="1" applyBorder="1"/>
    <xf numFmtId="9" fontId="0" fillId="3" borderId="0" xfId="2" applyFont="1" applyFill="1"/>
    <xf numFmtId="44" fontId="0" fillId="3" borderId="0" xfId="1" applyFont="1" applyFill="1"/>
    <xf numFmtId="1" fontId="0" fillId="10" borderId="0" xfId="0" applyNumberFormat="1" applyFill="1"/>
    <xf numFmtId="44" fontId="12" fillId="11" borderId="0" xfId="1" applyFont="1" applyFill="1"/>
    <xf numFmtId="164" fontId="12" fillId="11" borderId="0" xfId="0" applyNumberFormat="1" applyFont="1" applyFill="1"/>
    <xf numFmtId="9" fontId="12" fillId="11" borderId="0" xfId="2" applyFont="1" applyFill="1"/>
    <xf numFmtId="9" fontId="7" fillId="3" borderId="0" xfId="2" applyFont="1" applyFill="1" applyBorder="1"/>
    <xf numFmtId="1" fontId="7" fillId="3" borderId="0" xfId="0" applyNumberFormat="1" applyFont="1" applyFill="1"/>
    <xf numFmtId="44" fontId="7" fillId="3" borderId="0" xfId="1" applyFont="1" applyFill="1"/>
    <xf numFmtId="1" fontId="7" fillId="3" borderId="0" xfId="1" applyNumberFormat="1" applyFont="1" applyFill="1"/>
    <xf numFmtId="1" fontId="12" fillId="11" borderId="0" xfId="1" applyNumberFormat="1" applyFont="1" applyFill="1"/>
    <xf numFmtId="1" fontId="8" fillId="10" borderId="0" xfId="0" applyNumberFormat="1" applyFont="1" applyFill="1"/>
    <xf numFmtId="164" fontId="8" fillId="10" borderId="0" xfId="0" applyNumberFormat="1" applyFont="1" applyFill="1"/>
    <xf numFmtId="9" fontId="8" fillId="10" borderId="0" xfId="0" applyNumberFormat="1" applyFont="1" applyFill="1"/>
    <xf numFmtId="44" fontId="8" fillId="10" borderId="0" xfId="0" applyNumberFormat="1" applyFont="1" applyFill="1"/>
    <xf numFmtId="0" fontId="0" fillId="10" borderId="0" xfId="0" applyFill="1" applyAlignment="1">
      <alignment horizontal="center"/>
    </xf>
    <xf numFmtId="0" fontId="0" fillId="12" borderId="0" xfId="0" applyFill="1"/>
    <xf numFmtId="0" fontId="3" fillId="13" borderId="0" xfId="0" applyFont="1" applyFill="1"/>
    <xf numFmtId="0" fontId="9" fillId="10" borderId="0" xfId="0" applyFont="1" applyFill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44" fontId="8" fillId="3" borderId="0" xfId="1" applyFont="1" applyFill="1" applyAlignment="1">
      <alignment horizontal="center"/>
    </xf>
    <xf numFmtId="44" fontId="8" fillId="3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10">
    <dxf>
      <numFmt numFmtId="27" formatCode="dd/mm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\ h:mm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98F9DEF8-8A74-C747-B1D1-082488E6B6E1}" autoFormatId="16" applyNumberFormats="0" applyBorderFormats="0" applyFontFormats="0" applyPatternFormats="0" applyAlignmentFormats="0" applyWidthHeightFormats="0">
  <queryTableRefresh nextId="12">
    <queryTableFields count="10">
      <queryTableField id="1" name="folio" tableColumnId="1"/>
      <queryTableField id="2" name="fecha" tableColumnId="2"/>
      <queryTableField id="3" name="plazos" tableColumnId="3"/>
      <queryTableField id="4" name="precio" tableColumnId="4"/>
      <queryTableField id="5" name="interes" tableColumnId="5"/>
      <queryTableField id="6" name="anticipo" tableColumnId="6"/>
      <queryTableField id="10" name="monto" tableColumnId="10"/>
      <queryTableField id="7" name="subtotal" tableColumnId="7"/>
      <queryTableField id="8" name="total" tableColumnId="8"/>
      <queryTableField id="9" name="semanal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B80E3A83-C8C3-954E-A17D-1F0ABCDA487B}" autoFormatId="16" applyNumberFormats="0" applyBorderFormats="0" applyFontFormats="0" applyPatternFormats="0" applyAlignmentFormats="0" applyWidthHeightFormats="0">
  <queryTableRefresh nextId="29">
    <queryTableFields count="28">
      <queryTableField id="1" name="ventaFolio" tableColumnId="1"/>
      <queryTableField id="2" name="sucursalOrigenFolio" tableColumnId="2"/>
      <queryTableField id="3" name="vendedorOrigenFolio" tableColumnId="3"/>
      <queryTableField id="4" name="vendedorOrigenNombre" tableColumnId="4"/>
      <queryTableField id="5" name="codigo" tableColumnId="5"/>
      <queryTableField id="6" name="estado" tableColumnId="6"/>
      <queryTableField id="7" name="creada" tableColumnId="7"/>
      <queryTableField id="8" name="equipoFolio" tableColumnId="8"/>
      <queryTableField id="9" name="clienteNombre" tableColumnId="9"/>
      <queryTableField id="10" name="clienteFolio" tableColumnId="10"/>
      <queryTableField id="11" name="equipoMarca" tableColumnId="11"/>
      <queryTableField id="12" name="equipoModelo" tableColumnId="12"/>
      <queryTableField id="13" name="configuracionVariante" tableColumnId="13"/>
      <queryTableField id="14" name="configuracionMemoria" tableColumnId="14"/>
      <queryTableField id="15" name="configuracionAlmacenamiento" tableColumnId="15"/>
      <queryTableField id="16" name="financiamientoPlazos" tableColumnId="16"/>
      <queryTableField id="17" name="financiamientoPrecio" tableColumnId="17"/>
      <queryTableField id="18" name="financiamientoInteres" tableColumnId="18"/>
      <queryTableField id="19" name="financiamientoAnticipo" tableColumnId="19"/>
      <queryTableField id="20" name="financiamientoSubtotal" tableColumnId="20"/>
      <queryTableField id="21" name="financiamientoTotal" tableColumnId="21"/>
      <queryTableField id="22" name="financiamientoSemanal" tableColumnId="22"/>
      <queryTableField id="23" name="financiamientoRecurrente" tableColumnId="23"/>
      <queryTableField id="24" name="anticipoConcepto" tableColumnId="24"/>
      <queryTableField id="25" name="anticipoFecha" tableColumnId="25"/>
      <queryTableField id="26" name="anticipoMontoRecibido" tableColumnId="26"/>
      <queryTableField id="27" name="anticipoMontoAportado" tableColumnId="27"/>
      <queryTableField id="28" name="anticipoMontoDevuelto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162074-D4AE-924C-9515-FD10C39A1B9C}" name="factVentas" displayName="factVentas" ref="A1:J450" tableType="queryTable" totalsRowShown="0">
  <autoFilter ref="A1:J450" xr:uid="{4F162074-D4AE-924C-9515-FD10C39A1B9C}"/>
  <sortState xmlns:xlrd2="http://schemas.microsoft.com/office/spreadsheetml/2017/richdata2" ref="A2:J450">
    <sortCondition ref="B1:B450"/>
  </sortState>
  <tableColumns count="10">
    <tableColumn id="1" xr3:uid="{1D7D8B54-DE04-C341-BC43-36467954EB3F}" uniqueName="1" name="folio" queryTableFieldId="1"/>
    <tableColumn id="2" xr3:uid="{2573011B-FA9E-6D49-912F-043B5D9609A4}" uniqueName="2" name="fecha" queryTableFieldId="2" dataDxfId="9"/>
    <tableColumn id="3" xr3:uid="{11280E28-92AE-194C-93FD-06A6F26E8A1B}" uniqueName="3" name="plazos" queryTableFieldId="3"/>
    <tableColumn id="4" xr3:uid="{35512446-1B5A-424B-A533-B65CCAD70DB3}" uniqueName="4" name="precio" queryTableFieldId="4"/>
    <tableColumn id="5" xr3:uid="{B043F756-3AF2-C54E-966C-717271B2B10B}" uniqueName="5" name="interes" queryTableFieldId="5"/>
    <tableColumn id="6" xr3:uid="{EB1A5D6E-2333-C943-8830-4AEBD055AFFE}" uniqueName="6" name="anticipo" queryTableFieldId="6"/>
    <tableColumn id="10" xr3:uid="{3AFCF7E1-5A9A-344B-ABD9-088A9749AB19}" uniqueName="10" name="monto" queryTableFieldId="10"/>
    <tableColumn id="7" xr3:uid="{180A7DDB-B373-5847-AEEC-DAB414FAA9E8}" uniqueName="7" name="subtotal" queryTableFieldId="7"/>
    <tableColumn id="8" xr3:uid="{80ED340F-7C53-B944-B3A2-D5C91CB97EA3}" uniqueName="8" name="total" queryTableFieldId="8"/>
    <tableColumn id="9" xr3:uid="{8B8096C8-76E5-7243-A241-A4F4683680BD}" uniqueName="9" name="semanal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422B5-C18B-7042-8C79-672446B7715B}" name="ventas" displayName="ventas" ref="A1:AB473" tableType="queryTable" totalsRowShown="0">
  <autoFilter ref="A1:AB473" xr:uid="{244422B5-C18B-7042-8C79-672446B7715B}"/>
  <tableColumns count="28">
    <tableColumn id="1" xr3:uid="{ECA09452-6201-0F46-8A46-504CDB5EDA0F}" uniqueName="1" name="ventaFolio" queryTableFieldId="1"/>
    <tableColumn id="2" xr3:uid="{662D3153-7CA1-7B47-A2D6-489AEC30AF5D}" uniqueName="2" name="sucursalOrigenFolio" queryTableFieldId="2"/>
    <tableColumn id="3" xr3:uid="{D83F4966-7822-2D4E-9034-38AEDA9BA8E8}" uniqueName="3" name="vendedorOrigenFolio" queryTableFieldId="3"/>
    <tableColumn id="4" xr3:uid="{4CD615CA-6C14-BF4F-98F7-CA1CFF57A04C}" uniqueName="4" name="vendedorOrigenNombre" queryTableFieldId="4" dataDxfId="8"/>
    <tableColumn id="5" xr3:uid="{1DDFB3D1-B319-3E4A-BFCC-4CF079A57C60}" uniqueName="5" name="codigo" queryTableFieldId="5"/>
    <tableColumn id="6" xr3:uid="{AD300DFD-616E-8249-92AE-E9FC25CAA2D9}" uniqueName="6" name="estado" queryTableFieldId="6" dataDxfId="7"/>
    <tableColumn id="7" xr3:uid="{4AD4F23D-8BB6-5B43-BF2A-89DB2AF13864}" uniqueName="7" name="creada" queryTableFieldId="7" dataDxfId="6"/>
    <tableColumn id="8" xr3:uid="{40D0BDDF-43E7-B045-B3A0-2186CF26B3C3}" uniqueName="8" name="equipoFolio" queryTableFieldId="8"/>
    <tableColumn id="9" xr3:uid="{05DA7CF8-DE12-8740-AD41-5A6D78F6B056}" uniqueName="9" name="clienteNombre" queryTableFieldId="9" dataDxfId="5"/>
    <tableColumn id="10" xr3:uid="{0FCA346E-9E78-9E4A-87C5-F0BB3BC1AD7B}" uniqueName="10" name="clienteFolio" queryTableFieldId="10"/>
    <tableColumn id="11" xr3:uid="{45D67B1D-1A89-6F4A-8706-9DC49126551E}" uniqueName="11" name="equipoMarca" queryTableFieldId="11" dataDxfId="4"/>
    <tableColumn id="12" xr3:uid="{A14DFDB0-6298-374D-8614-1ADF76FDF819}" uniqueName="12" name="equipoModelo" queryTableFieldId="12" dataDxfId="3"/>
    <tableColumn id="13" xr3:uid="{9F39FC93-E01C-D14D-ADE0-0A2CFA109D1A}" uniqueName="13" name="configuracionVariante" queryTableFieldId="13" dataDxfId="2"/>
    <tableColumn id="14" xr3:uid="{1DA65DA0-E4F0-4042-B979-F4381E624D5A}" uniqueName="14" name="configuracionMemoria" queryTableFieldId="14"/>
    <tableColumn id="15" xr3:uid="{C93FB3AE-ED6C-644B-9779-236700430722}" uniqueName="15" name="configuracionAlmacenamiento" queryTableFieldId="15"/>
    <tableColumn id="16" xr3:uid="{67252021-5D8D-A34A-806B-E3ABFC7514A3}" uniqueName="16" name="financiamientoPlazos" queryTableFieldId="16"/>
    <tableColumn id="17" xr3:uid="{B70F4E9A-4178-7842-8FC9-30E1DDF8054B}" uniqueName="17" name="financiamientoPrecio" queryTableFieldId="17"/>
    <tableColumn id="18" xr3:uid="{991ABEC2-9DE1-F14A-B3DB-C55648A88546}" uniqueName="18" name="financiamientoInteres" queryTableFieldId="18"/>
    <tableColumn id="19" xr3:uid="{E4F21058-4919-714C-A2C5-E012F513B9C7}" uniqueName="19" name="financiamientoAnticipo" queryTableFieldId="19"/>
    <tableColumn id="20" xr3:uid="{D6CCCEDD-6C76-CF43-A09F-9FBE0E0D99F3}" uniqueName="20" name="financiamientoSubtotal" queryTableFieldId="20"/>
    <tableColumn id="21" xr3:uid="{FEA61DF4-B588-A247-8277-C0873D12F4A4}" uniqueName="21" name="financiamientoTotal" queryTableFieldId="21"/>
    <tableColumn id="22" xr3:uid="{35CCCE3F-AB1C-F645-8ED4-294ADAFFCE63}" uniqueName="22" name="financiamientoSemanal" queryTableFieldId="22"/>
    <tableColumn id="23" xr3:uid="{D2D6A1DA-467F-3C48-8880-1E65A3997DD5}" uniqueName="23" name="financiamientoRecurrente" queryTableFieldId="23"/>
    <tableColumn id="24" xr3:uid="{22921596-4597-6F4B-BBDE-DBDF9D4785BE}" uniqueName="24" name="anticipoConcepto" queryTableFieldId="24" dataDxfId="1"/>
    <tableColumn id="25" xr3:uid="{C1788B07-A518-A648-962C-907A46DE417F}" uniqueName="25" name="anticipoFecha" queryTableFieldId="25" dataDxfId="0"/>
    <tableColumn id="26" xr3:uid="{072F1B88-A5BE-F34A-8D4C-B0034B632077}" uniqueName="26" name="anticipoMontoRecibido" queryTableFieldId="26"/>
    <tableColumn id="27" xr3:uid="{B513DBA9-0CD9-C146-8638-E33E537EA287}" uniqueName="27" name="anticipoMontoAportado" queryTableFieldId="27"/>
    <tableColumn id="28" xr3:uid="{C71ECA10-E8BF-C64E-AFA3-6FA02037026C}" uniqueName="28" name="anticipoMontoDevuelto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8616-5E89-434F-B519-944D736ED29B}">
  <dimension ref="A1:J450"/>
  <sheetViews>
    <sheetView workbookViewId="0">
      <selection activeCell="G2" sqref="G2:G450"/>
    </sheetView>
  </sheetViews>
  <sheetFormatPr baseColWidth="10" defaultRowHeight="16" x14ac:dyDescent="0.2"/>
  <cols>
    <col min="1" max="1" width="7.33203125" bestFit="1" customWidth="1"/>
    <col min="2" max="2" width="8.5" bestFit="1" customWidth="1"/>
    <col min="3" max="3" width="9" bestFit="1" customWidth="1"/>
    <col min="4" max="4" width="8.83203125" bestFit="1" customWidth="1"/>
    <col min="5" max="5" width="9.5" bestFit="1" customWidth="1"/>
    <col min="6" max="6" width="10.33203125" bestFit="1" customWidth="1"/>
    <col min="7" max="7" width="9" bestFit="1" customWidth="1"/>
    <col min="8" max="8" width="10.5" bestFit="1" customWidth="1"/>
    <col min="9" max="9" width="9.1640625" bestFit="1" customWidth="1"/>
  </cols>
  <sheetData>
    <row r="1" spans="1:10" x14ac:dyDescent="0.2">
      <c r="A1" t="s">
        <v>665</v>
      </c>
      <c r="B1" t="s">
        <v>666</v>
      </c>
      <c r="C1" t="s">
        <v>667</v>
      </c>
      <c r="D1" t="s">
        <v>668</v>
      </c>
      <c r="E1" t="s">
        <v>669</v>
      </c>
      <c r="F1" t="s">
        <v>670</v>
      </c>
      <c r="G1" t="s">
        <v>674</v>
      </c>
      <c r="H1" t="s">
        <v>671</v>
      </c>
      <c r="I1" t="s">
        <v>672</v>
      </c>
      <c r="J1" t="s">
        <v>673</v>
      </c>
    </row>
    <row r="2" spans="1:10" x14ac:dyDescent="0.2">
      <c r="A2">
        <v>425</v>
      </c>
      <c r="B2" s="3">
        <v>45266</v>
      </c>
      <c r="C2">
        <v>26</v>
      </c>
      <c r="D2">
        <v>8799</v>
      </c>
      <c r="E2">
        <v>1.742</v>
      </c>
      <c r="F2">
        <v>1500</v>
      </c>
      <c r="G2">
        <v>7299</v>
      </c>
      <c r="H2">
        <v>12714.86</v>
      </c>
      <c r="I2">
        <v>14214.86</v>
      </c>
      <c r="J2">
        <v>489.03</v>
      </c>
    </row>
    <row r="3" spans="1:10" x14ac:dyDescent="0.2">
      <c r="A3">
        <v>426</v>
      </c>
      <c r="B3" s="3">
        <v>45286</v>
      </c>
      <c r="C3">
        <v>26</v>
      </c>
      <c r="D3">
        <v>7699</v>
      </c>
      <c r="E3">
        <v>1.1819999999999999</v>
      </c>
      <c r="F3">
        <v>0</v>
      </c>
      <c r="G3">
        <v>7699</v>
      </c>
      <c r="H3">
        <v>9100.2199999999993</v>
      </c>
      <c r="I3">
        <v>9100.2199999999993</v>
      </c>
      <c r="J3">
        <v>350.01</v>
      </c>
    </row>
    <row r="4" spans="1:10" x14ac:dyDescent="0.2">
      <c r="A4">
        <v>419</v>
      </c>
      <c r="B4" s="3">
        <v>45330</v>
      </c>
      <c r="C4">
        <v>26</v>
      </c>
      <c r="D4">
        <v>5499</v>
      </c>
      <c r="E4">
        <v>1.7</v>
      </c>
      <c r="F4">
        <v>499</v>
      </c>
      <c r="G4">
        <v>5000</v>
      </c>
      <c r="H4">
        <v>8500</v>
      </c>
      <c r="I4">
        <v>8999</v>
      </c>
      <c r="J4">
        <v>326.92</v>
      </c>
    </row>
    <row r="5" spans="1:10" x14ac:dyDescent="0.2">
      <c r="A5">
        <v>420</v>
      </c>
      <c r="B5" s="3">
        <v>45337</v>
      </c>
      <c r="C5">
        <v>35</v>
      </c>
      <c r="D5">
        <v>6999</v>
      </c>
      <c r="E5">
        <v>1.5</v>
      </c>
      <c r="F5">
        <v>0</v>
      </c>
      <c r="G5">
        <v>6999</v>
      </c>
      <c r="H5">
        <v>10498.5</v>
      </c>
      <c r="I5">
        <v>10498.5</v>
      </c>
      <c r="J5">
        <v>299.95999999999998</v>
      </c>
    </row>
    <row r="6" spans="1:10" x14ac:dyDescent="0.2">
      <c r="A6">
        <v>423</v>
      </c>
      <c r="B6" s="3">
        <v>45339</v>
      </c>
      <c r="C6">
        <v>15</v>
      </c>
      <c r="D6">
        <v>6599</v>
      </c>
      <c r="E6">
        <v>1.5</v>
      </c>
      <c r="F6">
        <v>999</v>
      </c>
      <c r="G6">
        <v>5600</v>
      </c>
      <c r="H6">
        <v>8400</v>
      </c>
      <c r="I6">
        <v>9399</v>
      </c>
      <c r="J6">
        <v>560</v>
      </c>
    </row>
    <row r="7" spans="1:10" x14ac:dyDescent="0.2">
      <c r="A7">
        <v>417</v>
      </c>
      <c r="B7" s="3">
        <v>45345</v>
      </c>
      <c r="C7">
        <v>20</v>
      </c>
      <c r="D7">
        <v>3999</v>
      </c>
      <c r="E7">
        <v>1</v>
      </c>
      <c r="F7">
        <v>749</v>
      </c>
      <c r="G7">
        <v>3250</v>
      </c>
      <c r="H7">
        <v>3250</v>
      </c>
      <c r="I7">
        <v>3999</v>
      </c>
      <c r="J7">
        <v>162.5</v>
      </c>
    </row>
    <row r="8" spans="1:10" x14ac:dyDescent="0.2">
      <c r="A8">
        <v>422</v>
      </c>
      <c r="B8" s="3">
        <v>45346</v>
      </c>
      <c r="C8">
        <v>15</v>
      </c>
      <c r="D8">
        <v>6599</v>
      </c>
      <c r="E8">
        <v>1.5</v>
      </c>
      <c r="F8">
        <v>999</v>
      </c>
      <c r="G8">
        <v>5600</v>
      </c>
      <c r="H8">
        <v>8400</v>
      </c>
      <c r="I8">
        <v>9399</v>
      </c>
      <c r="J8">
        <v>560</v>
      </c>
    </row>
    <row r="9" spans="1:10" x14ac:dyDescent="0.2">
      <c r="A9">
        <v>421</v>
      </c>
      <c r="B9" s="3">
        <v>45356</v>
      </c>
      <c r="C9">
        <v>43</v>
      </c>
      <c r="D9">
        <v>8999</v>
      </c>
      <c r="E9">
        <v>1.9</v>
      </c>
      <c r="F9">
        <v>1999</v>
      </c>
      <c r="G9">
        <v>7000</v>
      </c>
      <c r="H9">
        <v>13300</v>
      </c>
      <c r="I9">
        <v>15299</v>
      </c>
      <c r="J9">
        <v>309.3</v>
      </c>
    </row>
    <row r="10" spans="1:10" x14ac:dyDescent="0.2">
      <c r="A10">
        <v>418</v>
      </c>
      <c r="B10" s="3">
        <v>45365</v>
      </c>
      <c r="C10">
        <v>15</v>
      </c>
      <c r="D10">
        <v>8499</v>
      </c>
      <c r="E10">
        <v>1.5</v>
      </c>
      <c r="F10">
        <v>2499</v>
      </c>
      <c r="G10">
        <v>6000</v>
      </c>
      <c r="H10">
        <v>9000</v>
      </c>
      <c r="I10">
        <v>11499</v>
      </c>
      <c r="J10">
        <v>600</v>
      </c>
    </row>
    <row r="11" spans="1:10" x14ac:dyDescent="0.2">
      <c r="A11">
        <v>424</v>
      </c>
      <c r="B11" s="3">
        <v>45368</v>
      </c>
      <c r="C11">
        <v>26</v>
      </c>
      <c r="D11">
        <v>5799</v>
      </c>
      <c r="E11">
        <v>1.7</v>
      </c>
      <c r="F11">
        <v>1249</v>
      </c>
      <c r="G11">
        <v>4550</v>
      </c>
      <c r="H11">
        <v>7735</v>
      </c>
      <c r="I11">
        <v>8984</v>
      </c>
      <c r="J11">
        <v>297.5</v>
      </c>
    </row>
    <row r="12" spans="1:10" x14ac:dyDescent="0.2">
      <c r="A12">
        <v>406</v>
      </c>
      <c r="B12" s="3">
        <v>45375</v>
      </c>
      <c r="C12">
        <v>26</v>
      </c>
      <c r="D12">
        <v>6599</v>
      </c>
      <c r="E12">
        <v>1.7</v>
      </c>
      <c r="F12">
        <v>1249</v>
      </c>
      <c r="G12">
        <v>5350</v>
      </c>
      <c r="H12">
        <v>9095</v>
      </c>
      <c r="I12">
        <v>10344</v>
      </c>
      <c r="J12">
        <v>349.81</v>
      </c>
    </row>
    <row r="13" spans="1:10" x14ac:dyDescent="0.2">
      <c r="A13">
        <v>403</v>
      </c>
      <c r="B13" s="3">
        <v>45389</v>
      </c>
      <c r="C13">
        <v>42</v>
      </c>
      <c r="D13">
        <v>6799</v>
      </c>
      <c r="E13">
        <v>1.9</v>
      </c>
      <c r="F13">
        <v>999</v>
      </c>
      <c r="G13">
        <v>5800</v>
      </c>
      <c r="H13">
        <v>11020</v>
      </c>
      <c r="I13">
        <v>12019</v>
      </c>
      <c r="J13">
        <v>262.38</v>
      </c>
    </row>
    <row r="14" spans="1:10" x14ac:dyDescent="0.2">
      <c r="A14">
        <v>404</v>
      </c>
      <c r="B14" s="3">
        <v>45389</v>
      </c>
      <c r="C14">
        <v>26</v>
      </c>
      <c r="D14">
        <v>7599</v>
      </c>
      <c r="E14">
        <v>1.7</v>
      </c>
      <c r="F14">
        <v>1499</v>
      </c>
      <c r="G14">
        <v>6100</v>
      </c>
      <c r="H14">
        <v>10370</v>
      </c>
      <c r="I14">
        <v>11869</v>
      </c>
      <c r="J14">
        <v>398.85</v>
      </c>
    </row>
    <row r="15" spans="1:10" x14ac:dyDescent="0.2">
      <c r="A15">
        <v>408</v>
      </c>
      <c r="B15" s="3">
        <v>45393</v>
      </c>
      <c r="C15">
        <v>10</v>
      </c>
      <c r="D15">
        <v>2500</v>
      </c>
      <c r="E15">
        <v>1</v>
      </c>
      <c r="F15">
        <v>0</v>
      </c>
      <c r="G15">
        <v>2500</v>
      </c>
      <c r="H15">
        <v>2500</v>
      </c>
      <c r="I15">
        <v>2500</v>
      </c>
      <c r="J15">
        <v>250</v>
      </c>
    </row>
    <row r="16" spans="1:10" x14ac:dyDescent="0.2">
      <c r="A16">
        <v>405</v>
      </c>
      <c r="B16" s="3">
        <v>45402</v>
      </c>
      <c r="C16">
        <v>15</v>
      </c>
      <c r="D16">
        <v>6299</v>
      </c>
      <c r="E16">
        <v>1.5</v>
      </c>
      <c r="F16">
        <v>1500</v>
      </c>
      <c r="G16">
        <v>4799</v>
      </c>
      <c r="H16">
        <v>7198.5</v>
      </c>
      <c r="I16">
        <v>8698.5</v>
      </c>
      <c r="J16">
        <v>479.9</v>
      </c>
    </row>
    <row r="17" spans="1:10" x14ac:dyDescent="0.2">
      <c r="A17">
        <v>407</v>
      </c>
      <c r="B17" s="3">
        <v>45403</v>
      </c>
      <c r="C17">
        <v>20</v>
      </c>
      <c r="D17">
        <v>6000</v>
      </c>
      <c r="E17">
        <v>1</v>
      </c>
      <c r="F17">
        <v>1000</v>
      </c>
      <c r="G17">
        <v>5000</v>
      </c>
      <c r="H17">
        <v>5000</v>
      </c>
      <c r="I17">
        <v>6000</v>
      </c>
      <c r="J17">
        <v>250</v>
      </c>
    </row>
    <row r="18" spans="1:10" x14ac:dyDescent="0.2">
      <c r="A18">
        <v>409</v>
      </c>
      <c r="B18" s="3">
        <v>45418</v>
      </c>
      <c r="C18">
        <v>26</v>
      </c>
      <c r="D18">
        <v>5499</v>
      </c>
      <c r="E18">
        <v>1.7</v>
      </c>
      <c r="F18">
        <v>999</v>
      </c>
      <c r="G18">
        <v>4500</v>
      </c>
      <c r="H18">
        <v>7650</v>
      </c>
      <c r="I18">
        <v>8649</v>
      </c>
      <c r="J18">
        <v>294.23</v>
      </c>
    </row>
    <row r="19" spans="1:10" x14ac:dyDescent="0.2">
      <c r="A19">
        <v>470</v>
      </c>
      <c r="B19" s="3">
        <v>45422</v>
      </c>
      <c r="C19">
        <v>15</v>
      </c>
      <c r="D19">
        <v>3999</v>
      </c>
      <c r="E19">
        <v>1.5</v>
      </c>
      <c r="F19">
        <v>799</v>
      </c>
      <c r="G19">
        <v>3200</v>
      </c>
      <c r="H19">
        <v>4800</v>
      </c>
      <c r="I19">
        <v>5599</v>
      </c>
      <c r="J19">
        <v>320</v>
      </c>
    </row>
    <row r="20" spans="1:10" x14ac:dyDescent="0.2">
      <c r="A20">
        <v>469</v>
      </c>
      <c r="B20" s="3">
        <v>45425</v>
      </c>
      <c r="C20">
        <v>20</v>
      </c>
      <c r="D20">
        <v>10500</v>
      </c>
      <c r="E20">
        <v>1</v>
      </c>
      <c r="F20">
        <v>0</v>
      </c>
      <c r="G20">
        <v>10500</v>
      </c>
      <c r="H20">
        <v>10500</v>
      </c>
      <c r="I20">
        <v>10500</v>
      </c>
      <c r="J20">
        <v>525</v>
      </c>
    </row>
    <row r="21" spans="1:10" x14ac:dyDescent="0.2">
      <c r="A21">
        <v>467</v>
      </c>
      <c r="B21" s="3">
        <v>45440</v>
      </c>
      <c r="C21">
        <v>35</v>
      </c>
      <c r="D21">
        <v>4699</v>
      </c>
      <c r="E21">
        <v>1.8</v>
      </c>
      <c r="F21">
        <v>250</v>
      </c>
      <c r="G21">
        <v>4449</v>
      </c>
      <c r="H21">
        <v>8008.2</v>
      </c>
      <c r="I21">
        <v>8258.2000000000007</v>
      </c>
      <c r="J21">
        <v>228.81</v>
      </c>
    </row>
    <row r="22" spans="1:10" x14ac:dyDescent="0.2">
      <c r="A22">
        <v>468</v>
      </c>
      <c r="B22" s="3">
        <v>45440</v>
      </c>
      <c r="C22">
        <v>35</v>
      </c>
      <c r="D22">
        <v>4699</v>
      </c>
      <c r="E22">
        <v>1.8</v>
      </c>
      <c r="F22">
        <v>250</v>
      </c>
      <c r="G22">
        <v>4449</v>
      </c>
      <c r="H22">
        <v>8008.2</v>
      </c>
      <c r="I22">
        <v>8258.2000000000007</v>
      </c>
      <c r="J22">
        <v>228.81</v>
      </c>
    </row>
    <row r="23" spans="1:10" x14ac:dyDescent="0.2">
      <c r="A23">
        <v>466</v>
      </c>
      <c r="B23" s="3">
        <v>45441</v>
      </c>
      <c r="C23">
        <v>15</v>
      </c>
      <c r="D23">
        <v>3999</v>
      </c>
      <c r="E23">
        <v>1.5</v>
      </c>
      <c r="F23">
        <v>800</v>
      </c>
      <c r="G23">
        <v>3199</v>
      </c>
      <c r="H23">
        <v>4798.5</v>
      </c>
      <c r="I23">
        <v>5598.5</v>
      </c>
      <c r="J23">
        <v>319.89999999999998</v>
      </c>
    </row>
    <row r="24" spans="1:10" x14ac:dyDescent="0.2">
      <c r="A24">
        <v>465</v>
      </c>
      <c r="B24" s="3">
        <v>45443</v>
      </c>
      <c r="C24">
        <v>15</v>
      </c>
      <c r="D24">
        <v>6899</v>
      </c>
      <c r="E24">
        <v>1.5</v>
      </c>
      <c r="F24">
        <v>1200</v>
      </c>
      <c r="G24">
        <v>5699</v>
      </c>
      <c r="H24">
        <v>8548.5</v>
      </c>
      <c r="I24">
        <v>9748.5</v>
      </c>
      <c r="J24">
        <v>569.9</v>
      </c>
    </row>
    <row r="25" spans="1:10" x14ac:dyDescent="0.2">
      <c r="A25">
        <v>414</v>
      </c>
      <c r="B25" s="3">
        <v>45447</v>
      </c>
      <c r="C25">
        <v>20</v>
      </c>
      <c r="D25">
        <v>7200</v>
      </c>
      <c r="E25">
        <v>1</v>
      </c>
      <c r="F25">
        <v>1800</v>
      </c>
      <c r="G25">
        <v>5400</v>
      </c>
      <c r="H25">
        <v>5400</v>
      </c>
      <c r="I25">
        <v>7200</v>
      </c>
      <c r="J25">
        <v>270</v>
      </c>
    </row>
    <row r="26" spans="1:10" x14ac:dyDescent="0.2">
      <c r="A26">
        <v>397</v>
      </c>
      <c r="B26" s="3">
        <v>45453</v>
      </c>
      <c r="C26">
        <v>20</v>
      </c>
      <c r="D26">
        <v>6700</v>
      </c>
      <c r="E26">
        <v>1</v>
      </c>
      <c r="F26">
        <v>810</v>
      </c>
      <c r="G26">
        <v>5890</v>
      </c>
      <c r="H26">
        <v>5890</v>
      </c>
      <c r="I26">
        <v>6700</v>
      </c>
      <c r="J26">
        <v>294.5</v>
      </c>
    </row>
    <row r="27" spans="1:10" x14ac:dyDescent="0.2">
      <c r="A27">
        <v>399</v>
      </c>
      <c r="B27" s="3">
        <v>45460</v>
      </c>
      <c r="C27">
        <v>26</v>
      </c>
      <c r="D27">
        <v>7199</v>
      </c>
      <c r="E27">
        <v>1.6</v>
      </c>
      <c r="F27">
        <v>1499</v>
      </c>
      <c r="G27">
        <v>5700</v>
      </c>
      <c r="H27">
        <v>9120</v>
      </c>
      <c r="I27">
        <v>10619</v>
      </c>
      <c r="J27">
        <v>350.77</v>
      </c>
    </row>
    <row r="28" spans="1:10" x14ac:dyDescent="0.2">
      <c r="A28">
        <v>464</v>
      </c>
      <c r="B28" s="3">
        <v>45462</v>
      </c>
      <c r="C28">
        <v>43</v>
      </c>
      <c r="D28">
        <v>5799</v>
      </c>
      <c r="E28">
        <v>2.2999999999999998</v>
      </c>
      <c r="F28">
        <v>1249</v>
      </c>
      <c r="G28">
        <v>4550</v>
      </c>
      <c r="H28">
        <v>10465</v>
      </c>
      <c r="I28">
        <v>11714</v>
      </c>
      <c r="J28">
        <v>243.37</v>
      </c>
    </row>
    <row r="29" spans="1:10" x14ac:dyDescent="0.2">
      <c r="A29">
        <v>623</v>
      </c>
      <c r="B29" s="3">
        <v>45462</v>
      </c>
      <c r="C29">
        <v>26</v>
      </c>
      <c r="D29">
        <v>10499</v>
      </c>
      <c r="E29">
        <v>1.447757</v>
      </c>
      <c r="F29">
        <v>0</v>
      </c>
      <c r="G29">
        <v>10499</v>
      </c>
      <c r="H29">
        <v>15200</v>
      </c>
      <c r="I29">
        <v>15200</v>
      </c>
      <c r="J29">
        <v>584.62</v>
      </c>
    </row>
    <row r="30" spans="1:10" x14ac:dyDescent="0.2">
      <c r="A30">
        <v>400</v>
      </c>
      <c r="B30" s="3">
        <v>45465</v>
      </c>
      <c r="C30">
        <v>15</v>
      </c>
      <c r="D30">
        <v>5199</v>
      </c>
      <c r="E30">
        <v>1.5</v>
      </c>
      <c r="F30">
        <v>1000</v>
      </c>
      <c r="G30">
        <v>4199</v>
      </c>
      <c r="H30">
        <v>6298.5</v>
      </c>
      <c r="I30">
        <v>7298.5</v>
      </c>
      <c r="J30">
        <v>419.9</v>
      </c>
    </row>
    <row r="31" spans="1:10" x14ac:dyDescent="0.2">
      <c r="A31">
        <v>401</v>
      </c>
      <c r="B31" s="3">
        <v>45465</v>
      </c>
      <c r="C31">
        <v>20</v>
      </c>
      <c r="D31">
        <v>9299</v>
      </c>
      <c r="E31">
        <v>1</v>
      </c>
      <c r="F31">
        <v>0</v>
      </c>
      <c r="G31">
        <v>9299</v>
      </c>
      <c r="H31">
        <v>9299</v>
      </c>
      <c r="I31">
        <v>9299</v>
      </c>
      <c r="J31">
        <v>464.95</v>
      </c>
    </row>
    <row r="32" spans="1:10" x14ac:dyDescent="0.2">
      <c r="A32">
        <v>462</v>
      </c>
      <c r="B32" s="3">
        <v>45465</v>
      </c>
      <c r="C32">
        <v>15</v>
      </c>
      <c r="D32">
        <v>3999</v>
      </c>
      <c r="E32">
        <v>1.5</v>
      </c>
      <c r="F32">
        <v>799</v>
      </c>
      <c r="G32">
        <v>3200</v>
      </c>
      <c r="H32">
        <v>4800</v>
      </c>
      <c r="I32">
        <v>5599</v>
      </c>
      <c r="J32">
        <v>320</v>
      </c>
    </row>
    <row r="33" spans="1:10" x14ac:dyDescent="0.2">
      <c r="A33">
        <v>463</v>
      </c>
      <c r="B33" s="3">
        <v>45465</v>
      </c>
      <c r="C33">
        <v>15</v>
      </c>
      <c r="D33">
        <v>3999</v>
      </c>
      <c r="E33">
        <v>1.5</v>
      </c>
      <c r="F33">
        <v>799</v>
      </c>
      <c r="G33">
        <v>3200</v>
      </c>
      <c r="H33">
        <v>4800</v>
      </c>
      <c r="I33">
        <v>5599</v>
      </c>
      <c r="J33">
        <v>320</v>
      </c>
    </row>
    <row r="34" spans="1:10" x14ac:dyDescent="0.2">
      <c r="A34">
        <v>385</v>
      </c>
      <c r="B34" s="3">
        <v>45471</v>
      </c>
      <c r="C34">
        <v>35</v>
      </c>
      <c r="D34">
        <v>7199</v>
      </c>
      <c r="E34">
        <v>1.65</v>
      </c>
      <c r="F34">
        <v>1499</v>
      </c>
      <c r="G34">
        <v>5700</v>
      </c>
      <c r="H34">
        <v>9405</v>
      </c>
      <c r="I34">
        <v>10904</v>
      </c>
      <c r="J34">
        <v>268.70999999999998</v>
      </c>
    </row>
    <row r="35" spans="1:10" x14ac:dyDescent="0.2">
      <c r="A35">
        <v>383</v>
      </c>
      <c r="B35" s="3">
        <v>45472</v>
      </c>
      <c r="C35">
        <v>20</v>
      </c>
      <c r="D35">
        <v>6599</v>
      </c>
      <c r="E35">
        <v>1</v>
      </c>
      <c r="F35">
        <v>0</v>
      </c>
      <c r="G35">
        <v>6599</v>
      </c>
      <c r="H35">
        <v>6599</v>
      </c>
      <c r="I35">
        <v>6599</v>
      </c>
      <c r="J35">
        <v>329.95</v>
      </c>
    </row>
    <row r="36" spans="1:10" x14ac:dyDescent="0.2">
      <c r="A36">
        <v>382</v>
      </c>
      <c r="B36" s="3">
        <v>45476</v>
      </c>
      <c r="C36">
        <v>43</v>
      </c>
      <c r="D36">
        <v>5799</v>
      </c>
      <c r="E36">
        <v>1.7</v>
      </c>
      <c r="F36">
        <v>300</v>
      </c>
      <c r="G36">
        <v>5499</v>
      </c>
      <c r="H36">
        <v>9348.2999999999993</v>
      </c>
      <c r="I36">
        <v>9648.2999999999993</v>
      </c>
      <c r="J36">
        <v>217.4</v>
      </c>
    </row>
    <row r="37" spans="1:10" x14ac:dyDescent="0.2">
      <c r="A37">
        <v>384</v>
      </c>
      <c r="B37" s="3">
        <v>45479</v>
      </c>
      <c r="C37">
        <v>35</v>
      </c>
      <c r="D37">
        <v>3999</v>
      </c>
      <c r="E37">
        <v>1.65</v>
      </c>
      <c r="F37">
        <v>499</v>
      </c>
      <c r="G37">
        <v>3500</v>
      </c>
      <c r="H37">
        <v>5775</v>
      </c>
      <c r="I37">
        <v>6274</v>
      </c>
      <c r="J37">
        <v>165</v>
      </c>
    </row>
    <row r="38" spans="1:10" x14ac:dyDescent="0.2">
      <c r="A38">
        <v>386</v>
      </c>
      <c r="B38" s="3">
        <v>45480</v>
      </c>
      <c r="C38">
        <v>35</v>
      </c>
      <c r="D38">
        <v>24500</v>
      </c>
      <c r="E38">
        <v>2.1</v>
      </c>
      <c r="F38">
        <v>6000</v>
      </c>
      <c r="G38">
        <v>18500</v>
      </c>
      <c r="H38">
        <v>38850</v>
      </c>
      <c r="I38">
        <v>44850</v>
      </c>
      <c r="J38">
        <v>1110</v>
      </c>
    </row>
    <row r="39" spans="1:10" x14ac:dyDescent="0.2">
      <c r="A39">
        <v>380</v>
      </c>
      <c r="B39" s="3">
        <v>45484</v>
      </c>
      <c r="C39">
        <v>35</v>
      </c>
      <c r="D39">
        <v>6699</v>
      </c>
      <c r="E39">
        <v>1.65</v>
      </c>
      <c r="F39">
        <v>999</v>
      </c>
      <c r="G39">
        <v>5700</v>
      </c>
      <c r="H39">
        <v>9405</v>
      </c>
      <c r="I39">
        <v>10404</v>
      </c>
      <c r="J39">
        <v>268.70999999999998</v>
      </c>
    </row>
    <row r="40" spans="1:10" x14ac:dyDescent="0.2">
      <c r="A40">
        <v>378</v>
      </c>
      <c r="B40" s="3">
        <v>45488</v>
      </c>
      <c r="C40">
        <v>15</v>
      </c>
      <c r="D40">
        <v>3999</v>
      </c>
      <c r="E40">
        <v>1.5</v>
      </c>
      <c r="F40">
        <v>799</v>
      </c>
      <c r="G40">
        <v>3200</v>
      </c>
      <c r="H40">
        <v>4800</v>
      </c>
      <c r="I40">
        <v>5599</v>
      </c>
      <c r="J40">
        <v>320</v>
      </c>
    </row>
    <row r="41" spans="1:10" x14ac:dyDescent="0.2">
      <c r="A41">
        <v>379</v>
      </c>
      <c r="B41" s="3">
        <v>45494</v>
      </c>
      <c r="C41">
        <v>26</v>
      </c>
      <c r="D41">
        <v>6399</v>
      </c>
      <c r="E41">
        <v>1.6</v>
      </c>
      <c r="F41">
        <v>1499</v>
      </c>
      <c r="G41">
        <v>4900</v>
      </c>
      <c r="H41">
        <v>7840</v>
      </c>
      <c r="I41">
        <v>9339</v>
      </c>
      <c r="J41">
        <v>301.54000000000002</v>
      </c>
    </row>
    <row r="42" spans="1:10" x14ac:dyDescent="0.2">
      <c r="A42">
        <v>396</v>
      </c>
      <c r="B42" s="3">
        <v>45498</v>
      </c>
      <c r="C42">
        <v>35</v>
      </c>
      <c r="D42">
        <v>7199</v>
      </c>
      <c r="E42">
        <v>1.65</v>
      </c>
      <c r="F42">
        <v>1499</v>
      </c>
      <c r="G42">
        <v>5700</v>
      </c>
      <c r="H42">
        <v>9405</v>
      </c>
      <c r="I42">
        <v>10904</v>
      </c>
      <c r="J42">
        <v>268.70999999999998</v>
      </c>
    </row>
    <row r="43" spans="1:10" x14ac:dyDescent="0.2">
      <c r="A43">
        <v>722</v>
      </c>
      <c r="B43" s="3">
        <v>45498</v>
      </c>
      <c r="C43">
        <v>43</v>
      </c>
      <c r="D43">
        <v>7199</v>
      </c>
      <c r="E43">
        <v>2.2999999999999998</v>
      </c>
      <c r="F43">
        <v>700</v>
      </c>
      <c r="G43">
        <v>6499</v>
      </c>
      <c r="H43">
        <v>14947.7</v>
      </c>
      <c r="I43">
        <v>15647.7</v>
      </c>
      <c r="J43">
        <v>347.62</v>
      </c>
    </row>
    <row r="44" spans="1:10" x14ac:dyDescent="0.2">
      <c r="A44">
        <v>395</v>
      </c>
      <c r="B44" s="3">
        <v>45501</v>
      </c>
      <c r="C44">
        <v>26</v>
      </c>
      <c r="D44">
        <v>3999</v>
      </c>
      <c r="E44">
        <v>1.9</v>
      </c>
      <c r="F44">
        <v>799</v>
      </c>
      <c r="G44">
        <v>3200</v>
      </c>
      <c r="H44">
        <v>6080</v>
      </c>
      <c r="I44">
        <v>6879</v>
      </c>
      <c r="J44">
        <v>233.85</v>
      </c>
    </row>
    <row r="45" spans="1:10" x14ac:dyDescent="0.2">
      <c r="A45">
        <v>394</v>
      </c>
      <c r="B45" s="3">
        <v>45505</v>
      </c>
      <c r="C45">
        <v>43</v>
      </c>
      <c r="D45">
        <v>3999</v>
      </c>
      <c r="E45">
        <v>1.7</v>
      </c>
      <c r="F45">
        <v>499</v>
      </c>
      <c r="G45">
        <v>3500</v>
      </c>
      <c r="H45">
        <v>5950</v>
      </c>
      <c r="I45">
        <v>6449</v>
      </c>
      <c r="J45">
        <v>138.37</v>
      </c>
    </row>
    <row r="46" spans="1:10" x14ac:dyDescent="0.2">
      <c r="A46">
        <v>392</v>
      </c>
      <c r="B46" s="3">
        <v>45507</v>
      </c>
      <c r="C46">
        <v>15</v>
      </c>
      <c r="D46">
        <v>3999</v>
      </c>
      <c r="E46">
        <v>1.5</v>
      </c>
      <c r="F46">
        <v>799</v>
      </c>
      <c r="G46">
        <v>3200</v>
      </c>
      <c r="H46">
        <v>4800</v>
      </c>
      <c r="I46">
        <v>5599</v>
      </c>
      <c r="J46">
        <v>320</v>
      </c>
    </row>
    <row r="47" spans="1:10" x14ac:dyDescent="0.2">
      <c r="A47">
        <v>482</v>
      </c>
      <c r="B47" s="3">
        <v>45507</v>
      </c>
      <c r="C47">
        <v>43</v>
      </c>
      <c r="D47">
        <v>6199</v>
      </c>
      <c r="E47">
        <v>2.2999999999999998</v>
      </c>
      <c r="F47">
        <v>568</v>
      </c>
      <c r="G47">
        <v>5631</v>
      </c>
      <c r="H47">
        <v>12951.3</v>
      </c>
      <c r="I47">
        <v>13519.3</v>
      </c>
      <c r="J47">
        <v>301.19</v>
      </c>
    </row>
    <row r="48" spans="1:10" x14ac:dyDescent="0.2">
      <c r="A48">
        <v>390</v>
      </c>
      <c r="B48" s="3">
        <v>45511</v>
      </c>
      <c r="C48">
        <v>15</v>
      </c>
      <c r="D48">
        <v>7199</v>
      </c>
      <c r="E48">
        <v>1.5</v>
      </c>
      <c r="F48">
        <v>1999</v>
      </c>
      <c r="G48">
        <v>5200</v>
      </c>
      <c r="H48">
        <v>7800</v>
      </c>
      <c r="I48">
        <v>9799</v>
      </c>
      <c r="J48">
        <v>520</v>
      </c>
    </row>
    <row r="49" spans="1:10" x14ac:dyDescent="0.2">
      <c r="A49">
        <v>389</v>
      </c>
      <c r="B49" s="3">
        <v>45512</v>
      </c>
      <c r="C49">
        <v>15</v>
      </c>
      <c r="D49">
        <v>5799</v>
      </c>
      <c r="E49">
        <v>1.5</v>
      </c>
      <c r="F49">
        <v>1499</v>
      </c>
      <c r="G49">
        <v>4300</v>
      </c>
      <c r="H49">
        <v>6450</v>
      </c>
      <c r="I49">
        <v>7949</v>
      </c>
      <c r="J49">
        <v>430</v>
      </c>
    </row>
    <row r="50" spans="1:10" x14ac:dyDescent="0.2">
      <c r="A50">
        <v>481</v>
      </c>
      <c r="B50" s="3">
        <v>45512</v>
      </c>
      <c r="C50">
        <v>43</v>
      </c>
      <c r="D50">
        <v>3999</v>
      </c>
      <c r="E50">
        <v>2.2999999999999998</v>
      </c>
      <c r="F50">
        <v>799</v>
      </c>
      <c r="G50">
        <v>3200</v>
      </c>
      <c r="H50">
        <v>7360</v>
      </c>
      <c r="I50">
        <v>8159</v>
      </c>
      <c r="J50">
        <v>171.16</v>
      </c>
    </row>
    <row r="51" spans="1:10" x14ac:dyDescent="0.2">
      <c r="A51">
        <v>479</v>
      </c>
      <c r="B51" s="3">
        <v>45513</v>
      </c>
      <c r="C51">
        <v>15</v>
      </c>
      <c r="D51">
        <v>3999</v>
      </c>
      <c r="E51">
        <v>1.5</v>
      </c>
      <c r="F51">
        <v>799</v>
      </c>
      <c r="G51">
        <v>3200</v>
      </c>
      <c r="H51">
        <v>4800</v>
      </c>
      <c r="I51">
        <v>5599</v>
      </c>
      <c r="J51">
        <v>320</v>
      </c>
    </row>
    <row r="52" spans="1:10" x14ac:dyDescent="0.2">
      <c r="A52">
        <v>480</v>
      </c>
      <c r="B52" s="3">
        <v>45513</v>
      </c>
      <c r="C52">
        <v>26</v>
      </c>
      <c r="D52">
        <v>3999</v>
      </c>
      <c r="E52">
        <v>1.9</v>
      </c>
      <c r="F52">
        <v>799</v>
      </c>
      <c r="G52">
        <v>3200</v>
      </c>
      <c r="H52">
        <v>6080</v>
      </c>
      <c r="I52">
        <v>6879</v>
      </c>
      <c r="J52">
        <v>233.85</v>
      </c>
    </row>
    <row r="53" spans="1:10" x14ac:dyDescent="0.2">
      <c r="A53">
        <v>478</v>
      </c>
      <c r="B53" s="3">
        <v>45514</v>
      </c>
      <c r="C53">
        <v>43</v>
      </c>
      <c r="D53">
        <v>7199</v>
      </c>
      <c r="E53">
        <v>2.2999999999999998</v>
      </c>
      <c r="F53">
        <v>1499</v>
      </c>
      <c r="G53">
        <v>5700</v>
      </c>
      <c r="H53">
        <v>13110</v>
      </c>
      <c r="I53">
        <v>14609</v>
      </c>
      <c r="J53">
        <v>304.88</v>
      </c>
    </row>
    <row r="54" spans="1:10" x14ac:dyDescent="0.2">
      <c r="A54">
        <v>365</v>
      </c>
      <c r="B54" s="3">
        <v>45515</v>
      </c>
      <c r="C54">
        <v>15</v>
      </c>
      <c r="D54">
        <v>7199</v>
      </c>
      <c r="E54">
        <v>1.5</v>
      </c>
      <c r="F54">
        <v>2499</v>
      </c>
      <c r="G54">
        <v>4700</v>
      </c>
      <c r="H54">
        <v>7050</v>
      </c>
      <c r="I54">
        <v>9549</v>
      </c>
      <c r="J54">
        <v>470</v>
      </c>
    </row>
    <row r="55" spans="1:10" x14ac:dyDescent="0.2">
      <c r="A55">
        <v>477</v>
      </c>
      <c r="B55" s="3">
        <v>45516</v>
      </c>
      <c r="C55">
        <v>26</v>
      </c>
      <c r="D55">
        <v>3999</v>
      </c>
      <c r="E55">
        <v>1.9</v>
      </c>
      <c r="F55">
        <v>799</v>
      </c>
      <c r="G55">
        <v>3200</v>
      </c>
      <c r="H55">
        <v>6080</v>
      </c>
      <c r="I55">
        <v>6879</v>
      </c>
      <c r="J55">
        <v>233.85</v>
      </c>
    </row>
    <row r="56" spans="1:10" x14ac:dyDescent="0.2">
      <c r="A56">
        <v>364</v>
      </c>
      <c r="B56" s="3">
        <v>45518</v>
      </c>
      <c r="C56">
        <v>43</v>
      </c>
      <c r="D56">
        <v>6500</v>
      </c>
      <c r="E56">
        <v>1</v>
      </c>
      <c r="F56">
        <v>0</v>
      </c>
      <c r="G56">
        <v>6500</v>
      </c>
      <c r="H56">
        <v>6500</v>
      </c>
      <c r="I56">
        <v>6500</v>
      </c>
      <c r="J56">
        <v>151.16</v>
      </c>
    </row>
    <row r="57" spans="1:10" x14ac:dyDescent="0.2">
      <c r="A57">
        <v>368</v>
      </c>
      <c r="B57" s="3">
        <v>45521</v>
      </c>
      <c r="C57">
        <v>26</v>
      </c>
      <c r="D57">
        <v>5799</v>
      </c>
      <c r="E57">
        <v>1.9</v>
      </c>
      <c r="F57">
        <v>999</v>
      </c>
      <c r="G57">
        <v>4800</v>
      </c>
      <c r="H57">
        <v>9120</v>
      </c>
      <c r="I57">
        <v>10119</v>
      </c>
      <c r="J57">
        <v>350.77</v>
      </c>
    </row>
    <row r="58" spans="1:10" x14ac:dyDescent="0.2">
      <c r="A58">
        <v>476</v>
      </c>
      <c r="B58" s="3">
        <v>45521</v>
      </c>
      <c r="C58">
        <v>43</v>
      </c>
      <c r="D58">
        <v>5199</v>
      </c>
      <c r="E58">
        <v>2.2999999999999998</v>
      </c>
      <c r="F58">
        <v>999</v>
      </c>
      <c r="G58">
        <v>4200</v>
      </c>
      <c r="H58">
        <v>9660</v>
      </c>
      <c r="I58">
        <v>10659</v>
      </c>
      <c r="J58">
        <v>224.65</v>
      </c>
    </row>
    <row r="59" spans="1:10" x14ac:dyDescent="0.2">
      <c r="A59">
        <v>362</v>
      </c>
      <c r="B59" s="3">
        <v>45525</v>
      </c>
      <c r="C59">
        <v>20</v>
      </c>
      <c r="D59">
        <v>7199</v>
      </c>
      <c r="E59">
        <v>1</v>
      </c>
      <c r="F59">
        <v>500</v>
      </c>
      <c r="G59">
        <v>6699</v>
      </c>
      <c r="H59">
        <v>6699</v>
      </c>
      <c r="I59">
        <v>7199</v>
      </c>
      <c r="J59">
        <v>334.95</v>
      </c>
    </row>
    <row r="60" spans="1:10" x14ac:dyDescent="0.2">
      <c r="A60">
        <v>372</v>
      </c>
      <c r="B60" s="3">
        <v>45530</v>
      </c>
      <c r="C60">
        <v>35</v>
      </c>
      <c r="D60">
        <v>3999</v>
      </c>
      <c r="E60">
        <v>2.1</v>
      </c>
      <c r="F60">
        <v>499</v>
      </c>
      <c r="G60">
        <v>3500</v>
      </c>
      <c r="H60">
        <v>7350</v>
      </c>
      <c r="I60">
        <v>7849</v>
      </c>
      <c r="J60">
        <v>210</v>
      </c>
    </row>
    <row r="61" spans="1:10" x14ac:dyDescent="0.2">
      <c r="A61">
        <v>475</v>
      </c>
      <c r="B61" s="3">
        <v>45531</v>
      </c>
      <c r="C61">
        <v>43</v>
      </c>
      <c r="D61">
        <v>5799</v>
      </c>
      <c r="E61">
        <v>2.2995450000000002</v>
      </c>
      <c r="F61">
        <v>748</v>
      </c>
      <c r="G61">
        <v>5051</v>
      </c>
      <c r="H61">
        <v>11615</v>
      </c>
      <c r="I61">
        <v>12363</v>
      </c>
      <c r="J61">
        <v>270.12</v>
      </c>
    </row>
    <row r="62" spans="1:10" x14ac:dyDescent="0.2">
      <c r="A62">
        <v>369</v>
      </c>
      <c r="B62" s="3">
        <v>45534</v>
      </c>
      <c r="C62">
        <v>35</v>
      </c>
      <c r="D62">
        <v>5799</v>
      </c>
      <c r="E62">
        <v>2.1</v>
      </c>
      <c r="F62">
        <v>1350</v>
      </c>
      <c r="G62">
        <v>4449</v>
      </c>
      <c r="H62">
        <v>9342.9</v>
      </c>
      <c r="I62">
        <v>10692.9</v>
      </c>
      <c r="J62">
        <v>266.94</v>
      </c>
    </row>
    <row r="63" spans="1:10" x14ac:dyDescent="0.2">
      <c r="A63">
        <v>375</v>
      </c>
      <c r="B63" s="3">
        <v>45534</v>
      </c>
      <c r="C63">
        <v>43</v>
      </c>
      <c r="D63">
        <v>7199</v>
      </c>
      <c r="E63">
        <v>1.7</v>
      </c>
      <c r="F63">
        <v>499</v>
      </c>
      <c r="G63">
        <v>6700</v>
      </c>
      <c r="H63">
        <v>11390</v>
      </c>
      <c r="I63">
        <v>11889</v>
      </c>
      <c r="J63">
        <v>264.88</v>
      </c>
    </row>
    <row r="64" spans="1:10" x14ac:dyDescent="0.2">
      <c r="A64">
        <v>474</v>
      </c>
      <c r="B64" s="3">
        <v>45536</v>
      </c>
      <c r="C64">
        <v>20</v>
      </c>
      <c r="D64">
        <v>7199</v>
      </c>
      <c r="E64">
        <v>1</v>
      </c>
      <c r="F64">
        <v>1000</v>
      </c>
      <c r="G64">
        <v>6199</v>
      </c>
      <c r="H64">
        <v>6199</v>
      </c>
      <c r="I64">
        <v>7199</v>
      </c>
      <c r="J64">
        <v>309.95</v>
      </c>
    </row>
    <row r="65" spans="1:10" x14ac:dyDescent="0.2">
      <c r="A65">
        <v>472</v>
      </c>
      <c r="B65" s="3">
        <v>45539</v>
      </c>
      <c r="C65">
        <v>35</v>
      </c>
      <c r="D65">
        <v>3799</v>
      </c>
      <c r="E65">
        <v>2.1</v>
      </c>
      <c r="F65">
        <v>499</v>
      </c>
      <c r="G65">
        <v>3300</v>
      </c>
      <c r="H65">
        <v>6930</v>
      </c>
      <c r="I65">
        <v>7429</v>
      </c>
      <c r="J65">
        <v>198</v>
      </c>
    </row>
    <row r="66" spans="1:10" x14ac:dyDescent="0.2">
      <c r="A66">
        <v>473</v>
      </c>
      <c r="B66" s="3">
        <v>45539</v>
      </c>
      <c r="C66">
        <v>35</v>
      </c>
      <c r="D66">
        <v>3799</v>
      </c>
      <c r="E66">
        <v>2.1</v>
      </c>
      <c r="F66">
        <v>499</v>
      </c>
      <c r="G66">
        <v>3300</v>
      </c>
      <c r="H66">
        <v>6930</v>
      </c>
      <c r="I66">
        <v>7429</v>
      </c>
      <c r="J66">
        <v>198</v>
      </c>
    </row>
    <row r="67" spans="1:10" x14ac:dyDescent="0.2">
      <c r="A67">
        <v>361</v>
      </c>
      <c r="B67" s="3">
        <v>45540</v>
      </c>
      <c r="C67">
        <v>15</v>
      </c>
      <c r="D67">
        <v>24000</v>
      </c>
      <c r="E67">
        <v>1.5</v>
      </c>
      <c r="F67">
        <v>4800</v>
      </c>
      <c r="G67">
        <v>19200</v>
      </c>
      <c r="H67">
        <v>28800</v>
      </c>
      <c r="I67">
        <v>33600</v>
      </c>
      <c r="J67">
        <v>1920</v>
      </c>
    </row>
    <row r="68" spans="1:10" x14ac:dyDescent="0.2">
      <c r="A68">
        <v>461</v>
      </c>
      <c r="B68" s="3">
        <v>45540</v>
      </c>
      <c r="C68">
        <v>20</v>
      </c>
      <c r="D68">
        <v>8399</v>
      </c>
      <c r="E68">
        <v>1</v>
      </c>
      <c r="F68">
        <v>1000</v>
      </c>
      <c r="G68">
        <v>7399</v>
      </c>
      <c r="H68">
        <v>7399</v>
      </c>
      <c r="I68">
        <v>8399</v>
      </c>
      <c r="J68">
        <v>369.95</v>
      </c>
    </row>
    <row r="69" spans="1:10" x14ac:dyDescent="0.2">
      <c r="A69">
        <v>589</v>
      </c>
      <c r="B69" s="3">
        <v>45540</v>
      </c>
      <c r="C69">
        <v>43</v>
      </c>
      <c r="D69">
        <v>29680</v>
      </c>
      <c r="E69">
        <v>1</v>
      </c>
      <c r="F69">
        <v>0</v>
      </c>
      <c r="G69">
        <v>29680</v>
      </c>
      <c r="H69">
        <v>29680</v>
      </c>
      <c r="I69">
        <v>29680</v>
      </c>
      <c r="J69">
        <v>690.23</v>
      </c>
    </row>
    <row r="70" spans="1:10" x14ac:dyDescent="0.2">
      <c r="A70">
        <v>356</v>
      </c>
      <c r="B70" s="3">
        <v>45541</v>
      </c>
      <c r="C70">
        <v>26</v>
      </c>
      <c r="D70">
        <v>6399</v>
      </c>
      <c r="E70">
        <v>1.9</v>
      </c>
      <c r="F70">
        <v>1500</v>
      </c>
      <c r="G70">
        <v>4899</v>
      </c>
      <c r="H70">
        <v>9308.1</v>
      </c>
      <c r="I70">
        <v>10808.1</v>
      </c>
      <c r="J70">
        <v>358</v>
      </c>
    </row>
    <row r="71" spans="1:10" x14ac:dyDescent="0.2">
      <c r="A71">
        <v>460</v>
      </c>
      <c r="B71" s="3">
        <v>45600</v>
      </c>
      <c r="C71">
        <v>35</v>
      </c>
      <c r="D71">
        <v>6199</v>
      </c>
      <c r="E71">
        <v>2.1</v>
      </c>
      <c r="F71">
        <v>999</v>
      </c>
      <c r="G71">
        <v>5200</v>
      </c>
      <c r="H71">
        <v>10920</v>
      </c>
      <c r="I71">
        <v>11919</v>
      </c>
      <c r="J71">
        <v>312</v>
      </c>
    </row>
    <row r="72" spans="1:10" x14ac:dyDescent="0.2">
      <c r="A72">
        <v>355</v>
      </c>
      <c r="B72" s="3">
        <v>45605</v>
      </c>
      <c r="C72">
        <v>20</v>
      </c>
      <c r="D72">
        <v>7699</v>
      </c>
      <c r="E72">
        <v>1</v>
      </c>
      <c r="F72">
        <v>1000</v>
      </c>
      <c r="G72">
        <v>6699</v>
      </c>
      <c r="H72">
        <v>6699</v>
      </c>
      <c r="I72">
        <v>7699</v>
      </c>
      <c r="J72">
        <v>334.95</v>
      </c>
    </row>
    <row r="73" spans="1:10" x14ac:dyDescent="0.2">
      <c r="A73">
        <v>590</v>
      </c>
      <c r="B73" s="3">
        <v>45617</v>
      </c>
      <c r="C73">
        <v>43</v>
      </c>
      <c r="D73">
        <v>9499</v>
      </c>
      <c r="E73">
        <v>1.7</v>
      </c>
      <c r="F73">
        <v>1499</v>
      </c>
      <c r="G73">
        <v>8000</v>
      </c>
      <c r="H73">
        <v>13600</v>
      </c>
      <c r="I73">
        <v>15099</v>
      </c>
      <c r="J73">
        <v>316.27999999999997</v>
      </c>
    </row>
    <row r="74" spans="1:10" x14ac:dyDescent="0.2">
      <c r="A74">
        <v>458</v>
      </c>
      <c r="B74" s="3">
        <v>45634</v>
      </c>
      <c r="C74">
        <v>20</v>
      </c>
      <c r="D74">
        <v>4299</v>
      </c>
      <c r="E74">
        <v>1</v>
      </c>
      <c r="F74">
        <v>999</v>
      </c>
      <c r="G74">
        <v>3300</v>
      </c>
      <c r="H74">
        <v>3300</v>
      </c>
      <c r="I74">
        <v>4299</v>
      </c>
      <c r="J74">
        <v>165</v>
      </c>
    </row>
    <row r="75" spans="1:10" x14ac:dyDescent="0.2">
      <c r="A75">
        <v>354</v>
      </c>
      <c r="B75" s="3">
        <v>45649</v>
      </c>
      <c r="C75">
        <v>20</v>
      </c>
      <c r="D75">
        <v>6999</v>
      </c>
      <c r="E75">
        <v>1</v>
      </c>
      <c r="F75">
        <v>1000</v>
      </c>
      <c r="G75">
        <v>5999</v>
      </c>
      <c r="H75">
        <v>5999</v>
      </c>
      <c r="I75">
        <v>6999</v>
      </c>
      <c r="J75">
        <v>299.95</v>
      </c>
    </row>
    <row r="76" spans="1:10" x14ac:dyDescent="0.2">
      <c r="A76">
        <v>708</v>
      </c>
      <c r="B76" s="3">
        <v>45649</v>
      </c>
      <c r="C76">
        <v>20</v>
      </c>
      <c r="D76">
        <v>6299</v>
      </c>
      <c r="E76">
        <v>1</v>
      </c>
      <c r="F76">
        <v>0</v>
      </c>
      <c r="G76">
        <v>6299</v>
      </c>
      <c r="H76">
        <v>6299</v>
      </c>
      <c r="I76">
        <v>6299</v>
      </c>
      <c r="J76">
        <v>314.95</v>
      </c>
    </row>
    <row r="77" spans="1:10" x14ac:dyDescent="0.2">
      <c r="A77">
        <v>343</v>
      </c>
      <c r="B77" s="3">
        <v>45655</v>
      </c>
      <c r="C77">
        <v>26</v>
      </c>
      <c r="D77">
        <v>6599</v>
      </c>
      <c r="E77">
        <v>1.6</v>
      </c>
      <c r="F77">
        <v>499</v>
      </c>
      <c r="G77">
        <v>6100</v>
      </c>
      <c r="H77">
        <v>9760</v>
      </c>
      <c r="I77">
        <v>10259</v>
      </c>
      <c r="J77">
        <v>375.38</v>
      </c>
    </row>
    <row r="78" spans="1:10" x14ac:dyDescent="0.2">
      <c r="A78">
        <v>484</v>
      </c>
      <c r="B78" s="3">
        <v>45659</v>
      </c>
      <c r="C78">
        <v>26</v>
      </c>
      <c r="D78">
        <v>5599</v>
      </c>
      <c r="E78">
        <v>1.9</v>
      </c>
      <c r="F78">
        <v>1250</v>
      </c>
      <c r="G78">
        <v>4349</v>
      </c>
      <c r="H78">
        <v>8263.1</v>
      </c>
      <c r="I78">
        <v>9513.1</v>
      </c>
      <c r="J78">
        <v>317.81</v>
      </c>
    </row>
    <row r="79" spans="1:10" x14ac:dyDescent="0.2">
      <c r="A79">
        <v>654</v>
      </c>
      <c r="B79" s="3">
        <v>45659</v>
      </c>
      <c r="C79">
        <v>15</v>
      </c>
      <c r="D79">
        <v>5599</v>
      </c>
      <c r="E79">
        <v>1.5</v>
      </c>
      <c r="F79">
        <v>1250</v>
      </c>
      <c r="G79">
        <v>4349</v>
      </c>
      <c r="H79">
        <v>6523.5</v>
      </c>
      <c r="I79">
        <v>7773.5</v>
      </c>
      <c r="J79">
        <v>434.9</v>
      </c>
    </row>
    <row r="80" spans="1:10" x14ac:dyDescent="0.2">
      <c r="A80">
        <v>487</v>
      </c>
      <c r="B80" s="3">
        <v>45660</v>
      </c>
      <c r="C80">
        <v>35</v>
      </c>
      <c r="D80">
        <v>3999</v>
      </c>
      <c r="E80">
        <v>2.1</v>
      </c>
      <c r="F80">
        <v>799</v>
      </c>
      <c r="G80">
        <v>3200</v>
      </c>
      <c r="H80">
        <v>6720</v>
      </c>
      <c r="I80">
        <v>7519</v>
      </c>
      <c r="J80">
        <v>192</v>
      </c>
    </row>
    <row r="81" spans="1:10" x14ac:dyDescent="0.2">
      <c r="A81">
        <v>489</v>
      </c>
      <c r="B81" s="3">
        <v>45661</v>
      </c>
      <c r="C81">
        <v>35</v>
      </c>
      <c r="D81">
        <v>4199</v>
      </c>
      <c r="E81">
        <v>1.65</v>
      </c>
      <c r="F81">
        <v>499</v>
      </c>
      <c r="G81">
        <v>3700</v>
      </c>
      <c r="H81">
        <v>6105</v>
      </c>
      <c r="I81">
        <v>6604</v>
      </c>
      <c r="J81">
        <v>174.43</v>
      </c>
    </row>
    <row r="82" spans="1:10" x14ac:dyDescent="0.2">
      <c r="A82">
        <v>490</v>
      </c>
      <c r="B82" s="3">
        <v>45661</v>
      </c>
      <c r="C82">
        <v>20</v>
      </c>
      <c r="D82">
        <v>6999</v>
      </c>
      <c r="E82">
        <v>1</v>
      </c>
      <c r="F82">
        <v>1500</v>
      </c>
      <c r="G82">
        <v>5499</v>
      </c>
      <c r="H82">
        <v>5499</v>
      </c>
      <c r="I82">
        <v>6999</v>
      </c>
      <c r="J82">
        <v>274.95</v>
      </c>
    </row>
    <row r="83" spans="1:10" x14ac:dyDescent="0.2">
      <c r="A83">
        <v>491</v>
      </c>
      <c r="B83" s="3">
        <v>45661</v>
      </c>
      <c r="C83">
        <v>43</v>
      </c>
      <c r="D83">
        <v>4999</v>
      </c>
      <c r="E83">
        <v>2.2999999999999998</v>
      </c>
      <c r="F83">
        <v>499</v>
      </c>
      <c r="G83">
        <v>4500</v>
      </c>
      <c r="H83">
        <v>10350</v>
      </c>
      <c r="I83">
        <v>10849</v>
      </c>
      <c r="J83">
        <v>240.7</v>
      </c>
    </row>
    <row r="84" spans="1:10" x14ac:dyDescent="0.2">
      <c r="A84">
        <v>492</v>
      </c>
      <c r="B84" s="3">
        <v>45661</v>
      </c>
      <c r="C84">
        <v>43</v>
      </c>
      <c r="D84">
        <v>4999</v>
      </c>
      <c r="E84">
        <v>2.2999999999999998</v>
      </c>
      <c r="F84">
        <v>499</v>
      </c>
      <c r="G84">
        <v>4500</v>
      </c>
      <c r="H84">
        <v>10350</v>
      </c>
      <c r="I84">
        <v>10849</v>
      </c>
      <c r="J84">
        <v>240.7</v>
      </c>
    </row>
    <row r="85" spans="1:10" x14ac:dyDescent="0.2">
      <c r="A85">
        <v>348</v>
      </c>
      <c r="B85" s="3">
        <v>45685</v>
      </c>
      <c r="C85">
        <v>43</v>
      </c>
      <c r="D85">
        <v>8599</v>
      </c>
      <c r="E85">
        <v>1.7</v>
      </c>
      <c r="F85">
        <v>1250</v>
      </c>
      <c r="G85">
        <v>7349</v>
      </c>
      <c r="H85">
        <v>12493.3</v>
      </c>
      <c r="I85">
        <v>13743.3</v>
      </c>
      <c r="J85">
        <v>290.54000000000002</v>
      </c>
    </row>
    <row r="86" spans="1:10" x14ac:dyDescent="0.2">
      <c r="A86">
        <v>493</v>
      </c>
      <c r="B86" s="3">
        <v>45695</v>
      </c>
      <c r="C86">
        <v>15</v>
      </c>
      <c r="D86">
        <v>6199</v>
      </c>
      <c r="E86">
        <v>1.5</v>
      </c>
      <c r="F86">
        <v>1300</v>
      </c>
      <c r="G86">
        <v>4899</v>
      </c>
      <c r="H86">
        <v>7348.5</v>
      </c>
      <c r="I86">
        <v>8648.5</v>
      </c>
      <c r="J86">
        <v>489.9</v>
      </c>
    </row>
    <row r="87" spans="1:10" x14ac:dyDescent="0.2">
      <c r="A87">
        <v>349</v>
      </c>
      <c r="B87" s="3">
        <v>45700</v>
      </c>
      <c r="C87">
        <v>15</v>
      </c>
      <c r="D87">
        <v>6399</v>
      </c>
      <c r="E87">
        <v>1.5</v>
      </c>
      <c r="F87">
        <v>500</v>
      </c>
      <c r="G87">
        <v>5899</v>
      </c>
      <c r="H87">
        <v>8848.5</v>
      </c>
      <c r="I87">
        <v>9348.5</v>
      </c>
      <c r="J87">
        <v>589.9</v>
      </c>
    </row>
    <row r="88" spans="1:10" x14ac:dyDescent="0.2">
      <c r="A88">
        <v>665</v>
      </c>
      <c r="B88" s="3">
        <v>45700</v>
      </c>
      <c r="C88">
        <v>24</v>
      </c>
      <c r="D88">
        <v>6000</v>
      </c>
      <c r="E88">
        <v>1</v>
      </c>
      <c r="F88">
        <v>0</v>
      </c>
      <c r="G88">
        <v>6000</v>
      </c>
      <c r="H88">
        <v>6000</v>
      </c>
      <c r="I88">
        <v>6000</v>
      </c>
      <c r="J88">
        <v>250</v>
      </c>
    </row>
    <row r="89" spans="1:10" x14ac:dyDescent="0.2">
      <c r="A89">
        <v>624</v>
      </c>
      <c r="B89" s="3">
        <v>45702</v>
      </c>
      <c r="C89">
        <v>26</v>
      </c>
      <c r="D89">
        <v>8500</v>
      </c>
      <c r="E89">
        <v>1.6</v>
      </c>
      <c r="F89">
        <v>499</v>
      </c>
      <c r="G89">
        <v>8001</v>
      </c>
      <c r="H89">
        <v>12801.6</v>
      </c>
      <c r="I89">
        <v>13300.6</v>
      </c>
      <c r="J89">
        <v>492.37</v>
      </c>
    </row>
    <row r="90" spans="1:10" x14ac:dyDescent="0.2">
      <c r="A90">
        <v>495</v>
      </c>
      <c r="B90" s="3">
        <v>45703</v>
      </c>
      <c r="C90">
        <v>20</v>
      </c>
      <c r="D90">
        <v>6999</v>
      </c>
      <c r="E90">
        <v>1</v>
      </c>
      <c r="F90">
        <v>1000</v>
      </c>
      <c r="G90">
        <v>5999</v>
      </c>
      <c r="H90">
        <v>5999</v>
      </c>
      <c r="I90">
        <v>6999</v>
      </c>
      <c r="J90">
        <v>299.95</v>
      </c>
    </row>
    <row r="91" spans="1:10" x14ac:dyDescent="0.2">
      <c r="A91">
        <v>496</v>
      </c>
      <c r="B91" s="3">
        <v>45713</v>
      </c>
      <c r="C91">
        <v>15</v>
      </c>
      <c r="D91">
        <v>3999</v>
      </c>
      <c r="E91">
        <v>1.5</v>
      </c>
      <c r="F91">
        <v>500</v>
      </c>
      <c r="G91">
        <v>3499</v>
      </c>
      <c r="H91">
        <v>5248.5</v>
      </c>
      <c r="I91">
        <v>5748.5</v>
      </c>
      <c r="J91">
        <v>349.9</v>
      </c>
    </row>
    <row r="92" spans="1:10" x14ac:dyDescent="0.2">
      <c r="A92">
        <v>497</v>
      </c>
      <c r="B92" s="3">
        <v>45718</v>
      </c>
      <c r="C92">
        <v>35</v>
      </c>
      <c r="D92">
        <v>3999</v>
      </c>
      <c r="E92">
        <v>2.1</v>
      </c>
      <c r="F92">
        <v>799</v>
      </c>
      <c r="G92">
        <v>3200</v>
      </c>
      <c r="H92">
        <v>6720</v>
      </c>
      <c r="I92">
        <v>7519</v>
      </c>
      <c r="J92">
        <v>192</v>
      </c>
    </row>
    <row r="93" spans="1:10" x14ac:dyDescent="0.2">
      <c r="A93">
        <v>592</v>
      </c>
      <c r="B93" s="3">
        <v>45724</v>
      </c>
      <c r="C93">
        <v>80</v>
      </c>
      <c r="D93">
        <v>42342</v>
      </c>
      <c r="E93">
        <v>1</v>
      </c>
      <c r="F93">
        <v>0</v>
      </c>
      <c r="G93">
        <v>42342</v>
      </c>
      <c r="H93">
        <v>42342</v>
      </c>
      <c r="I93">
        <v>42342</v>
      </c>
      <c r="J93">
        <v>529.28</v>
      </c>
    </row>
    <row r="94" spans="1:10" x14ac:dyDescent="0.2">
      <c r="A94">
        <v>499</v>
      </c>
      <c r="B94" s="3">
        <v>45730</v>
      </c>
      <c r="C94">
        <v>35</v>
      </c>
      <c r="D94">
        <v>6199</v>
      </c>
      <c r="E94">
        <v>1.65</v>
      </c>
      <c r="F94">
        <v>799</v>
      </c>
      <c r="G94">
        <v>5400</v>
      </c>
      <c r="H94">
        <v>8910</v>
      </c>
      <c r="I94">
        <v>9709</v>
      </c>
      <c r="J94">
        <v>254.57</v>
      </c>
    </row>
    <row r="95" spans="1:10" x14ac:dyDescent="0.2">
      <c r="A95">
        <v>353</v>
      </c>
      <c r="B95" s="3">
        <v>45735</v>
      </c>
      <c r="C95">
        <v>26</v>
      </c>
      <c r="D95">
        <v>5599</v>
      </c>
      <c r="E95">
        <v>1.9</v>
      </c>
      <c r="F95">
        <v>1000</v>
      </c>
      <c r="G95">
        <v>4599</v>
      </c>
      <c r="H95">
        <v>8738.1</v>
      </c>
      <c r="I95">
        <v>9738.1</v>
      </c>
      <c r="J95">
        <v>336.08</v>
      </c>
    </row>
    <row r="96" spans="1:10" x14ac:dyDescent="0.2">
      <c r="A96">
        <v>333</v>
      </c>
      <c r="B96" s="3">
        <v>45739</v>
      </c>
      <c r="C96">
        <v>26</v>
      </c>
      <c r="D96">
        <v>3799</v>
      </c>
      <c r="E96">
        <v>1.9</v>
      </c>
      <c r="F96">
        <v>799</v>
      </c>
      <c r="G96">
        <v>3000</v>
      </c>
      <c r="H96">
        <v>5700</v>
      </c>
      <c r="I96">
        <v>6499</v>
      </c>
      <c r="J96">
        <v>219.23</v>
      </c>
    </row>
    <row r="97" spans="1:10" x14ac:dyDescent="0.2">
      <c r="A97">
        <v>500</v>
      </c>
      <c r="B97" s="3">
        <v>45742</v>
      </c>
      <c r="C97">
        <v>20</v>
      </c>
      <c r="D97">
        <v>7999</v>
      </c>
      <c r="E97">
        <v>1</v>
      </c>
      <c r="F97">
        <v>1499</v>
      </c>
      <c r="G97">
        <v>6500</v>
      </c>
      <c r="H97">
        <v>6500</v>
      </c>
      <c r="I97">
        <v>7999</v>
      </c>
      <c r="J97">
        <v>325</v>
      </c>
    </row>
    <row r="98" spans="1:10" x14ac:dyDescent="0.2">
      <c r="A98">
        <v>501</v>
      </c>
      <c r="B98" s="3">
        <v>45743</v>
      </c>
      <c r="C98">
        <v>26</v>
      </c>
      <c r="D98">
        <v>5799</v>
      </c>
      <c r="E98">
        <v>1.9</v>
      </c>
      <c r="F98">
        <v>1300</v>
      </c>
      <c r="G98">
        <v>4499</v>
      </c>
      <c r="H98">
        <v>8548.1</v>
      </c>
      <c r="I98">
        <v>9848.1</v>
      </c>
      <c r="J98">
        <v>328.77</v>
      </c>
    </row>
    <row r="99" spans="1:10" x14ac:dyDescent="0.2">
      <c r="A99">
        <v>630</v>
      </c>
      <c r="B99" s="3">
        <v>45743</v>
      </c>
      <c r="C99">
        <v>43</v>
      </c>
      <c r="D99">
        <v>8699</v>
      </c>
      <c r="E99">
        <v>2.2999999999999998</v>
      </c>
      <c r="F99">
        <v>1499</v>
      </c>
      <c r="G99">
        <v>7200</v>
      </c>
      <c r="H99">
        <v>16560</v>
      </c>
      <c r="I99">
        <v>18059</v>
      </c>
      <c r="J99">
        <v>385.12</v>
      </c>
    </row>
    <row r="100" spans="1:10" x14ac:dyDescent="0.2">
      <c r="A100">
        <v>618</v>
      </c>
      <c r="B100" s="3">
        <v>45745</v>
      </c>
      <c r="C100">
        <v>35</v>
      </c>
      <c r="D100">
        <v>8938</v>
      </c>
      <c r="E100">
        <v>1.65</v>
      </c>
      <c r="F100">
        <v>860</v>
      </c>
      <c r="G100">
        <v>8078</v>
      </c>
      <c r="H100">
        <v>13328.7</v>
      </c>
      <c r="I100">
        <v>14188.7</v>
      </c>
      <c r="J100">
        <v>380.82</v>
      </c>
    </row>
    <row r="101" spans="1:10" x14ac:dyDescent="0.2">
      <c r="A101">
        <v>321</v>
      </c>
      <c r="B101" s="3">
        <v>45746</v>
      </c>
      <c r="C101">
        <v>35</v>
      </c>
      <c r="D101">
        <v>10099</v>
      </c>
      <c r="E101">
        <v>2.1</v>
      </c>
      <c r="F101">
        <v>2600</v>
      </c>
      <c r="G101">
        <v>7499</v>
      </c>
      <c r="H101">
        <v>15747.9</v>
      </c>
      <c r="I101">
        <v>18347.900000000001</v>
      </c>
      <c r="J101">
        <v>449.94</v>
      </c>
    </row>
    <row r="102" spans="1:10" x14ac:dyDescent="0.2">
      <c r="A102">
        <v>503</v>
      </c>
      <c r="B102" s="3">
        <v>45746</v>
      </c>
      <c r="C102">
        <v>43</v>
      </c>
      <c r="D102">
        <v>8299</v>
      </c>
      <c r="E102">
        <v>1.65</v>
      </c>
      <c r="F102">
        <v>999</v>
      </c>
      <c r="G102">
        <v>7300</v>
      </c>
      <c r="H102">
        <v>12045</v>
      </c>
      <c r="I102">
        <v>13044</v>
      </c>
      <c r="J102">
        <v>280.12</v>
      </c>
    </row>
    <row r="103" spans="1:10" x14ac:dyDescent="0.2">
      <c r="A103">
        <v>504</v>
      </c>
      <c r="B103" s="3">
        <v>45748</v>
      </c>
      <c r="C103">
        <v>43</v>
      </c>
      <c r="D103">
        <v>6499</v>
      </c>
      <c r="E103">
        <v>2.2999999999999998</v>
      </c>
      <c r="F103">
        <v>1249</v>
      </c>
      <c r="G103">
        <v>5250</v>
      </c>
      <c r="H103">
        <v>12075</v>
      </c>
      <c r="I103">
        <v>13324</v>
      </c>
      <c r="J103">
        <v>280.81</v>
      </c>
    </row>
    <row r="104" spans="1:10" x14ac:dyDescent="0.2">
      <c r="A104">
        <v>505</v>
      </c>
      <c r="B104" s="3">
        <v>45749</v>
      </c>
      <c r="C104">
        <v>43</v>
      </c>
      <c r="D104">
        <v>5299</v>
      </c>
      <c r="E104">
        <v>2.2999999999999998</v>
      </c>
      <c r="F104">
        <v>999</v>
      </c>
      <c r="G104">
        <v>4300</v>
      </c>
      <c r="H104">
        <v>9890</v>
      </c>
      <c r="I104">
        <v>10889</v>
      </c>
      <c r="J104">
        <v>230</v>
      </c>
    </row>
    <row r="105" spans="1:10" x14ac:dyDescent="0.2">
      <c r="A105">
        <v>324</v>
      </c>
      <c r="B105" s="3">
        <v>45750</v>
      </c>
      <c r="C105">
        <v>43</v>
      </c>
      <c r="D105">
        <v>8299</v>
      </c>
      <c r="E105">
        <v>0.85</v>
      </c>
      <c r="F105">
        <v>999</v>
      </c>
      <c r="G105">
        <v>7300</v>
      </c>
      <c r="H105">
        <v>6205</v>
      </c>
      <c r="I105">
        <v>7204</v>
      </c>
      <c r="J105">
        <v>144.30000000000001</v>
      </c>
    </row>
    <row r="106" spans="1:10" x14ac:dyDescent="0.2">
      <c r="A106">
        <v>506</v>
      </c>
      <c r="B106" s="3">
        <v>45751</v>
      </c>
      <c r="C106">
        <v>43</v>
      </c>
      <c r="D106">
        <v>6499</v>
      </c>
      <c r="E106">
        <v>2.2999999999999998</v>
      </c>
      <c r="F106">
        <v>1249</v>
      </c>
      <c r="G106">
        <v>5250</v>
      </c>
      <c r="H106">
        <v>12075</v>
      </c>
      <c r="I106">
        <v>13324</v>
      </c>
      <c r="J106">
        <v>280.81</v>
      </c>
    </row>
    <row r="107" spans="1:10" x14ac:dyDescent="0.2">
      <c r="A107">
        <v>507</v>
      </c>
      <c r="B107" s="3">
        <v>45752</v>
      </c>
      <c r="C107">
        <v>20</v>
      </c>
      <c r="D107">
        <v>6999</v>
      </c>
      <c r="E107">
        <v>1</v>
      </c>
      <c r="F107">
        <v>750</v>
      </c>
      <c r="G107">
        <v>6249</v>
      </c>
      <c r="H107">
        <v>6249</v>
      </c>
      <c r="I107">
        <v>6999</v>
      </c>
      <c r="J107">
        <v>312.45</v>
      </c>
    </row>
    <row r="108" spans="1:10" x14ac:dyDescent="0.2">
      <c r="A108">
        <v>325</v>
      </c>
      <c r="B108" s="3">
        <v>45753</v>
      </c>
      <c r="C108">
        <v>15</v>
      </c>
      <c r="D108">
        <v>3799</v>
      </c>
      <c r="E108">
        <v>1.5</v>
      </c>
      <c r="F108">
        <v>799</v>
      </c>
      <c r="G108">
        <v>3000</v>
      </c>
      <c r="H108">
        <v>4500</v>
      </c>
      <c r="I108">
        <v>5299</v>
      </c>
      <c r="J108">
        <v>300</v>
      </c>
    </row>
    <row r="109" spans="1:10" x14ac:dyDescent="0.2">
      <c r="A109">
        <v>517</v>
      </c>
      <c r="B109" s="3">
        <v>45753</v>
      </c>
      <c r="C109">
        <v>26</v>
      </c>
      <c r="D109">
        <v>8299</v>
      </c>
      <c r="E109">
        <v>1.6</v>
      </c>
      <c r="F109">
        <v>999</v>
      </c>
      <c r="G109">
        <v>7300</v>
      </c>
      <c r="H109">
        <v>11680</v>
      </c>
      <c r="I109">
        <v>12679</v>
      </c>
      <c r="J109">
        <v>449.23</v>
      </c>
    </row>
    <row r="110" spans="1:10" x14ac:dyDescent="0.2">
      <c r="A110">
        <v>233</v>
      </c>
      <c r="B110" s="3">
        <v>45755</v>
      </c>
      <c r="C110">
        <v>20</v>
      </c>
      <c r="D110">
        <v>9199</v>
      </c>
      <c r="E110">
        <v>1</v>
      </c>
      <c r="F110">
        <v>1249</v>
      </c>
      <c r="G110">
        <v>7950</v>
      </c>
      <c r="H110">
        <v>7950</v>
      </c>
      <c r="I110">
        <v>9199</v>
      </c>
      <c r="J110">
        <v>397.5</v>
      </c>
    </row>
    <row r="111" spans="1:10" x14ac:dyDescent="0.2">
      <c r="A111">
        <v>235</v>
      </c>
      <c r="B111" s="3">
        <v>45755</v>
      </c>
      <c r="C111">
        <v>26</v>
      </c>
      <c r="D111">
        <v>5299</v>
      </c>
      <c r="E111">
        <v>1.9</v>
      </c>
      <c r="F111">
        <v>999</v>
      </c>
      <c r="G111">
        <v>4300</v>
      </c>
      <c r="H111">
        <v>8170</v>
      </c>
      <c r="I111">
        <v>9169</v>
      </c>
      <c r="J111">
        <v>314.23</v>
      </c>
    </row>
    <row r="112" spans="1:10" x14ac:dyDescent="0.2">
      <c r="A112">
        <v>509</v>
      </c>
      <c r="B112" s="3">
        <v>45756</v>
      </c>
      <c r="C112">
        <v>43</v>
      </c>
      <c r="D112">
        <v>6199</v>
      </c>
      <c r="E112">
        <v>2.2999999999999998</v>
      </c>
      <c r="F112">
        <v>1249</v>
      </c>
      <c r="G112">
        <v>4950</v>
      </c>
      <c r="H112">
        <v>11385</v>
      </c>
      <c r="I112">
        <v>12634</v>
      </c>
      <c r="J112">
        <v>264.77</v>
      </c>
    </row>
    <row r="113" spans="1:10" x14ac:dyDescent="0.2">
      <c r="A113">
        <v>231</v>
      </c>
      <c r="B113" s="3">
        <v>45759</v>
      </c>
      <c r="C113">
        <v>26</v>
      </c>
      <c r="D113">
        <v>9199</v>
      </c>
      <c r="E113">
        <v>1.9</v>
      </c>
      <c r="F113">
        <v>2499</v>
      </c>
      <c r="G113">
        <v>6700</v>
      </c>
      <c r="H113">
        <v>12730</v>
      </c>
      <c r="I113">
        <v>15229</v>
      </c>
      <c r="J113">
        <v>489.62</v>
      </c>
    </row>
    <row r="114" spans="1:10" x14ac:dyDescent="0.2">
      <c r="A114">
        <v>619</v>
      </c>
      <c r="B114" s="3">
        <v>45759</v>
      </c>
      <c r="C114">
        <v>43</v>
      </c>
      <c r="D114">
        <v>6299</v>
      </c>
      <c r="E114">
        <v>1</v>
      </c>
      <c r="F114">
        <v>0</v>
      </c>
      <c r="G114">
        <v>6299</v>
      </c>
      <c r="H114">
        <v>6299</v>
      </c>
      <c r="I114">
        <v>6299</v>
      </c>
      <c r="J114">
        <v>146.49</v>
      </c>
    </row>
    <row r="115" spans="1:10" x14ac:dyDescent="0.2">
      <c r="A115">
        <v>511</v>
      </c>
      <c r="B115" s="3">
        <v>45760</v>
      </c>
      <c r="C115">
        <v>43</v>
      </c>
      <c r="D115">
        <v>3799</v>
      </c>
      <c r="E115">
        <v>2.2999999999999998</v>
      </c>
      <c r="F115">
        <v>799</v>
      </c>
      <c r="G115">
        <v>3000</v>
      </c>
      <c r="H115">
        <v>6900</v>
      </c>
      <c r="I115">
        <v>7699</v>
      </c>
      <c r="J115">
        <v>160.47</v>
      </c>
    </row>
    <row r="116" spans="1:10" x14ac:dyDescent="0.2">
      <c r="A116">
        <v>228</v>
      </c>
      <c r="B116" s="3">
        <v>45763</v>
      </c>
      <c r="C116">
        <v>20</v>
      </c>
      <c r="D116">
        <v>6499</v>
      </c>
      <c r="E116">
        <v>1</v>
      </c>
      <c r="F116">
        <v>750</v>
      </c>
      <c r="G116">
        <v>5749</v>
      </c>
      <c r="H116">
        <v>5749</v>
      </c>
      <c r="I116">
        <v>6499</v>
      </c>
      <c r="J116">
        <v>287.45</v>
      </c>
    </row>
    <row r="117" spans="1:10" x14ac:dyDescent="0.2">
      <c r="A117">
        <v>513</v>
      </c>
      <c r="B117" s="3">
        <v>45765</v>
      </c>
      <c r="C117">
        <v>35</v>
      </c>
      <c r="D117">
        <v>6199</v>
      </c>
      <c r="E117">
        <v>2.1</v>
      </c>
      <c r="F117">
        <v>1249</v>
      </c>
      <c r="G117">
        <v>4950</v>
      </c>
      <c r="H117">
        <v>10395</v>
      </c>
      <c r="I117">
        <v>11644</v>
      </c>
      <c r="J117">
        <v>297</v>
      </c>
    </row>
    <row r="118" spans="1:10" x14ac:dyDescent="0.2">
      <c r="A118">
        <v>536</v>
      </c>
      <c r="B118" s="3">
        <v>45765</v>
      </c>
      <c r="C118">
        <v>43</v>
      </c>
      <c r="D118">
        <v>3799</v>
      </c>
      <c r="E118">
        <v>2.2999999999999998</v>
      </c>
      <c r="F118">
        <v>799</v>
      </c>
      <c r="G118">
        <v>3000</v>
      </c>
      <c r="H118">
        <v>6900</v>
      </c>
      <c r="I118">
        <v>7699</v>
      </c>
      <c r="J118">
        <v>160</v>
      </c>
    </row>
    <row r="119" spans="1:10" x14ac:dyDescent="0.2">
      <c r="A119">
        <v>518</v>
      </c>
      <c r="B119" s="3">
        <v>45767</v>
      </c>
      <c r="C119">
        <v>26</v>
      </c>
      <c r="D119">
        <v>8299</v>
      </c>
      <c r="E119">
        <v>2.3862999999999999</v>
      </c>
      <c r="F119">
        <v>999</v>
      </c>
      <c r="G119">
        <v>7300</v>
      </c>
      <c r="H119">
        <v>17419.990000000002</v>
      </c>
      <c r="I119">
        <v>18418.990000000002</v>
      </c>
      <c r="J119">
        <v>670</v>
      </c>
    </row>
    <row r="120" spans="1:10" x14ac:dyDescent="0.2">
      <c r="A120">
        <v>224</v>
      </c>
      <c r="B120" s="3">
        <v>45768</v>
      </c>
      <c r="C120">
        <v>20</v>
      </c>
      <c r="D120">
        <v>5299</v>
      </c>
      <c r="E120">
        <v>1</v>
      </c>
      <c r="F120">
        <v>999</v>
      </c>
      <c r="G120">
        <v>4300</v>
      </c>
      <c r="H120">
        <v>4300</v>
      </c>
      <c r="I120">
        <v>5299</v>
      </c>
      <c r="J120">
        <v>215</v>
      </c>
    </row>
    <row r="121" spans="1:10" x14ac:dyDescent="0.2">
      <c r="A121">
        <v>627</v>
      </c>
      <c r="B121" s="3">
        <v>45768</v>
      </c>
      <c r="C121">
        <v>43</v>
      </c>
      <c r="D121">
        <v>3799</v>
      </c>
      <c r="E121">
        <v>1.926742</v>
      </c>
      <c r="F121">
        <v>800</v>
      </c>
      <c r="G121">
        <v>2999</v>
      </c>
      <c r="H121">
        <v>5778.3</v>
      </c>
      <c r="I121">
        <v>6578.3</v>
      </c>
      <c r="J121">
        <v>134.38</v>
      </c>
    </row>
    <row r="122" spans="1:10" x14ac:dyDescent="0.2">
      <c r="A122">
        <v>312</v>
      </c>
      <c r="B122" s="3">
        <v>45769</v>
      </c>
      <c r="C122">
        <v>15</v>
      </c>
      <c r="D122">
        <v>3799</v>
      </c>
      <c r="E122">
        <v>1.5</v>
      </c>
      <c r="F122">
        <v>799</v>
      </c>
      <c r="G122">
        <v>3000</v>
      </c>
      <c r="H122">
        <v>4500</v>
      </c>
      <c r="I122">
        <v>5299</v>
      </c>
      <c r="J122">
        <v>300</v>
      </c>
    </row>
    <row r="123" spans="1:10" x14ac:dyDescent="0.2">
      <c r="A123">
        <v>315</v>
      </c>
      <c r="B123" s="3">
        <v>45769</v>
      </c>
      <c r="C123">
        <v>20</v>
      </c>
      <c r="D123">
        <v>10099</v>
      </c>
      <c r="E123">
        <v>1</v>
      </c>
      <c r="F123">
        <v>1249</v>
      </c>
      <c r="G123">
        <v>8850</v>
      </c>
      <c r="H123">
        <v>8850</v>
      </c>
      <c r="I123">
        <v>10099</v>
      </c>
      <c r="J123">
        <v>442.5</v>
      </c>
    </row>
    <row r="124" spans="1:10" x14ac:dyDescent="0.2">
      <c r="A124">
        <v>515</v>
      </c>
      <c r="B124" s="3">
        <v>45769</v>
      </c>
      <c r="C124">
        <v>43</v>
      </c>
      <c r="D124">
        <v>5299</v>
      </c>
      <c r="E124">
        <v>2.2999999999999998</v>
      </c>
      <c r="F124">
        <v>999</v>
      </c>
      <c r="G124">
        <v>4300</v>
      </c>
      <c r="H124">
        <v>9890</v>
      </c>
      <c r="I124">
        <v>10889</v>
      </c>
      <c r="J124">
        <v>230</v>
      </c>
    </row>
    <row r="125" spans="1:10" x14ac:dyDescent="0.2">
      <c r="A125">
        <v>219</v>
      </c>
      <c r="B125" s="3">
        <v>45771</v>
      </c>
      <c r="C125">
        <v>43</v>
      </c>
      <c r="D125">
        <v>7599</v>
      </c>
      <c r="E125">
        <v>1</v>
      </c>
      <c r="F125">
        <v>1000</v>
      </c>
      <c r="G125">
        <v>6599</v>
      </c>
      <c r="H125">
        <v>6599</v>
      </c>
      <c r="I125">
        <v>7599</v>
      </c>
      <c r="J125">
        <v>153.47</v>
      </c>
    </row>
    <row r="126" spans="1:10" x14ac:dyDescent="0.2">
      <c r="A126">
        <v>306</v>
      </c>
      <c r="B126" s="3">
        <v>45771</v>
      </c>
      <c r="C126">
        <v>43</v>
      </c>
      <c r="D126">
        <v>8499</v>
      </c>
      <c r="E126">
        <v>1</v>
      </c>
      <c r="F126">
        <v>500</v>
      </c>
      <c r="G126">
        <v>7999</v>
      </c>
      <c r="H126">
        <v>7999</v>
      </c>
      <c r="I126">
        <v>8499</v>
      </c>
      <c r="J126">
        <v>186.02</v>
      </c>
    </row>
    <row r="127" spans="1:10" x14ac:dyDescent="0.2">
      <c r="A127">
        <v>319</v>
      </c>
      <c r="B127" s="3">
        <v>45771</v>
      </c>
      <c r="C127">
        <v>43</v>
      </c>
      <c r="D127">
        <v>5299</v>
      </c>
      <c r="E127">
        <v>2.2999999999999998</v>
      </c>
      <c r="F127">
        <v>999</v>
      </c>
      <c r="G127">
        <v>4300</v>
      </c>
      <c r="H127">
        <v>9890</v>
      </c>
      <c r="I127">
        <v>10889</v>
      </c>
      <c r="J127">
        <v>230</v>
      </c>
    </row>
    <row r="128" spans="1:10" x14ac:dyDescent="0.2">
      <c r="A128">
        <v>541</v>
      </c>
      <c r="B128" s="3">
        <v>45771</v>
      </c>
      <c r="C128">
        <v>43</v>
      </c>
      <c r="D128">
        <v>5299</v>
      </c>
      <c r="E128">
        <v>2.2999999999999998</v>
      </c>
      <c r="F128">
        <v>999</v>
      </c>
      <c r="G128">
        <v>4300</v>
      </c>
      <c r="H128">
        <v>9890</v>
      </c>
      <c r="I128">
        <v>10889</v>
      </c>
      <c r="J128">
        <v>230</v>
      </c>
    </row>
    <row r="129" spans="1:10" x14ac:dyDescent="0.2">
      <c r="A129">
        <v>222</v>
      </c>
      <c r="B129" s="3">
        <v>45773</v>
      </c>
      <c r="C129">
        <v>35</v>
      </c>
      <c r="D129">
        <v>3799</v>
      </c>
      <c r="E129">
        <v>2.1</v>
      </c>
      <c r="F129">
        <v>799</v>
      </c>
      <c r="G129">
        <v>3000</v>
      </c>
      <c r="H129">
        <v>6300</v>
      </c>
      <c r="I129">
        <v>7099</v>
      </c>
      <c r="J129">
        <v>180</v>
      </c>
    </row>
    <row r="130" spans="1:10" x14ac:dyDescent="0.2">
      <c r="A130">
        <v>313</v>
      </c>
      <c r="B130" s="3">
        <v>45777</v>
      </c>
      <c r="C130">
        <v>35</v>
      </c>
      <c r="D130">
        <v>8299</v>
      </c>
      <c r="E130">
        <v>1.65</v>
      </c>
      <c r="F130">
        <v>999</v>
      </c>
      <c r="G130">
        <v>7300</v>
      </c>
      <c r="H130">
        <v>12045</v>
      </c>
      <c r="I130">
        <v>13044</v>
      </c>
      <c r="J130">
        <v>344.14</v>
      </c>
    </row>
    <row r="131" spans="1:10" x14ac:dyDescent="0.2">
      <c r="A131">
        <v>220</v>
      </c>
      <c r="B131" s="3">
        <v>45779</v>
      </c>
      <c r="C131">
        <v>43</v>
      </c>
      <c r="D131">
        <v>5299</v>
      </c>
      <c r="E131">
        <v>2.2999999999999998</v>
      </c>
      <c r="F131">
        <v>999</v>
      </c>
      <c r="G131">
        <v>4300</v>
      </c>
      <c r="H131">
        <v>9890</v>
      </c>
      <c r="I131">
        <v>10889</v>
      </c>
      <c r="J131">
        <v>230</v>
      </c>
    </row>
    <row r="132" spans="1:10" x14ac:dyDescent="0.2">
      <c r="A132">
        <v>702</v>
      </c>
      <c r="B132" s="3">
        <v>45780</v>
      </c>
      <c r="C132">
        <v>43</v>
      </c>
      <c r="D132">
        <v>5299</v>
      </c>
      <c r="E132">
        <v>2.2999999999999998</v>
      </c>
      <c r="F132">
        <v>999</v>
      </c>
      <c r="G132">
        <v>4300</v>
      </c>
      <c r="H132">
        <v>9890</v>
      </c>
      <c r="I132">
        <v>10889</v>
      </c>
      <c r="J132">
        <v>230</v>
      </c>
    </row>
    <row r="133" spans="1:10" x14ac:dyDescent="0.2">
      <c r="A133">
        <v>588</v>
      </c>
      <c r="B133" s="3">
        <v>45783</v>
      </c>
      <c r="C133">
        <v>43</v>
      </c>
      <c r="D133">
        <v>5299</v>
      </c>
      <c r="E133">
        <v>2.2999999999999998</v>
      </c>
      <c r="F133">
        <v>999</v>
      </c>
      <c r="G133">
        <v>4300</v>
      </c>
      <c r="H133">
        <v>9890</v>
      </c>
      <c r="I133">
        <v>10889</v>
      </c>
      <c r="J133">
        <v>230</v>
      </c>
    </row>
    <row r="134" spans="1:10" x14ac:dyDescent="0.2">
      <c r="A134">
        <v>221</v>
      </c>
      <c r="B134" s="3">
        <v>45785</v>
      </c>
      <c r="C134">
        <v>43</v>
      </c>
      <c r="D134">
        <v>8299</v>
      </c>
      <c r="E134">
        <v>1.7</v>
      </c>
      <c r="F134">
        <v>999</v>
      </c>
      <c r="G134">
        <v>7300</v>
      </c>
      <c r="H134">
        <v>12410</v>
      </c>
      <c r="I134">
        <v>13409</v>
      </c>
      <c r="J134">
        <v>288.60000000000002</v>
      </c>
    </row>
    <row r="135" spans="1:10" x14ac:dyDescent="0.2">
      <c r="A135">
        <v>223</v>
      </c>
      <c r="B135" s="3">
        <v>45791</v>
      </c>
      <c r="C135">
        <v>26</v>
      </c>
      <c r="D135">
        <v>5299</v>
      </c>
      <c r="E135">
        <v>1.9</v>
      </c>
      <c r="F135">
        <v>999</v>
      </c>
      <c r="G135">
        <v>4300</v>
      </c>
      <c r="H135">
        <v>8170</v>
      </c>
      <c r="I135">
        <v>9169</v>
      </c>
      <c r="J135">
        <v>314.23</v>
      </c>
    </row>
    <row r="136" spans="1:10" x14ac:dyDescent="0.2">
      <c r="A136">
        <v>307</v>
      </c>
      <c r="B136" s="3">
        <v>45792</v>
      </c>
      <c r="C136">
        <v>18</v>
      </c>
      <c r="D136">
        <v>5299</v>
      </c>
      <c r="E136">
        <v>1.7</v>
      </c>
      <c r="F136">
        <v>999</v>
      </c>
      <c r="G136">
        <v>4300</v>
      </c>
      <c r="H136">
        <v>7310</v>
      </c>
      <c r="I136">
        <v>8309</v>
      </c>
      <c r="J136">
        <v>406.11</v>
      </c>
    </row>
    <row r="137" spans="1:10" x14ac:dyDescent="0.2">
      <c r="A137">
        <v>311</v>
      </c>
      <c r="B137" s="3">
        <v>45793</v>
      </c>
      <c r="C137">
        <v>15</v>
      </c>
      <c r="D137">
        <v>5299</v>
      </c>
      <c r="E137">
        <v>1.5</v>
      </c>
      <c r="F137">
        <v>999</v>
      </c>
      <c r="G137">
        <v>4300</v>
      </c>
      <c r="H137">
        <v>6450</v>
      </c>
      <c r="I137">
        <v>7449</v>
      </c>
      <c r="J137">
        <v>430</v>
      </c>
    </row>
    <row r="138" spans="1:10" x14ac:dyDescent="0.2">
      <c r="A138">
        <v>314</v>
      </c>
      <c r="B138" s="3">
        <v>45793</v>
      </c>
      <c r="C138">
        <v>26</v>
      </c>
      <c r="D138">
        <v>3799</v>
      </c>
      <c r="E138">
        <v>1.9</v>
      </c>
      <c r="F138">
        <v>799</v>
      </c>
      <c r="G138">
        <v>3000</v>
      </c>
      <c r="H138">
        <v>5700</v>
      </c>
      <c r="I138">
        <v>6499</v>
      </c>
      <c r="J138">
        <v>219.23</v>
      </c>
    </row>
    <row r="139" spans="1:10" x14ac:dyDescent="0.2">
      <c r="A139">
        <v>320</v>
      </c>
      <c r="B139" s="3">
        <v>45793</v>
      </c>
      <c r="C139">
        <v>26</v>
      </c>
      <c r="D139">
        <v>3799</v>
      </c>
      <c r="E139">
        <v>1.9</v>
      </c>
      <c r="F139">
        <v>799</v>
      </c>
      <c r="G139">
        <v>3000</v>
      </c>
      <c r="H139">
        <v>5700</v>
      </c>
      <c r="I139">
        <v>6499</v>
      </c>
      <c r="J139">
        <v>219.23</v>
      </c>
    </row>
    <row r="140" spans="1:10" x14ac:dyDescent="0.2">
      <c r="A140">
        <v>645</v>
      </c>
      <c r="B140" s="3">
        <v>45794</v>
      </c>
      <c r="C140">
        <v>35</v>
      </c>
      <c r="D140">
        <v>3799</v>
      </c>
      <c r="E140">
        <v>2.1</v>
      </c>
      <c r="F140">
        <v>799</v>
      </c>
      <c r="G140">
        <v>3000</v>
      </c>
      <c r="H140">
        <v>6300</v>
      </c>
      <c r="I140">
        <v>7099</v>
      </c>
      <c r="J140">
        <v>180</v>
      </c>
    </row>
    <row r="141" spans="1:10" x14ac:dyDescent="0.2">
      <c r="A141">
        <v>647</v>
      </c>
      <c r="B141" s="3">
        <v>45794</v>
      </c>
      <c r="C141">
        <v>43</v>
      </c>
      <c r="D141">
        <v>8910</v>
      </c>
      <c r="E141">
        <v>0.99988299999999997</v>
      </c>
      <c r="F141">
        <v>1248.0999999999999</v>
      </c>
      <c r="G141">
        <v>7661.9</v>
      </c>
      <c r="H141">
        <v>7661</v>
      </c>
      <c r="I141">
        <v>8909.1</v>
      </c>
      <c r="J141">
        <v>178.16</v>
      </c>
    </row>
    <row r="142" spans="1:10" x14ac:dyDescent="0.2">
      <c r="A142">
        <v>597</v>
      </c>
      <c r="B142" s="3">
        <v>45798</v>
      </c>
      <c r="C142">
        <v>43</v>
      </c>
      <c r="D142">
        <v>3799</v>
      </c>
      <c r="E142">
        <v>2.2999999999999998</v>
      </c>
      <c r="F142">
        <v>799</v>
      </c>
      <c r="G142">
        <v>3000</v>
      </c>
      <c r="H142">
        <v>6900</v>
      </c>
      <c r="I142">
        <v>7699</v>
      </c>
      <c r="J142">
        <v>160.47</v>
      </c>
    </row>
    <row r="143" spans="1:10" x14ac:dyDescent="0.2">
      <c r="A143">
        <v>309</v>
      </c>
      <c r="B143" s="3">
        <v>45801</v>
      </c>
      <c r="C143">
        <v>35</v>
      </c>
      <c r="D143">
        <v>5299</v>
      </c>
      <c r="E143">
        <v>2.1</v>
      </c>
      <c r="F143">
        <v>999</v>
      </c>
      <c r="G143">
        <v>4300</v>
      </c>
      <c r="H143">
        <v>9030</v>
      </c>
      <c r="I143">
        <v>10029</v>
      </c>
      <c r="J143">
        <v>258</v>
      </c>
    </row>
    <row r="144" spans="1:10" x14ac:dyDescent="0.2">
      <c r="A144">
        <v>649</v>
      </c>
      <c r="B144" s="3">
        <v>45803</v>
      </c>
      <c r="C144">
        <v>43</v>
      </c>
      <c r="D144">
        <v>3799</v>
      </c>
      <c r="E144">
        <v>2.2999999999999998</v>
      </c>
      <c r="F144">
        <v>799</v>
      </c>
      <c r="G144">
        <v>3000</v>
      </c>
      <c r="H144">
        <v>6900</v>
      </c>
      <c r="I144">
        <v>7699</v>
      </c>
      <c r="J144">
        <v>160.47</v>
      </c>
    </row>
    <row r="145" spans="1:10" x14ac:dyDescent="0.2">
      <c r="A145">
        <v>212</v>
      </c>
      <c r="B145" s="3">
        <v>45804</v>
      </c>
      <c r="C145">
        <v>35</v>
      </c>
      <c r="D145">
        <v>6499</v>
      </c>
      <c r="E145">
        <v>2.1</v>
      </c>
      <c r="F145">
        <v>1249</v>
      </c>
      <c r="G145">
        <v>5250</v>
      </c>
      <c r="H145">
        <v>11025</v>
      </c>
      <c r="I145">
        <v>12274</v>
      </c>
      <c r="J145">
        <v>315</v>
      </c>
    </row>
    <row r="146" spans="1:10" x14ac:dyDescent="0.2">
      <c r="A146">
        <v>213</v>
      </c>
      <c r="B146" s="3">
        <v>45804</v>
      </c>
      <c r="C146">
        <v>43</v>
      </c>
      <c r="D146">
        <v>5299</v>
      </c>
      <c r="E146">
        <v>2.2999999999999998</v>
      </c>
      <c r="F146">
        <v>999</v>
      </c>
      <c r="G146">
        <v>4300</v>
      </c>
      <c r="H146">
        <v>9890</v>
      </c>
      <c r="I146">
        <v>10889</v>
      </c>
      <c r="J146">
        <v>230</v>
      </c>
    </row>
    <row r="147" spans="1:10" x14ac:dyDescent="0.2">
      <c r="A147">
        <v>238</v>
      </c>
      <c r="B147" s="3">
        <v>45804</v>
      </c>
      <c r="C147">
        <v>35</v>
      </c>
      <c r="D147">
        <v>5299</v>
      </c>
      <c r="E147">
        <v>2.1</v>
      </c>
      <c r="F147">
        <v>999</v>
      </c>
      <c r="G147">
        <v>4300</v>
      </c>
      <c r="H147">
        <v>9030</v>
      </c>
      <c r="I147">
        <v>10029</v>
      </c>
      <c r="J147">
        <v>258</v>
      </c>
    </row>
    <row r="148" spans="1:10" x14ac:dyDescent="0.2">
      <c r="A148">
        <v>305</v>
      </c>
      <c r="B148" s="3">
        <v>45808</v>
      </c>
      <c r="C148">
        <v>43</v>
      </c>
      <c r="D148">
        <v>6499</v>
      </c>
      <c r="E148">
        <v>2.0703</v>
      </c>
      <c r="F148">
        <v>624.5</v>
      </c>
      <c r="G148">
        <v>5874.5</v>
      </c>
      <c r="H148">
        <v>12161.98</v>
      </c>
      <c r="I148">
        <v>12786.48</v>
      </c>
      <c r="J148">
        <v>282.83999999999997</v>
      </c>
    </row>
    <row r="149" spans="1:10" x14ac:dyDescent="0.2">
      <c r="A149">
        <v>334</v>
      </c>
      <c r="B149" s="3">
        <v>45808</v>
      </c>
      <c r="C149">
        <v>15</v>
      </c>
      <c r="D149">
        <v>3799</v>
      </c>
      <c r="E149">
        <v>1.5</v>
      </c>
      <c r="F149">
        <v>799</v>
      </c>
      <c r="G149">
        <v>3000</v>
      </c>
      <c r="H149">
        <v>4500</v>
      </c>
      <c r="I149">
        <v>5299</v>
      </c>
      <c r="J149">
        <v>300</v>
      </c>
    </row>
    <row r="150" spans="1:10" x14ac:dyDescent="0.2">
      <c r="A150">
        <v>602</v>
      </c>
      <c r="B150" s="3">
        <v>45808</v>
      </c>
      <c r="C150">
        <v>35</v>
      </c>
      <c r="D150">
        <v>3799</v>
      </c>
      <c r="E150">
        <v>2.1</v>
      </c>
      <c r="F150">
        <v>799</v>
      </c>
      <c r="G150">
        <v>3000</v>
      </c>
      <c r="H150">
        <v>6300</v>
      </c>
      <c r="I150">
        <v>7099</v>
      </c>
      <c r="J150">
        <v>180</v>
      </c>
    </row>
    <row r="151" spans="1:10" x14ac:dyDescent="0.2">
      <c r="A151">
        <v>214</v>
      </c>
      <c r="B151" s="3">
        <v>45809</v>
      </c>
      <c r="C151">
        <v>43</v>
      </c>
      <c r="D151">
        <v>5299</v>
      </c>
      <c r="E151">
        <v>2.2999999999999998</v>
      </c>
      <c r="F151">
        <v>999</v>
      </c>
      <c r="G151">
        <v>4300</v>
      </c>
      <c r="H151">
        <v>9890</v>
      </c>
      <c r="I151">
        <v>10889</v>
      </c>
      <c r="J151">
        <v>230</v>
      </c>
    </row>
    <row r="152" spans="1:10" x14ac:dyDescent="0.2">
      <c r="A152">
        <v>217</v>
      </c>
      <c r="B152" s="3">
        <v>45811</v>
      </c>
      <c r="C152">
        <v>35</v>
      </c>
      <c r="D152">
        <v>3799</v>
      </c>
      <c r="E152">
        <v>2.1</v>
      </c>
      <c r="F152">
        <v>799</v>
      </c>
      <c r="G152">
        <v>3000</v>
      </c>
      <c r="H152">
        <v>6300</v>
      </c>
      <c r="I152">
        <v>7099</v>
      </c>
      <c r="J152">
        <v>180</v>
      </c>
    </row>
    <row r="153" spans="1:10" x14ac:dyDescent="0.2">
      <c r="A153">
        <v>216</v>
      </c>
      <c r="B153" s="3">
        <v>45813</v>
      </c>
      <c r="C153">
        <v>15</v>
      </c>
      <c r="D153">
        <v>5299</v>
      </c>
      <c r="E153">
        <v>1.5</v>
      </c>
      <c r="F153">
        <v>999</v>
      </c>
      <c r="G153">
        <v>4300</v>
      </c>
      <c r="H153">
        <v>6450</v>
      </c>
      <c r="I153">
        <v>7449</v>
      </c>
      <c r="J153">
        <v>430</v>
      </c>
    </row>
    <row r="154" spans="1:10" x14ac:dyDescent="0.2">
      <c r="A154">
        <v>632</v>
      </c>
      <c r="B154" s="3">
        <v>45814</v>
      </c>
      <c r="C154">
        <v>26</v>
      </c>
      <c r="D154">
        <v>3799</v>
      </c>
      <c r="E154">
        <v>1.9</v>
      </c>
      <c r="F154">
        <v>799</v>
      </c>
      <c r="G154">
        <v>3000</v>
      </c>
      <c r="H154">
        <v>5700</v>
      </c>
      <c r="I154">
        <v>6499</v>
      </c>
      <c r="J154">
        <v>219.23</v>
      </c>
    </row>
    <row r="155" spans="1:10" x14ac:dyDescent="0.2">
      <c r="A155">
        <v>215</v>
      </c>
      <c r="B155" s="3">
        <v>45815</v>
      </c>
      <c r="C155">
        <v>20</v>
      </c>
      <c r="D155">
        <v>6599</v>
      </c>
      <c r="E155">
        <v>1</v>
      </c>
      <c r="F155">
        <v>624.5</v>
      </c>
      <c r="G155">
        <v>5974.5</v>
      </c>
      <c r="H155">
        <v>5974.5</v>
      </c>
      <c r="I155">
        <v>6599</v>
      </c>
      <c r="J155">
        <v>298.73</v>
      </c>
    </row>
    <row r="156" spans="1:10" x14ac:dyDescent="0.2">
      <c r="A156">
        <v>188</v>
      </c>
      <c r="B156" s="3">
        <v>45816</v>
      </c>
      <c r="C156">
        <v>15</v>
      </c>
      <c r="D156">
        <v>5299</v>
      </c>
      <c r="E156">
        <v>1.5</v>
      </c>
      <c r="F156">
        <v>999</v>
      </c>
      <c r="G156">
        <v>4300</v>
      </c>
      <c r="H156">
        <v>6450</v>
      </c>
      <c r="I156">
        <v>7449</v>
      </c>
      <c r="J156">
        <v>430</v>
      </c>
    </row>
    <row r="157" spans="1:10" x14ac:dyDescent="0.2">
      <c r="A157">
        <v>193</v>
      </c>
      <c r="B157" s="3">
        <v>45816</v>
      </c>
      <c r="C157">
        <v>15</v>
      </c>
      <c r="D157">
        <v>3799</v>
      </c>
      <c r="E157">
        <v>1.5</v>
      </c>
      <c r="F157">
        <v>799</v>
      </c>
      <c r="G157">
        <v>3000</v>
      </c>
      <c r="H157">
        <v>4500</v>
      </c>
      <c r="I157">
        <v>5299</v>
      </c>
      <c r="J157">
        <v>300</v>
      </c>
    </row>
    <row r="158" spans="1:10" x14ac:dyDescent="0.2">
      <c r="A158">
        <v>191</v>
      </c>
      <c r="B158" s="3">
        <v>45817</v>
      </c>
      <c r="C158">
        <v>20</v>
      </c>
      <c r="D158">
        <v>6499</v>
      </c>
      <c r="E158">
        <v>1</v>
      </c>
      <c r="F158">
        <v>0</v>
      </c>
      <c r="G158">
        <v>6499</v>
      </c>
      <c r="H158">
        <v>6499</v>
      </c>
      <c r="I158">
        <v>6499</v>
      </c>
      <c r="J158">
        <v>324.95</v>
      </c>
    </row>
    <row r="159" spans="1:10" x14ac:dyDescent="0.2">
      <c r="A159">
        <v>192</v>
      </c>
      <c r="B159" s="3">
        <v>45817</v>
      </c>
      <c r="C159">
        <v>20</v>
      </c>
      <c r="D159">
        <v>3700</v>
      </c>
      <c r="E159">
        <v>1</v>
      </c>
      <c r="F159">
        <v>400</v>
      </c>
      <c r="G159">
        <v>3300</v>
      </c>
      <c r="H159">
        <v>3300</v>
      </c>
      <c r="I159">
        <v>3700</v>
      </c>
      <c r="J159">
        <v>165</v>
      </c>
    </row>
    <row r="160" spans="1:10" x14ac:dyDescent="0.2">
      <c r="A160">
        <v>586</v>
      </c>
      <c r="B160" s="3">
        <v>45818</v>
      </c>
      <c r="C160">
        <v>43</v>
      </c>
      <c r="D160">
        <v>5499</v>
      </c>
      <c r="E160">
        <v>2.2999999999999998</v>
      </c>
      <c r="F160">
        <v>1249</v>
      </c>
      <c r="G160">
        <v>4250</v>
      </c>
      <c r="H160">
        <v>9775</v>
      </c>
      <c r="I160">
        <v>11024</v>
      </c>
      <c r="J160">
        <v>227.33</v>
      </c>
    </row>
    <row r="161" spans="1:10" x14ac:dyDescent="0.2">
      <c r="A161">
        <v>194</v>
      </c>
      <c r="B161" s="3">
        <v>45820</v>
      </c>
      <c r="C161">
        <v>20</v>
      </c>
      <c r="D161">
        <v>3799</v>
      </c>
      <c r="E161">
        <v>1</v>
      </c>
      <c r="F161">
        <v>399.5</v>
      </c>
      <c r="G161">
        <v>3399.5</v>
      </c>
      <c r="H161">
        <v>3399.5</v>
      </c>
      <c r="I161">
        <v>3799</v>
      </c>
      <c r="J161">
        <v>169.98</v>
      </c>
    </row>
    <row r="162" spans="1:10" x14ac:dyDescent="0.2">
      <c r="A162">
        <v>195</v>
      </c>
      <c r="B162" s="3">
        <v>45820</v>
      </c>
      <c r="C162">
        <v>15</v>
      </c>
      <c r="D162">
        <v>3799</v>
      </c>
      <c r="E162">
        <v>1.5</v>
      </c>
      <c r="F162">
        <v>399.5</v>
      </c>
      <c r="G162">
        <v>3399.5</v>
      </c>
      <c r="H162">
        <v>5099.25</v>
      </c>
      <c r="I162">
        <v>5498.75</v>
      </c>
      <c r="J162">
        <v>339.95</v>
      </c>
    </row>
    <row r="163" spans="1:10" x14ac:dyDescent="0.2">
      <c r="A163">
        <v>189</v>
      </c>
      <c r="B163" s="3">
        <v>45821</v>
      </c>
      <c r="C163">
        <v>26</v>
      </c>
      <c r="D163">
        <v>3799</v>
      </c>
      <c r="E163">
        <v>1.9</v>
      </c>
      <c r="F163">
        <v>799</v>
      </c>
      <c r="G163">
        <v>3000</v>
      </c>
      <c r="H163">
        <v>5700</v>
      </c>
      <c r="I163">
        <v>6499</v>
      </c>
      <c r="J163">
        <v>219.23</v>
      </c>
    </row>
    <row r="164" spans="1:10" x14ac:dyDescent="0.2">
      <c r="A164">
        <v>531</v>
      </c>
      <c r="B164" s="3">
        <v>45821</v>
      </c>
      <c r="C164">
        <v>43</v>
      </c>
      <c r="D164">
        <v>5499</v>
      </c>
      <c r="E164">
        <v>2.2999999999999998</v>
      </c>
      <c r="F164">
        <v>1249</v>
      </c>
      <c r="G164">
        <v>4250</v>
      </c>
      <c r="H164">
        <v>9775</v>
      </c>
      <c r="I164">
        <v>11024</v>
      </c>
      <c r="J164">
        <v>227.33</v>
      </c>
    </row>
    <row r="165" spans="1:10" x14ac:dyDescent="0.2">
      <c r="A165">
        <v>197</v>
      </c>
      <c r="B165" s="3">
        <v>45822</v>
      </c>
      <c r="C165">
        <v>43</v>
      </c>
      <c r="D165">
        <v>3799</v>
      </c>
      <c r="E165">
        <v>2.2999999999999998</v>
      </c>
      <c r="F165">
        <v>799</v>
      </c>
      <c r="G165">
        <v>3000</v>
      </c>
      <c r="H165">
        <v>6900</v>
      </c>
      <c r="I165">
        <v>7699</v>
      </c>
      <c r="J165">
        <v>160.47</v>
      </c>
    </row>
    <row r="166" spans="1:10" x14ac:dyDescent="0.2">
      <c r="A166">
        <v>198</v>
      </c>
      <c r="B166" s="3">
        <v>45822</v>
      </c>
      <c r="C166">
        <v>15</v>
      </c>
      <c r="D166">
        <v>3799</v>
      </c>
      <c r="E166">
        <v>1.5</v>
      </c>
      <c r="F166">
        <v>799</v>
      </c>
      <c r="G166">
        <v>3000</v>
      </c>
      <c r="H166">
        <v>4500</v>
      </c>
      <c r="I166">
        <v>5299</v>
      </c>
      <c r="J166">
        <v>300</v>
      </c>
    </row>
    <row r="167" spans="1:10" x14ac:dyDescent="0.2">
      <c r="A167">
        <v>199</v>
      </c>
      <c r="B167" s="3">
        <v>45822</v>
      </c>
      <c r="C167">
        <v>43</v>
      </c>
      <c r="D167">
        <v>3799</v>
      </c>
      <c r="E167">
        <v>1.7</v>
      </c>
      <c r="F167">
        <v>399.5</v>
      </c>
      <c r="G167">
        <v>3399.5</v>
      </c>
      <c r="H167">
        <v>5779.15</v>
      </c>
      <c r="I167">
        <v>6178.65</v>
      </c>
      <c r="J167">
        <v>134.4</v>
      </c>
    </row>
    <row r="168" spans="1:10" x14ac:dyDescent="0.2">
      <c r="A168">
        <v>209</v>
      </c>
      <c r="B168" s="3">
        <v>45822</v>
      </c>
      <c r="C168">
        <v>15</v>
      </c>
      <c r="D168">
        <v>3799</v>
      </c>
      <c r="E168">
        <v>1.5</v>
      </c>
      <c r="F168">
        <v>399.5</v>
      </c>
      <c r="G168">
        <v>3399.5</v>
      </c>
      <c r="H168">
        <v>5099.25</v>
      </c>
      <c r="I168">
        <v>5498.75</v>
      </c>
      <c r="J168">
        <v>339.95</v>
      </c>
    </row>
    <row r="169" spans="1:10" x14ac:dyDescent="0.2">
      <c r="A169">
        <v>643</v>
      </c>
      <c r="B169" s="3">
        <v>45822</v>
      </c>
      <c r="C169">
        <v>43</v>
      </c>
      <c r="D169">
        <v>3799</v>
      </c>
      <c r="E169">
        <v>2.2999999999999998</v>
      </c>
      <c r="F169">
        <v>799</v>
      </c>
      <c r="G169">
        <v>3000</v>
      </c>
      <c r="H169">
        <v>6900</v>
      </c>
      <c r="I169">
        <v>7699</v>
      </c>
      <c r="J169">
        <v>160.47</v>
      </c>
    </row>
    <row r="170" spans="1:10" x14ac:dyDescent="0.2">
      <c r="A170">
        <v>207</v>
      </c>
      <c r="B170" s="3">
        <v>45825</v>
      </c>
      <c r="C170">
        <v>20</v>
      </c>
      <c r="D170">
        <v>8299</v>
      </c>
      <c r="E170">
        <v>1</v>
      </c>
      <c r="F170">
        <v>999.5</v>
      </c>
      <c r="G170">
        <v>7299.5</v>
      </c>
      <c r="H170">
        <v>7299.5</v>
      </c>
      <c r="I170">
        <v>8299</v>
      </c>
      <c r="J170">
        <v>364.98</v>
      </c>
    </row>
    <row r="171" spans="1:10" x14ac:dyDescent="0.2">
      <c r="A171">
        <v>651</v>
      </c>
      <c r="B171" s="3">
        <v>45825</v>
      </c>
      <c r="C171">
        <v>43</v>
      </c>
      <c r="D171">
        <v>9778</v>
      </c>
      <c r="E171">
        <v>1</v>
      </c>
      <c r="F171">
        <v>0</v>
      </c>
      <c r="G171">
        <v>9778</v>
      </c>
      <c r="H171">
        <v>9778</v>
      </c>
      <c r="I171">
        <v>9778</v>
      </c>
      <c r="J171">
        <v>227.4</v>
      </c>
    </row>
    <row r="172" spans="1:10" x14ac:dyDescent="0.2">
      <c r="A172">
        <v>595</v>
      </c>
      <c r="B172" s="3">
        <v>45827</v>
      </c>
      <c r="C172">
        <v>43</v>
      </c>
      <c r="D172">
        <v>3799</v>
      </c>
      <c r="E172">
        <v>2.2999999999999998</v>
      </c>
      <c r="F172">
        <v>799</v>
      </c>
      <c r="G172">
        <v>3000</v>
      </c>
      <c r="H172">
        <v>6900</v>
      </c>
      <c r="I172">
        <v>7699</v>
      </c>
      <c r="J172">
        <v>160.47</v>
      </c>
    </row>
    <row r="173" spans="1:10" x14ac:dyDescent="0.2">
      <c r="A173">
        <v>205</v>
      </c>
      <c r="B173" s="3">
        <v>45828</v>
      </c>
      <c r="C173">
        <v>35</v>
      </c>
      <c r="D173">
        <v>3799</v>
      </c>
      <c r="E173">
        <v>2.1</v>
      </c>
      <c r="F173">
        <v>799</v>
      </c>
      <c r="G173">
        <v>3000</v>
      </c>
      <c r="H173">
        <v>6300</v>
      </c>
      <c r="I173">
        <v>7099</v>
      </c>
      <c r="J173">
        <v>180</v>
      </c>
    </row>
    <row r="174" spans="1:10" x14ac:dyDescent="0.2">
      <c r="A174">
        <v>596</v>
      </c>
      <c r="B174" s="3">
        <v>45829</v>
      </c>
      <c r="C174">
        <v>43</v>
      </c>
      <c r="D174">
        <v>5499</v>
      </c>
      <c r="E174">
        <v>2.3005409999999999</v>
      </c>
      <c r="F174">
        <v>1250</v>
      </c>
      <c r="G174">
        <v>4249</v>
      </c>
      <c r="H174">
        <v>9775</v>
      </c>
      <c r="I174">
        <v>11025</v>
      </c>
      <c r="J174">
        <v>227.33</v>
      </c>
    </row>
    <row r="175" spans="1:10" x14ac:dyDescent="0.2">
      <c r="A175">
        <v>187</v>
      </c>
      <c r="B175" s="3">
        <v>45831</v>
      </c>
      <c r="C175">
        <v>26</v>
      </c>
      <c r="D175">
        <v>3799</v>
      </c>
      <c r="E175">
        <v>1.9</v>
      </c>
      <c r="F175">
        <v>799</v>
      </c>
      <c r="G175">
        <v>3000</v>
      </c>
      <c r="H175">
        <v>5700</v>
      </c>
      <c r="I175">
        <v>6499</v>
      </c>
      <c r="J175">
        <v>219.23</v>
      </c>
    </row>
    <row r="176" spans="1:10" x14ac:dyDescent="0.2">
      <c r="A176">
        <v>551</v>
      </c>
      <c r="B176" s="3">
        <v>45833</v>
      </c>
      <c r="C176">
        <v>43</v>
      </c>
      <c r="D176">
        <v>9199</v>
      </c>
      <c r="E176">
        <v>1.7</v>
      </c>
      <c r="F176">
        <v>1249</v>
      </c>
      <c r="G176">
        <v>7950</v>
      </c>
      <c r="H176">
        <v>13515</v>
      </c>
      <c r="I176">
        <v>14764</v>
      </c>
      <c r="J176">
        <v>314.3</v>
      </c>
    </row>
    <row r="177" spans="1:10" x14ac:dyDescent="0.2">
      <c r="A177">
        <v>655</v>
      </c>
      <c r="B177" s="3">
        <v>45833</v>
      </c>
      <c r="C177">
        <v>26</v>
      </c>
      <c r="D177">
        <v>3799</v>
      </c>
      <c r="E177">
        <v>1.9</v>
      </c>
      <c r="F177">
        <v>799</v>
      </c>
      <c r="G177">
        <v>3000</v>
      </c>
      <c r="H177">
        <v>5700</v>
      </c>
      <c r="I177">
        <v>6499</v>
      </c>
      <c r="J177">
        <v>219.23</v>
      </c>
    </row>
    <row r="178" spans="1:10" x14ac:dyDescent="0.2">
      <c r="A178">
        <v>185</v>
      </c>
      <c r="B178" s="3">
        <v>45834</v>
      </c>
      <c r="C178">
        <v>35</v>
      </c>
      <c r="D178">
        <v>3799</v>
      </c>
      <c r="E178">
        <v>2.1</v>
      </c>
      <c r="F178">
        <v>799</v>
      </c>
      <c r="G178">
        <v>3000</v>
      </c>
      <c r="H178">
        <v>6300</v>
      </c>
      <c r="I178">
        <v>7099</v>
      </c>
      <c r="J178">
        <v>180</v>
      </c>
    </row>
    <row r="179" spans="1:10" x14ac:dyDescent="0.2">
      <c r="A179">
        <v>182</v>
      </c>
      <c r="B179" s="3">
        <v>45840</v>
      </c>
      <c r="C179">
        <v>15</v>
      </c>
      <c r="D179">
        <v>6299</v>
      </c>
      <c r="E179">
        <v>1.5</v>
      </c>
      <c r="F179">
        <v>1249</v>
      </c>
      <c r="G179">
        <v>5050</v>
      </c>
      <c r="H179">
        <v>7575</v>
      </c>
      <c r="I179">
        <v>8824</v>
      </c>
      <c r="J179">
        <v>505</v>
      </c>
    </row>
    <row r="180" spans="1:10" x14ac:dyDescent="0.2">
      <c r="A180">
        <v>304</v>
      </c>
      <c r="B180" s="3">
        <v>45844</v>
      </c>
      <c r="C180">
        <v>15</v>
      </c>
      <c r="D180">
        <v>5299</v>
      </c>
      <c r="E180">
        <v>1.5</v>
      </c>
      <c r="F180">
        <v>999</v>
      </c>
      <c r="G180">
        <v>4300</v>
      </c>
      <c r="H180">
        <v>6450</v>
      </c>
      <c r="I180">
        <v>7449</v>
      </c>
      <c r="J180">
        <v>430</v>
      </c>
    </row>
    <row r="181" spans="1:10" x14ac:dyDescent="0.2">
      <c r="A181">
        <v>181</v>
      </c>
      <c r="B181" s="3">
        <v>45847</v>
      </c>
      <c r="C181">
        <v>43</v>
      </c>
      <c r="D181">
        <v>5299</v>
      </c>
      <c r="E181">
        <v>2.2999999999999998</v>
      </c>
      <c r="F181">
        <v>999</v>
      </c>
      <c r="G181">
        <v>4300</v>
      </c>
      <c r="H181">
        <v>9890</v>
      </c>
      <c r="I181">
        <v>10889</v>
      </c>
      <c r="J181">
        <v>230</v>
      </c>
    </row>
    <row r="182" spans="1:10" x14ac:dyDescent="0.2">
      <c r="A182">
        <v>184</v>
      </c>
      <c r="B182" s="3">
        <v>45848</v>
      </c>
      <c r="C182">
        <v>26</v>
      </c>
      <c r="D182">
        <v>3699</v>
      </c>
      <c r="E182">
        <v>1.9</v>
      </c>
      <c r="F182">
        <v>799</v>
      </c>
      <c r="G182">
        <v>2900</v>
      </c>
      <c r="H182">
        <v>5510</v>
      </c>
      <c r="I182">
        <v>6309</v>
      </c>
      <c r="J182">
        <v>211.92</v>
      </c>
    </row>
    <row r="183" spans="1:10" x14ac:dyDescent="0.2">
      <c r="A183">
        <v>186</v>
      </c>
      <c r="B183" s="3">
        <v>45848</v>
      </c>
      <c r="C183">
        <v>35</v>
      </c>
      <c r="D183">
        <v>5799</v>
      </c>
      <c r="E183">
        <v>2.1</v>
      </c>
      <c r="F183">
        <v>1249</v>
      </c>
      <c r="G183">
        <v>4550</v>
      </c>
      <c r="H183">
        <v>9555</v>
      </c>
      <c r="I183">
        <v>10804</v>
      </c>
      <c r="J183">
        <v>273</v>
      </c>
    </row>
    <row r="184" spans="1:10" x14ac:dyDescent="0.2">
      <c r="A184">
        <v>183</v>
      </c>
      <c r="B184" s="3">
        <v>45850</v>
      </c>
      <c r="C184">
        <v>15</v>
      </c>
      <c r="D184">
        <v>3799</v>
      </c>
      <c r="E184">
        <v>1.5</v>
      </c>
      <c r="F184">
        <v>799</v>
      </c>
      <c r="G184">
        <v>3000</v>
      </c>
      <c r="H184">
        <v>4500</v>
      </c>
      <c r="I184">
        <v>5299</v>
      </c>
      <c r="J184">
        <v>300</v>
      </c>
    </row>
    <row r="185" spans="1:10" x14ac:dyDescent="0.2">
      <c r="A185">
        <v>171</v>
      </c>
      <c r="B185" s="3">
        <v>45851</v>
      </c>
      <c r="C185">
        <v>20</v>
      </c>
      <c r="D185">
        <v>6099</v>
      </c>
      <c r="E185">
        <v>1</v>
      </c>
      <c r="F185">
        <v>624.5</v>
      </c>
      <c r="G185">
        <v>5474.5</v>
      </c>
      <c r="H185">
        <v>5474.5</v>
      </c>
      <c r="I185">
        <v>6099</v>
      </c>
      <c r="J185">
        <v>273.73</v>
      </c>
    </row>
    <row r="186" spans="1:10" x14ac:dyDescent="0.2">
      <c r="A186">
        <v>180</v>
      </c>
      <c r="B186" s="3">
        <v>45851</v>
      </c>
      <c r="C186">
        <v>43</v>
      </c>
      <c r="D186">
        <v>3799</v>
      </c>
      <c r="E186">
        <v>2.2999999999999998</v>
      </c>
      <c r="F186">
        <v>799</v>
      </c>
      <c r="G186">
        <v>3000</v>
      </c>
      <c r="H186">
        <v>6900</v>
      </c>
      <c r="I186">
        <v>7699</v>
      </c>
      <c r="J186">
        <v>160.47</v>
      </c>
    </row>
    <row r="187" spans="1:10" x14ac:dyDescent="0.2">
      <c r="A187">
        <v>172</v>
      </c>
      <c r="B187" s="3">
        <v>45854</v>
      </c>
      <c r="C187">
        <v>43</v>
      </c>
      <c r="D187">
        <v>5299</v>
      </c>
      <c r="E187">
        <v>2.2999999999999998</v>
      </c>
      <c r="F187">
        <v>999</v>
      </c>
      <c r="G187">
        <v>4300</v>
      </c>
      <c r="H187">
        <v>9890</v>
      </c>
      <c r="I187">
        <v>10889</v>
      </c>
      <c r="J187">
        <v>230</v>
      </c>
    </row>
    <row r="188" spans="1:10" x14ac:dyDescent="0.2">
      <c r="A188">
        <v>174</v>
      </c>
      <c r="B188" s="3">
        <v>45854</v>
      </c>
      <c r="C188">
        <v>26</v>
      </c>
      <c r="D188">
        <v>3799</v>
      </c>
      <c r="E188">
        <v>1.6</v>
      </c>
      <c r="F188">
        <v>399.5</v>
      </c>
      <c r="G188">
        <v>3399.5</v>
      </c>
      <c r="H188">
        <v>5439.2</v>
      </c>
      <c r="I188">
        <v>5838.7</v>
      </c>
      <c r="J188">
        <v>209.2</v>
      </c>
    </row>
    <row r="189" spans="1:10" x14ac:dyDescent="0.2">
      <c r="A189">
        <v>168</v>
      </c>
      <c r="B189" s="3">
        <v>45857</v>
      </c>
      <c r="C189">
        <v>35</v>
      </c>
      <c r="D189">
        <v>6099</v>
      </c>
      <c r="E189">
        <v>2.1</v>
      </c>
      <c r="F189">
        <v>1249</v>
      </c>
      <c r="G189">
        <v>4850</v>
      </c>
      <c r="H189">
        <v>10185</v>
      </c>
      <c r="I189">
        <v>11434</v>
      </c>
      <c r="J189">
        <v>291</v>
      </c>
    </row>
    <row r="190" spans="1:10" x14ac:dyDescent="0.2">
      <c r="A190">
        <v>303</v>
      </c>
      <c r="B190" s="3">
        <v>45858</v>
      </c>
      <c r="C190">
        <v>26</v>
      </c>
      <c r="D190">
        <v>6099</v>
      </c>
      <c r="E190">
        <v>1.9</v>
      </c>
      <c r="F190">
        <v>1249</v>
      </c>
      <c r="G190">
        <v>4850</v>
      </c>
      <c r="H190">
        <v>9215</v>
      </c>
      <c r="I190">
        <v>10464</v>
      </c>
      <c r="J190">
        <v>354.42</v>
      </c>
    </row>
    <row r="191" spans="1:10" x14ac:dyDescent="0.2">
      <c r="A191">
        <v>167</v>
      </c>
      <c r="B191" s="3">
        <v>45859</v>
      </c>
      <c r="C191">
        <v>35</v>
      </c>
      <c r="D191">
        <v>5499</v>
      </c>
      <c r="E191">
        <v>2.1</v>
      </c>
      <c r="F191">
        <v>1249</v>
      </c>
      <c r="G191">
        <v>4250</v>
      </c>
      <c r="H191">
        <v>8925</v>
      </c>
      <c r="I191">
        <v>10174</v>
      </c>
      <c r="J191">
        <v>255</v>
      </c>
    </row>
    <row r="192" spans="1:10" x14ac:dyDescent="0.2">
      <c r="A192">
        <v>176</v>
      </c>
      <c r="B192" s="3">
        <v>45859</v>
      </c>
      <c r="C192">
        <v>15</v>
      </c>
      <c r="D192">
        <v>5299</v>
      </c>
      <c r="E192">
        <v>1.5</v>
      </c>
      <c r="F192">
        <v>999</v>
      </c>
      <c r="G192">
        <v>4300</v>
      </c>
      <c r="H192">
        <v>6450</v>
      </c>
      <c r="I192">
        <v>7449</v>
      </c>
      <c r="J192">
        <v>430</v>
      </c>
    </row>
    <row r="193" spans="1:10" x14ac:dyDescent="0.2">
      <c r="A193">
        <v>568</v>
      </c>
      <c r="B193" s="3">
        <v>45863</v>
      </c>
      <c r="C193">
        <v>18</v>
      </c>
      <c r="D193">
        <v>3799</v>
      </c>
      <c r="E193">
        <v>1.7</v>
      </c>
      <c r="F193">
        <v>799</v>
      </c>
      <c r="G193">
        <v>3000</v>
      </c>
      <c r="H193">
        <v>5100</v>
      </c>
      <c r="I193">
        <v>5899</v>
      </c>
      <c r="J193">
        <v>283.33</v>
      </c>
    </row>
    <row r="194" spans="1:10" x14ac:dyDescent="0.2">
      <c r="A194">
        <v>169</v>
      </c>
      <c r="B194" s="3">
        <v>45865</v>
      </c>
      <c r="C194">
        <v>15</v>
      </c>
      <c r="D194">
        <v>5299</v>
      </c>
      <c r="E194">
        <v>1.5</v>
      </c>
      <c r="F194">
        <v>999</v>
      </c>
      <c r="G194">
        <v>4300</v>
      </c>
      <c r="H194">
        <v>6450</v>
      </c>
      <c r="I194">
        <v>7449</v>
      </c>
      <c r="J194">
        <v>430</v>
      </c>
    </row>
    <row r="195" spans="1:10" x14ac:dyDescent="0.2">
      <c r="A195">
        <v>173</v>
      </c>
      <c r="B195" s="3">
        <v>45865</v>
      </c>
      <c r="C195">
        <v>15</v>
      </c>
      <c r="D195">
        <v>5299</v>
      </c>
      <c r="E195">
        <v>1.5</v>
      </c>
      <c r="F195">
        <v>999</v>
      </c>
      <c r="G195">
        <v>4300</v>
      </c>
      <c r="H195">
        <v>6450</v>
      </c>
      <c r="I195">
        <v>7449</v>
      </c>
      <c r="J195">
        <v>430</v>
      </c>
    </row>
    <row r="196" spans="1:10" x14ac:dyDescent="0.2">
      <c r="A196">
        <v>579</v>
      </c>
      <c r="B196" s="3">
        <v>45866</v>
      </c>
      <c r="C196">
        <v>26</v>
      </c>
      <c r="D196">
        <v>5299</v>
      </c>
      <c r="E196">
        <v>1.9</v>
      </c>
      <c r="F196">
        <v>999</v>
      </c>
      <c r="G196">
        <v>4300</v>
      </c>
      <c r="H196">
        <v>8170</v>
      </c>
      <c r="I196">
        <v>9169</v>
      </c>
      <c r="J196">
        <v>314.23</v>
      </c>
    </row>
    <row r="197" spans="1:10" x14ac:dyDescent="0.2">
      <c r="A197">
        <v>175</v>
      </c>
      <c r="B197" s="3">
        <v>45867</v>
      </c>
      <c r="C197">
        <v>26</v>
      </c>
      <c r="D197">
        <v>5299</v>
      </c>
      <c r="E197">
        <v>1.9</v>
      </c>
      <c r="F197">
        <v>999</v>
      </c>
      <c r="G197">
        <v>4300</v>
      </c>
      <c r="H197">
        <v>8170</v>
      </c>
      <c r="I197">
        <v>9169</v>
      </c>
      <c r="J197">
        <v>314.23</v>
      </c>
    </row>
    <row r="198" spans="1:10" x14ac:dyDescent="0.2">
      <c r="A198">
        <v>663</v>
      </c>
      <c r="B198" s="3">
        <v>45868</v>
      </c>
      <c r="C198">
        <v>15</v>
      </c>
      <c r="D198">
        <v>3799</v>
      </c>
      <c r="E198">
        <v>1.5</v>
      </c>
      <c r="F198">
        <v>799</v>
      </c>
      <c r="G198">
        <v>3000</v>
      </c>
      <c r="H198">
        <v>4500</v>
      </c>
      <c r="I198">
        <v>5299</v>
      </c>
      <c r="J198">
        <v>300</v>
      </c>
    </row>
    <row r="199" spans="1:10" x14ac:dyDescent="0.2">
      <c r="A199">
        <v>163</v>
      </c>
      <c r="B199" s="3">
        <v>45869</v>
      </c>
      <c r="C199">
        <v>43</v>
      </c>
      <c r="D199">
        <v>3799</v>
      </c>
      <c r="E199">
        <v>2.2999999999999998</v>
      </c>
      <c r="F199">
        <v>799</v>
      </c>
      <c r="G199">
        <v>3000</v>
      </c>
      <c r="H199">
        <v>6900</v>
      </c>
      <c r="I199">
        <v>7699</v>
      </c>
      <c r="J199">
        <v>160.47</v>
      </c>
    </row>
    <row r="200" spans="1:10" x14ac:dyDescent="0.2">
      <c r="A200">
        <v>164</v>
      </c>
      <c r="B200" s="3">
        <v>45869</v>
      </c>
      <c r="C200">
        <v>43</v>
      </c>
      <c r="D200">
        <v>3799</v>
      </c>
      <c r="E200">
        <v>2.2999999999999998</v>
      </c>
      <c r="F200">
        <v>799</v>
      </c>
      <c r="G200">
        <v>3000</v>
      </c>
      <c r="H200">
        <v>6900</v>
      </c>
      <c r="I200">
        <v>7699</v>
      </c>
      <c r="J200">
        <v>160.47</v>
      </c>
    </row>
    <row r="201" spans="1:10" x14ac:dyDescent="0.2">
      <c r="A201">
        <v>179</v>
      </c>
      <c r="B201" s="3">
        <v>45869</v>
      </c>
      <c r="C201">
        <v>15</v>
      </c>
      <c r="D201">
        <v>5299</v>
      </c>
      <c r="E201">
        <v>1.5</v>
      </c>
      <c r="F201">
        <v>999</v>
      </c>
      <c r="G201">
        <v>4300</v>
      </c>
      <c r="H201">
        <v>6450</v>
      </c>
      <c r="I201">
        <v>7449</v>
      </c>
      <c r="J201">
        <v>430</v>
      </c>
    </row>
    <row r="202" spans="1:10" x14ac:dyDescent="0.2">
      <c r="A202">
        <v>302</v>
      </c>
      <c r="B202" s="3">
        <v>45870</v>
      </c>
      <c r="C202">
        <v>15</v>
      </c>
      <c r="D202">
        <v>3799</v>
      </c>
      <c r="E202">
        <v>1.5</v>
      </c>
      <c r="F202">
        <v>799</v>
      </c>
      <c r="G202">
        <v>3000</v>
      </c>
      <c r="H202">
        <v>4500</v>
      </c>
      <c r="I202">
        <v>5299</v>
      </c>
      <c r="J202">
        <v>300</v>
      </c>
    </row>
    <row r="203" spans="1:10" x14ac:dyDescent="0.2">
      <c r="A203">
        <v>671</v>
      </c>
      <c r="B203" s="3">
        <v>45870</v>
      </c>
      <c r="C203">
        <v>26</v>
      </c>
      <c r="D203">
        <v>3799</v>
      </c>
      <c r="E203">
        <v>1.6</v>
      </c>
      <c r="F203">
        <v>399</v>
      </c>
      <c r="G203">
        <v>3400</v>
      </c>
      <c r="H203">
        <v>5440</v>
      </c>
      <c r="I203">
        <v>5839</v>
      </c>
      <c r="J203">
        <v>209.23</v>
      </c>
    </row>
    <row r="204" spans="1:10" x14ac:dyDescent="0.2">
      <c r="A204">
        <v>162</v>
      </c>
      <c r="B204" s="3">
        <v>45871</v>
      </c>
      <c r="C204">
        <v>15</v>
      </c>
      <c r="D204">
        <v>3799</v>
      </c>
      <c r="E204">
        <v>1.5</v>
      </c>
      <c r="F204">
        <v>799</v>
      </c>
      <c r="G204">
        <v>3000</v>
      </c>
      <c r="H204">
        <v>4500</v>
      </c>
      <c r="I204">
        <v>5299</v>
      </c>
      <c r="J204">
        <v>300</v>
      </c>
    </row>
    <row r="205" spans="1:10" x14ac:dyDescent="0.2">
      <c r="A205">
        <v>646</v>
      </c>
      <c r="B205" s="3">
        <v>45872</v>
      </c>
      <c r="C205">
        <v>43</v>
      </c>
      <c r="D205">
        <v>3799</v>
      </c>
      <c r="E205">
        <v>2.2999999999999998</v>
      </c>
      <c r="F205">
        <v>799</v>
      </c>
      <c r="G205">
        <v>3000</v>
      </c>
      <c r="H205">
        <v>6900</v>
      </c>
      <c r="I205">
        <v>7699</v>
      </c>
      <c r="J205">
        <v>160.47</v>
      </c>
    </row>
    <row r="206" spans="1:10" x14ac:dyDescent="0.2">
      <c r="A206">
        <v>145</v>
      </c>
      <c r="B206" s="3">
        <v>45873</v>
      </c>
      <c r="C206">
        <v>15</v>
      </c>
      <c r="D206">
        <v>3799</v>
      </c>
      <c r="E206">
        <v>1.5</v>
      </c>
      <c r="F206">
        <v>799</v>
      </c>
      <c r="G206">
        <v>3000</v>
      </c>
      <c r="H206">
        <v>4500</v>
      </c>
      <c r="I206">
        <v>5299</v>
      </c>
      <c r="J206">
        <v>300</v>
      </c>
    </row>
    <row r="207" spans="1:10" x14ac:dyDescent="0.2">
      <c r="A207">
        <v>147</v>
      </c>
      <c r="B207" s="3">
        <v>45873</v>
      </c>
      <c r="C207">
        <v>43</v>
      </c>
      <c r="D207">
        <v>5299</v>
      </c>
      <c r="E207">
        <v>2.2999999999999998</v>
      </c>
      <c r="F207">
        <v>999</v>
      </c>
      <c r="G207">
        <v>4300</v>
      </c>
      <c r="H207">
        <v>9890</v>
      </c>
      <c r="I207">
        <v>10889</v>
      </c>
      <c r="J207">
        <v>230</v>
      </c>
    </row>
    <row r="208" spans="1:10" x14ac:dyDescent="0.2">
      <c r="A208">
        <v>148</v>
      </c>
      <c r="B208" s="3">
        <v>45873</v>
      </c>
      <c r="C208">
        <v>15</v>
      </c>
      <c r="D208">
        <v>3799</v>
      </c>
      <c r="E208">
        <v>1.5</v>
      </c>
      <c r="F208">
        <v>799</v>
      </c>
      <c r="G208">
        <v>3000</v>
      </c>
      <c r="H208">
        <v>4500</v>
      </c>
      <c r="I208">
        <v>5299</v>
      </c>
      <c r="J208">
        <v>300</v>
      </c>
    </row>
    <row r="209" spans="1:10" x14ac:dyDescent="0.2">
      <c r="A209">
        <v>48</v>
      </c>
      <c r="B209" s="3">
        <v>45875</v>
      </c>
      <c r="C209">
        <v>26</v>
      </c>
      <c r="D209">
        <v>3799</v>
      </c>
      <c r="E209">
        <v>1.9</v>
      </c>
      <c r="F209">
        <v>799</v>
      </c>
      <c r="G209">
        <v>3000</v>
      </c>
      <c r="H209">
        <v>5700</v>
      </c>
      <c r="I209">
        <v>6499</v>
      </c>
      <c r="J209">
        <v>219</v>
      </c>
    </row>
    <row r="210" spans="1:10" x14ac:dyDescent="0.2">
      <c r="A210">
        <v>570</v>
      </c>
      <c r="B210" s="3">
        <v>45875</v>
      </c>
      <c r="C210">
        <v>35</v>
      </c>
      <c r="D210">
        <v>3799</v>
      </c>
      <c r="E210">
        <v>2.1</v>
      </c>
      <c r="F210">
        <v>799</v>
      </c>
      <c r="G210">
        <v>3000</v>
      </c>
      <c r="H210">
        <v>6300</v>
      </c>
      <c r="I210">
        <v>7099</v>
      </c>
      <c r="J210">
        <v>180</v>
      </c>
    </row>
    <row r="211" spans="1:10" x14ac:dyDescent="0.2">
      <c r="A211">
        <v>613</v>
      </c>
      <c r="B211" s="3">
        <v>45875</v>
      </c>
      <c r="C211">
        <v>35</v>
      </c>
      <c r="D211">
        <v>3799</v>
      </c>
      <c r="E211">
        <v>1.658331</v>
      </c>
      <c r="F211">
        <v>0</v>
      </c>
      <c r="G211">
        <v>3799</v>
      </c>
      <c r="H211">
        <v>6300</v>
      </c>
      <c r="I211">
        <v>6300</v>
      </c>
      <c r="J211">
        <v>180</v>
      </c>
    </row>
    <row r="212" spans="1:10" x14ac:dyDescent="0.2">
      <c r="A212">
        <v>142</v>
      </c>
      <c r="B212" s="3">
        <v>45876</v>
      </c>
      <c r="C212">
        <v>43</v>
      </c>
      <c r="D212">
        <v>5299</v>
      </c>
      <c r="E212">
        <v>2.2999999999999998</v>
      </c>
      <c r="F212">
        <v>999</v>
      </c>
      <c r="G212">
        <v>4300</v>
      </c>
      <c r="H212">
        <v>9890</v>
      </c>
      <c r="I212">
        <v>10889</v>
      </c>
      <c r="J212">
        <v>230</v>
      </c>
    </row>
    <row r="213" spans="1:10" x14ac:dyDescent="0.2">
      <c r="A213">
        <v>629</v>
      </c>
      <c r="B213" s="3">
        <v>45879</v>
      </c>
      <c r="C213">
        <v>43</v>
      </c>
      <c r="D213">
        <v>3799</v>
      </c>
      <c r="E213">
        <v>2.2999999999999998</v>
      </c>
      <c r="F213">
        <v>799</v>
      </c>
      <c r="G213">
        <v>3000</v>
      </c>
      <c r="H213">
        <v>6900</v>
      </c>
      <c r="I213">
        <v>7699</v>
      </c>
      <c r="J213">
        <v>160.47</v>
      </c>
    </row>
    <row r="214" spans="1:10" x14ac:dyDescent="0.2">
      <c r="A214">
        <v>141</v>
      </c>
      <c r="B214" s="3">
        <v>45880</v>
      </c>
      <c r="C214">
        <v>18</v>
      </c>
      <c r="D214">
        <v>3799</v>
      </c>
      <c r="E214">
        <v>1.55</v>
      </c>
      <c r="F214">
        <v>399.5</v>
      </c>
      <c r="G214">
        <v>3399.5</v>
      </c>
      <c r="H214">
        <v>5269.23</v>
      </c>
      <c r="I214">
        <v>5668.73</v>
      </c>
      <c r="J214">
        <v>292.73</v>
      </c>
    </row>
    <row r="215" spans="1:10" x14ac:dyDescent="0.2">
      <c r="A215">
        <v>143</v>
      </c>
      <c r="B215" s="3">
        <v>45880</v>
      </c>
      <c r="C215">
        <v>35</v>
      </c>
      <c r="D215">
        <v>5299</v>
      </c>
      <c r="E215">
        <v>2.1</v>
      </c>
      <c r="F215">
        <v>999</v>
      </c>
      <c r="G215">
        <v>4300</v>
      </c>
      <c r="H215">
        <v>9030</v>
      </c>
      <c r="I215">
        <v>10029</v>
      </c>
      <c r="J215">
        <v>258</v>
      </c>
    </row>
    <row r="216" spans="1:10" x14ac:dyDescent="0.2">
      <c r="A216">
        <v>154</v>
      </c>
      <c r="B216" s="3">
        <v>45883</v>
      </c>
      <c r="C216">
        <v>43</v>
      </c>
      <c r="D216">
        <v>3799</v>
      </c>
      <c r="E216">
        <v>2.2999999999999998</v>
      </c>
      <c r="F216">
        <v>799</v>
      </c>
      <c r="G216">
        <v>3000</v>
      </c>
      <c r="H216">
        <v>6900</v>
      </c>
      <c r="I216">
        <v>7699</v>
      </c>
      <c r="J216">
        <v>160.47</v>
      </c>
    </row>
    <row r="217" spans="1:10" x14ac:dyDescent="0.2">
      <c r="A217">
        <v>140</v>
      </c>
      <c r="B217" s="3">
        <v>45884</v>
      </c>
      <c r="C217">
        <v>15</v>
      </c>
      <c r="D217">
        <v>3799</v>
      </c>
      <c r="E217">
        <v>1.5</v>
      </c>
      <c r="F217">
        <v>799</v>
      </c>
      <c r="G217">
        <v>3000</v>
      </c>
      <c r="H217">
        <v>4500</v>
      </c>
      <c r="I217">
        <v>5299</v>
      </c>
      <c r="J217">
        <v>300</v>
      </c>
    </row>
    <row r="218" spans="1:10" x14ac:dyDescent="0.2">
      <c r="A218">
        <v>149</v>
      </c>
      <c r="B218" s="3">
        <v>45884</v>
      </c>
      <c r="C218">
        <v>15</v>
      </c>
      <c r="D218">
        <v>3799</v>
      </c>
      <c r="E218">
        <v>1.5</v>
      </c>
      <c r="F218">
        <v>799</v>
      </c>
      <c r="G218">
        <v>3000</v>
      </c>
      <c r="H218">
        <v>4500</v>
      </c>
      <c r="I218">
        <v>5299</v>
      </c>
      <c r="J218">
        <v>300</v>
      </c>
    </row>
    <row r="219" spans="1:10" x14ac:dyDescent="0.2">
      <c r="A219">
        <v>557</v>
      </c>
      <c r="B219" s="3">
        <v>45884</v>
      </c>
      <c r="C219">
        <v>26</v>
      </c>
      <c r="D219">
        <v>3799</v>
      </c>
      <c r="E219">
        <v>1.9</v>
      </c>
      <c r="F219">
        <v>799</v>
      </c>
      <c r="G219">
        <v>3000</v>
      </c>
      <c r="H219">
        <v>5700</v>
      </c>
      <c r="I219">
        <v>6499</v>
      </c>
      <c r="J219">
        <v>219.23</v>
      </c>
    </row>
    <row r="220" spans="1:10" x14ac:dyDescent="0.2">
      <c r="A220">
        <v>581</v>
      </c>
      <c r="B220" s="3">
        <v>45884</v>
      </c>
      <c r="C220">
        <v>43</v>
      </c>
      <c r="D220">
        <v>3799</v>
      </c>
      <c r="E220">
        <v>2.2999999999999998</v>
      </c>
      <c r="F220">
        <v>799</v>
      </c>
      <c r="G220">
        <v>3000</v>
      </c>
      <c r="H220">
        <v>6900</v>
      </c>
      <c r="I220">
        <v>7699</v>
      </c>
      <c r="J220">
        <v>160.47</v>
      </c>
    </row>
    <row r="221" spans="1:10" x14ac:dyDescent="0.2">
      <c r="A221">
        <v>634</v>
      </c>
      <c r="B221" s="3">
        <v>45884</v>
      </c>
      <c r="C221">
        <v>15</v>
      </c>
      <c r="D221">
        <v>3799</v>
      </c>
      <c r="E221">
        <v>1.5</v>
      </c>
      <c r="F221">
        <v>799</v>
      </c>
      <c r="G221">
        <v>3000</v>
      </c>
      <c r="H221">
        <v>4500</v>
      </c>
      <c r="I221">
        <v>5299</v>
      </c>
      <c r="J221">
        <v>300</v>
      </c>
    </row>
    <row r="222" spans="1:10" x14ac:dyDescent="0.2">
      <c r="A222">
        <v>635</v>
      </c>
      <c r="B222" s="3">
        <v>45884</v>
      </c>
      <c r="C222">
        <v>43</v>
      </c>
      <c r="D222">
        <v>3799</v>
      </c>
      <c r="E222">
        <v>2.2999999999999998</v>
      </c>
      <c r="F222">
        <v>799</v>
      </c>
      <c r="G222">
        <v>3000</v>
      </c>
      <c r="H222">
        <v>6900</v>
      </c>
      <c r="I222">
        <v>7699</v>
      </c>
      <c r="J222">
        <v>160.47</v>
      </c>
    </row>
    <row r="223" spans="1:10" x14ac:dyDescent="0.2">
      <c r="A223">
        <v>587</v>
      </c>
      <c r="B223" s="3">
        <v>45887</v>
      </c>
      <c r="C223">
        <v>20</v>
      </c>
      <c r="D223">
        <v>6999</v>
      </c>
      <c r="E223">
        <v>1.000078</v>
      </c>
      <c r="F223">
        <v>624.5</v>
      </c>
      <c r="G223">
        <v>6374.5</v>
      </c>
      <c r="H223">
        <v>6375</v>
      </c>
      <c r="I223">
        <v>6999.5</v>
      </c>
      <c r="J223">
        <v>318.75</v>
      </c>
    </row>
    <row r="224" spans="1:10" x14ac:dyDescent="0.2">
      <c r="A224">
        <v>156</v>
      </c>
      <c r="B224" s="3">
        <v>45892</v>
      </c>
      <c r="C224">
        <v>35</v>
      </c>
      <c r="D224">
        <v>5799</v>
      </c>
      <c r="E224">
        <v>2.1</v>
      </c>
      <c r="F224">
        <v>1249</v>
      </c>
      <c r="G224">
        <v>4550</v>
      </c>
      <c r="H224">
        <v>9555</v>
      </c>
      <c r="I224">
        <v>10804</v>
      </c>
      <c r="J224">
        <v>273</v>
      </c>
    </row>
    <row r="225" spans="1:10" x14ac:dyDescent="0.2">
      <c r="A225">
        <v>159</v>
      </c>
      <c r="B225" s="3">
        <v>45892</v>
      </c>
      <c r="C225">
        <v>15</v>
      </c>
      <c r="D225">
        <v>4099</v>
      </c>
      <c r="E225">
        <v>1.5</v>
      </c>
      <c r="F225">
        <v>999</v>
      </c>
      <c r="G225">
        <v>3100</v>
      </c>
      <c r="H225">
        <v>4650</v>
      </c>
      <c r="I225">
        <v>5649</v>
      </c>
      <c r="J225">
        <v>310</v>
      </c>
    </row>
    <row r="226" spans="1:10" x14ac:dyDescent="0.2">
      <c r="A226">
        <v>544</v>
      </c>
      <c r="B226" s="3">
        <v>45892</v>
      </c>
      <c r="C226">
        <v>43</v>
      </c>
      <c r="D226">
        <v>5899</v>
      </c>
      <c r="E226">
        <v>1.7</v>
      </c>
      <c r="F226">
        <v>624.5</v>
      </c>
      <c r="G226">
        <v>5274.5</v>
      </c>
      <c r="H226">
        <v>8966.65</v>
      </c>
      <c r="I226">
        <v>9591.15</v>
      </c>
      <c r="J226">
        <v>208.53</v>
      </c>
    </row>
    <row r="227" spans="1:10" x14ac:dyDescent="0.2">
      <c r="A227">
        <v>155</v>
      </c>
      <c r="B227" s="3">
        <v>45893</v>
      </c>
      <c r="C227">
        <v>35</v>
      </c>
      <c r="D227">
        <v>5899</v>
      </c>
      <c r="E227">
        <v>2.1</v>
      </c>
      <c r="F227">
        <v>1249</v>
      </c>
      <c r="G227">
        <v>4650</v>
      </c>
      <c r="H227">
        <v>9765</v>
      </c>
      <c r="I227">
        <v>11014</v>
      </c>
      <c r="J227">
        <v>279</v>
      </c>
    </row>
    <row r="228" spans="1:10" x14ac:dyDescent="0.2">
      <c r="A228">
        <v>300</v>
      </c>
      <c r="B228" s="3">
        <v>45895</v>
      </c>
      <c r="C228">
        <v>15</v>
      </c>
      <c r="D228">
        <v>4099</v>
      </c>
      <c r="E228">
        <v>1.5</v>
      </c>
      <c r="F228">
        <v>999</v>
      </c>
      <c r="G228">
        <v>3100</v>
      </c>
      <c r="H228">
        <v>4650</v>
      </c>
      <c r="I228">
        <v>5649</v>
      </c>
      <c r="J228">
        <v>310</v>
      </c>
    </row>
    <row r="229" spans="1:10" x14ac:dyDescent="0.2">
      <c r="A229">
        <v>603</v>
      </c>
      <c r="B229" s="3">
        <v>45897</v>
      </c>
      <c r="C229">
        <v>43</v>
      </c>
      <c r="D229">
        <v>6899</v>
      </c>
      <c r="E229">
        <v>1.7</v>
      </c>
      <c r="F229">
        <v>624.5</v>
      </c>
      <c r="G229">
        <v>6274.5</v>
      </c>
      <c r="H229">
        <v>10666.65</v>
      </c>
      <c r="I229">
        <v>11291.15</v>
      </c>
      <c r="J229">
        <v>248.06</v>
      </c>
    </row>
    <row r="230" spans="1:10" x14ac:dyDescent="0.2">
      <c r="A230">
        <v>151</v>
      </c>
      <c r="B230" s="3">
        <v>45898</v>
      </c>
      <c r="C230">
        <v>20</v>
      </c>
      <c r="D230">
        <v>9099</v>
      </c>
      <c r="E230">
        <v>1</v>
      </c>
      <c r="F230">
        <v>1249.5</v>
      </c>
      <c r="G230">
        <v>7849.5</v>
      </c>
      <c r="H230">
        <v>7849.5</v>
      </c>
      <c r="I230">
        <v>9099</v>
      </c>
      <c r="J230">
        <v>392.48</v>
      </c>
    </row>
    <row r="231" spans="1:10" x14ac:dyDescent="0.2">
      <c r="A231">
        <v>644</v>
      </c>
      <c r="B231" s="3">
        <v>45900</v>
      </c>
      <c r="C231">
        <v>43</v>
      </c>
      <c r="D231">
        <v>5899</v>
      </c>
      <c r="E231">
        <v>1.7</v>
      </c>
      <c r="F231">
        <v>624.5</v>
      </c>
      <c r="G231">
        <v>5274.5</v>
      </c>
      <c r="H231">
        <v>8966.65</v>
      </c>
      <c r="I231">
        <v>9591.15</v>
      </c>
      <c r="J231">
        <v>208.53</v>
      </c>
    </row>
    <row r="232" spans="1:10" x14ac:dyDescent="0.2">
      <c r="A232">
        <v>636</v>
      </c>
      <c r="B232" s="3">
        <v>45904</v>
      </c>
      <c r="C232">
        <v>43</v>
      </c>
      <c r="D232">
        <v>7523.5</v>
      </c>
      <c r="E232">
        <v>1.7</v>
      </c>
      <c r="F232">
        <v>0</v>
      </c>
      <c r="G232">
        <v>7523.5</v>
      </c>
      <c r="H232">
        <v>12789.95</v>
      </c>
      <c r="I232">
        <v>12789.95</v>
      </c>
      <c r="J232">
        <v>297.44</v>
      </c>
    </row>
    <row r="233" spans="1:10" x14ac:dyDescent="0.2">
      <c r="A233">
        <v>150</v>
      </c>
      <c r="B233" s="3">
        <v>45905</v>
      </c>
      <c r="C233">
        <v>26</v>
      </c>
      <c r="D233">
        <v>4099</v>
      </c>
      <c r="E233">
        <v>1.9</v>
      </c>
      <c r="F233">
        <v>999</v>
      </c>
      <c r="G233">
        <v>3100</v>
      </c>
      <c r="H233">
        <v>5890</v>
      </c>
      <c r="I233">
        <v>6889</v>
      </c>
      <c r="J233">
        <v>226.54</v>
      </c>
    </row>
    <row r="234" spans="1:10" x14ac:dyDescent="0.2">
      <c r="A234">
        <v>131</v>
      </c>
      <c r="B234" s="3">
        <v>45911</v>
      </c>
      <c r="C234">
        <v>35</v>
      </c>
      <c r="D234">
        <v>3999</v>
      </c>
      <c r="E234">
        <v>2.1</v>
      </c>
      <c r="F234">
        <v>799</v>
      </c>
      <c r="G234">
        <v>3200</v>
      </c>
      <c r="H234">
        <v>6720</v>
      </c>
      <c r="I234">
        <v>7519</v>
      </c>
      <c r="J234">
        <v>192</v>
      </c>
    </row>
    <row r="235" spans="1:10" x14ac:dyDescent="0.2">
      <c r="A235">
        <v>130</v>
      </c>
      <c r="B235" s="3">
        <v>45913</v>
      </c>
      <c r="C235">
        <v>18</v>
      </c>
      <c r="D235">
        <v>3799</v>
      </c>
      <c r="E235">
        <v>1.7</v>
      </c>
      <c r="F235">
        <v>799</v>
      </c>
      <c r="G235">
        <v>3000</v>
      </c>
      <c r="H235">
        <v>5100</v>
      </c>
      <c r="I235">
        <v>5899</v>
      </c>
      <c r="J235">
        <v>283.33</v>
      </c>
    </row>
    <row r="236" spans="1:10" x14ac:dyDescent="0.2">
      <c r="A236">
        <v>639</v>
      </c>
      <c r="B236" s="3">
        <v>45914</v>
      </c>
      <c r="C236">
        <v>43</v>
      </c>
      <c r="D236">
        <v>3799</v>
      </c>
      <c r="E236">
        <v>2.2999999999999998</v>
      </c>
      <c r="F236">
        <v>799</v>
      </c>
      <c r="G236">
        <v>3000</v>
      </c>
      <c r="H236">
        <v>6900</v>
      </c>
      <c r="I236">
        <v>7699</v>
      </c>
      <c r="J236">
        <v>160.47</v>
      </c>
    </row>
    <row r="237" spans="1:10" x14ac:dyDescent="0.2">
      <c r="A237">
        <v>641</v>
      </c>
      <c r="B237" s="3">
        <v>45914</v>
      </c>
      <c r="C237">
        <v>15</v>
      </c>
      <c r="D237">
        <v>6199</v>
      </c>
      <c r="E237">
        <v>1.5</v>
      </c>
      <c r="F237">
        <v>1249</v>
      </c>
      <c r="G237">
        <v>4950</v>
      </c>
      <c r="H237">
        <v>7425</v>
      </c>
      <c r="I237">
        <v>8674</v>
      </c>
      <c r="J237">
        <v>495</v>
      </c>
    </row>
    <row r="238" spans="1:10" x14ac:dyDescent="0.2">
      <c r="A238">
        <v>673</v>
      </c>
      <c r="B238" s="3">
        <v>45915</v>
      </c>
      <c r="C238">
        <v>15</v>
      </c>
      <c r="D238">
        <v>3799</v>
      </c>
      <c r="E238">
        <v>1.5</v>
      </c>
      <c r="F238">
        <v>799</v>
      </c>
      <c r="G238">
        <v>3000</v>
      </c>
      <c r="H238">
        <v>4500</v>
      </c>
      <c r="I238">
        <v>5299</v>
      </c>
      <c r="J238">
        <v>300</v>
      </c>
    </row>
    <row r="239" spans="1:10" x14ac:dyDescent="0.2">
      <c r="A239">
        <v>132</v>
      </c>
      <c r="B239" s="3">
        <v>45916</v>
      </c>
      <c r="C239">
        <v>43</v>
      </c>
      <c r="D239">
        <v>3799</v>
      </c>
      <c r="E239">
        <v>2.2999999999999998</v>
      </c>
      <c r="F239">
        <v>799</v>
      </c>
      <c r="G239">
        <v>3000</v>
      </c>
      <c r="H239">
        <v>6900</v>
      </c>
      <c r="I239">
        <v>7699</v>
      </c>
      <c r="J239">
        <v>160.47</v>
      </c>
    </row>
    <row r="240" spans="1:10" x14ac:dyDescent="0.2">
      <c r="A240">
        <v>133</v>
      </c>
      <c r="B240" s="3">
        <v>45916</v>
      </c>
      <c r="C240">
        <v>15</v>
      </c>
      <c r="D240">
        <v>3799</v>
      </c>
      <c r="E240">
        <v>1.5</v>
      </c>
      <c r="F240">
        <v>799</v>
      </c>
      <c r="G240">
        <v>3000</v>
      </c>
      <c r="H240">
        <v>4500</v>
      </c>
      <c r="I240">
        <v>5299</v>
      </c>
      <c r="J240">
        <v>300</v>
      </c>
    </row>
    <row r="241" spans="1:10" x14ac:dyDescent="0.2">
      <c r="A241">
        <v>128</v>
      </c>
      <c r="B241" s="3">
        <v>45917</v>
      </c>
      <c r="C241">
        <v>15</v>
      </c>
      <c r="D241">
        <v>6499</v>
      </c>
      <c r="E241">
        <v>1.5</v>
      </c>
      <c r="F241">
        <v>1249.5</v>
      </c>
      <c r="G241">
        <v>5249.5</v>
      </c>
      <c r="H241">
        <v>7874.25</v>
      </c>
      <c r="I241">
        <v>9123.75</v>
      </c>
      <c r="J241">
        <v>524.95000000000005</v>
      </c>
    </row>
    <row r="242" spans="1:10" x14ac:dyDescent="0.2">
      <c r="A242">
        <v>642</v>
      </c>
      <c r="B242" s="3">
        <v>45918</v>
      </c>
      <c r="C242">
        <v>43</v>
      </c>
      <c r="D242">
        <v>6599</v>
      </c>
      <c r="E242">
        <v>1.7</v>
      </c>
      <c r="F242">
        <v>300</v>
      </c>
      <c r="G242">
        <v>6299</v>
      </c>
      <c r="H242">
        <v>10708.3</v>
      </c>
      <c r="I242">
        <v>11008.3</v>
      </c>
      <c r="J242">
        <v>249.03</v>
      </c>
    </row>
    <row r="243" spans="1:10" x14ac:dyDescent="0.2">
      <c r="A243">
        <v>111</v>
      </c>
      <c r="B243" s="3">
        <v>45919</v>
      </c>
      <c r="C243">
        <v>18</v>
      </c>
      <c r="D243">
        <v>3799</v>
      </c>
      <c r="E243">
        <v>1.7</v>
      </c>
      <c r="F243">
        <v>799</v>
      </c>
      <c r="G243">
        <v>3000</v>
      </c>
      <c r="H243">
        <v>5100</v>
      </c>
      <c r="I243">
        <v>5899</v>
      </c>
      <c r="J243">
        <v>283.33</v>
      </c>
    </row>
    <row r="244" spans="1:10" x14ac:dyDescent="0.2">
      <c r="A244">
        <v>582</v>
      </c>
      <c r="B244" s="3">
        <v>45919</v>
      </c>
      <c r="C244">
        <v>43</v>
      </c>
      <c r="D244">
        <v>6499</v>
      </c>
      <c r="E244">
        <v>2.2999999999999998</v>
      </c>
      <c r="F244">
        <v>1249.5</v>
      </c>
      <c r="G244">
        <v>5249.5</v>
      </c>
      <c r="H244">
        <v>12073.85</v>
      </c>
      <c r="I244">
        <v>13323.35</v>
      </c>
      <c r="J244">
        <v>280.79000000000002</v>
      </c>
    </row>
    <row r="245" spans="1:10" x14ac:dyDescent="0.2">
      <c r="A245">
        <v>115</v>
      </c>
      <c r="B245" s="3">
        <v>45920</v>
      </c>
      <c r="C245">
        <v>15</v>
      </c>
      <c r="D245">
        <v>3799</v>
      </c>
      <c r="E245">
        <v>1.5</v>
      </c>
      <c r="F245">
        <v>799</v>
      </c>
      <c r="G245">
        <v>3000</v>
      </c>
      <c r="H245">
        <v>4500</v>
      </c>
      <c r="I245">
        <v>5299</v>
      </c>
      <c r="J245">
        <v>300</v>
      </c>
    </row>
    <row r="246" spans="1:10" x14ac:dyDescent="0.2">
      <c r="A246">
        <v>601</v>
      </c>
      <c r="B246" s="3">
        <v>45921</v>
      </c>
      <c r="C246">
        <v>43</v>
      </c>
      <c r="D246">
        <v>6499</v>
      </c>
      <c r="E246">
        <v>2.2999999999999998</v>
      </c>
      <c r="F246">
        <v>1250</v>
      </c>
      <c r="G246">
        <v>5249</v>
      </c>
      <c r="H246">
        <v>12072.7</v>
      </c>
      <c r="I246">
        <v>13322.7</v>
      </c>
      <c r="J246">
        <v>280.76</v>
      </c>
    </row>
    <row r="247" spans="1:10" x14ac:dyDescent="0.2">
      <c r="A247">
        <v>116</v>
      </c>
      <c r="B247" s="3">
        <v>45922</v>
      </c>
      <c r="C247">
        <v>18</v>
      </c>
      <c r="D247">
        <v>3999</v>
      </c>
      <c r="E247">
        <v>1.7</v>
      </c>
      <c r="F247">
        <v>799</v>
      </c>
      <c r="G247">
        <v>3200</v>
      </c>
      <c r="H247">
        <v>5440</v>
      </c>
      <c r="I247">
        <v>6239</v>
      </c>
      <c r="J247">
        <v>302.22000000000003</v>
      </c>
    </row>
    <row r="248" spans="1:10" x14ac:dyDescent="0.2">
      <c r="A248">
        <v>617</v>
      </c>
      <c r="B248" s="3">
        <v>45923</v>
      </c>
      <c r="C248">
        <v>26</v>
      </c>
      <c r="D248">
        <v>6499</v>
      </c>
      <c r="E248">
        <v>1.9</v>
      </c>
      <c r="F248">
        <v>1250</v>
      </c>
      <c r="G248">
        <v>5249</v>
      </c>
      <c r="H248">
        <v>9973.1</v>
      </c>
      <c r="I248">
        <v>11223.1</v>
      </c>
      <c r="J248">
        <v>383.58</v>
      </c>
    </row>
    <row r="249" spans="1:10" x14ac:dyDescent="0.2">
      <c r="A249">
        <v>113</v>
      </c>
      <c r="B249" s="3">
        <v>45924</v>
      </c>
      <c r="C249">
        <v>26</v>
      </c>
      <c r="D249">
        <v>5799</v>
      </c>
      <c r="E249">
        <v>1.9</v>
      </c>
      <c r="F249">
        <v>999</v>
      </c>
      <c r="G249">
        <v>4800</v>
      </c>
      <c r="H249">
        <v>9120</v>
      </c>
      <c r="I249">
        <v>10119</v>
      </c>
      <c r="J249">
        <v>350.77</v>
      </c>
    </row>
    <row r="250" spans="1:10" x14ac:dyDescent="0.2">
      <c r="A250">
        <v>556</v>
      </c>
      <c r="B250" s="3">
        <v>45924</v>
      </c>
      <c r="C250">
        <v>26</v>
      </c>
      <c r="D250">
        <v>9099</v>
      </c>
      <c r="E250">
        <v>1.6</v>
      </c>
      <c r="F250">
        <v>1249.5</v>
      </c>
      <c r="G250">
        <v>7849.5</v>
      </c>
      <c r="H250">
        <v>12559.2</v>
      </c>
      <c r="I250">
        <v>13808.7</v>
      </c>
      <c r="J250">
        <v>483.05</v>
      </c>
    </row>
    <row r="251" spans="1:10" x14ac:dyDescent="0.2">
      <c r="A251">
        <v>563</v>
      </c>
      <c r="B251" s="3">
        <v>45926</v>
      </c>
      <c r="C251">
        <v>43</v>
      </c>
      <c r="D251">
        <v>9499</v>
      </c>
      <c r="E251">
        <v>2.2999999999999998</v>
      </c>
      <c r="F251">
        <v>2499</v>
      </c>
      <c r="G251">
        <v>7000</v>
      </c>
      <c r="H251">
        <v>16100</v>
      </c>
      <c r="I251">
        <v>18599</v>
      </c>
      <c r="J251">
        <v>374.42</v>
      </c>
    </row>
    <row r="252" spans="1:10" x14ac:dyDescent="0.2">
      <c r="A252">
        <v>534</v>
      </c>
      <c r="B252" s="3">
        <v>45927</v>
      </c>
      <c r="C252">
        <v>26</v>
      </c>
      <c r="D252">
        <v>6499</v>
      </c>
      <c r="E252">
        <v>1.9</v>
      </c>
      <c r="F252">
        <v>1250</v>
      </c>
      <c r="G252">
        <v>5249</v>
      </c>
      <c r="H252">
        <v>9973.1</v>
      </c>
      <c r="I252">
        <v>11223.1</v>
      </c>
      <c r="J252">
        <v>384</v>
      </c>
    </row>
    <row r="253" spans="1:10" x14ac:dyDescent="0.2">
      <c r="A253">
        <v>554</v>
      </c>
      <c r="B253" s="3">
        <v>45927</v>
      </c>
      <c r="C253">
        <v>43</v>
      </c>
      <c r="D253">
        <v>3799</v>
      </c>
      <c r="E253">
        <v>2.2999999999999998</v>
      </c>
      <c r="F253">
        <v>799</v>
      </c>
      <c r="G253">
        <v>3000</v>
      </c>
      <c r="H253">
        <v>6900</v>
      </c>
      <c r="I253">
        <v>7699</v>
      </c>
      <c r="J253">
        <v>160</v>
      </c>
    </row>
    <row r="254" spans="1:10" x14ac:dyDescent="0.2">
      <c r="A254">
        <v>542</v>
      </c>
      <c r="B254" s="3">
        <v>45928</v>
      </c>
      <c r="C254">
        <v>35</v>
      </c>
      <c r="D254">
        <v>5899</v>
      </c>
      <c r="E254">
        <v>2.1</v>
      </c>
      <c r="F254">
        <v>999</v>
      </c>
      <c r="G254">
        <v>4900</v>
      </c>
      <c r="H254">
        <v>10290</v>
      </c>
      <c r="I254">
        <v>11289</v>
      </c>
      <c r="J254">
        <v>294</v>
      </c>
    </row>
    <row r="255" spans="1:10" x14ac:dyDescent="0.2">
      <c r="A255">
        <v>650</v>
      </c>
      <c r="B255" s="3">
        <v>45928</v>
      </c>
      <c r="C255">
        <v>15</v>
      </c>
      <c r="D255">
        <v>3799</v>
      </c>
      <c r="E255">
        <v>1.5</v>
      </c>
      <c r="F255">
        <v>799</v>
      </c>
      <c r="G255">
        <v>3000</v>
      </c>
      <c r="H255">
        <v>4500</v>
      </c>
      <c r="I255">
        <v>5299</v>
      </c>
      <c r="J255">
        <v>300</v>
      </c>
    </row>
    <row r="256" spans="1:10" x14ac:dyDescent="0.2">
      <c r="A256">
        <v>124</v>
      </c>
      <c r="B256" s="3">
        <v>45930</v>
      </c>
      <c r="C256">
        <v>35</v>
      </c>
      <c r="D256">
        <v>5999</v>
      </c>
      <c r="E256">
        <v>2.1</v>
      </c>
      <c r="F256">
        <v>999</v>
      </c>
      <c r="G256">
        <v>5000</v>
      </c>
      <c r="H256">
        <v>10500</v>
      </c>
      <c r="I256">
        <v>11499</v>
      </c>
      <c r="J256">
        <v>300</v>
      </c>
    </row>
    <row r="257" spans="1:10" x14ac:dyDescent="0.2">
      <c r="A257">
        <v>126</v>
      </c>
      <c r="B257" s="3">
        <v>45930</v>
      </c>
      <c r="C257">
        <v>35</v>
      </c>
      <c r="D257">
        <v>8799</v>
      </c>
      <c r="E257">
        <v>2.1</v>
      </c>
      <c r="F257">
        <v>1999</v>
      </c>
      <c r="G257">
        <v>6800</v>
      </c>
      <c r="H257">
        <v>14280</v>
      </c>
      <c r="I257">
        <v>16279</v>
      </c>
      <c r="J257">
        <v>408</v>
      </c>
    </row>
    <row r="258" spans="1:10" x14ac:dyDescent="0.2">
      <c r="A258">
        <v>299</v>
      </c>
      <c r="B258" s="3">
        <v>45930</v>
      </c>
      <c r="C258">
        <v>35</v>
      </c>
      <c r="D258">
        <v>3799</v>
      </c>
      <c r="E258">
        <v>1.65</v>
      </c>
      <c r="F258">
        <v>399.5</v>
      </c>
      <c r="G258">
        <v>3399.5</v>
      </c>
      <c r="H258">
        <v>5609.17</v>
      </c>
      <c r="I258">
        <v>6008.67</v>
      </c>
      <c r="J258">
        <v>160.26</v>
      </c>
    </row>
    <row r="259" spans="1:10" x14ac:dyDescent="0.2">
      <c r="A259">
        <v>559</v>
      </c>
      <c r="B259" s="3">
        <v>45930</v>
      </c>
      <c r="C259">
        <v>20</v>
      </c>
      <c r="D259">
        <v>5899</v>
      </c>
      <c r="E259">
        <v>1</v>
      </c>
      <c r="F259">
        <v>0</v>
      </c>
      <c r="G259">
        <v>5899</v>
      </c>
      <c r="H259">
        <v>5899</v>
      </c>
      <c r="I259">
        <v>5899</v>
      </c>
      <c r="J259">
        <v>294.95</v>
      </c>
    </row>
    <row r="260" spans="1:10" x14ac:dyDescent="0.2">
      <c r="A260">
        <v>123</v>
      </c>
      <c r="B260" s="3">
        <v>45932</v>
      </c>
      <c r="C260">
        <v>43</v>
      </c>
      <c r="D260">
        <v>3799</v>
      </c>
      <c r="E260">
        <v>2.2999999999999998</v>
      </c>
      <c r="F260">
        <v>799</v>
      </c>
      <c r="G260">
        <v>3000</v>
      </c>
      <c r="H260">
        <v>6900</v>
      </c>
      <c r="I260">
        <v>7699</v>
      </c>
      <c r="J260">
        <v>160.47</v>
      </c>
    </row>
    <row r="261" spans="1:10" x14ac:dyDescent="0.2">
      <c r="A261">
        <v>125</v>
      </c>
      <c r="B261" s="3">
        <v>45932</v>
      </c>
      <c r="C261">
        <v>20</v>
      </c>
      <c r="D261">
        <v>5899</v>
      </c>
      <c r="E261">
        <v>1</v>
      </c>
      <c r="F261">
        <v>624.5</v>
      </c>
      <c r="G261">
        <v>5274.5</v>
      </c>
      <c r="H261">
        <v>5274.5</v>
      </c>
      <c r="I261">
        <v>5899</v>
      </c>
      <c r="J261">
        <v>263.73</v>
      </c>
    </row>
    <row r="262" spans="1:10" x14ac:dyDescent="0.2">
      <c r="A262">
        <v>600</v>
      </c>
      <c r="B262" s="3">
        <v>45932</v>
      </c>
      <c r="C262">
        <v>26</v>
      </c>
      <c r="D262">
        <v>4099</v>
      </c>
      <c r="E262">
        <v>1.9</v>
      </c>
      <c r="F262">
        <v>799</v>
      </c>
      <c r="G262">
        <v>3300</v>
      </c>
      <c r="H262">
        <v>6270</v>
      </c>
      <c r="I262">
        <v>7069</v>
      </c>
      <c r="J262">
        <v>241.15</v>
      </c>
    </row>
    <row r="263" spans="1:10" x14ac:dyDescent="0.2">
      <c r="A263">
        <v>103</v>
      </c>
      <c r="B263" s="3">
        <v>45933</v>
      </c>
      <c r="C263">
        <v>15</v>
      </c>
      <c r="D263">
        <v>5999</v>
      </c>
      <c r="E263">
        <v>1.5</v>
      </c>
      <c r="F263">
        <v>1250</v>
      </c>
      <c r="G263">
        <v>4749</v>
      </c>
      <c r="H263">
        <v>7123.5</v>
      </c>
      <c r="I263">
        <v>8373.5</v>
      </c>
      <c r="J263">
        <v>474.9</v>
      </c>
    </row>
    <row r="264" spans="1:10" x14ac:dyDescent="0.2">
      <c r="A264">
        <v>105</v>
      </c>
      <c r="B264" s="3">
        <v>45933</v>
      </c>
      <c r="C264">
        <v>43</v>
      </c>
      <c r="D264">
        <v>3799</v>
      </c>
      <c r="E264">
        <v>2.2999999999999998</v>
      </c>
      <c r="F264">
        <v>799</v>
      </c>
      <c r="G264">
        <v>3000</v>
      </c>
      <c r="H264">
        <v>6900</v>
      </c>
      <c r="I264">
        <v>7699</v>
      </c>
      <c r="J264">
        <v>160.47</v>
      </c>
    </row>
    <row r="265" spans="1:10" x14ac:dyDescent="0.2">
      <c r="A265">
        <v>578</v>
      </c>
      <c r="B265" s="3">
        <v>45933</v>
      </c>
      <c r="C265">
        <v>26</v>
      </c>
      <c r="D265">
        <v>9099</v>
      </c>
      <c r="E265">
        <v>1.9</v>
      </c>
      <c r="F265">
        <v>2000</v>
      </c>
      <c r="G265">
        <v>7099</v>
      </c>
      <c r="H265">
        <v>13488.1</v>
      </c>
      <c r="I265">
        <v>15488.1</v>
      </c>
      <c r="J265">
        <v>518.77</v>
      </c>
    </row>
    <row r="266" spans="1:10" x14ac:dyDescent="0.2">
      <c r="A266">
        <v>652</v>
      </c>
      <c r="B266" s="3">
        <v>45933</v>
      </c>
      <c r="C266">
        <v>35</v>
      </c>
      <c r="D266">
        <v>3999</v>
      </c>
      <c r="E266">
        <v>2.1</v>
      </c>
      <c r="F266">
        <v>799</v>
      </c>
      <c r="G266">
        <v>3200</v>
      </c>
      <c r="H266">
        <v>6720</v>
      </c>
      <c r="I266">
        <v>7519</v>
      </c>
      <c r="J266">
        <v>192</v>
      </c>
    </row>
    <row r="267" spans="1:10" x14ac:dyDescent="0.2">
      <c r="A267">
        <v>104</v>
      </c>
      <c r="B267" s="3">
        <v>45934</v>
      </c>
      <c r="C267">
        <v>15</v>
      </c>
      <c r="D267">
        <v>3999</v>
      </c>
      <c r="E267">
        <v>1.5</v>
      </c>
      <c r="F267">
        <v>799</v>
      </c>
      <c r="G267">
        <v>3200</v>
      </c>
      <c r="H267">
        <v>4800</v>
      </c>
      <c r="I267">
        <v>5599</v>
      </c>
      <c r="J267">
        <v>320</v>
      </c>
    </row>
    <row r="268" spans="1:10" x14ac:dyDescent="0.2">
      <c r="A268">
        <v>109</v>
      </c>
      <c r="B268" s="3">
        <v>45935</v>
      </c>
      <c r="C268">
        <v>35</v>
      </c>
      <c r="D268">
        <v>3999</v>
      </c>
      <c r="E268">
        <v>2.1</v>
      </c>
      <c r="F268">
        <v>799</v>
      </c>
      <c r="G268">
        <v>3200</v>
      </c>
      <c r="H268">
        <v>6720</v>
      </c>
      <c r="I268">
        <v>7519</v>
      </c>
      <c r="J268">
        <v>192</v>
      </c>
    </row>
    <row r="269" spans="1:10" x14ac:dyDescent="0.2">
      <c r="A269">
        <v>638</v>
      </c>
      <c r="B269" s="3">
        <v>45935</v>
      </c>
      <c r="C269">
        <v>35</v>
      </c>
      <c r="D269">
        <v>5399</v>
      </c>
      <c r="E269">
        <v>2.1</v>
      </c>
      <c r="F269">
        <v>999</v>
      </c>
      <c r="G269">
        <v>4400</v>
      </c>
      <c r="H269">
        <v>9240</v>
      </c>
      <c r="I269">
        <v>10239</v>
      </c>
      <c r="J269">
        <v>264</v>
      </c>
    </row>
    <row r="270" spans="1:10" x14ac:dyDescent="0.2">
      <c r="A270">
        <v>527</v>
      </c>
      <c r="B270" s="3">
        <v>45936</v>
      </c>
      <c r="C270">
        <v>35</v>
      </c>
      <c r="D270">
        <v>6399</v>
      </c>
      <c r="E270">
        <v>2.1</v>
      </c>
      <c r="F270">
        <v>1249</v>
      </c>
      <c r="G270">
        <v>5150</v>
      </c>
      <c r="H270">
        <v>10815</v>
      </c>
      <c r="I270">
        <v>12064</v>
      </c>
      <c r="J270">
        <v>309</v>
      </c>
    </row>
    <row r="271" spans="1:10" x14ac:dyDescent="0.2">
      <c r="A271">
        <v>532</v>
      </c>
      <c r="B271" s="3">
        <v>45936</v>
      </c>
      <c r="C271">
        <v>26</v>
      </c>
      <c r="D271">
        <v>3799</v>
      </c>
      <c r="E271">
        <v>1.9</v>
      </c>
      <c r="F271">
        <v>799</v>
      </c>
      <c r="G271">
        <v>3000</v>
      </c>
      <c r="H271">
        <v>5700</v>
      </c>
      <c r="I271">
        <v>6499</v>
      </c>
      <c r="J271">
        <v>219.23</v>
      </c>
    </row>
    <row r="272" spans="1:10" x14ac:dyDescent="0.2">
      <c r="A272">
        <v>535</v>
      </c>
      <c r="B272" s="3">
        <v>45936</v>
      </c>
      <c r="C272">
        <v>35</v>
      </c>
      <c r="D272">
        <v>8499</v>
      </c>
      <c r="E272">
        <v>2.1</v>
      </c>
      <c r="F272">
        <v>1999</v>
      </c>
      <c r="G272">
        <v>6500</v>
      </c>
      <c r="H272">
        <v>13650</v>
      </c>
      <c r="I272">
        <v>15649</v>
      </c>
      <c r="J272">
        <v>390</v>
      </c>
    </row>
    <row r="273" spans="1:10" x14ac:dyDescent="0.2">
      <c r="A273">
        <v>295</v>
      </c>
      <c r="B273" s="3">
        <v>45937</v>
      </c>
      <c r="C273">
        <v>15</v>
      </c>
      <c r="D273">
        <v>3799</v>
      </c>
      <c r="E273">
        <v>1.5</v>
      </c>
      <c r="F273">
        <v>799</v>
      </c>
      <c r="G273">
        <v>3000</v>
      </c>
      <c r="H273">
        <v>4500</v>
      </c>
      <c r="I273">
        <v>5299</v>
      </c>
      <c r="J273">
        <v>300</v>
      </c>
    </row>
    <row r="274" spans="1:10" x14ac:dyDescent="0.2">
      <c r="A274">
        <v>572</v>
      </c>
      <c r="B274" s="3">
        <v>45937</v>
      </c>
      <c r="C274">
        <v>15</v>
      </c>
      <c r="D274">
        <v>4999</v>
      </c>
      <c r="E274">
        <v>1.5</v>
      </c>
      <c r="F274">
        <v>999</v>
      </c>
      <c r="G274">
        <v>4000</v>
      </c>
      <c r="H274">
        <v>6000</v>
      </c>
      <c r="I274">
        <v>6999</v>
      </c>
      <c r="J274">
        <v>400</v>
      </c>
    </row>
    <row r="275" spans="1:10" x14ac:dyDescent="0.2">
      <c r="A275">
        <v>296</v>
      </c>
      <c r="B275" s="3">
        <v>45938</v>
      </c>
      <c r="C275">
        <v>35</v>
      </c>
      <c r="D275">
        <v>3999</v>
      </c>
      <c r="E275">
        <v>2.1</v>
      </c>
      <c r="F275">
        <v>799</v>
      </c>
      <c r="G275">
        <v>3200</v>
      </c>
      <c r="H275">
        <v>6720</v>
      </c>
      <c r="I275">
        <v>7519</v>
      </c>
      <c r="J275">
        <v>192</v>
      </c>
    </row>
    <row r="276" spans="1:10" x14ac:dyDescent="0.2">
      <c r="A276">
        <v>91</v>
      </c>
      <c r="B276" s="3">
        <v>45940</v>
      </c>
      <c r="C276">
        <v>35</v>
      </c>
      <c r="D276">
        <v>5299</v>
      </c>
      <c r="E276">
        <v>2.1</v>
      </c>
      <c r="F276">
        <v>999</v>
      </c>
      <c r="G276">
        <v>4300</v>
      </c>
      <c r="H276">
        <v>9030</v>
      </c>
      <c r="I276">
        <v>10029</v>
      </c>
      <c r="J276">
        <v>258</v>
      </c>
    </row>
    <row r="277" spans="1:10" x14ac:dyDescent="0.2">
      <c r="A277">
        <v>90</v>
      </c>
      <c r="B277" s="3">
        <v>45941</v>
      </c>
      <c r="C277">
        <v>15</v>
      </c>
      <c r="D277">
        <v>3999</v>
      </c>
      <c r="E277">
        <v>1.5</v>
      </c>
      <c r="F277">
        <v>799</v>
      </c>
      <c r="G277">
        <v>3200</v>
      </c>
      <c r="H277">
        <v>4800</v>
      </c>
      <c r="I277">
        <v>5599</v>
      </c>
      <c r="J277">
        <v>320</v>
      </c>
    </row>
    <row r="278" spans="1:10" x14ac:dyDescent="0.2">
      <c r="A278">
        <v>561</v>
      </c>
      <c r="B278" s="3">
        <v>45941</v>
      </c>
      <c r="C278">
        <v>15</v>
      </c>
      <c r="D278">
        <v>5799</v>
      </c>
      <c r="E278">
        <v>1.5</v>
      </c>
      <c r="F278">
        <v>999</v>
      </c>
      <c r="G278">
        <v>4800</v>
      </c>
      <c r="H278">
        <v>7200</v>
      </c>
      <c r="I278">
        <v>8199</v>
      </c>
      <c r="J278">
        <v>480</v>
      </c>
    </row>
    <row r="279" spans="1:10" x14ac:dyDescent="0.2">
      <c r="A279">
        <v>89</v>
      </c>
      <c r="B279" s="3">
        <v>45942</v>
      </c>
      <c r="C279">
        <v>43</v>
      </c>
      <c r="D279">
        <v>3799</v>
      </c>
      <c r="E279">
        <v>2.2999999999999998</v>
      </c>
      <c r="F279">
        <v>799</v>
      </c>
      <c r="G279">
        <v>3000</v>
      </c>
      <c r="H279">
        <v>6900</v>
      </c>
      <c r="I279">
        <v>7699</v>
      </c>
      <c r="J279">
        <v>160.47</v>
      </c>
    </row>
    <row r="280" spans="1:10" x14ac:dyDescent="0.2">
      <c r="A280">
        <v>659</v>
      </c>
      <c r="B280" s="3">
        <v>45944</v>
      </c>
      <c r="C280">
        <v>35</v>
      </c>
      <c r="D280">
        <v>3799</v>
      </c>
      <c r="E280">
        <v>2.1</v>
      </c>
      <c r="F280">
        <v>799</v>
      </c>
      <c r="G280">
        <v>3000</v>
      </c>
      <c r="H280">
        <v>6300</v>
      </c>
      <c r="I280">
        <v>7099</v>
      </c>
      <c r="J280">
        <v>180</v>
      </c>
    </row>
    <row r="281" spans="1:10" x14ac:dyDescent="0.2">
      <c r="A281">
        <v>97</v>
      </c>
      <c r="B281" s="3">
        <v>45945</v>
      </c>
      <c r="C281">
        <v>12</v>
      </c>
      <c r="D281">
        <v>2200</v>
      </c>
      <c r="E281">
        <v>1.01</v>
      </c>
      <c r="F281">
        <v>200</v>
      </c>
      <c r="G281">
        <v>2000</v>
      </c>
      <c r="H281">
        <v>2020</v>
      </c>
      <c r="I281">
        <v>2220</v>
      </c>
      <c r="J281">
        <v>168.33</v>
      </c>
    </row>
    <row r="282" spans="1:10" x14ac:dyDescent="0.2">
      <c r="A282">
        <v>93</v>
      </c>
      <c r="B282" s="3">
        <v>45948</v>
      </c>
      <c r="C282">
        <v>43</v>
      </c>
      <c r="D282">
        <v>5399</v>
      </c>
      <c r="E282">
        <v>2.2999999999999998</v>
      </c>
      <c r="F282">
        <v>1249</v>
      </c>
      <c r="G282">
        <v>4150</v>
      </c>
      <c r="H282">
        <v>9545</v>
      </c>
      <c r="I282">
        <v>10794</v>
      </c>
      <c r="J282">
        <v>221.98</v>
      </c>
    </row>
    <row r="283" spans="1:10" x14ac:dyDescent="0.2">
      <c r="A283">
        <v>100</v>
      </c>
      <c r="B283" s="3">
        <v>45949</v>
      </c>
      <c r="C283">
        <v>26</v>
      </c>
      <c r="D283">
        <v>3799</v>
      </c>
      <c r="E283">
        <v>1.9</v>
      </c>
      <c r="F283">
        <v>799</v>
      </c>
      <c r="G283">
        <v>3000</v>
      </c>
      <c r="H283">
        <v>5700</v>
      </c>
      <c r="I283">
        <v>6499</v>
      </c>
      <c r="J283">
        <v>219.23</v>
      </c>
    </row>
    <row r="284" spans="1:10" x14ac:dyDescent="0.2">
      <c r="A284">
        <v>575</v>
      </c>
      <c r="B284" s="3">
        <v>45949</v>
      </c>
      <c r="C284">
        <v>26</v>
      </c>
      <c r="D284">
        <v>3799</v>
      </c>
      <c r="E284">
        <v>1.6</v>
      </c>
      <c r="F284">
        <v>399.5</v>
      </c>
      <c r="G284">
        <v>3399.5</v>
      </c>
      <c r="H284">
        <v>5439.2</v>
      </c>
      <c r="I284">
        <v>5838.7</v>
      </c>
      <c r="J284">
        <v>209.2</v>
      </c>
    </row>
    <row r="285" spans="1:10" x14ac:dyDescent="0.2">
      <c r="A285">
        <v>580</v>
      </c>
      <c r="B285" s="3">
        <v>45950</v>
      </c>
      <c r="C285">
        <v>20</v>
      </c>
      <c r="D285">
        <v>5399</v>
      </c>
      <c r="E285">
        <v>1</v>
      </c>
      <c r="F285">
        <v>624.5</v>
      </c>
      <c r="G285">
        <v>4774.5</v>
      </c>
      <c r="H285">
        <v>4774.5</v>
      </c>
      <c r="I285">
        <v>5399</v>
      </c>
      <c r="J285">
        <v>238.73</v>
      </c>
    </row>
    <row r="286" spans="1:10" x14ac:dyDescent="0.2">
      <c r="A286">
        <v>550</v>
      </c>
      <c r="B286" s="3">
        <v>45951</v>
      </c>
      <c r="C286">
        <v>35</v>
      </c>
      <c r="D286">
        <v>5999</v>
      </c>
      <c r="E286">
        <v>2.1</v>
      </c>
      <c r="F286">
        <v>1000</v>
      </c>
      <c r="G286">
        <v>4999</v>
      </c>
      <c r="H286">
        <v>10497.9</v>
      </c>
      <c r="I286">
        <v>11497.9</v>
      </c>
      <c r="J286">
        <v>299.94</v>
      </c>
    </row>
    <row r="287" spans="1:10" x14ac:dyDescent="0.2">
      <c r="A287">
        <v>564</v>
      </c>
      <c r="B287" s="3">
        <v>45953</v>
      </c>
      <c r="C287">
        <v>35</v>
      </c>
      <c r="D287">
        <v>5999</v>
      </c>
      <c r="E287">
        <v>2.1</v>
      </c>
      <c r="F287">
        <v>1249</v>
      </c>
      <c r="G287">
        <v>4750</v>
      </c>
      <c r="H287">
        <v>9975</v>
      </c>
      <c r="I287">
        <v>11224</v>
      </c>
      <c r="J287">
        <v>285</v>
      </c>
    </row>
    <row r="288" spans="1:10" x14ac:dyDescent="0.2">
      <c r="A288">
        <v>606</v>
      </c>
      <c r="B288" s="3">
        <v>45957</v>
      </c>
      <c r="C288">
        <v>15</v>
      </c>
      <c r="D288">
        <v>3799</v>
      </c>
      <c r="E288">
        <v>1.5</v>
      </c>
      <c r="F288">
        <v>1000</v>
      </c>
      <c r="G288">
        <v>2799</v>
      </c>
      <c r="H288">
        <v>4198.5</v>
      </c>
      <c r="I288">
        <v>5198.5</v>
      </c>
      <c r="J288">
        <v>279.89999999999998</v>
      </c>
    </row>
    <row r="289" spans="1:10" x14ac:dyDescent="0.2">
      <c r="A289">
        <v>290</v>
      </c>
      <c r="B289" s="3">
        <v>45958</v>
      </c>
      <c r="C289">
        <v>26</v>
      </c>
      <c r="D289">
        <v>5399</v>
      </c>
      <c r="E289">
        <v>1.9</v>
      </c>
      <c r="F289">
        <v>1249</v>
      </c>
      <c r="G289">
        <v>4150</v>
      </c>
      <c r="H289">
        <v>7885</v>
      </c>
      <c r="I289">
        <v>9134</v>
      </c>
      <c r="J289">
        <v>303.27</v>
      </c>
    </row>
    <row r="290" spans="1:10" x14ac:dyDescent="0.2">
      <c r="A290">
        <v>291</v>
      </c>
      <c r="B290" s="3">
        <v>45959</v>
      </c>
      <c r="C290">
        <v>35</v>
      </c>
      <c r="D290">
        <v>3799</v>
      </c>
      <c r="E290">
        <v>2.1</v>
      </c>
      <c r="F290">
        <v>799</v>
      </c>
      <c r="G290">
        <v>3000</v>
      </c>
      <c r="H290">
        <v>6300</v>
      </c>
      <c r="I290">
        <v>7099</v>
      </c>
      <c r="J290">
        <v>180</v>
      </c>
    </row>
    <row r="291" spans="1:10" x14ac:dyDescent="0.2">
      <c r="A291">
        <v>289</v>
      </c>
      <c r="B291" s="3">
        <v>45961</v>
      </c>
      <c r="C291">
        <v>15</v>
      </c>
      <c r="D291">
        <v>3799</v>
      </c>
      <c r="E291">
        <v>1.5</v>
      </c>
      <c r="F291">
        <v>799</v>
      </c>
      <c r="G291">
        <v>3000</v>
      </c>
      <c r="H291">
        <v>4500</v>
      </c>
      <c r="I291">
        <v>5299</v>
      </c>
      <c r="J291">
        <v>300</v>
      </c>
    </row>
    <row r="292" spans="1:10" x14ac:dyDescent="0.2">
      <c r="A292">
        <v>293</v>
      </c>
      <c r="B292" s="3">
        <v>45961</v>
      </c>
      <c r="C292">
        <v>43</v>
      </c>
      <c r="D292">
        <v>3799</v>
      </c>
      <c r="E292">
        <v>2.2999999999999998</v>
      </c>
      <c r="F292">
        <v>799</v>
      </c>
      <c r="G292">
        <v>3000</v>
      </c>
      <c r="H292">
        <v>6900</v>
      </c>
      <c r="I292">
        <v>7699</v>
      </c>
      <c r="J292">
        <v>160.47</v>
      </c>
    </row>
    <row r="293" spans="1:10" x14ac:dyDescent="0.2">
      <c r="A293">
        <v>96</v>
      </c>
      <c r="B293" s="3">
        <v>45962</v>
      </c>
      <c r="C293">
        <v>26</v>
      </c>
      <c r="D293">
        <v>3799</v>
      </c>
      <c r="E293">
        <v>1.9</v>
      </c>
      <c r="F293">
        <v>799</v>
      </c>
      <c r="G293">
        <v>3000</v>
      </c>
      <c r="H293">
        <v>5700</v>
      </c>
      <c r="I293">
        <v>6499</v>
      </c>
      <c r="J293">
        <v>219.23</v>
      </c>
    </row>
    <row r="294" spans="1:10" x14ac:dyDescent="0.2">
      <c r="A294">
        <v>543</v>
      </c>
      <c r="B294" s="3">
        <v>45962</v>
      </c>
      <c r="C294">
        <v>35</v>
      </c>
      <c r="D294">
        <v>5299</v>
      </c>
      <c r="E294">
        <v>2.1</v>
      </c>
      <c r="F294">
        <v>999</v>
      </c>
      <c r="G294">
        <v>4300</v>
      </c>
      <c r="H294">
        <v>9030</v>
      </c>
      <c r="I294">
        <v>10029</v>
      </c>
      <c r="J294">
        <v>258</v>
      </c>
    </row>
    <row r="295" spans="1:10" x14ac:dyDescent="0.2">
      <c r="A295">
        <v>609</v>
      </c>
      <c r="B295" s="3">
        <v>45962</v>
      </c>
      <c r="C295">
        <v>43</v>
      </c>
      <c r="D295">
        <v>5999</v>
      </c>
      <c r="E295">
        <v>1.700064</v>
      </c>
      <c r="F295">
        <v>250</v>
      </c>
      <c r="G295">
        <v>5749</v>
      </c>
      <c r="H295">
        <v>9773.67</v>
      </c>
      <c r="I295">
        <v>10023.67</v>
      </c>
      <c r="J295">
        <v>227.29</v>
      </c>
    </row>
    <row r="296" spans="1:10" x14ac:dyDescent="0.2">
      <c r="A296">
        <v>615</v>
      </c>
      <c r="B296" s="3">
        <v>45966</v>
      </c>
      <c r="C296">
        <v>26</v>
      </c>
      <c r="D296">
        <v>10999</v>
      </c>
      <c r="E296">
        <v>1.6</v>
      </c>
      <c r="F296">
        <v>1249.5</v>
      </c>
      <c r="G296">
        <v>9749.5</v>
      </c>
      <c r="H296">
        <v>15599.2</v>
      </c>
      <c r="I296">
        <v>16848.7</v>
      </c>
      <c r="J296">
        <v>599.97</v>
      </c>
    </row>
    <row r="297" spans="1:10" x14ac:dyDescent="0.2">
      <c r="A297">
        <v>733</v>
      </c>
      <c r="B297" s="3">
        <v>45966</v>
      </c>
      <c r="C297">
        <v>26</v>
      </c>
      <c r="D297">
        <v>6399</v>
      </c>
      <c r="E297">
        <v>1.6</v>
      </c>
      <c r="F297">
        <v>624.5</v>
      </c>
      <c r="G297">
        <v>5774.5</v>
      </c>
      <c r="H297">
        <v>9239.2000000000007</v>
      </c>
      <c r="I297">
        <v>9863.7000000000007</v>
      </c>
      <c r="J297">
        <v>355.35</v>
      </c>
    </row>
    <row r="298" spans="1:10" x14ac:dyDescent="0.2">
      <c r="A298">
        <v>670</v>
      </c>
      <c r="B298" s="3">
        <v>45967</v>
      </c>
      <c r="C298">
        <v>15</v>
      </c>
      <c r="D298">
        <v>5999</v>
      </c>
      <c r="E298">
        <v>1.3157890000000001</v>
      </c>
      <c r="F298">
        <v>1249</v>
      </c>
      <c r="G298">
        <v>4750</v>
      </c>
      <c r="H298">
        <v>6250</v>
      </c>
      <c r="I298">
        <v>7499</v>
      </c>
      <c r="J298">
        <v>475</v>
      </c>
    </row>
    <row r="299" spans="1:10" x14ac:dyDescent="0.2">
      <c r="A299">
        <v>560</v>
      </c>
      <c r="B299" s="3">
        <v>45972</v>
      </c>
      <c r="C299">
        <v>20</v>
      </c>
      <c r="D299">
        <v>9099</v>
      </c>
      <c r="E299">
        <v>1</v>
      </c>
      <c r="F299">
        <v>0</v>
      </c>
      <c r="G299">
        <v>9099</v>
      </c>
      <c r="H299">
        <v>9099</v>
      </c>
      <c r="I299">
        <v>9099</v>
      </c>
      <c r="J299">
        <v>454.95</v>
      </c>
    </row>
    <row r="300" spans="1:10" x14ac:dyDescent="0.2">
      <c r="A300">
        <v>552</v>
      </c>
      <c r="B300" s="3">
        <v>45973</v>
      </c>
      <c r="C300">
        <v>43</v>
      </c>
      <c r="D300">
        <v>3999</v>
      </c>
      <c r="E300">
        <v>2.2999999999999998</v>
      </c>
      <c r="F300">
        <v>399.9</v>
      </c>
      <c r="G300">
        <v>3599.1</v>
      </c>
      <c r="H300">
        <v>8277.93</v>
      </c>
      <c r="I300">
        <v>8677.83</v>
      </c>
      <c r="J300">
        <v>192.51</v>
      </c>
    </row>
    <row r="301" spans="1:10" x14ac:dyDescent="0.2">
      <c r="A301">
        <v>280</v>
      </c>
      <c r="B301" s="3">
        <v>45975</v>
      </c>
      <c r="C301">
        <v>43</v>
      </c>
      <c r="D301">
        <v>9999</v>
      </c>
      <c r="E301">
        <v>1.7</v>
      </c>
      <c r="F301">
        <v>0</v>
      </c>
      <c r="G301">
        <v>9999</v>
      </c>
      <c r="H301">
        <v>16998.3</v>
      </c>
      <c r="I301">
        <v>16998.3</v>
      </c>
      <c r="J301">
        <v>395.31</v>
      </c>
    </row>
    <row r="302" spans="1:10" x14ac:dyDescent="0.2">
      <c r="A302">
        <v>598</v>
      </c>
      <c r="B302" s="3">
        <v>45975</v>
      </c>
      <c r="C302">
        <v>26</v>
      </c>
      <c r="D302">
        <v>5999</v>
      </c>
      <c r="E302">
        <v>1.6</v>
      </c>
      <c r="F302">
        <v>0</v>
      </c>
      <c r="G302">
        <v>5999</v>
      </c>
      <c r="H302">
        <v>9598.4</v>
      </c>
      <c r="I302">
        <v>9598.4</v>
      </c>
      <c r="J302">
        <v>369.17</v>
      </c>
    </row>
    <row r="303" spans="1:10" x14ac:dyDescent="0.2">
      <c r="A303">
        <v>628</v>
      </c>
      <c r="B303" s="3">
        <v>45975</v>
      </c>
      <c r="C303">
        <v>43</v>
      </c>
      <c r="D303">
        <v>3799</v>
      </c>
      <c r="E303">
        <v>2.3000060000000002</v>
      </c>
      <c r="F303">
        <v>380</v>
      </c>
      <c r="G303">
        <v>3419</v>
      </c>
      <c r="H303">
        <v>7863.72</v>
      </c>
      <c r="I303">
        <v>8243.7199999999993</v>
      </c>
      <c r="J303">
        <v>183</v>
      </c>
    </row>
    <row r="304" spans="1:10" x14ac:dyDescent="0.2">
      <c r="A304">
        <v>695</v>
      </c>
      <c r="B304" s="3">
        <v>45975</v>
      </c>
      <c r="C304">
        <v>15</v>
      </c>
      <c r="D304">
        <v>3799</v>
      </c>
      <c r="E304">
        <v>1.4999910000000001</v>
      </c>
      <c r="F304">
        <v>380</v>
      </c>
      <c r="G304">
        <v>3419</v>
      </c>
      <c r="H304">
        <v>5128.47</v>
      </c>
      <c r="I304">
        <v>5508.47</v>
      </c>
      <c r="J304">
        <v>341.9</v>
      </c>
    </row>
    <row r="305" spans="1:10" x14ac:dyDescent="0.2">
      <c r="A305">
        <v>274</v>
      </c>
      <c r="B305" s="3">
        <v>45976</v>
      </c>
      <c r="C305">
        <v>15</v>
      </c>
      <c r="D305">
        <v>5399</v>
      </c>
      <c r="E305">
        <v>1.5</v>
      </c>
      <c r="F305">
        <v>539.9</v>
      </c>
      <c r="G305">
        <v>4859.1000000000004</v>
      </c>
      <c r="H305">
        <v>7288.65</v>
      </c>
      <c r="I305">
        <v>7828.55</v>
      </c>
      <c r="J305">
        <v>485.91</v>
      </c>
    </row>
    <row r="306" spans="1:10" x14ac:dyDescent="0.2">
      <c r="A306">
        <v>279</v>
      </c>
      <c r="B306" s="3">
        <v>45976</v>
      </c>
      <c r="C306">
        <v>15</v>
      </c>
      <c r="D306">
        <v>5399</v>
      </c>
      <c r="E306">
        <v>1.5</v>
      </c>
      <c r="F306">
        <v>550</v>
      </c>
      <c r="G306">
        <v>4849</v>
      </c>
      <c r="H306">
        <v>7273.5</v>
      </c>
      <c r="I306">
        <v>7823.5</v>
      </c>
      <c r="J306">
        <v>484.9</v>
      </c>
    </row>
    <row r="307" spans="1:10" x14ac:dyDescent="0.2">
      <c r="A307">
        <v>283</v>
      </c>
      <c r="B307" s="3">
        <v>45976</v>
      </c>
      <c r="C307">
        <v>43</v>
      </c>
      <c r="D307">
        <v>3999</v>
      </c>
      <c r="E307">
        <v>2.2999999999999998</v>
      </c>
      <c r="F307">
        <v>360</v>
      </c>
      <c r="G307">
        <v>3639</v>
      </c>
      <c r="H307">
        <v>8369.7000000000007</v>
      </c>
      <c r="I307">
        <v>8729.7000000000007</v>
      </c>
      <c r="J307">
        <v>194.64</v>
      </c>
    </row>
    <row r="308" spans="1:10" x14ac:dyDescent="0.2">
      <c r="A308">
        <v>286</v>
      </c>
      <c r="B308" s="3">
        <v>45976</v>
      </c>
      <c r="C308">
        <v>43</v>
      </c>
      <c r="D308">
        <v>9099</v>
      </c>
      <c r="E308">
        <v>2.2999999999999998</v>
      </c>
      <c r="F308">
        <v>909.9</v>
      </c>
      <c r="G308">
        <v>8189.1</v>
      </c>
      <c r="H308">
        <v>18834.93</v>
      </c>
      <c r="I308">
        <v>19744.830000000002</v>
      </c>
      <c r="J308">
        <v>438.02</v>
      </c>
    </row>
    <row r="309" spans="1:10" x14ac:dyDescent="0.2">
      <c r="A309">
        <v>539</v>
      </c>
      <c r="B309" s="3">
        <v>45976</v>
      </c>
      <c r="C309">
        <v>43</v>
      </c>
      <c r="D309">
        <v>3799</v>
      </c>
      <c r="E309">
        <v>2.286546</v>
      </c>
      <c r="F309">
        <v>379.9</v>
      </c>
      <c r="G309">
        <v>3419.1</v>
      </c>
      <c r="H309">
        <v>7817.93</v>
      </c>
      <c r="I309">
        <v>8197.83</v>
      </c>
      <c r="J309">
        <v>181.81</v>
      </c>
    </row>
    <row r="310" spans="1:10" x14ac:dyDescent="0.2">
      <c r="A310">
        <v>555</v>
      </c>
      <c r="B310" s="3">
        <v>45976</v>
      </c>
      <c r="C310">
        <v>43</v>
      </c>
      <c r="D310">
        <v>5999</v>
      </c>
      <c r="E310">
        <v>2.2999999999999998</v>
      </c>
      <c r="F310">
        <v>599.9</v>
      </c>
      <c r="G310">
        <v>5399.1</v>
      </c>
      <c r="H310">
        <v>12417.93</v>
      </c>
      <c r="I310">
        <v>13017.83</v>
      </c>
      <c r="J310">
        <v>288.79000000000002</v>
      </c>
    </row>
    <row r="311" spans="1:10" x14ac:dyDescent="0.2">
      <c r="A311">
        <v>565</v>
      </c>
      <c r="B311" s="3">
        <v>45976</v>
      </c>
      <c r="C311">
        <v>43</v>
      </c>
      <c r="D311">
        <v>5999</v>
      </c>
      <c r="E311">
        <v>2.2999999999999998</v>
      </c>
      <c r="F311">
        <v>599.9</v>
      </c>
      <c r="G311">
        <v>5399.1</v>
      </c>
      <c r="H311">
        <v>12417.93</v>
      </c>
      <c r="I311">
        <v>13017.83</v>
      </c>
      <c r="J311">
        <v>288.79000000000002</v>
      </c>
    </row>
    <row r="312" spans="1:10" x14ac:dyDescent="0.2">
      <c r="A312">
        <v>599</v>
      </c>
      <c r="B312" s="3">
        <v>45976</v>
      </c>
      <c r="C312">
        <v>35</v>
      </c>
      <c r="D312">
        <v>3999</v>
      </c>
      <c r="E312">
        <v>2.1060819999999998</v>
      </c>
      <c r="F312">
        <v>399.9</v>
      </c>
      <c r="G312">
        <v>3599.1</v>
      </c>
      <c r="H312">
        <v>7580</v>
      </c>
      <c r="I312">
        <v>7979.9</v>
      </c>
      <c r="J312">
        <v>216.57</v>
      </c>
    </row>
    <row r="313" spans="1:10" x14ac:dyDescent="0.2">
      <c r="A313">
        <v>610</v>
      </c>
      <c r="B313" s="3">
        <v>45976</v>
      </c>
      <c r="C313">
        <v>43</v>
      </c>
      <c r="D313">
        <v>3799</v>
      </c>
      <c r="E313">
        <v>2.2993969999999999</v>
      </c>
      <c r="F313">
        <v>399</v>
      </c>
      <c r="G313">
        <v>3400</v>
      </c>
      <c r="H313">
        <v>7817.95</v>
      </c>
      <c r="I313">
        <v>8216.9500000000007</v>
      </c>
      <c r="J313">
        <v>181.81</v>
      </c>
    </row>
    <row r="314" spans="1:10" x14ac:dyDescent="0.2">
      <c r="A314">
        <v>653</v>
      </c>
      <c r="B314" s="3">
        <v>45976</v>
      </c>
      <c r="C314">
        <v>15</v>
      </c>
      <c r="D314">
        <v>5499</v>
      </c>
      <c r="E314">
        <v>1.4999899999999999</v>
      </c>
      <c r="F314">
        <v>549.9</v>
      </c>
      <c r="G314">
        <v>4949.1000000000004</v>
      </c>
      <c r="H314">
        <v>7423.6</v>
      </c>
      <c r="I314">
        <v>7973.5</v>
      </c>
      <c r="J314">
        <v>494.91</v>
      </c>
    </row>
    <row r="315" spans="1:10" x14ac:dyDescent="0.2">
      <c r="A315">
        <v>660</v>
      </c>
      <c r="B315" s="3">
        <v>45976</v>
      </c>
      <c r="C315">
        <v>35</v>
      </c>
      <c r="D315">
        <v>3799</v>
      </c>
      <c r="E315">
        <v>2.1061329999999998</v>
      </c>
      <c r="F315">
        <v>379.9</v>
      </c>
      <c r="G315">
        <v>3419.1</v>
      </c>
      <c r="H315">
        <v>7201.08</v>
      </c>
      <c r="I315">
        <v>7580.98</v>
      </c>
      <c r="J315">
        <v>205.75</v>
      </c>
    </row>
    <row r="316" spans="1:10" x14ac:dyDescent="0.2">
      <c r="A316">
        <v>675</v>
      </c>
      <c r="B316" s="3">
        <v>45976</v>
      </c>
      <c r="C316">
        <v>43</v>
      </c>
      <c r="D316">
        <v>5799</v>
      </c>
      <c r="E316">
        <v>2.3000060000000002</v>
      </c>
      <c r="F316">
        <v>579.9</v>
      </c>
      <c r="G316">
        <v>5219.1000000000004</v>
      </c>
      <c r="H316">
        <v>12003.96</v>
      </c>
      <c r="I316">
        <v>12583.86</v>
      </c>
      <c r="J316">
        <v>279.16000000000003</v>
      </c>
    </row>
    <row r="317" spans="1:10" x14ac:dyDescent="0.2">
      <c r="A317">
        <v>273</v>
      </c>
      <c r="B317" s="3">
        <v>45977</v>
      </c>
      <c r="C317">
        <v>43</v>
      </c>
      <c r="D317">
        <v>5999</v>
      </c>
      <c r="E317">
        <v>2.2999999999999998</v>
      </c>
      <c r="F317">
        <v>599.9</v>
      </c>
      <c r="G317">
        <v>5399.1</v>
      </c>
      <c r="H317">
        <v>12417.93</v>
      </c>
      <c r="I317">
        <v>13017.83</v>
      </c>
      <c r="J317">
        <v>288.79000000000002</v>
      </c>
    </row>
    <row r="318" spans="1:10" x14ac:dyDescent="0.2">
      <c r="A318">
        <v>569</v>
      </c>
      <c r="B318" s="3">
        <v>45977</v>
      </c>
      <c r="C318">
        <v>20</v>
      </c>
      <c r="D318">
        <v>8199</v>
      </c>
      <c r="E318">
        <v>1</v>
      </c>
      <c r="F318">
        <v>0</v>
      </c>
      <c r="G318">
        <v>8199</v>
      </c>
      <c r="H318">
        <v>8199</v>
      </c>
      <c r="I318">
        <v>8199</v>
      </c>
      <c r="J318">
        <v>409.95</v>
      </c>
    </row>
    <row r="319" spans="1:10" x14ac:dyDescent="0.2">
      <c r="A319">
        <v>583</v>
      </c>
      <c r="B319" s="3">
        <v>45977</v>
      </c>
      <c r="C319">
        <v>43</v>
      </c>
      <c r="D319">
        <v>5499</v>
      </c>
      <c r="E319">
        <v>2.2999999999999998</v>
      </c>
      <c r="F319">
        <v>549.9</v>
      </c>
      <c r="G319">
        <v>4949.1000000000004</v>
      </c>
      <c r="H319">
        <v>11382.93</v>
      </c>
      <c r="I319">
        <v>11932.83</v>
      </c>
      <c r="J319">
        <v>264.72000000000003</v>
      </c>
    </row>
    <row r="320" spans="1:10" x14ac:dyDescent="0.2">
      <c r="A320">
        <v>622</v>
      </c>
      <c r="B320" s="3">
        <v>45977</v>
      </c>
      <c r="C320">
        <v>15</v>
      </c>
      <c r="D320">
        <v>3799</v>
      </c>
      <c r="E320">
        <v>1.500432</v>
      </c>
      <c r="F320">
        <v>400</v>
      </c>
      <c r="G320">
        <v>3399</v>
      </c>
      <c r="H320">
        <v>5099.97</v>
      </c>
      <c r="I320">
        <v>5499.97</v>
      </c>
      <c r="J320">
        <v>340</v>
      </c>
    </row>
    <row r="321" spans="1:10" x14ac:dyDescent="0.2">
      <c r="A321">
        <v>80</v>
      </c>
      <c r="B321" s="3">
        <v>45978</v>
      </c>
      <c r="C321">
        <v>26</v>
      </c>
      <c r="D321">
        <v>5499</v>
      </c>
      <c r="E321">
        <v>1.9</v>
      </c>
      <c r="F321">
        <v>549.9</v>
      </c>
      <c r="G321">
        <v>4949.1000000000004</v>
      </c>
      <c r="H321">
        <v>9403.2900000000009</v>
      </c>
      <c r="I321">
        <v>9953.19</v>
      </c>
      <c r="J321">
        <v>361.67</v>
      </c>
    </row>
    <row r="322" spans="1:10" x14ac:dyDescent="0.2">
      <c r="A322">
        <v>261</v>
      </c>
      <c r="B322" s="3">
        <v>45978</v>
      </c>
      <c r="C322">
        <v>43</v>
      </c>
      <c r="D322">
        <v>3799</v>
      </c>
      <c r="E322">
        <v>2.2999999999999998</v>
      </c>
      <c r="F322">
        <v>379.9</v>
      </c>
      <c r="G322">
        <v>3419.1</v>
      </c>
      <c r="H322">
        <v>7863.93</v>
      </c>
      <c r="I322">
        <v>8243.83</v>
      </c>
      <c r="J322">
        <v>182.88</v>
      </c>
    </row>
    <row r="323" spans="1:10" x14ac:dyDescent="0.2">
      <c r="A323">
        <v>262</v>
      </c>
      <c r="B323" s="3">
        <v>45978</v>
      </c>
      <c r="C323">
        <v>43</v>
      </c>
      <c r="D323">
        <v>3999</v>
      </c>
      <c r="E323">
        <v>2.2999999999999998</v>
      </c>
      <c r="F323">
        <v>399.9</v>
      </c>
      <c r="G323">
        <v>3599.1</v>
      </c>
      <c r="H323">
        <v>8277.93</v>
      </c>
      <c r="I323">
        <v>8677.83</v>
      </c>
      <c r="J323">
        <v>192.51</v>
      </c>
    </row>
    <row r="324" spans="1:10" x14ac:dyDescent="0.2">
      <c r="A324">
        <v>594</v>
      </c>
      <c r="B324" s="3">
        <v>45978</v>
      </c>
      <c r="C324">
        <v>43</v>
      </c>
      <c r="D324">
        <v>8199</v>
      </c>
      <c r="E324">
        <v>2.3002859999999998</v>
      </c>
      <c r="F324">
        <v>819.9</v>
      </c>
      <c r="G324">
        <v>7379.1</v>
      </c>
      <c r="H324">
        <v>16974.04</v>
      </c>
      <c r="I324">
        <v>17793.939999999999</v>
      </c>
      <c r="J324">
        <v>394.75</v>
      </c>
    </row>
    <row r="325" spans="1:10" x14ac:dyDescent="0.2">
      <c r="A325">
        <v>265</v>
      </c>
      <c r="B325" s="3">
        <v>45979</v>
      </c>
      <c r="C325">
        <v>35</v>
      </c>
      <c r="D325">
        <v>5999</v>
      </c>
      <c r="E325">
        <v>2.1</v>
      </c>
      <c r="F325">
        <v>599.9</v>
      </c>
      <c r="G325">
        <v>5399.1</v>
      </c>
      <c r="H325">
        <v>11338.11</v>
      </c>
      <c r="I325">
        <v>11938.01</v>
      </c>
      <c r="J325">
        <v>323.95</v>
      </c>
    </row>
    <row r="326" spans="1:10" x14ac:dyDescent="0.2">
      <c r="A326">
        <v>533</v>
      </c>
      <c r="B326" s="3">
        <v>45979</v>
      </c>
      <c r="C326">
        <v>43</v>
      </c>
      <c r="D326">
        <v>6399</v>
      </c>
      <c r="E326">
        <v>2.2999999999999998</v>
      </c>
      <c r="F326">
        <v>639.9</v>
      </c>
      <c r="G326">
        <v>5759.1</v>
      </c>
      <c r="H326">
        <v>13245.93</v>
      </c>
      <c r="I326">
        <v>13885.83</v>
      </c>
      <c r="J326">
        <v>308.05</v>
      </c>
    </row>
    <row r="327" spans="1:10" x14ac:dyDescent="0.2">
      <c r="A327">
        <v>545</v>
      </c>
      <c r="B327" s="3">
        <v>45979</v>
      </c>
      <c r="C327">
        <v>43</v>
      </c>
      <c r="D327">
        <v>3799</v>
      </c>
      <c r="E327">
        <v>2.2999999999999998</v>
      </c>
      <c r="F327">
        <v>379.9</v>
      </c>
      <c r="G327">
        <v>3419.1</v>
      </c>
      <c r="H327">
        <v>7863.93</v>
      </c>
      <c r="I327">
        <v>8243.83</v>
      </c>
      <c r="J327">
        <v>182.88</v>
      </c>
    </row>
    <row r="328" spans="1:10" x14ac:dyDescent="0.2">
      <c r="A328">
        <v>576</v>
      </c>
      <c r="B328" s="3">
        <v>45979</v>
      </c>
      <c r="C328">
        <v>26</v>
      </c>
      <c r="D328">
        <v>3799</v>
      </c>
      <c r="E328">
        <v>1.9</v>
      </c>
      <c r="F328">
        <v>379.9</v>
      </c>
      <c r="G328">
        <v>3419.1</v>
      </c>
      <c r="H328">
        <v>6496.29</v>
      </c>
      <c r="I328">
        <v>6876.19</v>
      </c>
      <c r="J328">
        <v>249.86</v>
      </c>
    </row>
    <row r="329" spans="1:10" x14ac:dyDescent="0.2">
      <c r="A329">
        <v>712</v>
      </c>
      <c r="B329" s="3">
        <v>45979</v>
      </c>
      <c r="C329">
        <v>20</v>
      </c>
      <c r="D329">
        <v>6099</v>
      </c>
      <c r="E329">
        <v>1</v>
      </c>
      <c r="F329">
        <v>1099</v>
      </c>
      <c r="G329">
        <v>5000</v>
      </c>
      <c r="H329">
        <v>5000</v>
      </c>
      <c r="I329">
        <v>6099</v>
      </c>
      <c r="J329">
        <v>250</v>
      </c>
    </row>
    <row r="330" spans="1:10" x14ac:dyDescent="0.2">
      <c r="A330">
        <v>170</v>
      </c>
      <c r="B330" s="3">
        <v>45980</v>
      </c>
      <c r="C330">
        <v>50</v>
      </c>
      <c r="D330">
        <v>8133</v>
      </c>
      <c r="E330">
        <v>1</v>
      </c>
      <c r="F330">
        <v>0</v>
      </c>
      <c r="G330">
        <v>8133</v>
      </c>
      <c r="H330">
        <v>8133</v>
      </c>
      <c r="I330">
        <v>8133</v>
      </c>
      <c r="J330">
        <v>162.66</v>
      </c>
    </row>
    <row r="331" spans="1:10" x14ac:dyDescent="0.2">
      <c r="A331">
        <v>540</v>
      </c>
      <c r="B331" s="3">
        <v>45980</v>
      </c>
      <c r="C331">
        <v>43</v>
      </c>
      <c r="D331">
        <v>3999</v>
      </c>
      <c r="E331">
        <v>2.2999999999999998</v>
      </c>
      <c r="F331">
        <v>399.9</v>
      </c>
      <c r="G331">
        <v>3599.1</v>
      </c>
      <c r="H331">
        <v>8277.93</v>
      </c>
      <c r="I331">
        <v>8677.83</v>
      </c>
      <c r="J331">
        <v>192.51</v>
      </c>
    </row>
    <row r="332" spans="1:10" x14ac:dyDescent="0.2">
      <c r="A332">
        <v>553</v>
      </c>
      <c r="B332" s="3">
        <v>45980</v>
      </c>
      <c r="C332">
        <v>50</v>
      </c>
      <c r="D332">
        <v>7738</v>
      </c>
      <c r="E332">
        <v>1</v>
      </c>
      <c r="F332">
        <v>0</v>
      </c>
      <c r="G332">
        <v>7738</v>
      </c>
      <c r="H332">
        <v>7738</v>
      </c>
      <c r="I332">
        <v>7738</v>
      </c>
      <c r="J332">
        <v>154.76</v>
      </c>
    </row>
    <row r="333" spans="1:10" x14ac:dyDescent="0.2">
      <c r="A333">
        <v>621</v>
      </c>
      <c r="B333" s="3">
        <v>45980</v>
      </c>
      <c r="C333">
        <v>35</v>
      </c>
      <c r="D333">
        <v>3799</v>
      </c>
      <c r="E333">
        <v>2.100009</v>
      </c>
      <c r="F333">
        <v>379.9</v>
      </c>
      <c r="G333">
        <v>3419.1</v>
      </c>
      <c r="H333">
        <v>7180.14</v>
      </c>
      <c r="I333">
        <v>7560.04</v>
      </c>
      <c r="J333">
        <v>205.15</v>
      </c>
    </row>
    <row r="334" spans="1:10" x14ac:dyDescent="0.2">
      <c r="A334">
        <v>81</v>
      </c>
      <c r="B334" s="3">
        <v>45981</v>
      </c>
      <c r="C334">
        <v>26</v>
      </c>
      <c r="D334">
        <v>9099</v>
      </c>
      <c r="E334">
        <v>1.6</v>
      </c>
      <c r="F334">
        <v>0</v>
      </c>
      <c r="G334">
        <v>9099</v>
      </c>
      <c r="H334">
        <v>14558.4</v>
      </c>
      <c r="I334">
        <v>14558.4</v>
      </c>
      <c r="J334">
        <v>559.94000000000005</v>
      </c>
    </row>
    <row r="335" spans="1:10" x14ac:dyDescent="0.2">
      <c r="A335">
        <v>270</v>
      </c>
      <c r="B335" s="3">
        <v>45981</v>
      </c>
      <c r="C335">
        <v>35</v>
      </c>
      <c r="D335">
        <v>3799</v>
      </c>
      <c r="E335">
        <v>2.1</v>
      </c>
      <c r="F335">
        <v>379.9</v>
      </c>
      <c r="G335">
        <v>3419.1</v>
      </c>
      <c r="H335">
        <v>7180.11</v>
      </c>
      <c r="I335">
        <v>7560.01</v>
      </c>
      <c r="J335">
        <v>205.15</v>
      </c>
    </row>
    <row r="336" spans="1:10" x14ac:dyDescent="0.2">
      <c r="A336">
        <v>562</v>
      </c>
      <c r="B336" s="3">
        <v>45981</v>
      </c>
      <c r="C336">
        <v>43</v>
      </c>
      <c r="D336">
        <v>6399</v>
      </c>
      <c r="E336">
        <v>2.2999999999999998</v>
      </c>
      <c r="F336">
        <v>639.9</v>
      </c>
      <c r="G336">
        <v>5759.1</v>
      </c>
      <c r="H336">
        <v>13245.93</v>
      </c>
      <c r="I336">
        <v>13885.83</v>
      </c>
      <c r="J336">
        <v>308.05</v>
      </c>
    </row>
    <row r="337" spans="1:10" x14ac:dyDescent="0.2">
      <c r="A337">
        <v>571</v>
      </c>
      <c r="B337" s="3">
        <v>45981</v>
      </c>
      <c r="C337">
        <v>43</v>
      </c>
      <c r="D337">
        <v>5999</v>
      </c>
      <c r="E337">
        <v>2.2999999999999998</v>
      </c>
      <c r="F337">
        <v>599.9</v>
      </c>
      <c r="G337">
        <v>5399.1</v>
      </c>
      <c r="H337">
        <v>12417.93</v>
      </c>
      <c r="I337">
        <v>13017.83</v>
      </c>
      <c r="J337">
        <v>288.79000000000002</v>
      </c>
    </row>
    <row r="338" spans="1:10" x14ac:dyDescent="0.2">
      <c r="A338">
        <v>607</v>
      </c>
      <c r="B338" s="3">
        <v>45981</v>
      </c>
      <c r="C338">
        <v>26</v>
      </c>
      <c r="D338">
        <v>8799</v>
      </c>
      <c r="E338">
        <v>1.9</v>
      </c>
      <c r="F338">
        <v>879.9</v>
      </c>
      <c r="G338">
        <v>7919.1</v>
      </c>
      <c r="H338">
        <v>15046.29</v>
      </c>
      <c r="I338">
        <v>15926.19</v>
      </c>
      <c r="J338">
        <v>578.70000000000005</v>
      </c>
    </row>
    <row r="339" spans="1:10" x14ac:dyDescent="0.2">
      <c r="A339">
        <v>620</v>
      </c>
      <c r="B339" s="3">
        <v>45981</v>
      </c>
      <c r="C339">
        <v>43</v>
      </c>
      <c r="D339">
        <v>3999</v>
      </c>
      <c r="E339">
        <v>2.3000060000000002</v>
      </c>
      <c r="F339">
        <v>399.9</v>
      </c>
      <c r="G339">
        <v>3599.1</v>
      </c>
      <c r="H339">
        <v>8277.9500000000007</v>
      </c>
      <c r="I339">
        <v>8677.85</v>
      </c>
      <c r="J339">
        <v>192.51</v>
      </c>
    </row>
    <row r="340" spans="1:10" x14ac:dyDescent="0.2">
      <c r="A340">
        <v>254</v>
      </c>
      <c r="B340" s="3">
        <v>45982</v>
      </c>
      <c r="C340">
        <v>35</v>
      </c>
      <c r="D340">
        <v>3799</v>
      </c>
      <c r="E340">
        <v>2.1</v>
      </c>
      <c r="F340">
        <v>799</v>
      </c>
      <c r="G340">
        <v>3000</v>
      </c>
      <c r="H340">
        <v>6300</v>
      </c>
      <c r="I340">
        <v>7099</v>
      </c>
      <c r="J340">
        <v>180</v>
      </c>
    </row>
    <row r="341" spans="1:10" x14ac:dyDescent="0.2">
      <c r="A341">
        <v>546</v>
      </c>
      <c r="B341" s="3">
        <v>45983</v>
      </c>
      <c r="C341">
        <v>35</v>
      </c>
      <c r="D341">
        <v>3799</v>
      </c>
      <c r="E341">
        <v>2.1</v>
      </c>
      <c r="F341">
        <v>799</v>
      </c>
      <c r="G341">
        <v>3000</v>
      </c>
      <c r="H341">
        <v>6300</v>
      </c>
      <c r="I341">
        <v>7099</v>
      </c>
      <c r="J341">
        <v>180</v>
      </c>
    </row>
    <row r="342" spans="1:10" x14ac:dyDescent="0.2">
      <c r="A342">
        <v>528</v>
      </c>
      <c r="B342" s="3">
        <v>45986</v>
      </c>
      <c r="C342">
        <v>26</v>
      </c>
      <c r="D342">
        <v>6399</v>
      </c>
      <c r="E342">
        <v>1.9</v>
      </c>
      <c r="F342">
        <v>1249</v>
      </c>
      <c r="G342">
        <v>5150</v>
      </c>
      <c r="H342">
        <v>9785</v>
      </c>
      <c r="I342">
        <v>11034</v>
      </c>
      <c r="J342">
        <v>376.35</v>
      </c>
    </row>
    <row r="343" spans="1:10" x14ac:dyDescent="0.2">
      <c r="A343">
        <v>577</v>
      </c>
      <c r="B343" s="3">
        <v>45986</v>
      </c>
      <c r="C343">
        <v>15</v>
      </c>
      <c r="D343">
        <v>6399</v>
      </c>
      <c r="E343">
        <v>1.4996989999999999</v>
      </c>
      <c r="F343">
        <v>1249</v>
      </c>
      <c r="G343">
        <v>5150</v>
      </c>
      <c r="H343">
        <v>7723.45</v>
      </c>
      <c r="I343">
        <v>8972.4500000000007</v>
      </c>
      <c r="J343">
        <v>514.9</v>
      </c>
    </row>
    <row r="344" spans="1:10" x14ac:dyDescent="0.2">
      <c r="A344">
        <v>584</v>
      </c>
      <c r="B344" s="3">
        <v>45989</v>
      </c>
      <c r="C344">
        <v>43</v>
      </c>
      <c r="D344">
        <v>5999</v>
      </c>
      <c r="E344">
        <v>2.3000060000000002</v>
      </c>
      <c r="F344">
        <v>1249</v>
      </c>
      <c r="G344">
        <v>4750</v>
      </c>
      <c r="H344">
        <v>10925.03</v>
      </c>
      <c r="I344">
        <v>12174.03</v>
      </c>
      <c r="J344">
        <v>254.07</v>
      </c>
    </row>
    <row r="345" spans="1:10" x14ac:dyDescent="0.2">
      <c r="A345">
        <v>242</v>
      </c>
      <c r="B345" s="3">
        <v>45992</v>
      </c>
      <c r="C345">
        <v>15</v>
      </c>
      <c r="D345">
        <v>3999</v>
      </c>
      <c r="E345">
        <v>1.5</v>
      </c>
      <c r="F345">
        <v>799</v>
      </c>
      <c r="G345">
        <v>3200</v>
      </c>
      <c r="H345">
        <v>4800</v>
      </c>
      <c r="I345">
        <v>5599</v>
      </c>
      <c r="J345">
        <v>320</v>
      </c>
    </row>
    <row r="346" spans="1:10" x14ac:dyDescent="0.2">
      <c r="A346">
        <v>255</v>
      </c>
      <c r="B346" s="3">
        <v>45992</v>
      </c>
      <c r="C346">
        <v>15</v>
      </c>
      <c r="D346">
        <v>3999</v>
      </c>
      <c r="E346">
        <v>1.5</v>
      </c>
      <c r="F346">
        <v>799</v>
      </c>
      <c r="G346">
        <v>3200</v>
      </c>
      <c r="H346">
        <v>4800</v>
      </c>
      <c r="I346">
        <v>5599</v>
      </c>
      <c r="J346">
        <v>320</v>
      </c>
    </row>
    <row r="347" spans="1:10" x14ac:dyDescent="0.2">
      <c r="A347">
        <v>72</v>
      </c>
      <c r="B347" s="3">
        <v>45993</v>
      </c>
      <c r="C347">
        <v>35</v>
      </c>
      <c r="D347">
        <v>5499</v>
      </c>
      <c r="E347">
        <v>2.1</v>
      </c>
      <c r="F347">
        <v>1249</v>
      </c>
      <c r="G347">
        <v>4250</v>
      </c>
      <c r="H347">
        <v>8925</v>
      </c>
      <c r="I347">
        <v>10174</v>
      </c>
      <c r="J347">
        <v>255</v>
      </c>
    </row>
    <row r="348" spans="1:10" x14ac:dyDescent="0.2">
      <c r="A348">
        <v>77</v>
      </c>
      <c r="B348" s="3">
        <v>45993</v>
      </c>
      <c r="C348">
        <v>26</v>
      </c>
      <c r="D348">
        <v>3999</v>
      </c>
      <c r="E348">
        <v>1.9</v>
      </c>
      <c r="F348">
        <v>799</v>
      </c>
      <c r="G348">
        <v>3200</v>
      </c>
      <c r="H348">
        <v>6080</v>
      </c>
      <c r="I348">
        <v>6879</v>
      </c>
      <c r="J348">
        <v>233.85</v>
      </c>
    </row>
    <row r="349" spans="1:10" x14ac:dyDescent="0.2">
      <c r="A349">
        <v>529</v>
      </c>
      <c r="B349" s="3">
        <v>45993</v>
      </c>
      <c r="C349">
        <v>26</v>
      </c>
      <c r="D349">
        <v>3999</v>
      </c>
      <c r="E349">
        <v>1.9</v>
      </c>
      <c r="F349">
        <v>799</v>
      </c>
      <c r="G349">
        <v>3200</v>
      </c>
      <c r="H349">
        <v>6080</v>
      </c>
      <c r="I349">
        <v>6879</v>
      </c>
      <c r="J349">
        <v>233.85</v>
      </c>
    </row>
    <row r="350" spans="1:10" x14ac:dyDescent="0.2">
      <c r="A350">
        <v>637</v>
      </c>
      <c r="B350" s="3">
        <v>45993</v>
      </c>
      <c r="C350">
        <v>15</v>
      </c>
      <c r="D350">
        <v>3999</v>
      </c>
      <c r="E350">
        <v>1.4999910000000001</v>
      </c>
      <c r="F350">
        <v>799</v>
      </c>
      <c r="G350">
        <v>3200</v>
      </c>
      <c r="H350">
        <v>4799.97</v>
      </c>
      <c r="I350">
        <v>5598.97</v>
      </c>
      <c r="J350">
        <v>320</v>
      </c>
    </row>
    <row r="351" spans="1:10" x14ac:dyDescent="0.2">
      <c r="A351">
        <v>69</v>
      </c>
      <c r="B351" s="3">
        <v>45995</v>
      </c>
      <c r="C351">
        <v>43</v>
      </c>
      <c r="D351">
        <v>5799</v>
      </c>
      <c r="E351">
        <v>1.7</v>
      </c>
      <c r="F351">
        <v>624</v>
      </c>
      <c r="G351">
        <v>5175</v>
      </c>
      <c r="H351">
        <v>8797.5</v>
      </c>
      <c r="I351">
        <v>9421.5</v>
      </c>
      <c r="J351">
        <v>204.59</v>
      </c>
    </row>
    <row r="352" spans="1:10" x14ac:dyDescent="0.2">
      <c r="A352">
        <v>74</v>
      </c>
      <c r="B352" s="3">
        <v>45995</v>
      </c>
      <c r="C352">
        <v>26</v>
      </c>
      <c r="D352">
        <v>3999</v>
      </c>
      <c r="E352">
        <v>1.9</v>
      </c>
      <c r="F352">
        <v>799</v>
      </c>
      <c r="G352">
        <v>3200</v>
      </c>
      <c r="H352">
        <v>6080</v>
      </c>
      <c r="I352">
        <v>6879</v>
      </c>
      <c r="J352">
        <v>233.85</v>
      </c>
    </row>
    <row r="353" spans="1:10" x14ac:dyDescent="0.2">
      <c r="A353">
        <v>244</v>
      </c>
      <c r="B353" s="3">
        <v>45998</v>
      </c>
      <c r="C353">
        <v>35</v>
      </c>
      <c r="D353">
        <v>3999</v>
      </c>
      <c r="E353">
        <v>2.1</v>
      </c>
      <c r="F353">
        <v>799</v>
      </c>
      <c r="G353">
        <v>3200</v>
      </c>
      <c r="H353">
        <v>6720</v>
      </c>
      <c r="I353">
        <v>7519</v>
      </c>
      <c r="J353">
        <v>192</v>
      </c>
    </row>
    <row r="354" spans="1:10" x14ac:dyDescent="0.2">
      <c r="A354">
        <v>246</v>
      </c>
      <c r="B354" s="3">
        <v>46001</v>
      </c>
      <c r="C354">
        <v>35</v>
      </c>
      <c r="D354">
        <v>3999</v>
      </c>
      <c r="E354">
        <v>2.1</v>
      </c>
      <c r="F354">
        <v>799</v>
      </c>
      <c r="G354">
        <v>3200</v>
      </c>
      <c r="H354">
        <v>6720</v>
      </c>
      <c r="I354">
        <v>7519</v>
      </c>
      <c r="J354">
        <v>192</v>
      </c>
    </row>
    <row r="355" spans="1:10" x14ac:dyDescent="0.2">
      <c r="A355">
        <v>604</v>
      </c>
      <c r="B355" s="3">
        <v>46001</v>
      </c>
      <c r="C355">
        <v>26</v>
      </c>
      <c r="D355">
        <v>3799</v>
      </c>
      <c r="E355">
        <v>1.9</v>
      </c>
      <c r="F355">
        <v>799</v>
      </c>
      <c r="G355">
        <v>3000</v>
      </c>
      <c r="H355">
        <v>5700</v>
      </c>
      <c r="I355">
        <v>6499</v>
      </c>
      <c r="J355">
        <v>219.23</v>
      </c>
    </row>
    <row r="356" spans="1:10" x14ac:dyDescent="0.2">
      <c r="A356">
        <v>76</v>
      </c>
      <c r="B356" s="3">
        <v>46002</v>
      </c>
      <c r="C356">
        <v>10</v>
      </c>
      <c r="D356">
        <v>4400</v>
      </c>
      <c r="E356">
        <v>1</v>
      </c>
      <c r="F356">
        <v>600</v>
      </c>
      <c r="G356">
        <v>3800</v>
      </c>
      <c r="H356">
        <v>3800</v>
      </c>
      <c r="I356">
        <v>4400</v>
      </c>
      <c r="J356">
        <v>380</v>
      </c>
    </row>
    <row r="357" spans="1:10" x14ac:dyDescent="0.2">
      <c r="A357">
        <v>243</v>
      </c>
      <c r="B357" s="3">
        <v>46004</v>
      </c>
      <c r="C357">
        <v>43</v>
      </c>
      <c r="D357">
        <v>3999</v>
      </c>
      <c r="E357">
        <v>2.2999999999999998</v>
      </c>
      <c r="F357">
        <v>799</v>
      </c>
      <c r="G357">
        <v>3200</v>
      </c>
      <c r="H357">
        <v>7360</v>
      </c>
      <c r="I357">
        <v>8159</v>
      </c>
      <c r="J357">
        <v>171.16</v>
      </c>
    </row>
    <row r="358" spans="1:10" x14ac:dyDescent="0.2">
      <c r="A358">
        <v>71</v>
      </c>
      <c r="B358" s="3">
        <v>46005</v>
      </c>
      <c r="C358">
        <v>26</v>
      </c>
      <c r="D358">
        <v>10999</v>
      </c>
      <c r="E358">
        <v>1.6</v>
      </c>
      <c r="F358">
        <v>0</v>
      </c>
      <c r="G358">
        <v>10999</v>
      </c>
      <c r="H358">
        <v>17598.400000000001</v>
      </c>
      <c r="I358">
        <v>17598.400000000001</v>
      </c>
      <c r="J358">
        <v>676.86</v>
      </c>
    </row>
    <row r="359" spans="1:10" x14ac:dyDescent="0.2">
      <c r="A359">
        <v>247</v>
      </c>
      <c r="B359" s="3">
        <v>46006</v>
      </c>
      <c r="C359">
        <v>43</v>
      </c>
      <c r="D359">
        <v>6399</v>
      </c>
      <c r="E359">
        <v>1.7</v>
      </c>
      <c r="F359">
        <v>624.5</v>
      </c>
      <c r="G359">
        <v>5774.5</v>
      </c>
      <c r="H359">
        <v>9816.65</v>
      </c>
      <c r="I359">
        <v>10441.15</v>
      </c>
      <c r="J359">
        <v>228.29</v>
      </c>
    </row>
    <row r="360" spans="1:10" x14ac:dyDescent="0.2">
      <c r="A360">
        <v>530</v>
      </c>
      <c r="B360" s="3">
        <v>46006</v>
      </c>
      <c r="C360">
        <v>35</v>
      </c>
      <c r="D360">
        <v>10999</v>
      </c>
      <c r="E360">
        <v>1.65</v>
      </c>
      <c r="F360">
        <v>600</v>
      </c>
      <c r="G360">
        <v>10399</v>
      </c>
      <c r="H360">
        <v>17158.349999999999</v>
      </c>
      <c r="I360">
        <v>17758.349999999999</v>
      </c>
      <c r="J360">
        <v>490.24</v>
      </c>
    </row>
    <row r="361" spans="1:10" x14ac:dyDescent="0.2">
      <c r="A361">
        <v>537</v>
      </c>
      <c r="B361" s="3">
        <v>46007</v>
      </c>
      <c r="C361">
        <v>15</v>
      </c>
      <c r="D361">
        <v>3999</v>
      </c>
      <c r="E361">
        <v>1.5</v>
      </c>
      <c r="F361">
        <v>399.5</v>
      </c>
      <c r="G361">
        <v>3599.5</v>
      </c>
      <c r="H361">
        <v>5399.25</v>
      </c>
      <c r="I361">
        <v>5798.75</v>
      </c>
      <c r="J361">
        <v>359.95</v>
      </c>
    </row>
    <row r="362" spans="1:10" x14ac:dyDescent="0.2">
      <c r="A362">
        <v>585</v>
      </c>
      <c r="B362" s="3">
        <v>46010</v>
      </c>
      <c r="C362">
        <v>35</v>
      </c>
      <c r="D362">
        <v>6099</v>
      </c>
      <c r="E362">
        <v>2.1000100000000002</v>
      </c>
      <c r="F362">
        <v>1249</v>
      </c>
      <c r="G362">
        <v>4850</v>
      </c>
      <c r="H362">
        <v>10185.049999999999</v>
      </c>
      <c r="I362">
        <v>11434.05</v>
      </c>
      <c r="J362">
        <v>291</v>
      </c>
    </row>
    <row r="363" spans="1:10" x14ac:dyDescent="0.2">
      <c r="A363">
        <v>591</v>
      </c>
      <c r="B363" s="3">
        <v>46010</v>
      </c>
      <c r="C363">
        <v>43</v>
      </c>
      <c r="D363">
        <v>7029.7</v>
      </c>
      <c r="E363">
        <v>1</v>
      </c>
      <c r="F363">
        <v>0</v>
      </c>
      <c r="G363">
        <v>7029.7</v>
      </c>
      <c r="H363">
        <v>7029.7</v>
      </c>
      <c r="I363">
        <v>7029.7</v>
      </c>
      <c r="J363">
        <v>163.47999999999999</v>
      </c>
    </row>
    <row r="364" spans="1:10" x14ac:dyDescent="0.2">
      <c r="A364">
        <v>611</v>
      </c>
      <c r="B364" s="3">
        <v>46012</v>
      </c>
      <c r="C364">
        <v>15</v>
      </c>
      <c r="D364">
        <v>3999</v>
      </c>
      <c r="E364">
        <v>1.4999910000000001</v>
      </c>
      <c r="F364">
        <v>799</v>
      </c>
      <c r="G364">
        <v>3200</v>
      </c>
      <c r="H364">
        <v>4799.97</v>
      </c>
      <c r="I364">
        <v>5598.97</v>
      </c>
      <c r="J364">
        <v>320</v>
      </c>
    </row>
    <row r="365" spans="1:10" x14ac:dyDescent="0.2">
      <c r="A365">
        <v>614</v>
      </c>
      <c r="B365" s="3">
        <v>46012</v>
      </c>
      <c r="C365">
        <v>35</v>
      </c>
      <c r="D365">
        <v>3999</v>
      </c>
      <c r="E365">
        <v>2.100009</v>
      </c>
      <c r="F365">
        <v>799</v>
      </c>
      <c r="G365">
        <v>3200</v>
      </c>
      <c r="H365">
        <v>6720.03</v>
      </c>
      <c r="I365">
        <v>7519.03</v>
      </c>
      <c r="J365">
        <v>192</v>
      </c>
    </row>
    <row r="366" spans="1:10" x14ac:dyDescent="0.2">
      <c r="A366">
        <v>258</v>
      </c>
      <c r="B366" s="3">
        <v>46013</v>
      </c>
      <c r="C366">
        <v>35</v>
      </c>
      <c r="D366">
        <v>3999</v>
      </c>
      <c r="E366">
        <v>2.1</v>
      </c>
      <c r="F366">
        <v>799</v>
      </c>
      <c r="G366">
        <v>3200</v>
      </c>
      <c r="H366">
        <v>6720</v>
      </c>
      <c r="I366">
        <v>7519</v>
      </c>
      <c r="J366">
        <v>192</v>
      </c>
    </row>
    <row r="367" spans="1:10" x14ac:dyDescent="0.2">
      <c r="A367">
        <v>593</v>
      </c>
      <c r="B367" s="3">
        <v>46014</v>
      </c>
      <c r="C367">
        <v>43</v>
      </c>
      <c r="D367">
        <v>3799</v>
      </c>
      <c r="E367">
        <v>2.3000069999999999</v>
      </c>
      <c r="F367">
        <v>799</v>
      </c>
      <c r="G367">
        <v>3000</v>
      </c>
      <c r="H367">
        <v>6900.02</v>
      </c>
      <c r="I367">
        <v>7699.02</v>
      </c>
      <c r="J367">
        <v>160.47</v>
      </c>
    </row>
    <row r="368" spans="1:10" x14ac:dyDescent="0.2">
      <c r="A368">
        <v>625</v>
      </c>
      <c r="B368" s="3">
        <v>46018</v>
      </c>
      <c r="C368">
        <v>43</v>
      </c>
      <c r="D368">
        <v>5499</v>
      </c>
      <c r="E368">
        <v>2.3000069999999999</v>
      </c>
      <c r="F368">
        <v>999</v>
      </c>
      <c r="G368">
        <v>4500</v>
      </c>
      <c r="H368">
        <v>10350.030000000001</v>
      </c>
      <c r="I368">
        <v>11349.03</v>
      </c>
      <c r="J368">
        <v>240.7</v>
      </c>
    </row>
    <row r="369" spans="1:10" x14ac:dyDescent="0.2">
      <c r="A369">
        <v>626</v>
      </c>
      <c r="B369" s="3">
        <v>46018</v>
      </c>
      <c r="C369">
        <v>43</v>
      </c>
      <c r="D369">
        <v>5499</v>
      </c>
      <c r="E369">
        <v>2.3000069999999999</v>
      </c>
      <c r="F369">
        <v>999</v>
      </c>
      <c r="G369">
        <v>4500</v>
      </c>
      <c r="H369">
        <v>10350.030000000001</v>
      </c>
      <c r="I369">
        <v>11349.03</v>
      </c>
      <c r="J369">
        <v>240.7</v>
      </c>
    </row>
    <row r="370" spans="1:10" x14ac:dyDescent="0.2">
      <c r="A370">
        <v>64</v>
      </c>
      <c r="B370" s="3">
        <v>46019</v>
      </c>
      <c r="C370">
        <v>43</v>
      </c>
      <c r="D370">
        <v>8799</v>
      </c>
      <c r="E370">
        <v>1.7</v>
      </c>
      <c r="F370">
        <v>0</v>
      </c>
      <c r="G370">
        <v>8799</v>
      </c>
      <c r="H370">
        <v>14958.3</v>
      </c>
      <c r="I370">
        <v>14958.3</v>
      </c>
      <c r="J370">
        <v>347.87</v>
      </c>
    </row>
    <row r="371" spans="1:10" x14ac:dyDescent="0.2">
      <c r="A371">
        <v>66</v>
      </c>
      <c r="B371" s="3">
        <v>46019</v>
      </c>
      <c r="C371">
        <v>18</v>
      </c>
      <c r="D371">
        <v>3999</v>
      </c>
      <c r="E371">
        <v>1.7</v>
      </c>
      <c r="F371">
        <v>799</v>
      </c>
      <c r="G371">
        <v>3200</v>
      </c>
      <c r="H371">
        <v>5440</v>
      </c>
      <c r="I371">
        <v>6239</v>
      </c>
      <c r="J371">
        <v>302.22000000000003</v>
      </c>
    </row>
    <row r="372" spans="1:10" x14ac:dyDescent="0.2">
      <c r="A372">
        <v>612</v>
      </c>
      <c r="B372" s="3">
        <v>46019</v>
      </c>
      <c r="C372">
        <v>26</v>
      </c>
      <c r="D372">
        <v>3999</v>
      </c>
      <c r="E372">
        <v>1.9</v>
      </c>
      <c r="F372">
        <v>799</v>
      </c>
      <c r="G372">
        <v>3200</v>
      </c>
      <c r="H372">
        <v>6080</v>
      </c>
      <c r="I372">
        <v>6879</v>
      </c>
      <c r="J372">
        <v>233.85</v>
      </c>
    </row>
    <row r="373" spans="1:10" x14ac:dyDescent="0.2">
      <c r="A373">
        <v>633</v>
      </c>
      <c r="B373" s="3">
        <v>46019</v>
      </c>
      <c r="C373">
        <v>15</v>
      </c>
      <c r="D373">
        <v>3999</v>
      </c>
      <c r="E373">
        <v>1.5</v>
      </c>
      <c r="F373">
        <v>799</v>
      </c>
      <c r="G373">
        <v>3200</v>
      </c>
      <c r="H373">
        <v>4800</v>
      </c>
      <c r="I373">
        <v>5599</v>
      </c>
      <c r="J373">
        <v>320</v>
      </c>
    </row>
    <row r="374" spans="1:10" x14ac:dyDescent="0.2">
      <c r="A374">
        <v>567</v>
      </c>
      <c r="B374" s="3">
        <v>46023</v>
      </c>
      <c r="C374">
        <v>15</v>
      </c>
      <c r="D374">
        <v>3799</v>
      </c>
      <c r="E374">
        <v>1.5</v>
      </c>
      <c r="F374">
        <v>799</v>
      </c>
      <c r="G374">
        <v>3000</v>
      </c>
      <c r="H374">
        <v>4500</v>
      </c>
      <c r="I374">
        <v>5299</v>
      </c>
      <c r="J374">
        <v>300</v>
      </c>
    </row>
    <row r="375" spans="1:10" x14ac:dyDescent="0.2">
      <c r="A375">
        <v>605</v>
      </c>
      <c r="B375" s="3">
        <v>46023</v>
      </c>
      <c r="C375">
        <v>15</v>
      </c>
      <c r="D375">
        <v>3999</v>
      </c>
      <c r="E375">
        <v>1.5</v>
      </c>
      <c r="F375">
        <v>799</v>
      </c>
      <c r="G375">
        <v>3200</v>
      </c>
      <c r="H375">
        <v>4800</v>
      </c>
      <c r="I375">
        <v>5599</v>
      </c>
      <c r="J375">
        <v>320</v>
      </c>
    </row>
    <row r="376" spans="1:10" x14ac:dyDescent="0.2">
      <c r="A376">
        <v>9</v>
      </c>
      <c r="B376" s="3">
        <v>46027</v>
      </c>
      <c r="C376">
        <v>18</v>
      </c>
      <c r="D376">
        <v>3999</v>
      </c>
      <c r="E376">
        <v>1.7</v>
      </c>
      <c r="F376">
        <v>799</v>
      </c>
      <c r="G376">
        <v>3200</v>
      </c>
      <c r="H376">
        <v>5440</v>
      </c>
      <c r="I376">
        <v>6239</v>
      </c>
      <c r="J376">
        <v>302.22000000000003</v>
      </c>
    </row>
    <row r="377" spans="1:10" x14ac:dyDescent="0.2">
      <c r="A377">
        <v>14</v>
      </c>
      <c r="B377" s="3">
        <v>46027</v>
      </c>
      <c r="C377">
        <v>35</v>
      </c>
      <c r="D377">
        <v>10999</v>
      </c>
      <c r="E377">
        <v>1.65</v>
      </c>
      <c r="F377">
        <v>0</v>
      </c>
      <c r="G377">
        <v>10999</v>
      </c>
      <c r="H377">
        <v>18148.349999999999</v>
      </c>
      <c r="I377">
        <v>18148.349999999999</v>
      </c>
      <c r="J377">
        <v>518.52</v>
      </c>
    </row>
    <row r="378" spans="1:10" x14ac:dyDescent="0.2">
      <c r="A378">
        <v>17</v>
      </c>
      <c r="B378" s="3">
        <v>46027</v>
      </c>
      <c r="C378">
        <v>35</v>
      </c>
      <c r="D378">
        <v>10999</v>
      </c>
      <c r="E378">
        <v>2.1</v>
      </c>
      <c r="F378">
        <v>2499</v>
      </c>
      <c r="G378">
        <v>8500</v>
      </c>
      <c r="H378">
        <v>17850.080000000002</v>
      </c>
      <c r="I378">
        <v>20349.080000000002</v>
      </c>
      <c r="J378">
        <v>510</v>
      </c>
    </row>
    <row r="379" spans="1:10" x14ac:dyDescent="0.2">
      <c r="A379">
        <v>18</v>
      </c>
      <c r="B379" s="3">
        <v>46027</v>
      </c>
      <c r="C379">
        <v>43</v>
      </c>
      <c r="D379">
        <v>8799</v>
      </c>
      <c r="E379">
        <v>1.7</v>
      </c>
      <c r="F379">
        <v>0</v>
      </c>
      <c r="G379">
        <v>8799</v>
      </c>
      <c r="H379">
        <v>14958.3</v>
      </c>
      <c r="I379">
        <v>14958.3</v>
      </c>
      <c r="J379">
        <v>347.87</v>
      </c>
    </row>
    <row r="380" spans="1:10" x14ac:dyDescent="0.2">
      <c r="A380">
        <v>26</v>
      </c>
      <c r="B380" s="3">
        <v>46027</v>
      </c>
      <c r="C380">
        <v>43</v>
      </c>
      <c r="D380">
        <v>6399</v>
      </c>
      <c r="E380">
        <v>2.2999999999999998</v>
      </c>
      <c r="F380">
        <v>1249</v>
      </c>
      <c r="G380">
        <v>5150</v>
      </c>
      <c r="H380">
        <v>11845.03</v>
      </c>
      <c r="I380">
        <v>13094.03</v>
      </c>
      <c r="J380">
        <v>275.47000000000003</v>
      </c>
    </row>
    <row r="381" spans="1:10" x14ac:dyDescent="0.2">
      <c r="A381">
        <v>23</v>
      </c>
      <c r="B381" s="3">
        <v>46028</v>
      </c>
      <c r="C381">
        <v>15</v>
      </c>
      <c r="D381">
        <v>3999</v>
      </c>
      <c r="E381">
        <v>1.5</v>
      </c>
      <c r="F381">
        <v>799</v>
      </c>
      <c r="G381">
        <v>3200</v>
      </c>
      <c r="H381">
        <v>4800</v>
      </c>
      <c r="I381">
        <v>5599</v>
      </c>
      <c r="J381">
        <v>320</v>
      </c>
    </row>
    <row r="382" spans="1:10" x14ac:dyDescent="0.2">
      <c r="A382">
        <v>32</v>
      </c>
      <c r="B382" s="3">
        <v>46028</v>
      </c>
      <c r="C382">
        <v>43</v>
      </c>
      <c r="D382">
        <v>5499</v>
      </c>
      <c r="E382">
        <v>1.7</v>
      </c>
      <c r="F382">
        <v>0</v>
      </c>
      <c r="G382">
        <v>5499</v>
      </c>
      <c r="H382">
        <v>9348.2999999999993</v>
      </c>
      <c r="I382">
        <v>9348.2999999999993</v>
      </c>
      <c r="J382">
        <v>217.4</v>
      </c>
    </row>
    <row r="383" spans="1:10" x14ac:dyDescent="0.2">
      <c r="A383">
        <v>39</v>
      </c>
      <c r="B383" s="3">
        <v>46034</v>
      </c>
      <c r="C383">
        <v>35</v>
      </c>
      <c r="D383">
        <v>9099</v>
      </c>
      <c r="E383">
        <v>1.65</v>
      </c>
      <c r="F383">
        <v>0</v>
      </c>
      <c r="G383">
        <v>9099</v>
      </c>
      <c r="H383">
        <v>15013.35</v>
      </c>
      <c r="I383">
        <v>15013.35</v>
      </c>
      <c r="J383">
        <v>428.95</v>
      </c>
    </row>
    <row r="384" spans="1:10" x14ac:dyDescent="0.2">
      <c r="A384">
        <v>40</v>
      </c>
      <c r="B384" s="3">
        <v>46035</v>
      </c>
      <c r="C384">
        <v>15</v>
      </c>
      <c r="D384">
        <v>5799</v>
      </c>
      <c r="E384">
        <v>1.5</v>
      </c>
      <c r="F384">
        <v>1249</v>
      </c>
      <c r="G384">
        <v>4550</v>
      </c>
      <c r="H384">
        <v>6824.96</v>
      </c>
      <c r="I384">
        <v>8073.96</v>
      </c>
      <c r="J384">
        <v>455</v>
      </c>
    </row>
    <row r="385" spans="1:10" x14ac:dyDescent="0.2">
      <c r="A385">
        <v>41</v>
      </c>
      <c r="B385" s="3">
        <v>46037</v>
      </c>
      <c r="C385">
        <v>15</v>
      </c>
      <c r="D385">
        <v>9899</v>
      </c>
      <c r="E385">
        <v>1.5</v>
      </c>
      <c r="F385">
        <v>0</v>
      </c>
      <c r="G385">
        <v>9899</v>
      </c>
      <c r="H385">
        <v>14848.5</v>
      </c>
      <c r="I385">
        <v>14848.5</v>
      </c>
      <c r="J385">
        <v>989.9</v>
      </c>
    </row>
    <row r="386" spans="1:10" x14ac:dyDescent="0.2">
      <c r="A386">
        <v>42</v>
      </c>
      <c r="B386" s="3">
        <v>46037</v>
      </c>
      <c r="C386">
        <v>43</v>
      </c>
      <c r="D386">
        <v>3799</v>
      </c>
      <c r="E386">
        <v>2.2999999999999998</v>
      </c>
      <c r="F386">
        <v>799</v>
      </c>
      <c r="G386">
        <v>3000</v>
      </c>
      <c r="H386">
        <v>6900.02</v>
      </c>
      <c r="I386">
        <v>7699.02</v>
      </c>
      <c r="J386">
        <v>160.47</v>
      </c>
    </row>
    <row r="387" spans="1:10" x14ac:dyDescent="0.2">
      <c r="A387">
        <v>43</v>
      </c>
      <c r="B387" s="3">
        <v>46039</v>
      </c>
      <c r="C387">
        <v>43</v>
      </c>
      <c r="D387">
        <v>3999</v>
      </c>
      <c r="E387">
        <v>2.2999999999999998</v>
      </c>
      <c r="F387">
        <v>799</v>
      </c>
      <c r="G387">
        <v>3200</v>
      </c>
      <c r="H387">
        <v>7360.02</v>
      </c>
      <c r="I387">
        <v>8159.02</v>
      </c>
      <c r="J387">
        <v>171.16</v>
      </c>
    </row>
    <row r="388" spans="1:10" x14ac:dyDescent="0.2">
      <c r="A388">
        <v>46</v>
      </c>
      <c r="B388" s="3">
        <v>46042</v>
      </c>
      <c r="C388">
        <v>35</v>
      </c>
      <c r="D388">
        <v>3999</v>
      </c>
      <c r="E388">
        <v>2.1</v>
      </c>
      <c r="F388">
        <v>799</v>
      </c>
      <c r="G388">
        <v>3200</v>
      </c>
      <c r="H388">
        <v>6720</v>
      </c>
      <c r="I388">
        <v>7519</v>
      </c>
      <c r="J388">
        <v>192</v>
      </c>
    </row>
    <row r="389" spans="1:10" x14ac:dyDescent="0.2">
      <c r="A389">
        <v>427</v>
      </c>
      <c r="B389" s="3">
        <v>46042</v>
      </c>
      <c r="C389">
        <v>26</v>
      </c>
      <c r="D389">
        <v>8799</v>
      </c>
      <c r="E389">
        <v>1.4538</v>
      </c>
      <c r="F389">
        <v>0</v>
      </c>
      <c r="G389">
        <v>8799</v>
      </c>
      <c r="H389">
        <v>12791.99</v>
      </c>
      <c r="I389">
        <v>12791.99</v>
      </c>
      <c r="J389">
        <v>492.01</v>
      </c>
    </row>
    <row r="390" spans="1:10" x14ac:dyDescent="0.2">
      <c r="A390">
        <v>240</v>
      </c>
      <c r="B390" s="3">
        <v>46043</v>
      </c>
      <c r="C390">
        <v>26</v>
      </c>
      <c r="D390">
        <v>6499</v>
      </c>
      <c r="E390">
        <v>1.4003000000000001</v>
      </c>
      <c r="F390">
        <v>0</v>
      </c>
      <c r="G390">
        <v>6499</v>
      </c>
      <c r="H390">
        <v>9100.5499999999993</v>
      </c>
      <c r="I390">
        <v>9100.5499999999993</v>
      </c>
      <c r="J390">
        <v>350.02</v>
      </c>
    </row>
    <row r="391" spans="1:10" x14ac:dyDescent="0.2">
      <c r="A391">
        <v>241</v>
      </c>
      <c r="B391" s="3">
        <v>46043</v>
      </c>
      <c r="C391">
        <v>13</v>
      </c>
      <c r="D391">
        <v>7699</v>
      </c>
      <c r="E391">
        <v>1.4742999999999999</v>
      </c>
      <c r="F391">
        <v>1720</v>
      </c>
      <c r="G391">
        <v>5979</v>
      </c>
      <c r="H391">
        <v>8814.84</v>
      </c>
      <c r="I391">
        <v>10534.84</v>
      </c>
      <c r="J391">
        <v>678.06</v>
      </c>
    </row>
    <row r="392" spans="1:10" x14ac:dyDescent="0.2">
      <c r="A392">
        <v>59</v>
      </c>
      <c r="B392" s="3">
        <v>46046</v>
      </c>
      <c r="C392">
        <v>43</v>
      </c>
      <c r="D392">
        <v>5299</v>
      </c>
      <c r="E392">
        <v>2.2999999999999998</v>
      </c>
      <c r="F392">
        <v>999</v>
      </c>
      <c r="G392">
        <v>4300</v>
      </c>
      <c r="H392">
        <v>9890.02</v>
      </c>
      <c r="I392">
        <v>10889.02</v>
      </c>
      <c r="J392">
        <v>230</v>
      </c>
    </row>
    <row r="393" spans="1:10" x14ac:dyDescent="0.2">
      <c r="A393">
        <v>61</v>
      </c>
      <c r="B393" s="3">
        <v>46046</v>
      </c>
      <c r="C393">
        <v>15</v>
      </c>
      <c r="D393">
        <v>5799</v>
      </c>
      <c r="E393">
        <v>1.5</v>
      </c>
      <c r="F393">
        <v>1249</v>
      </c>
      <c r="G393">
        <v>4550</v>
      </c>
      <c r="H393">
        <v>6824.96</v>
      </c>
      <c r="I393">
        <v>8073.96</v>
      </c>
      <c r="J393">
        <v>455</v>
      </c>
    </row>
    <row r="394" spans="1:10" x14ac:dyDescent="0.2">
      <c r="A394">
        <v>430</v>
      </c>
      <c r="B394" s="3">
        <v>46048</v>
      </c>
      <c r="C394">
        <v>43</v>
      </c>
      <c r="D394">
        <v>3799</v>
      </c>
      <c r="E394">
        <v>2.2999999999999998</v>
      </c>
      <c r="F394">
        <v>799</v>
      </c>
      <c r="G394">
        <v>3000</v>
      </c>
      <c r="H394">
        <v>6900.02</v>
      </c>
      <c r="I394">
        <v>7699.02</v>
      </c>
      <c r="J394">
        <v>160.47</v>
      </c>
    </row>
    <row r="395" spans="1:10" x14ac:dyDescent="0.2">
      <c r="A395">
        <v>431</v>
      </c>
      <c r="B395" s="3">
        <v>46048</v>
      </c>
      <c r="C395">
        <v>43</v>
      </c>
      <c r="D395">
        <v>3799</v>
      </c>
      <c r="E395">
        <v>2.2999999999999998</v>
      </c>
      <c r="F395">
        <v>799</v>
      </c>
      <c r="G395">
        <v>3000</v>
      </c>
      <c r="H395">
        <v>6900.02</v>
      </c>
      <c r="I395">
        <v>7699.02</v>
      </c>
      <c r="J395">
        <v>160.47</v>
      </c>
    </row>
    <row r="396" spans="1:10" x14ac:dyDescent="0.2">
      <c r="A396">
        <v>444</v>
      </c>
      <c r="B396" s="3">
        <v>46050</v>
      </c>
      <c r="C396">
        <v>35</v>
      </c>
      <c r="D396">
        <v>3799</v>
      </c>
      <c r="E396">
        <v>2.1</v>
      </c>
      <c r="F396">
        <v>799</v>
      </c>
      <c r="G396">
        <v>3000</v>
      </c>
      <c r="H396">
        <v>6300.03</v>
      </c>
      <c r="I396">
        <v>7099.03</v>
      </c>
      <c r="J396">
        <v>180</v>
      </c>
    </row>
    <row r="397" spans="1:10" x14ac:dyDescent="0.2">
      <c r="A397">
        <v>522</v>
      </c>
      <c r="B397" s="3">
        <v>46054</v>
      </c>
      <c r="C397">
        <v>26</v>
      </c>
      <c r="D397">
        <v>3999</v>
      </c>
      <c r="E397">
        <v>1.9</v>
      </c>
      <c r="F397">
        <v>799</v>
      </c>
      <c r="G397">
        <v>3200</v>
      </c>
      <c r="H397">
        <v>6080</v>
      </c>
      <c r="I397">
        <v>6879</v>
      </c>
      <c r="J397">
        <v>233.85</v>
      </c>
    </row>
    <row r="398" spans="1:10" x14ac:dyDescent="0.2">
      <c r="A398">
        <v>445</v>
      </c>
      <c r="B398" s="3">
        <v>46057</v>
      </c>
      <c r="C398">
        <v>26</v>
      </c>
      <c r="D398">
        <v>5799</v>
      </c>
      <c r="E398">
        <v>1.6</v>
      </c>
      <c r="F398">
        <v>0</v>
      </c>
      <c r="G398">
        <v>5799</v>
      </c>
      <c r="H398">
        <v>9278.4</v>
      </c>
      <c r="I398">
        <v>9278.4</v>
      </c>
      <c r="J398">
        <v>356.86</v>
      </c>
    </row>
    <row r="399" spans="1:10" x14ac:dyDescent="0.2">
      <c r="A399">
        <v>548</v>
      </c>
      <c r="B399" s="3">
        <v>46057</v>
      </c>
      <c r="C399">
        <v>15</v>
      </c>
      <c r="D399">
        <v>3799</v>
      </c>
      <c r="E399">
        <v>1.5</v>
      </c>
      <c r="F399">
        <v>799</v>
      </c>
      <c r="G399">
        <v>3000</v>
      </c>
      <c r="H399">
        <v>4499.97</v>
      </c>
      <c r="I399">
        <v>5298.97</v>
      </c>
      <c r="J399">
        <v>300</v>
      </c>
    </row>
    <row r="400" spans="1:10" x14ac:dyDescent="0.2">
      <c r="A400">
        <v>566</v>
      </c>
      <c r="B400" s="3">
        <v>46059</v>
      </c>
      <c r="C400">
        <v>43</v>
      </c>
      <c r="D400">
        <v>5299</v>
      </c>
      <c r="E400">
        <v>2.2999999999999998</v>
      </c>
      <c r="F400">
        <v>999</v>
      </c>
      <c r="G400">
        <v>4300</v>
      </c>
      <c r="H400">
        <v>9890.02</v>
      </c>
      <c r="I400">
        <v>10889.02</v>
      </c>
      <c r="J400">
        <v>230</v>
      </c>
    </row>
    <row r="401" spans="1:10" x14ac:dyDescent="0.2">
      <c r="A401">
        <v>717</v>
      </c>
      <c r="B401" s="3">
        <v>46059</v>
      </c>
      <c r="C401">
        <v>43</v>
      </c>
      <c r="D401">
        <v>0.43</v>
      </c>
      <c r="E401">
        <v>1</v>
      </c>
      <c r="F401">
        <v>0</v>
      </c>
      <c r="G401">
        <v>0.43</v>
      </c>
      <c r="H401">
        <v>0.43</v>
      </c>
      <c r="I401">
        <v>0.43</v>
      </c>
      <c r="J401">
        <v>0.01</v>
      </c>
    </row>
    <row r="402" spans="1:10" x14ac:dyDescent="0.2">
      <c r="A402">
        <v>547</v>
      </c>
      <c r="B402" s="3">
        <v>46065</v>
      </c>
      <c r="C402">
        <v>15</v>
      </c>
      <c r="D402">
        <v>3999</v>
      </c>
      <c r="E402">
        <v>1.5</v>
      </c>
      <c r="F402">
        <v>799</v>
      </c>
      <c r="G402">
        <v>3200</v>
      </c>
      <c r="H402">
        <v>4800</v>
      </c>
      <c r="I402">
        <v>5599</v>
      </c>
      <c r="J402">
        <v>320</v>
      </c>
    </row>
    <row r="403" spans="1:10" x14ac:dyDescent="0.2">
      <c r="A403">
        <v>648</v>
      </c>
      <c r="B403" s="3">
        <v>46069</v>
      </c>
      <c r="C403">
        <v>43</v>
      </c>
      <c r="D403">
        <v>3799</v>
      </c>
      <c r="E403">
        <v>2.2999999999999998</v>
      </c>
      <c r="F403">
        <v>799</v>
      </c>
      <c r="G403">
        <v>3000</v>
      </c>
      <c r="H403">
        <v>6900.02</v>
      </c>
      <c r="I403">
        <v>7699.02</v>
      </c>
      <c r="J403">
        <v>160.47</v>
      </c>
    </row>
    <row r="404" spans="1:10" x14ac:dyDescent="0.2">
      <c r="A404">
        <v>657</v>
      </c>
      <c r="B404" s="3">
        <v>46071</v>
      </c>
      <c r="C404">
        <v>26</v>
      </c>
      <c r="D404">
        <v>8499</v>
      </c>
      <c r="E404">
        <v>1.6</v>
      </c>
      <c r="F404">
        <v>0</v>
      </c>
      <c r="G404">
        <v>8499</v>
      </c>
      <c r="H404">
        <v>13598.4</v>
      </c>
      <c r="I404">
        <v>13598.4</v>
      </c>
      <c r="J404">
        <v>523.02</v>
      </c>
    </row>
    <row r="405" spans="1:10" x14ac:dyDescent="0.2">
      <c r="A405">
        <v>443</v>
      </c>
      <c r="B405" s="3">
        <v>46073</v>
      </c>
      <c r="C405">
        <v>35</v>
      </c>
      <c r="D405">
        <v>3799</v>
      </c>
      <c r="E405">
        <v>2.1</v>
      </c>
      <c r="F405">
        <v>799</v>
      </c>
      <c r="G405">
        <v>3000</v>
      </c>
      <c r="H405">
        <v>6300.03</v>
      </c>
      <c r="I405">
        <v>7099.03</v>
      </c>
      <c r="J405">
        <v>180</v>
      </c>
    </row>
    <row r="406" spans="1:10" x14ac:dyDescent="0.2">
      <c r="A406">
        <v>558</v>
      </c>
      <c r="B406" s="3">
        <v>46077</v>
      </c>
      <c r="C406">
        <v>35</v>
      </c>
      <c r="D406">
        <v>3999</v>
      </c>
      <c r="E406">
        <v>1.65</v>
      </c>
      <c r="F406">
        <v>0</v>
      </c>
      <c r="G406">
        <v>3999</v>
      </c>
      <c r="H406">
        <v>6598.35</v>
      </c>
      <c r="I406">
        <v>6598.35</v>
      </c>
      <c r="J406">
        <v>188.52</v>
      </c>
    </row>
    <row r="407" spans="1:10" x14ac:dyDescent="0.2">
      <c r="A407">
        <v>672</v>
      </c>
      <c r="B407" s="3">
        <v>46078</v>
      </c>
      <c r="C407">
        <v>15</v>
      </c>
      <c r="D407">
        <v>5899</v>
      </c>
      <c r="E407">
        <v>1.5</v>
      </c>
      <c r="F407">
        <v>1249</v>
      </c>
      <c r="G407">
        <v>4650</v>
      </c>
      <c r="H407">
        <v>6975</v>
      </c>
      <c r="I407">
        <v>8224</v>
      </c>
      <c r="J407">
        <v>515</v>
      </c>
    </row>
    <row r="408" spans="1:10" x14ac:dyDescent="0.2">
      <c r="A408">
        <v>664</v>
      </c>
      <c r="B408" s="3">
        <v>46079</v>
      </c>
      <c r="C408">
        <v>43</v>
      </c>
      <c r="D408">
        <v>3799</v>
      </c>
      <c r="E408">
        <v>2.2999999999999998</v>
      </c>
      <c r="F408">
        <v>799</v>
      </c>
      <c r="G408">
        <v>3000</v>
      </c>
      <c r="H408">
        <v>6900.02</v>
      </c>
      <c r="I408">
        <v>7699.02</v>
      </c>
      <c r="J408">
        <v>160.47</v>
      </c>
    </row>
    <row r="409" spans="1:10" x14ac:dyDescent="0.2">
      <c r="A409">
        <v>669</v>
      </c>
      <c r="B409" s="3">
        <v>46080</v>
      </c>
      <c r="C409">
        <v>43</v>
      </c>
      <c r="D409">
        <v>8299</v>
      </c>
      <c r="E409">
        <v>1.8053999999999999</v>
      </c>
      <c r="F409">
        <v>0</v>
      </c>
      <c r="G409">
        <v>8299</v>
      </c>
      <c r="H409">
        <v>14983.25</v>
      </c>
      <c r="I409">
        <v>14983.25</v>
      </c>
      <c r="J409">
        <v>348.45</v>
      </c>
    </row>
    <row r="410" spans="1:10" x14ac:dyDescent="0.2">
      <c r="A410">
        <v>677</v>
      </c>
      <c r="B410" s="3">
        <v>46085</v>
      </c>
      <c r="C410">
        <v>43</v>
      </c>
      <c r="D410">
        <v>3999</v>
      </c>
      <c r="E410">
        <v>2.2999999999999998</v>
      </c>
      <c r="F410">
        <v>799</v>
      </c>
      <c r="G410">
        <v>3200</v>
      </c>
      <c r="H410">
        <v>7360.02</v>
      </c>
      <c r="I410">
        <v>8159.02</v>
      </c>
      <c r="J410">
        <v>171.16</v>
      </c>
    </row>
    <row r="411" spans="1:10" x14ac:dyDescent="0.2">
      <c r="A411">
        <v>683</v>
      </c>
      <c r="B411" s="3">
        <v>46086</v>
      </c>
      <c r="C411">
        <v>43</v>
      </c>
      <c r="D411">
        <v>5699</v>
      </c>
      <c r="E411">
        <v>1</v>
      </c>
      <c r="F411">
        <v>0</v>
      </c>
      <c r="G411">
        <v>5699</v>
      </c>
      <c r="H411">
        <v>5699</v>
      </c>
      <c r="I411">
        <v>5699</v>
      </c>
      <c r="J411">
        <v>132.53</v>
      </c>
    </row>
    <row r="412" spans="1:10" x14ac:dyDescent="0.2">
      <c r="A412">
        <v>688</v>
      </c>
      <c r="B412" s="3">
        <v>46087</v>
      </c>
      <c r="C412">
        <v>43</v>
      </c>
      <c r="D412">
        <v>3999</v>
      </c>
      <c r="E412">
        <v>2.2999999999999998</v>
      </c>
      <c r="F412">
        <v>799</v>
      </c>
      <c r="G412">
        <v>3200</v>
      </c>
      <c r="H412">
        <v>7360.02</v>
      </c>
      <c r="I412">
        <v>8159.02</v>
      </c>
      <c r="J412">
        <v>171.16</v>
      </c>
    </row>
    <row r="413" spans="1:10" x14ac:dyDescent="0.2">
      <c r="A413">
        <v>694</v>
      </c>
      <c r="B413" s="3">
        <v>46087</v>
      </c>
      <c r="C413">
        <v>15</v>
      </c>
      <c r="D413">
        <v>4999</v>
      </c>
      <c r="E413">
        <v>1.5</v>
      </c>
      <c r="F413">
        <v>0</v>
      </c>
      <c r="G413">
        <v>4999</v>
      </c>
      <c r="H413">
        <v>7498.5</v>
      </c>
      <c r="I413">
        <v>7498.5</v>
      </c>
      <c r="J413">
        <v>499.9</v>
      </c>
    </row>
    <row r="414" spans="1:10" x14ac:dyDescent="0.2">
      <c r="A414">
        <v>697</v>
      </c>
      <c r="B414" s="3">
        <v>46088</v>
      </c>
      <c r="C414">
        <v>15</v>
      </c>
      <c r="D414">
        <v>3999</v>
      </c>
      <c r="E414">
        <v>1.5</v>
      </c>
      <c r="F414">
        <v>799</v>
      </c>
      <c r="G414">
        <v>3200</v>
      </c>
      <c r="H414">
        <v>4800</v>
      </c>
      <c r="I414">
        <v>5599</v>
      </c>
      <c r="J414">
        <v>320</v>
      </c>
    </row>
    <row r="415" spans="1:10" x14ac:dyDescent="0.2">
      <c r="A415">
        <v>698</v>
      </c>
      <c r="B415" s="3">
        <v>46091</v>
      </c>
      <c r="C415">
        <v>43</v>
      </c>
      <c r="D415">
        <v>6399</v>
      </c>
      <c r="E415">
        <v>1</v>
      </c>
      <c r="F415">
        <v>624.5</v>
      </c>
      <c r="G415">
        <v>5774.5</v>
      </c>
      <c r="H415">
        <v>5774.5</v>
      </c>
      <c r="I415">
        <v>6399</v>
      </c>
      <c r="J415">
        <v>134.29</v>
      </c>
    </row>
    <row r="416" spans="1:10" x14ac:dyDescent="0.2">
      <c r="A416">
        <v>703</v>
      </c>
      <c r="B416" s="3">
        <v>46094</v>
      </c>
      <c r="C416">
        <v>41</v>
      </c>
      <c r="D416">
        <v>5999</v>
      </c>
      <c r="E416">
        <v>1.6979500000000001</v>
      </c>
      <c r="F416">
        <v>0</v>
      </c>
      <c r="G416">
        <v>5999</v>
      </c>
      <c r="H416">
        <v>10186</v>
      </c>
      <c r="I416">
        <v>10186</v>
      </c>
      <c r="J416">
        <v>248.44</v>
      </c>
    </row>
    <row r="417" spans="1:10" x14ac:dyDescent="0.2">
      <c r="A417">
        <v>704</v>
      </c>
      <c r="B417" s="3">
        <v>46097</v>
      </c>
      <c r="C417">
        <v>15</v>
      </c>
      <c r="D417">
        <v>3999</v>
      </c>
      <c r="E417">
        <v>1.5</v>
      </c>
      <c r="F417">
        <v>799</v>
      </c>
      <c r="G417">
        <v>3200</v>
      </c>
      <c r="H417">
        <v>4800</v>
      </c>
      <c r="I417">
        <v>5599</v>
      </c>
      <c r="J417">
        <v>320</v>
      </c>
    </row>
    <row r="418" spans="1:10" x14ac:dyDescent="0.2">
      <c r="A418">
        <v>711</v>
      </c>
      <c r="B418" s="3">
        <v>46105</v>
      </c>
      <c r="C418">
        <v>35</v>
      </c>
      <c r="D418">
        <v>8299</v>
      </c>
      <c r="E418">
        <v>1.65</v>
      </c>
      <c r="F418">
        <v>0</v>
      </c>
      <c r="G418">
        <v>8299</v>
      </c>
      <c r="H418">
        <v>13693.35</v>
      </c>
      <c r="I418">
        <v>13693.35</v>
      </c>
      <c r="J418">
        <v>391.24</v>
      </c>
    </row>
    <row r="419" spans="1:10" x14ac:dyDescent="0.2">
      <c r="A419">
        <v>680</v>
      </c>
      <c r="B419" s="3">
        <v>46106</v>
      </c>
      <c r="C419">
        <v>35</v>
      </c>
      <c r="D419">
        <v>8299</v>
      </c>
      <c r="E419">
        <v>1.65</v>
      </c>
      <c r="F419">
        <v>0</v>
      </c>
      <c r="G419">
        <v>8299</v>
      </c>
      <c r="H419">
        <v>13693.35</v>
      </c>
      <c r="I419">
        <v>13693.35</v>
      </c>
      <c r="J419">
        <v>391.24</v>
      </c>
    </row>
    <row r="420" spans="1:10" x14ac:dyDescent="0.2">
      <c r="A420">
        <v>707</v>
      </c>
      <c r="B420" s="3">
        <v>46106</v>
      </c>
      <c r="C420">
        <v>43</v>
      </c>
      <c r="D420">
        <v>9299</v>
      </c>
      <c r="E420">
        <v>1</v>
      </c>
      <c r="F420">
        <v>0</v>
      </c>
      <c r="G420">
        <v>9299</v>
      </c>
      <c r="H420">
        <v>9299</v>
      </c>
      <c r="I420">
        <v>9299</v>
      </c>
      <c r="J420">
        <v>216.26</v>
      </c>
    </row>
    <row r="421" spans="1:10" x14ac:dyDescent="0.2">
      <c r="A421">
        <v>714</v>
      </c>
      <c r="B421" s="3">
        <v>46106</v>
      </c>
      <c r="C421">
        <v>43</v>
      </c>
      <c r="D421">
        <v>9299</v>
      </c>
      <c r="E421">
        <v>1</v>
      </c>
      <c r="F421">
        <v>0</v>
      </c>
      <c r="G421">
        <v>9299</v>
      </c>
      <c r="H421">
        <v>9299</v>
      </c>
      <c r="I421">
        <v>9299</v>
      </c>
      <c r="J421">
        <v>216.26</v>
      </c>
    </row>
    <row r="422" spans="1:10" x14ac:dyDescent="0.2">
      <c r="A422">
        <v>713</v>
      </c>
      <c r="B422" s="3">
        <v>46107</v>
      </c>
      <c r="C422">
        <v>43</v>
      </c>
      <c r="D422">
        <v>8999</v>
      </c>
      <c r="E422">
        <v>1.7</v>
      </c>
      <c r="F422">
        <v>0</v>
      </c>
      <c r="G422">
        <v>8999</v>
      </c>
      <c r="H422">
        <v>15298.3</v>
      </c>
      <c r="I422">
        <v>15298.3</v>
      </c>
      <c r="J422">
        <v>355.77</v>
      </c>
    </row>
    <row r="423" spans="1:10" x14ac:dyDescent="0.2">
      <c r="A423">
        <v>716</v>
      </c>
      <c r="B423" s="3">
        <v>46108</v>
      </c>
      <c r="C423">
        <v>15</v>
      </c>
      <c r="D423">
        <v>5499</v>
      </c>
      <c r="E423">
        <v>1.5</v>
      </c>
      <c r="F423">
        <v>0</v>
      </c>
      <c r="G423">
        <v>5499</v>
      </c>
      <c r="H423">
        <v>8248.5</v>
      </c>
      <c r="I423">
        <v>8248.5</v>
      </c>
      <c r="J423">
        <v>549.9</v>
      </c>
    </row>
    <row r="424" spans="1:10" x14ac:dyDescent="0.2">
      <c r="A424">
        <v>720</v>
      </c>
      <c r="B424" s="3">
        <v>46111</v>
      </c>
      <c r="C424">
        <v>35</v>
      </c>
      <c r="D424">
        <v>8299</v>
      </c>
      <c r="E424">
        <v>1.65</v>
      </c>
      <c r="F424">
        <v>0</v>
      </c>
      <c r="G424">
        <v>8299</v>
      </c>
      <c r="H424">
        <v>13693.35</v>
      </c>
      <c r="I424">
        <v>13693.35</v>
      </c>
      <c r="J424">
        <v>391.24</v>
      </c>
    </row>
    <row r="425" spans="1:10" x14ac:dyDescent="0.2">
      <c r="A425">
        <v>723</v>
      </c>
      <c r="B425" s="3">
        <v>46113</v>
      </c>
      <c r="C425">
        <v>43</v>
      </c>
      <c r="D425">
        <v>8299</v>
      </c>
      <c r="E425">
        <v>1.7</v>
      </c>
      <c r="F425">
        <v>0</v>
      </c>
      <c r="G425">
        <v>8299</v>
      </c>
      <c r="H425">
        <v>14108.3</v>
      </c>
      <c r="I425">
        <v>14108.3</v>
      </c>
      <c r="J425">
        <v>328.1</v>
      </c>
    </row>
    <row r="426" spans="1:10" x14ac:dyDescent="0.2">
      <c r="A426">
        <v>724</v>
      </c>
      <c r="B426" s="3">
        <v>46114</v>
      </c>
      <c r="C426">
        <v>43</v>
      </c>
      <c r="D426">
        <v>5299</v>
      </c>
      <c r="E426">
        <v>2.2999999999999998</v>
      </c>
      <c r="F426">
        <v>999</v>
      </c>
      <c r="G426">
        <v>4300</v>
      </c>
      <c r="H426">
        <v>9890.02</v>
      </c>
      <c r="I426">
        <v>10889.02</v>
      </c>
      <c r="J426">
        <v>230</v>
      </c>
    </row>
    <row r="427" spans="1:10" x14ac:dyDescent="0.2">
      <c r="A427">
        <v>727</v>
      </c>
      <c r="B427" s="3">
        <v>46122</v>
      </c>
      <c r="C427">
        <v>43</v>
      </c>
      <c r="D427">
        <v>5499</v>
      </c>
      <c r="E427">
        <v>1.7</v>
      </c>
      <c r="F427">
        <v>0</v>
      </c>
      <c r="G427">
        <v>5499</v>
      </c>
      <c r="H427">
        <v>9348.2999999999993</v>
      </c>
      <c r="I427">
        <v>9348.2999999999993</v>
      </c>
      <c r="J427">
        <v>217.4</v>
      </c>
    </row>
    <row r="428" spans="1:10" x14ac:dyDescent="0.2">
      <c r="A428">
        <v>730</v>
      </c>
      <c r="B428" s="3">
        <v>46124</v>
      </c>
      <c r="C428">
        <v>15</v>
      </c>
      <c r="D428">
        <v>8799</v>
      </c>
      <c r="E428">
        <v>1.5</v>
      </c>
      <c r="F428">
        <v>0</v>
      </c>
      <c r="G428">
        <v>8799</v>
      </c>
      <c r="H428">
        <v>13198.5</v>
      </c>
      <c r="I428">
        <v>13198.5</v>
      </c>
      <c r="J428">
        <v>879.9</v>
      </c>
    </row>
    <row r="429" spans="1:10" x14ac:dyDescent="0.2">
      <c r="A429">
        <v>732</v>
      </c>
      <c r="B429" s="3">
        <v>46125</v>
      </c>
      <c r="C429">
        <v>43</v>
      </c>
      <c r="D429">
        <v>10999</v>
      </c>
      <c r="E429">
        <v>1</v>
      </c>
      <c r="F429">
        <v>0</v>
      </c>
      <c r="G429">
        <v>10999</v>
      </c>
      <c r="H429">
        <v>10999</v>
      </c>
      <c r="I429">
        <v>10999</v>
      </c>
      <c r="J429">
        <v>255.79</v>
      </c>
    </row>
    <row r="430" spans="1:10" x14ac:dyDescent="0.2">
      <c r="A430">
        <v>734</v>
      </c>
      <c r="B430" s="3">
        <v>46127</v>
      </c>
      <c r="C430">
        <v>43</v>
      </c>
      <c r="D430">
        <v>5499</v>
      </c>
      <c r="E430">
        <v>2.2999999999999998</v>
      </c>
      <c r="F430">
        <v>1249</v>
      </c>
      <c r="G430">
        <v>4250</v>
      </c>
      <c r="H430">
        <v>9775</v>
      </c>
      <c r="I430">
        <v>11024</v>
      </c>
      <c r="J430">
        <v>227.33</v>
      </c>
    </row>
    <row r="431" spans="1:10" x14ac:dyDescent="0.2">
      <c r="A431">
        <v>740</v>
      </c>
      <c r="B431" s="3">
        <v>46132</v>
      </c>
      <c r="C431">
        <v>15</v>
      </c>
      <c r="D431">
        <v>6399</v>
      </c>
      <c r="E431">
        <v>1.5</v>
      </c>
      <c r="F431">
        <v>0</v>
      </c>
      <c r="G431">
        <v>6399</v>
      </c>
      <c r="H431">
        <v>9598.5</v>
      </c>
      <c r="I431">
        <v>9598.5</v>
      </c>
      <c r="J431">
        <v>639.9</v>
      </c>
    </row>
    <row r="432" spans="1:10" x14ac:dyDescent="0.2">
      <c r="A432">
        <v>746</v>
      </c>
      <c r="B432" s="3">
        <v>46137</v>
      </c>
      <c r="C432">
        <v>39</v>
      </c>
      <c r="D432">
        <v>5999</v>
      </c>
      <c r="E432">
        <v>2.0646019999999998</v>
      </c>
      <c r="F432">
        <v>0</v>
      </c>
      <c r="G432">
        <v>5999</v>
      </c>
      <c r="H432">
        <v>12385.55</v>
      </c>
      <c r="I432">
        <v>12385.55</v>
      </c>
      <c r="J432">
        <v>317.58</v>
      </c>
    </row>
    <row r="433" spans="1:10" x14ac:dyDescent="0.2">
      <c r="A433">
        <v>747</v>
      </c>
      <c r="B433" s="3">
        <v>46141</v>
      </c>
      <c r="C433">
        <v>43</v>
      </c>
      <c r="D433">
        <v>8999</v>
      </c>
      <c r="E433">
        <v>1.7</v>
      </c>
      <c r="F433">
        <v>0</v>
      </c>
      <c r="G433">
        <v>8999</v>
      </c>
      <c r="H433">
        <v>15298.3</v>
      </c>
      <c r="I433">
        <v>15298.3</v>
      </c>
      <c r="J433">
        <v>355.77</v>
      </c>
    </row>
    <row r="434" spans="1:10" x14ac:dyDescent="0.2">
      <c r="A434">
        <v>748</v>
      </c>
      <c r="B434" s="3">
        <v>46142</v>
      </c>
      <c r="C434">
        <v>15</v>
      </c>
      <c r="D434">
        <v>3999</v>
      </c>
      <c r="E434">
        <v>1.5</v>
      </c>
      <c r="F434">
        <v>799</v>
      </c>
      <c r="G434">
        <v>3200</v>
      </c>
      <c r="H434">
        <v>4800</v>
      </c>
      <c r="I434">
        <v>5599</v>
      </c>
      <c r="J434">
        <v>320</v>
      </c>
    </row>
    <row r="435" spans="1:10" x14ac:dyDescent="0.2">
      <c r="A435">
        <v>749</v>
      </c>
      <c r="B435" s="3">
        <v>46143</v>
      </c>
      <c r="C435">
        <v>43</v>
      </c>
      <c r="D435">
        <v>6999</v>
      </c>
      <c r="E435">
        <v>1</v>
      </c>
      <c r="F435">
        <v>1249</v>
      </c>
      <c r="G435">
        <v>5750</v>
      </c>
      <c r="H435">
        <v>5750</v>
      </c>
      <c r="I435">
        <v>6999</v>
      </c>
      <c r="J435">
        <v>133.72</v>
      </c>
    </row>
    <row r="436" spans="1:10" x14ac:dyDescent="0.2">
      <c r="A436">
        <v>751</v>
      </c>
      <c r="B436" s="3">
        <v>46145</v>
      </c>
      <c r="C436">
        <v>43</v>
      </c>
      <c r="D436">
        <v>8999</v>
      </c>
      <c r="E436">
        <v>1.7</v>
      </c>
      <c r="F436">
        <v>0</v>
      </c>
      <c r="G436">
        <v>8999</v>
      </c>
      <c r="H436">
        <v>15298.3</v>
      </c>
      <c r="I436">
        <v>15298.3</v>
      </c>
      <c r="J436">
        <v>355.77</v>
      </c>
    </row>
    <row r="437" spans="1:10" x14ac:dyDescent="0.2">
      <c r="A437">
        <v>752</v>
      </c>
      <c r="B437" s="3">
        <v>46148</v>
      </c>
      <c r="C437">
        <v>43</v>
      </c>
      <c r="D437">
        <v>8299</v>
      </c>
      <c r="E437">
        <v>1.7</v>
      </c>
      <c r="F437">
        <v>0</v>
      </c>
      <c r="G437">
        <v>8299</v>
      </c>
      <c r="H437">
        <v>14108.3</v>
      </c>
      <c r="I437">
        <v>14108.3</v>
      </c>
      <c r="J437">
        <v>328.1</v>
      </c>
    </row>
    <row r="438" spans="1:10" x14ac:dyDescent="0.2">
      <c r="A438">
        <v>753</v>
      </c>
      <c r="B438" s="3">
        <v>46148</v>
      </c>
      <c r="C438">
        <v>35</v>
      </c>
      <c r="D438">
        <v>5299</v>
      </c>
      <c r="E438">
        <v>2.1</v>
      </c>
      <c r="F438">
        <v>999</v>
      </c>
      <c r="G438">
        <v>4300</v>
      </c>
      <c r="H438">
        <v>9030.0400000000009</v>
      </c>
      <c r="I438">
        <v>10029.040000000001</v>
      </c>
      <c r="J438">
        <v>258</v>
      </c>
    </row>
    <row r="439" spans="1:10" x14ac:dyDescent="0.2">
      <c r="A439">
        <v>762</v>
      </c>
      <c r="B439" s="3">
        <v>46149</v>
      </c>
      <c r="C439">
        <v>15</v>
      </c>
      <c r="D439">
        <v>5299</v>
      </c>
      <c r="E439">
        <v>1.5</v>
      </c>
      <c r="F439">
        <v>999</v>
      </c>
      <c r="G439">
        <v>4300</v>
      </c>
      <c r="H439">
        <v>6449.96</v>
      </c>
      <c r="I439">
        <v>7448.96</v>
      </c>
      <c r="J439">
        <v>430</v>
      </c>
    </row>
    <row r="440" spans="1:10" x14ac:dyDescent="0.2">
      <c r="A440">
        <v>763</v>
      </c>
      <c r="B440" s="3">
        <v>46150</v>
      </c>
      <c r="C440">
        <v>43</v>
      </c>
      <c r="D440">
        <v>9499</v>
      </c>
      <c r="E440">
        <v>1</v>
      </c>
      <c r="F440">
        <v>0</v>
      </c>
      <c r="G440">
        <v>9499</v>
      </c>
      <c r="H440">
        <v>9499</v>
      </c>
      <c r="I440">
        <v>9499</v>
      </c>
      <c r="J440">
        <v>220.91</v>
      </c>
    </row>
    <row r="441" spans="1:10" x14ac:dyDescent="0.2">
      <c r="A441">
        <v>764</v>
      </c>
      <c r="B441" s="3">
        <v>46150</v>
      </c>
      <c r="C441">
        <v>43</v>
      </c>
      <c r="D441">
        <v>8999</v>
      </c>
      <c r="E441">
        <v>1</v>
      </c>
      <c r="F441">
        <v>0</v>
      </c>
      <c r="G441">
        <v>8999</v>
      </c>
      <c r="H441">
        <v>8999</v>
      </c>
      <c r="I441">
        <v>8999</v>
      </c>
      <c r="J441">
        <v>209.28</v>
      </c>
    </row>
    <row r="442" spans="1:10" x14ac:dyDescent="0.2">
      <c r="A442">
        <v>766</v>
      </c>
      <c r="B442" s="3">
        <v>46152</v>
      </c>
      <c r="C442">
        <v>15</v>
      </c>
      <c r="D442">
        <v>9499</v>
      </c>
      <c r="E442">
        <v>1.5</v>
      </c>
      <c r="F442">
        <v>0</v>
      </c>
      <c r="G442">
        <v>9499</v>
      </c>
      <c r="H442">
        <v>14248.5</v>
      </c>
      <c r="I442">
        <v>14248.5</v>
      </c>
      <c r="J442">
        <v>949.9</v>
      </c>
    </row>
    <row r="443" spans="1:10" x14ac:dyDescent="0.2">
      <c r="A443">
        <v>767</v>
      </c>
      <c r="B443" s="3">
        <v>46152</v>
      </c>
      <c r="C443">
        <v>26</v>
      </c>
      <c r="D443">
        <v>6699</v>
      </c>
      <c r="E443">
        <v>1.6</v>
      </c>
      <c r="F443">
        <v>749.5</v>
      </c>
      <c r="G443">
        <v>5949.5</v>
      </c>
      <c r="H443">
        <v>9519.2000000000007</v>
      </c>
      <c r="I443">
        <v>10268.700000000001</v>
      </c>
      <c r="J443">
        <v>366.12</v>
      </c>
    </row>
    <row r="444" spans="1:10" x14ac:dyDescent="0.2">
      <c r="A444">
        <v>769</v>
      </c>
      <c r="B444" s="3">
        <v>46154</v>
      </c>
      <c r="C444">
        <v>43</v>
      </c>
      <c r="D444">
        <v>9499</v>
      </c>
      <c r="E444">
        <v>1.7</v>
      </c>
      <c r="F444">
        <v>0</v>
      </c>
      <c r="G444">
        <v>9499</v>
      </c>
      <c r="H444">
        <v>16148.3</v>
      </c>
      <c r="I444">
        <v>16148.3</v>
      </c>
      <c r="J444">
        <v>375.54</v>
      </c>
    </row>
    <row r="445" spans="1:10" x14ac:dyDescent="0.2">
      <c r="A445">
        <v>772</v>
      </c>
      <c r="B445" s="3">
        <v>46155</v>
      </c>
      <c r="C445">
        <v>26</v>
      </c>
      <c r="D445">
        <v>3999</v>
      </c>
      <c r="E445">
        <v>1.9</v>
      </c>
      <c r="F445">
        <v>799</v>
      </c>
      <c r="G445">
        <v>3200</v>
      </c>
      <c r="H445">
        <v>6080</v>
      </c>
      <c r="I445">
        <v>6879</v>
      </c>
      <c r="J445">
        <v>233.85</v>
      </c>
    </row>
    <row r="446" spans="1:10" x14ac:dyDescent="0.2">
      <c r="A446">
        <v>765</v>
      </c>
      <c r="B446" s="3">
        <v>46157</v>
      </c>
      <c r="C446">
        <v>26</v>
      </c>
      <c r="D446">
        <v>5799</v>
      </c>
      <c r="E446">
        <v>1.6</v>
      </c>
      <c r="F446">
        <v>0</v>
      </c>
      <c r="G446">
        <v>5799</v>
      </c>
      <c r="H446">
        <v>9278.4</v>
      </c>
      <c r="I446">
        <v>9278.4</v>
      </c>
      <c r="J446">
        <v>356.86</v>
      </c>
    </row>
    <row r="447" spans="1:10" x14ac:dyDescent="0.2">
      <c r="A447">
        <v>779</v>
      </c>
      <c r="B447" s="3">
        <v>46159</v>
      </c>
      <c r="C447">
        <v>43</v>
      </c>
      <c r="D447">
        <v>5299</v>
      </c>
      <c r="E447">
        <v>2.2999999999999998</v>
      </c>
      <c r="F447">
        <v>999</v>
      </c>
      <c r="G447">
        <v>4300</v>
      </c>
      <c r="H447">
        <v>9890.02</v>
      </c>
      <c r="I447">
        <v>10889.02</v>
      </c>
      <c r="J447">
        <v>230</v>
      </c>
    </row>
    <row r="448" spans="1:10" x14ac:dyDescent="0.2">
      <c r="A448">
        <v>781</v>
      </c>
      <c r="B448" s="3">
        <v>46161</v>
      </c>
      <c r="C448">
        <v>26</v>
      </c>
      <c r="D448">
        <v>6499</v>
      </c>
      <c r="E448">
        <v>1.6</v>
      </c>
      <c r="F448">
        <v>0</v>
      </c>
      <c r="G448">
        <v>6499</v>
      </c>
      <c r="H448">
        <v>10398.4</v>
      </c>
      <c r="I448">
        <v>10398.4</v>
      </c>
      <c r="J448">
        <v>399.94</v>
      </c>
    </row>
    <row r="449" spans="1:10" x14ac:dyDescent="0.2">
      <c r="A449">
        <v>784</v>
      </c>
      <c r="B449" s="3">
        <v>46162</v>
      </c>
      <c r="C449">
        <v>43</v>
      </c>
      <c r="D449">
        <v>6699</v>
      </c>
      <c r="E449">
        <v>1.7</v>
      </c>
      <c r="F449">
        <v>0</v>
      </c>
      <c r="G449">
        <v>6699</v>
      </c>
      <c r="H449">
        <v>11388.3</v>
      </c>
      <c r="I449">
        <v>11388.3</v>
      </c>
      <c r="J449">
        <v>264.83999999999997</v>
      </c>
    </row>
    <row r="450" spans="1:10" x14ac:dyDescent="0.2">
      <c r="A450">
        <v>791</v>
      </c>
      <c r="B450" s="3">
        <v>46167</v>
      </c>
      <c r="C450">
        <v>26</v>
      </c>
      <c r="D450">
        <v>3999</v>
      </c>
      <c r="E450">
        <v>1.9</v>
      </c>
      <c r="F450">
        <v>799</v>
      </c>
      <c r="G450">
        <v>3200</v>
      </c>
      <c r="H450">
        <v>6080</v>
      </c>
      <c r="I450">
        <v>6879</v>
      </c>
      <c r="J450">
        <v>233.85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A481-4371-9F43-B426-1672FC603429}">
  <dimension ref="A1:AB473"/>
  <sheetViews>
    <sheetView workbookViewId="0">
      <selection activeCell="E2" sqref="E2:L32"/>
    </sheetView>
  </sheetViews>
  <sheetFormatPr baseColWidth="10" defaultRowHeight="16" x14ac:dyDescent="0.2"/>
  <cols>
    <col min="1" max="1" width="12.1640625" bestFit="1" customWidth="1"/>
    <col min="2" max="2" width="20.5" bestFit="1" customWidth="1"/>
    <col min="3" max="3" width="20.83203125" bestFit="1" customWidth="1"/>
    <col min="4" max="4" width="23.5" bestFit="1" customWidth="1"/>
    <col min="5" max="5" width="9.1640625" bestFit="1" customWidth="1"/>
    <col min="6" max="6" width="23.83203125" bestFit="1" customWidth="1"/>
    <col min="7" max="7" width="13.33203125" bestFit="1" customWidth="1"/>
    <col min="8" max="8" width="13.1640625" bestFit="1" customWidth="1"/>
    <col min="9" max="9" width="17.5" bestFit="1" customWidth="1"/>
    <col min="10" max="10" width="13.33203125" bestFit="1" customWidth="1"/>
    <col min="11" max="11" width="14.33203125" bestFit="1" customWidth="1"/>
    <col min="12" max="12" width="18.6640625" bestFit="1" customWidth="1"/>
    <col min="13" max="13" width="34.1640625" bestFit="1" customWidth="1"/>
    <col min="14" max="14" width="22.5" bestFit="1" customWidth="1"/>
    <col min="15" max="15" width="29.6640625" bestFit="1" customWidth="1"/>
    <col min="16" max="16" width="21.83203125" bestFit="1" customWidth="1"/>
    <col min="17" max="17" width="21.6640625" bestFit="1" customWidth="1"/>
    <col min="18" max="18" width="22.1640625" bestFit="1" customWidth="1"/>
    <col min="19" max="20" width="23.1640625" bestFit="1" customWidth="1"/>
    <col min="21" max="21" width="20.33203125" bestFit="1" customWidth="1"/>
    <col min="22" max="22" width="23.5" bestFit="1" customWidth="1"/>
    <col min="23" max="23" width="25.6640625" bestFit="1" customWidth="1"/>
    <col min="24" max="24" width="18.33203125" bestFit="1" customWidth="1"/>
    <col min="25" max="25" width="15.33203125" bestFit="1" customWidth="1"/>
    <col min="26" max="26" width="22.83203125" bestFit="1" customWidth="1"/>
    <col min="27" max="27" width="23.1640625" bestFit="1" customWidth="1"/>
    <col min="28" max="28" width="23" bestFit="1" customWidth="1"/>
  </cols>
  <sheetData>
    <row r="1" spans="1:28" x14ac:dyDescent="0.2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129</v>
      </c>
      <c r="X1" t="s">
        <v>130</v>
      </c>
      <c r="Y1" t="s">
        <v>131</v>
      </c>
      <c r="Z1" t="s">
        <v>132</v>
      </c>
      <c r="AA1" t="s">
        <v>133</v>
      </c>
      <c r="AB1" t="s">
        <v>134</v>
      </c>
    </row>
    <row r="2" spans="1:28" x14ac:dyDescent="0.2">
      <c r="A2">
        <v>9</v>
      </c>
      <c r="B2">
        <v>11</v>
      </c>
      <c r="C2">
        <v>14</v>
      </c>
      <c r="D2" t="s">
        <v>135</v>
      </c>
      <c r="E2">
        <v>8</v>
      </c>
      <c r="F2" t="s">
        <v>136</v>
      </c>
      <c r="G2" s="55">
        <v>46027.647222222222</v>
      </c>
      <c r="H2">
        <v>46</v>
      </c>
      <c r="I2" t="s">
        <v>137</v>
      </c>
      <c r="J2">
        <v>322</v>
      </c>
      <c r="K2" t="s">
        <v>138</v>
      </c>
      <c r="L2" t="s">
        <v>139</v>
      </c>
      <c r="M2" t="s">
        <v>140</v>
      </c>
      <c r="N2">
        <v>4</v>
      </c>
      <c r="O2">
        <v>128</v>
      </c>
      <c r="P2">
        <v>18</v>
      </c>
      <c r="Q2">
        <v>3999</v>
      </c>
      <c r="R2">
        <v>170</v>
      </c>
      <c r="S2">
        <v>799</v>
      </c>
      <c r="T2">
        <v>5440</v>
      </c>
      <c r="U2">
        <v>6239</v>
      </c>
      <c r="V2">
        <v>302.22000000000003</v>
      </c>
      <c r="W2">
        <v>0</v>
      </c>
      <c r="X2" t="s">
        <v>141</v>
      </c>
      <c r="Y2" s="55">
        <v>46027.884027777778</v>
      </c>
      <c r="Z2">
        <v>799</v>
      </c>
      <c r="AA2">
        <v>799</v>
      </c>
      <c r="AB2">
        <v>0</v>
      </c>
    </row>
    <row r="3" spans="1:28" x14ac:dyDescent="0.2">
      <c r="A3">
        <v>11</v>
      </c>
      <c r="B3">
        <v>4</v>
      </c>
      <c r="C3">
        <v>26</v>
      </c>
      <c r="D3" t="s">
        <v>142</v>
      </c>
      <c r="E3">
        <v>6000</v>
      </c>
      <c r="F3" t="s">
        <v>143</v>
      </c>
      <c r="G3" s="55">
        <v>46027.65625</v>
      </c>
      <c r="H3">
        <v>24</v>
      </c>
      <c r="I3" t="s">
        <v>144</v>
      </c>
      <c r="J3">
        <v>326</v>
      </c>
      <c r="K3" t="s">
        <v>145</v>
      </c>
      <c r="L3" t="s">
        <v>146</v>
      </c>
      <c r="M3" t="s">
        <v>147</v>
      </c>
      <c r="N3">
        <v>8</v>
      </c>
      <c r="O3">
        <v>256</v>
      </c>
      <c r="P3">
        <v>35</v>
      </c>
      <c r="Q3">
        <v>10999</v>
      </c>
      <c r="R3">
        <v>210</v>
      </c>
      <c r="S3">
        <v>2499</v>
      </c>
      <c r="T3">
        <v>17850.080000000002</v>
      </c>
      <c r="U3">
        <v>20349.080000000002</v>
      </c>
      <c r="V3">
        <v>510</v>
      </c>
      <c r="W3">
        <v>0</v>
      </c>
      <c r="X3" t="s">
        <v>140</v>
      </c>
      <c r="Y3" s="55"/>
      <c r="Z3">
        <v>0</v>
      </c>
      <c r="AA3">
        <v>0</v>
      </c>
      <c r="AB3">
        <v>0</v>
      </c>
    </row>
    <row r="4" spans="1:28" x14ac:dyDescent="0.2">
      <c r="A4">
        <v>14</v>
      </c>
      <c r="B4">
        <v>12</v>
      </c>
      <c r="C4">
        <v>15</v>
      </c>
      <c r="D4" t="s">
        <v>148</v>
      </c>
      <c r="E4">
        <v>8</v>
      </c>
      <c r="F4" t="s">
        <v>136</v>
      </c>
      <c r="G4" s="55">
        <v>46027.737500000003</v>
      </c>
      <c r="H4">
        <v>24</v>
      </c>
      <c r="I4" t="s">
        <v>149</v>
      </c>
      <c r="J4">
        <v>331</v>
      </c>
      <c r="K4" t="s">
        <v>145</v>
      </c>
      <c r="L4" t="s">
        <v>146</v>
      </c>
      <c r="M4" t="s">
        <v>150</v>
      </c>
      <c r="N4">
        <v>8</v>
      </c>
      <c r="O4">
        <v>256</v>
      </c>
      <c r="P4">
        <v>35</v>
      </c>
      <c r="Q4">
        <v>10999</v>
      </c>
      <c r="R4">
        <v>165</v>
      </c>
      <c r="S4">
        <v>0</v>
      </c>
      <c r="T4">
        <v>18148.349999999999</v>
      </c>
      <c r="U4">
        <v>18148.349999999999</v>
      </c>
      <c r="V4">
        <v>518.52</v>
      </c>
      <c r="W4">
        <v>1</v>
      </c>
      <c r="X4" t="s">
        <v>141</v>
      </c>
      <c r="Y4" s="55">
        <v>46027.988888888889</v>
      </c>
      <c r="Z4">
        <v>0</v>
      </c>
      <c r="AA4">
        <v>0</v>
      </c>
      <c r="AB4">
        <v>0</v>
      </c>
    </row>
    <row r="5" spans="1:28" x14ac:dyDescent="0.2">
      <c r="A5">
        <v>17</v>
      </c>
      <c r="B5">
        <v>12</v>
      </c>
      <c r="C5">
        <v>25</v>
      </c>
      <c r="D5" t="s">
        <v>151</v>
      </c>
      <c r="E5">
        <v>8</v>
      </c>
      <c r="F5" t="s">
        <v>136</v>
      </c>
      <c r="G5" s="55">
        <v>46027.754166666666</v>
      </c>
      <c r="H5">
        <v>24</v>
      </c>
      <c r="I5" t="s">
        <v>144</v>
      </c>
      <c r="J5">
        <v>326</v>
      </c>
      <c r="K5" t="s">
        <v>145</v>
      </c>
      <c r="L5" t="s">
        <v>146</v>
      </c>
      <c r="M5" t="s">
        <v>147</v>
      </c>
      <c r="N5">
        <v>8</v>
      </c>
      <c r="O5">
        <v>256</v>
      </c>
      <c r="P5">
        <v>35</v>
      </c>
      <c r="Q5">
        <v>10999</v>
      </c>
      <c r="R5">
        <v>210</v>
      </c>
      <c r="S5">
        <v>2499</v>
      </c>
      <c r="T5">
        <v>17850.080000000002</v>
      </c>
      <c r="U5">
        <v>20349.080000000002</v>
      </c>
      <c r="V5">
        <v>510</v>
      </c>
      <c r="W5">
        <v>0</v>
      </c>
      <c r="X5" t="s">
        <v>141</v>
      </c>
      <c r="Y5" s="55">
        <v>46027.969444444447</v>
      </c>
      <c r="Z5">
        <v>2499</v>
      </c>
      <c r="AA5">
        <v>2499</v>
      </c>
      <c r="AB5">
        <v>0</v>
      </c>
    </row>
    <row r="6" spans="1:28" x14ac:dyDescent="0.2">
      <c r="A6">
        <v>18</v>
      </c>
      <c r="B6">
        <v>12</v>
      </c>
      <c r="C6">
        <v>15</v>
      </c>
      <c r="D6" t="s">
        <v>148</v>
      </c>
      <c r="E6">
        <v>8</v>
      </c>
      <c r="F6" t="s">
        <v>136</v>
      </c>
      <c r="G6" s="55">
        <v>46027.761111111111</v>
      </c>
      <c r="H6">
        <v>33</v>
      </c>
      <c r="I6" t="s">
        <v>152</v>
      </c>
      <c r="J6">
        <v>329</v>
      </c>
      <c r="K6" t="s">
        <v>153</v>
      </c>
      <c r="L6" t="s">
        <v>154</v>
      </c>
      <c r="M6" t="s">
        <v>155</v>
      </c>
      <c r="N6">
        <v>8</v>
      </c>
      <c r="O6">
        <v>256</v>
      </c>
      <c r="P6">
        <v>43</v>
      </c>
      <c r="Q6">
        <v>8799</v>
      </c>
      <c r="R6">
        <v>170</v>
      </c>
      <c r="S6">
        <v>0</v>
      </c>
      <c r="T6">
        <v>14958.3</v>
      </c>
      <c r="U6">
        <v>14958.3</v>
      </c>
      <c r="V6">
        <v>347.87</v>
      </c>
      <c r="W6">
        <v>1</v>
      </c>
      <c r="X6" t="s">
        <v>141</v>
      </c>
      <c r="Y6" s="55">
        <v>46027.958333333336</v>
      </c>
      <c r="Z6">
        <v>0</v>
      </c>
      <c r="AA6">
        <v>0</v>
      </c>
      <c r="AB6">
        <v>0</v>
      </c>
    </row>
    <row r="7" spans="1:28" x14ac:dyDescent="0.2">
      <c r="A7">
        <v>23</v>
      </c>
      <c r="B7">
        <v>6</v>
      </c>
      <c r="C7">
        <v>10100</v>
      </c>
      <c r="D7" t="s">
        <v>156</v>
      </c>
      <c r="E7">
        <v>8</v>
      </c>
      <c r="F7" t="s">
        <v>136</v>
      </c>
      <c r="G7" s="55">
        <v>46027.80972222222</v>
      </c>
      <c r="H7">
        <v>50</v>
      </c>
      <c r="I7" t="s">
        <v>157</v>
      </c>
      <c r="J7">
        <v>330</v>
      </c>
      <c r="K7" t="s">
        <v>158</v>
      </c>
      <c r="L7" t="s">
        <v>159</v>
      </c>
      <c r="M7" t="s">
        <v>160</v>
      </c>
      <c r="N7">
        <v>4</v>
      </c>
      <c r="O7">
        <v>128</v>
      </c>
      <c r="P7">
        <v>15</v>
      </c>
      <c r="Q7">
        <v>3999</v>
      </c>
      <c r="R7">
        <v>150</v>
      </c>
      <c r="S7">
        <v>799</v>
      </c>
      <c r="T7">
        <v>4800</v>
      </c>
      <c r="U7">
        <v>5599</v>
      </c>
      <c r="V7">
        <v>320</v>
      </c>
      <c r="W7">
        <v>0</v>
      </c>
      <c r="X7" t="s">
        <v>141</v>
      </c>
      <c r="Y7" s="55">
        <v>46028.012499999997</v>
      </c>
      <c r="Z7">
        <v>799</v>
      </c>
      <c r="AA7">
        <v>799</v>
      </c>
      <c r="AB7">
        <v>0</v>
      </c>
    </row>
    <row r="8" spans="1:28" x14ac:dyDescent="0.2">
      <c r="A8">
        <v>25</v>
      </c>
      <c r="B8">
        <v>3</v>
      </c>
      <c r="C8">
        <v>10002</v>
      </c>
      <c r="D8" t="s">
        <v>161</v>
      </c>
      <c r="E8">
        <v>5000</v>
      </c>
      <c r="F8" t="s">
        <v>162</v>
      </c>
      <c r="G8" s="55">
        <v>46027.863888888889</v>
      </c>
      <c r="H8">
        <v>24</v>
      </c>
      <c r="I8" t="s">
        <v>163</v>
      </c>
      <c r="J8">
        <v>320</v>
      </c>
      <c r="K8" t="s">
        <v>145</v>
      </c>
      <c r="L8" t="s">
        <v>146</v>
      </c>
      <c r="M8" t="s">
        <v>150</v>
      </c>
      <c r="N8">
        <v>8</v>
      </c>
      <c r="O8">
        <v>256</v>
      </c>
      <c r="P8">
        <v>15</v>
      </c>
      <c r="Q8">
        <v>10999</v>
      </c>
      <c r="R8">
        <v>150</v>
      </c>
      <c r="S8">
        <v>0</v>
      </c>
      <c r="T8">
        <v>16498.5</v>
      </c>
      <c r="U8">
        <v>16498.5</v>
      </c>
      <c r="V8">
        <v>1099.9000000000001</v>
      </c>
      <c r="W8">
        <v>1</v>
      </c>
      <c r="X8" t="s">
        <v>140</v>
      </c>
      <c r="Y8" s="55"/>
      <c r="Z8">
        <v>0</v>
      </c>
      <c r="AA8">
        <v>0</v>
      </c>
      <c r="AB8">
        <v>0</v>
      </c>
    </row>
    <row r="9" spans="1:28" x14ac:dyDescent="0.2">
      <c r="A9">
        <v>26</v>
      </c>
      <c r="B9">
        <v>8</v>
      </c>
      <c r="C9">
        <v>5</v>
      </c>
      <c r="D9" t="s">
        <v>164</v>
      </c>
      <c r="E9">
        <v>8</v>
      </c>
      <c r="F9" t="s">
        <v>136</v>
      </c>
      <c r="G9" s="55">
        <v>46027.911805555559</v>
      </c>
      <c r="H9">
        <v>5</v>
      </c>
      <c r="I9" t="s">
        <v>165</v>
      </c>
      <c r="J9">
        <v>332</v>
      </c>
      <c r="K9" t="s">
        <v>138</v>
      </c>
      <c r="L9" t="s">
        <v>166</v>
      </c>
      <c r="M9" t="s">
        <v>140</v>
      </c>
      <c r="N9">
        <v>8</v>
      </c>
      <c r="O9">
        <v>256</v>
      </c>
      <c r="P9">
        <v>43</v>
      </c>
      <c r="Q9">
        <v>6399</v>
      </c>
      <c r="R9">
        <v>230</v>
      </c>
      <c r="S9">
        <v>1249</v>
      </c>
      <c r="T9">
        <v>11845.03</v>
      </c>
      <c r="U9">
        <v>13094.03</v>
      </c>
      <c r="V9">
        <v>275.47000000000003</v>
      </c>
      <c r="W9">
        <v>0</v>
      </c>
      <c r="X9" t="s">
        <v>141</v>
      </c>
      <c r="Y9" s="55">
        <v>46027.998611111114</v>
      </c>
      <c r="Z9">
        <v>1249</v>
      </c>
      <c r="AA9">
        <v>1249</v>
      </c>
      <c r="AB9">
        <v>0</v>
      </c>
    </row>
    <row r="10" spans="1:28" x14ac:dyDescent="0.2">
      <c r="A10">
        <v>32</v>
      </c>
      <c r="B10">
        <v>10</v>
      </c>
      <c r="C10">
        <v>13</v>
      </c>
      <c r="D10" t="s">
        <v>167</v>
      </c>
      <c r="E10">
        <v>8</v>
      </c>
      <c r="F10" t="s">
        <v>136</v>
      </c>
      <c r="G10" s="55">
        <v>46028.084722222222</v>
      </c>
      <c r="H10">
        <v>34</v>
      </c>
      <c r="I10" t="s">
        <v>168</v>
      </c>
      <c r="J10">
        <v>333</v>
      </c>
      <c r="K10" t="s">
        <v>153</v>
      </c>
      <c r="L10" t="s">
        <v>169</v>
      </c>
      <c r="M10" t="s">
        <v>150</v>
      </c>
      <c r="N10">
        <v>4</v>
      </c>
      <c r="O10">
        <v>128</v>
      </c>
      <c r="P10">
        <v>43</v>
      </c>
      <c r="Q10">
        <v>5499</v>
      </c>
      <c r="R10">
        <v>170</v>
      </c>
      <c r="S10">
        <v>0</v>
      </c>
      <c r="T10">
        <v>9348.2999999999993</v>
      </c>
      <c r="U10">
        <v>9348.2999999999993</v>
      </c>
      <c r="V10">
        <v>217.4</v>
      </c>
      <c r="W10">
        <v>1</v>
      </c>
      <c r="X10" t="s">
        <v>141</v>
      </c>
      <c r="Y10" s="55">
        <v>46028.808333333334</v>
      </c>
      <c r="Z10">
        <v>0</v>
      </c>
      <c r="AA10">
        <v>0</v>
      </c>
      <c r="AB10">
        <v>0</v>
      </c>
    </row>
    <row r="11" spans="1:28" x14ac:dyDescent="0.2">
      <c r="A11">
        <v>37</v>
      </c>
      <c r="B11">
        <v>13</v>
      </c>
      <c r="C11">
        <v>31</v>
      </c>
      <c r="D11" t="s">
        <v>170</v>
      </c>
      <c r="E11">
        <v>201</v>
      </c>
      <c r="F11" t="s">
        <v>171</v>
      </c>
      <c r="G11" s="55">
        <v>46032.824999999997</v>
      </c>
      <c r="H11">
        <v>52</v>
      </c>
      <c r="I11" t="s">
        <v>172</v>
      </c>
      <c r="J11">
        <v>337</v>
      </c>
      <c r="K11" t="s">
        <v>138</v>
      </c>
      <c r="L11" t="s">
        <v>173</v>
      </c>
      <c r="M11" t="s">
        <v>174</v>
      </c>
      <c r="N11">
        <v>8</v>
      </c>
      <c r="O11">
        <v>256</v>
      </c>
      <c r="P11">
        <v>35</v>
      </c>
      <c r="Q11">
        <v>9099</v>
      </c>
      <c r="R11">
        <v>165</v>
      </c>
      <c r="S11">
        <v>0</v>
      </c>
      <c r="T11">
        <v>15013.35</v>
      </c>
      <c r="U11">
        <v>15013.35</v>
      </c>
      <c r="V11">
        <v>428.95</v>
      </c>
      <c r="W11">
        <v>1</v>
      </c>
      <c r="X11" t="s">
        <v>140</v>
      </c>
      <c r="Y11" s="55"/>
      <c r="Z11">
        <v>0</v>
      </c>
      <c r="AA11">
        <v>0</v>
      </c>
      <c r="AB11">
        <v>0</v>
      </c>
    </row>
    <row r="12" spans="1:28" x14ac:dyDescent="0.2">
      <c r="A12">
        <v>39</v>
      </c>
      <c r="B12">
        <v>13</v>
      </c>
      <c r="C12">
        <v>31</v>
      </c>
      <c r="D12" t="s">
        <v>170</v>
      </c>
      <c r="E12">
        <v>8</v>
      </c>
      <c r="F12" t="s">
        <v>175</v>
      </c>
      <c r="G12" s="55">
        <v>46034.630555555559</v>
      </c>
      <c r="H12">
        <v>52</v>
      </c>
      <c r="I12" t="s">
        <v>172</v>
      </c>
      <c r="J12">
        <v>337</v>
      </c>
      <c r="K12" t="s">
        <v>138</v>
      </c>
      <c r="L12" t="s">
        <v>173</v>
      </c>
      <c r="M12" t="s">
        <v>174</v>
      </c>
      <c r="N12">
        <v>8</v>
      </c>
      <c r="O12">
        <v>256</v>
      </c>
      <c r="P12">
        <v>35</v>
      </c>
      <c r="Q12">
        <v>9099</v>
      </c>
      <c r="R12">
        <v>165</v>
      </c>
      <c r="S12">
        <v>0</v>
      </c>
      <c r="T12">
        <v>15013.35</v>
      </c>
      <c r="U12">
        <v>15013.35</v>
      </c>
      <c r="V12">
        <v>428.95</v>
      </c>
      <c r="W12">
        <v>1</v>
      </c>
      <c r="X12" t="s">
        <v>141</v>
      </c>
      <c r="Y12" s="55">
        <v>46034.67291666667</v>
      </c>
      <c r="Z12">
        <v>0</v>
      </c>
      <c r="AA12">
        <v>0</v>
      </c>
      <c r="AB12">
        <v>0</v>
      </c>
    </row>
    <row r="13" spans="1:28" x14ac:dyDescent="0.2">
      <c r="A13">
        <v>40</v>
      </c>
      <c r="B13">
        <v>11</v>
      </c>
      <c r="C13">
        <v>18</v>
      </c>
      <c r="D13" t="s">
        <v>176</v>
      </c>
      <c r="E13">
        <v>8</v>
      </c>
      <c r="F13" t="s">
        <v>175</v>
      </c>
      <c r="G13" s="55">
        <v>46035.79791666667</v>
      </c>
      <c r="H13">
        <v>8</v>
      </c>
      <c r="I13" t="s">
        <v>177</v>
      </c>
      <c r="J13">
        <v>339</v>
      </c>
      <c r="K13" t="s">
        <v>138</v>
      </c>
      <c r="L13" t="s">
        <v>178</v>
      </c>
      <c r="M13" t="s">
        <v>140</v>
      </c>
      <c r="N13">
        <v>6</v>
      </c>
      <c r="O13">
        <v>128</v>
      </c>
      <c r="P13">
        <v>15</v>
      </c>
      <c r="Q13">
        <v>5799</v>
      </c>
      <c r="R13">
        <v>150</v>
      </c>
      <c r="S13">
        <v>1249</v>
      </c>
      <c r="T13">
        <v>6824.96</v>
      </c>
      <c r="U13">
        <v>8073.96</v>
      </c>
      <c r="V13">
        <v>455</v>
      </c>
      <c r="W13">
        <v>0</v>
      </c>
      <c r="X13" t="s">
        <v>141</v>
      </c>
      <c r="Y13" s="55">
        <v>46035.850694444445</v>
      </c>
      <c r="Z13">
        <v>1249</v>
      </c>
      <c r="AA13">
        <v>1249</v>
      </c>
      <c r="AB13">
        <v>0</v>
      </c>
    </row>
    <row r="14" spans="1:28" x14ac:dyDescent="0.2">
      <c r="A14">
        <v>41</v>
      </c>
      <c r="B14">
        <v>13</v>
      </c>
      <c r="C14">
        <v>31</v>
      </c>
      <c r="D14" t="s">
        <v>170</v>
      </c>
      <c r="E14">
        <v>8</v>
      </c>
      <c r="F14" t="s">
        <v>175</v>
      </c>
      <c r="G14" s="55">
        <v>46037.730555555558</v>
      </c>
      <c r="H14">
        <v>12</v>
      </c>
      <c r="I14" t="s">
        <v>179</v>
      </c>
      <c r="J14">
        <v>340</v>
      </c>
      <c r="K14" t="s">
        <v>158</v>
      </c>
      <c r="L14" t="s">
        <v>180</v>
      </c>
      <c r="M14" t="s">
        <v>150</v>
      </c>
      <c r="N14">
        <v>8</v>
      </c>
      <c r="O14">
        <v>256</v>
      </c>
      <c r="P14">
        <v>15</v>
      </c>
      <c r="Q14">
        <v>9899</v>
      </c>
      <c r="R14">
        <v>150</v>
      </c>
      <c r="S14">
        <v>0</v>
      </c>
      <c r="T14">
        <v>14848.5</v>
      </c>
      <c r="U14">
        <v>14848.5</v>
      </c>
      <c r="V14">
        <v>989.9</v>
      </c>
      <c r="W14">
        <v>1</v>
      </c>
      <c r="X14" t="s">
        <v>141</v>
      </c>
      <c r="Y14" s="55">
        <v>46037.810416666667</v>
      </c>
      <c r="Z14">
        <v>0</v>
      </c>
      <c r="AA14">
        <v>0</v>
      </c>
      <c r="AB14">
        <v>0</v>
      </c>
    </row>
    <row r="15" spans="1:28" x14ac:dyDescent="0.2">
      <c r="A15">
        <v>42</v>
      </c>
      <c r="B15">
        <v>6</v>
      </c>
      <c r="C15">
        <v>9</v>
      </c>
      <c r="D15" t="s">
        <v>181</v>
      </c>
      <c r="E15">
        <v>8</v>
      </c>
      <c r="F15" t="s">
        <v>175</v>
      </c>
      <c r="G15" s="55">
        <v>46037.784722222219</v>
      </c>
      <c r="H15">
        <v>36</v>
      </c>
      <c r="I15" t="s">
        <v>182</v>
      </c>
      <c r="J15">
        <v>341</v>
      </c>
      <c r="K15" t="s">
        <v>153</v>
      </c>
      <c r="L15" t="s">
        <v>183</v>
      </c>
      <c r="M15" t="s">
        <v>140</v>
      </c>
      <c r="N15">
        <v>3</v>
      </c>
      <c r="O15">
        <v>64</v>
      </c>
      <c r="P15">
        <v>43</v>
      </c>
      <c r="Q15">
        <v>3799</v>
      </c>
      <c r="R15">
        <v>230</v>
      </c>
      <c r="S15">
        <v>799</v>
      </c>
      <c r="T15">
        <v>6900.02</v>
      </c>
      <c r="U15">
        <v>7699.02</v>
      </c>
      <c r="V15">
        <v>160.47</v>
      </c>
      <c r="W15">
        <v>0</v>
      </c>
      <c r="X15" t="s">
        <v>141</v>
      </c>
      <c r="Y15" s="55">
        <v>46037.818055555559</v>
      </c>
      <c r="Z15">
        <v>799</v>
      </c>
      <c r="AA15">
        <v>799</v>
      </c>
      <c r="AB15">
        <v>0</v>
      </c>
    </row>
    <row r="16" spans="1:28" x14ac:dyDescent="0.2">
      <c r="A16">
        <v>43</v>
      </c>
      <c r="B16">
        <v>11</v>
      </c>
      <c r="C16">
        <v>14</v>
      </c>
      <c r="D16" t="s">
        <v>135</v>
      </c>
      <c r="E16">
        <v>8</v>
      </c>
      <c r="F16" t="s">
        <v>175</v>
      </c>
      <c r="G16" s="55">
        <v>46039.652083333334</v>
      </c>
      <c r="H16">
        <v>23</v>
      </c>
      <c r="I16" t="s">
        <v>184</v>
      </c>
      <c r="J16">
        <v>342</v>
      </c>
      <c r="K16" t="s">
        <v>158</v>
      </c>
      <c r="L16" t="s">
        <v>185</v>
      </c>
      <c r="M16" t="s">
        <v>186</v>
      </c>
      <c r="N16">
        <v>4</v>
      </c>
      <c r="O16">
        <v>128</v>
      </c>
      <c r="P16">
        <v>43</v>
      </c>
      <c r="Q16">
        <v>3999</v>
      </c>
      <c r="R16">
        <v>230</v>
      </c>
      <c r="S16">
        <v>799</v>
      </c>
      <c r="T16">
        <v>7360.02</v>
      </c>
      <c r="U16">
        <v>8159.02</v>
      </c>
      <c r="V16">
        <v>171.16</v>
      </c>
      <c r="W16">
        <v>0</v>
      </c>
      <c r="X16" t="s">
        <v>141</v>
      </c>
      <c r="Y16" s="55">
        <v>46039.70208333333</v>
      </c>
      <c r="Z16">
        <v>799</v>
      </c>
      <c r="AA16">
        <v>799</v>
      </c>
      <c r="AB16">
        <v>0</v>
      </c>
    </row>
    <row r="17" spans="1:28" x14ac:dyDescent="0.2">
      <c r="A17">
        <v>44</v>
      </c>
      <c r="B17">
        <v>14</v>
      </c>
      <c r="C17">
        <v>12</v>
      </c>
      <c r="D17" t="s">
        <v>187</v>
      </c>
      <c r="E17">
        <v>2</v>
      </c>
      <c r="F17" t="s">
        <v>188</v>
      </c>
      <c r="G17" s="55">
        <v>46040.570138888892</v>
      </c>
      <c r="I17" t="s">
        <v>140</v>
      </c>
      <c r="K17" t="s">
        <v>140</v>
      </c>
      <c r="L17" t="s">
        <v>140</v>
      </c>
      <c r="M17" t="s">
        <v>140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140</v>
      </c>
      <c r="Y17" s="55"/>
      <c r="Z17">
        <v>0</v>
      </c>
      <c r="AA17">
        <v>0</v>
      </c>
      <c r="AB17">
        <v>0</v>
      </c>
    </row>
    <row r="18" spans="1:28" x14ac:dyDescent="0.2">
      <c r="A18">
        <v>46</v>
      </c>
      <c r="B18">
        <v>7</v>
      </c>
      <c r="C18">
        <v>21</v>
      </c>
      <c r="D18" t="s">
        <v>189</v>
      </c>
      <c r="E18">
        <v>8</v>
      </c>
      <c r="F18" t="s">
        <v>175</v>
      </c>
      <c r="G18" s="55">
        <v>46042.578472222223</v>
      </c>
      <c r="H18">
        <v>53</v>
      </c>
      <c r="I18" t="s">
        <v>190</v>
      </c>
      <c r="J18">
        <v>345</v>
      </c>
      <c r="K18" t="s">
        <v>191</v>
      </c>
      <c r="L18" t="s">
        <v>192</v>
      </c>
      <c r="M18" t="s">
        <v>193</v>
      </c>
      <c r="N18">
        <v>8</v>
      </c>
      <c r="O18">
        <v>128</v>
      </c>
      <c r="P18">
        <v>35</v>
      </c>
      <c r="Q18">
        <v>3999</v>
      </c>
      <c r="R18">
        <v>210</v>
      </c>
      <c r="S18">
        <v>799</v>
      </c>
      <c r="T18">
        <v>6720</v>
      </c>
      <c r="U18">
        <v>7519</v>
      </c>
      <c r="V18">
        <v>192</v>
      </c>
      <c r="W18">
        <v>0</v>
      </c>
      <c r="X18" t="s">
        <v>141</v>
      </c>
      <c r="Y18" s="55">
        <v>46042.73541666667</v>
      </c>
      <c r="Z18">
        <v>799</v>
      </c>
      <c r="AA18">
        <v>799</v>
      </c>
      <c r="AB18">
        <v>0</v>
      </c>
    </row>
    <row r="19" spans="1:28" x14ac:dyDescent="0.2">
      <c r="A19">
        <v>48</v>
      </c>
      <c r="B19">
        <v>5</v>
      </c>
      <c r="C19">
        <v>10002</v>
      </c>
      <c r="D19" t="s">
        <v>161</v>
      </c>
      <c r="E19">
        <v>8</v>
      </c>
      <c r="F19" t="s">
        <v>175</v>
      </c>
      <c r="G19" s="55">
        <v>46045.868055555555</v>
      </c>
      <c r="H19">
        <v>54</v>
      </c>
      <c r="I19" t="s">
        <v>194</v>
      </c>
      <c r="J19">
        <v>349</v>
      </c>
      <c r="K19" t="s">
        <v>153</v>
      </c>
      <c r="L19" t="s">
        <v>195</v>
      </c>
      <c r="M19" t="s">
        <v>196</v>
      </c>
      <c r="N19">
        <v>3</v>
      </c>
      <c r="O19">
        <v>64</v>
      </c>
      <c r="P19">
        <v>26</v>
      </c>
      <c r="Q19">
        <v>3799</v>
      </c>
      <c r="R19">
        <v>190</v>
      </c>
      <c r="S19">
        <v>799</v>
      </c>
      <c r="T19">
        <v>5700</v>
      </c>
      <c r="U19">
        <v>6499</v>
      </c>
      <c r="V19">
        <v>219</v>
      </c>
      <c r="W19">
        <v>0</v>
      </c>
      <c r="X19" t="s">
        <v>141</v>
      </c>
      <c r="Y19" s="55">
        <v>45875.75</v>
      </c>
      <c r="Z19">
        <v>799</v>
      </c>
      <c r="AA19">
        <v>799</v>
      </c>
      <c r="AB19">
        <v>0</v>
      </c>
    </row>
    <row r="20" spans="1:28" x14ac:dyDescent="0.2">
      <c r="A20">
        <v>59</v>
      </c>
      <c r="B20">
        <v>8</v>
      </c>
      <c r="C20">
        <v>5</v>
      </c>
      <c r="D20" t="s">
        <v>164</v>
      </c>
      <c r="E20">
        <v>8</v>
      </c>
      <c r="F20" t="s">
        <v>175</v>
      </c>
      <c r="G20" s="55">
        <v>46046.780555555553</v>
      </c>
      <c r="H20">
        <v>34</v>
      </c>
      <c r="I20" t="s">
        <v>197</v>
      </c>
      <c r="J20">
        <v>360</v>
      </c>
      <c r="K20" t="s">
        <v>153</v>
      </c>
      <c r="L20" t="s">
        <v>169</v>
      </c>
      <c r="M20" t="s">
        <v>198</v>
      </c>
      <c r="N20">
        <v>4</v>
      </c>
      <c r="O20">
        <v>128</v>
      </c>
      <c r="P20">
        <v>43</v>
      </c>
      <c r="Q20">
        <v>5299</v>
      </c>
      <c r="R20">
        <v>230</v>
      </c>
      <c r="S20">
        <v>999</v>
      </c>
      <c r="T20">
        <v>9890.02</v>
      </c>
      <c r="U20">
        <v>10889.02</v>
      </c>
      <c r="V20">
        <v>230</v>
      </c>
      <c r="W20">
        <v>0</v>
      </c>
      <c r="X20" t="s">
        <v>141</v>
      </c>
      <c r="Y20" s="55">
        <v>46046.823611111111</v>
      </c>
      <c r="Z20">
        <v>999</v>
      </c>
      <c r="AA20">
        <v>999</v>
      </c>
      <c r="AB20">
        <v>0</v>
      </c>
    </row>
    <row r="21" spans="1:28" x14ac:dyDescent="0.2">
      <c r="A21">
        <v>61</v>
      </c>
      <c r="B21">
        <v>12</v>
      </c>
      <c r="C21">
        <v>15</v>
      </c>
      <c r="D21" t="s">
        <v>148</v>
      </c>
      <c r="E21">
        <v>8</v>
      </c>
      <c r="F21" t="s">
        <v>175</v>
      </c>
      <c r="G21" s="55">
        <v>46046.820138888892</v>
      </c>
      <c r="H21">
        <v>8</v>
      </c>
      <c r="I21" t="s">
        <v>199</v>
      </c>
      <c r="J21">
        <v>361</v>
      </c>
      <c r="K21" t="s">
        <v>138</v>
      </c>
      <c r="L21" t="s">
        <v>178</v>
      </c>
      <c r="M21" t="s">
        <v>140</v>
      </c>
      <c r="N21">
        <v>6</v>
      </c>
      <c r="O21">
        <v>128</v>
      </c>
      <c r="P21">
        <v>15</v>
      </c>
      <c r="Q21">
        <v>5799</v>
      </c>
      <c r="R21">
        <v>150</v>
      </c>
      <c r="S21">
        <v>1249</v>
      </c>
      <c r="T21">
        <v>6824.96</v>
      </c>
      <c r="U21">
        <v>8073.96</v>
      </c>
      <c r="V21">
        <v>455</v>
      </c>
      <c r="W21">
        <v>0</v>
      </c>
      <c r="X21" t="s">
        <v>141</v>
      </c>
      <c r="Y21" s="55">
        <v>46046.909722222219</v>
      </c>
      <c r="Z21">
        <v>1249</v>
      </c>
      <c r="AA21">
        <v>1249</v>
      </c>
      <c r="AB21">
        <v>0</v>
      </c>
    </row>
    <row r="22" spans="1:28" x14ac:dyDescent="0.2">
      <c r="A22">
        <v>64</v>
      </c>
      <c r="B22">
        <v>12</v>
      </c>
      <c r="C22">
        <v>15</v>
      </c>
      <c r="D22" t="s">
        <v>148</v>
      </c>
      <c r="E22">
        <v>8</v>
      </c>
      <c r="F22" t="s">
        <v>175</v>
      </c>
      <c r="G22" s="55">
        <v>46047.061805555553</v>
      </c>
      <c r="H22">
        <v>58</v>
      </c>
      <c r="I22" t="s">
        <v>200</v>
      </c>
      <c r="J22">
        <v>45</v>
      </c>
      <c r="K22" t="s">
        <v>153</v>
      </c>
      <c r="L22" t="s">
        <v>201</v>
      </c>
      <c r="M22" t="s">
        <v>140</v>
      </c>
      <c r="P22">
        <v>43</v>
      </c>
      <c r="Q22">
        <v>8799</v>
      </c>
      <c r="R22">
        <v>170</v>
      </c>
      <c r="S22">
        <v>0</v>
      </c>
      <c r="T22">
        <v>14958.3</v>
      </c>
      <c r="U22">
        <v>14958.3</v>
      </c>
      <c r="V22">
        <v>347.87</v>
      </c>
      <c r="W22">
        <v>0</v>
      </c>
      <c r="X22" t="s">
        <v>141</v>
      </c>
      <c r="Y22" s="55">
        <v>46019.75</v>
      </c>
      <c r="Z22">
        <v>0</v>
      </c>
      <c r="AA22">
        <v>0</v>
      </c>
      <c r="AB22">
        <v>0</v>
      </c>
    </row>
    <row r="23" spans="1:28" x14ac:dyDescent="0.2">
      <c r="A23">
        <v>66</v>
      </c>
      <c r="B23">
        <v>11</v>
      </c>
      <c r="C23">
        <v>18</v>
      </c>
      <c r="D23" t="s">
        <v>176</v>
      </c>
      <c r="E23">
        <v>8</v>
      </c>
      <c r="F23" t="s">
        <v>175</v>
      </c>
      <c r="G23" s="55">
        <v>46047.061805555553</v>
      </c>
      <c r="H23">
        <v>46</v>
      </c>
      <c r="I23" t="s">
        <v>202</v>
      </c>
      <c r="J23">
        <v>365</v>
      </c>
      <c r="K23" t="s">
        <v>138</v>
      </c>
      <c r="L23" t="s">
        <v>139</v>
      </c>
      <c r="M23" t="s">
        <v>140</v>
      </c>
      <c r="P23">
        <v>18</v>
      </c>
      <c r="Q23">
        <v>3999</v>
      </c>
      <c r="R23">
        <v>170</v>
      </c>
      <c r="S23">
        <v>799</v>
      </c>
      <c r="T23">
        <v>5440</v>
      </c>
      <c r="U23">
        <v>6239</v>
      </c>
      <c r="V23">
        <v>302.22000000000003</v>
      </c>
      <c r="W23">
        <v>0</v>
      </c>
      <c r="X23" t="s">
        <v>141</v>
      </c>
      <c r="Y23" s="55">
        <v>46019.75</v>
      </c>
      <c r="Z23">
        <v>799</v>
      </c>
      <c r="AA23">
        <v>799</v>
      </c>
      <c r="AB23">
        <v>0</v>
      </c>
    </row>
    <row r="24" spans="1:28" x14ac:dyDescent="0.2">
      <c r="A24">
        <v>69</v>
      </c>
      <c r="B24">
        <v>13</v>
      </c>
      <c r="C24">
        <v>31</v>
      </c>
      <c r="D24" t="s">
        <v>170</v>
      </c>
      <c r="E24">
        <v>8</v>
      </c>
      <c r="F24" t="s">
        <v>175</v>
      </c>
      <c r="G24" s="55">
        <v>46047.0625</v>
      </c>
      <c r="H24">
        <v>60</v>
      </c>
      <c r="I24" t="s">
        <v>203</v>
      </c>
      <c r="J24">
        <v>368</v>
      </c>
      <c r="K24" t="s">
        <v>204</v>
      </c>
      <c r="L24" t="s">
        <v>205</v>
      </c>
      <c r="M24" t="s">
        <v>140</v>
      </c>
      <c r="P24">
        <v>43</v>
      </c>
      <c r="Q24">
        <v>5799</v>
      </c>
      <c r="R24">
        <v>170</v>
      </c>
      <c r="S24">
        <v>624</v>
      </c>
      <c r="T24">
        <v>8797.5</v>
      </c>
      <c r="U24">
        <v>9421.5</v>
      </c>
      <c r="V24">
        <v>204.59</v>
      </c>
      <c r="W24">
        <v>0</v>
      </c>
      <c r="X24" t="s">
        <v>141</v>
      </c>
      <c r="Y24" s="55">
        <v>45995.75</v>
      </c>
      <c r="Z24">
        <v>624</v>
      </c>
      <c r="AA24">
        <v>624</v>
      </c>
      <c r="AB24">
        <v>0</v>
      </c>
    </row>
    <row r="25" spans="1:28" x14ac:dyDescent="0.2">
      <c r="A25">
        <v>71</v>
      </c>
      <c r="B25">
        <v>13</v>
      </c>
      <c r="C25">
        <v>31</v>
      </c>
      <c r="D25" t="s">
        <v>170</v>
      </c>
      <c r="E25">
        <v>8</v>
      </c>
      <c r="F25" t="s">
        <v>175</v>
      </c>
      <c r="G25" s="55">
        <v>46047.0625</v>
      </c>
      <c r="H25">
        <v>24</v>
      </c>
      <c r="I25" t="s">
        <v>206</v>
      </c>
      <c r="J25">
        <v>100</v>
      </c>
      <c r="K25" t="s">
        <v>145</v>
      </c>
      <c r="L25" t="s">
        <v>146</v>
      </c>
      <c r="M25" t="s">
        <v>140</v>
      </c>
      <c r="P25">
        <v>26</v>
      </c>
      <c r="Q25">
        <v>10999</v>
      </c>
      <c r="R25">
        <v>160</v>
      </c>
      <c r="S25">
        <v>0</v>
      </c>
      <c r="T25">
        <v>17598.400000000001</v>
      </c>
      <c r="U25">
        <v>17598.400000000001</v>
      </c>
      <c r="V25">
        <v>676.86</v>
      </c>
      <c r="W25">
        <v>0</v>
      </c>
      <c r="X25" t="s">
        <v>141</v>
      </c>
      <c r="Y25" s="55">
        <v>46005.75</v>
      </c>
      <c r="Z25">
        <v>0</v>
      </c>
      <c r="AA25">
        <v>0</v>
      </c>
      <c r="AB25">
        <v>0</v>
      </c>
    </row>
    <row r="26" spans="1:28" x14ac:dyDescent="0.2">
      <c r="A26">
        <v>72</v>
      </c>
      <c r="B26">
        <v>10</v>
      </c>
      <c r="C26">
        <v>24</v>
      </c>
      <c r="D26" t="s">
        <v>207</v>
      </c>
      <c r="E26">
        <v>8</v>
      </c>
      <c r="F26" t="s">
        <v>175</v>
      </c>
      <c r="G26" s="55">
        <v>46047.063194444447</v>
      </c>
      <c r="H26">
        <v>55</v>
      </c>
      <c r="I26" t="s">
        <v>208</v>
      </c>
      <c r="J26">
        <v>310</v>
      </c>
      <c r="K26" t="s">
        <v>153</v>
      </c>
      <c r="L26" t="s">
        <v>209</v>
      </c>
      <c r="M26" t="s">
        <v>140</v>
      </c>
      <c r="P26">
        <v>35</v>
      </c>
      <c r="Q26">
        <v>5499</v>
      </c>
      <c r="R26">
        <v>210</v>
      </c>
      <c r="S26">
        <v>1249</v>
      </c>
      <c r="T26">
        <v>8925</v>
      </c>
      <c r="U26">
        <v>10174</v>
      </c>
      <c r="V26">
        <v>255</v>
      </c>
      <c r="W26">
        <v>0</v>
      </c>
      <c r="X26" t="s">
        <v>141</v>
      </c>
      <c r="Y26" s="55">
        <v>45993.75</v>
      </c>
      <c r="Z26">
        <v>1249</v>
      </c>
      <c r="AA26">
        <v>1249</v>
      </c>
      <c r="AB26">
        <v>0</v>
      </c>
    </row>
    <row r="27" spans="1:28" x14ac:dyDescent="0.2">
      <c r="A27">
        <v>74</v>
      </c>
      <c r="B27">
        <v>7</v>
      </c>
      <c r="C27">
        <v>21</v>
      </c>
      <c r="D27" t="s">
        <v>189</v>
      </c>
      <c r="E27">
        <v>8</v>
      </c>
      <c r="F27" t="s">
        <v>175</v>
      </c>
      <c r="G27" s="55">
        <v>46047.063194444447</v>
      </c>
      <c r="H27">
        <v>56</v>
      </c>
      <c r="I27" t="s">
        <v>210</v>
      </c>
      <c r="J27">
        <v>370</v>
      </c>
      <c r="K27" t="s">
        <v>138</v>
      </c>
      <c r="L27" t="s">
        <v>211</v>
      </c>
      <c r="M27" t="s">
        <v>140</v>
      </c>
      <c r="P27">
        <v>26</v>
      </c>
      <c r="Q27">
        <v>3999</v>
      </c>
      <c r="R27">
        <v>190</v>
      </c>
      <c r="S27">
        <v>799</v>
      </c>
      <c r="T27">
        <v>6080</v>
      </c>
      <c r="U27">
        <v>6879</v>
      </c>
      <c r="V27">
        <v>233.85</v>
      </c>
      <c r="W27">
        <v>0</v>
      </c>
      <c r="X27" t="s">
        <v>141</v>
      </c>
      <c r="Y27" s="55">
        <v>45995.75</v>
      </c>
      <c r="Z27">
        <v>799</v>
      </c>
      <c r="AA27">
        <v>799</v>
      </c>
      <c r="AB27">
        <v>0</v>
      </c>
    </row>
    <row r="28" spans="1:28" x14ac:dyDescent="0.2">
      <c r="A28">
        <v>76</v>
      </c>
      <c r="B28">
        <v>4</v>
      </c>
      <c r="C28">
        <v>10002</v>
      </c>
      <c r="D28" t="s">
        <v>161</v>
      </c>
      <c r="E28">
        <v>8</v>
      </c>
      <c r="F28" t="s">
        <v>175</v>
      </c>
      <c r="G28" s="55">
        <v>46047.063888888886</v>
      </c>
      <c r="H28">
        <v>56</v>
      </c>
      <c r="I28" t="s">
        <v>189</v>
      </c>
      <c r="J28">
        <v>372</v>
      </c>
      <c r="K28" t="s">
        <v>138</v>
      </c>
      <c r="L28" t="s">
        <v>211</v>
      </c>
      <c r="M28" t="s">
        <v>140</v>
      </c>
      <c r="P28">
        <v>10</v>
      </c>
      <c r="Q28">
        <v>4400</v>
      </c>
      <c r="R28">
        <v>100</v>
      </c>
      <c r="S28">
        <v>600</v>
      </c>
      <c r="T28">
        <v>3800</v>
      </c>
      <c r="U28">
        <v>4400</v>
      </c>
      <c r="V28">
        <v>380</v>
      </c>
      <c r="W28">
        <v>0</v>
      </c>
      <c r="X28" t="s">
        <v>141</v>
      </c>
      <c r="Y28" s="55">
        <v>46002.75</v>
      </c>
      <c r="Z28">
        <v>600</v>
      </c>
      <c r="AA28">
        <v>600</v>
      </c>
      <c r="AB28">
        <v>0</v>
      </c>
    </row>
    <row r="29" spans="1:28" x14ac:dyDescent="0.2">
      <c r="A29">
        <v>77</v>
      </c>
      <c r="B29">
        <v>6</v>
      </c>
      <c r="C29">
        <v>16</v>
      </c>
      <c r="D29" t="s">
        <v>212</v>
      </c>
      <c r="E29">
        <v>8</v>
      </c>
      <c r="F29" t="s">
        <v>175</v>
      </c>
      <c r="G29" s="55">
        <v>46047.064583333333</v>
      </c>
      <c r="H29">
        <v>56</v>
      </c>
      <c r="I29" t="s">
        <v>213</v>
      </c>
      <c r="J29">
        <v>373</v>
      </c>
      <c r="K29" t="s">
        <v>138</v>
      </c>
      <c r="L29" t="s">
        <v>211</v>
      </c>
      <c r="M29" t="s">
        <v>140</v>
      </c>
      <c r="P29">
        <v>26</v>
      </c>
      <c r="Q29">
        <v>3999</v>
      </c>
      <c r="R29">
        <v>190</v>
      </c>
      <c r="S29">
        <v>799</v>
      </c>
      <c r="T29">
        <v>6080</v>
      </c>
      <c r="U29">
        <v>6879</v>
      </c>
      <c r="V29">
        <v>233.85</v>
      </c>
      <c r="W29">
        <v>0</v>
      </c>
      <c r="X29" t="s">
        <v>141</v>
      </c>
      <c r="Y29" s="55">
        <v>45993.75</v>
      </c>
      <c r="Z29">
        <v>799</v>
      </c>
      <c r="AA29">
        <v>799</v>
      </c>
      <c r="AB29">
        <v>0</v>
      </c>
    </row>
    <row r="30" spans="1:28" x14ac:dyDescent="0.2">
      <c r="A30">
        <v>80</v>
      </c>
      <c r="B30">
        <v>11</v>
      </c>
      <c r="C30">
        <v>18</v>
      </c>
      <c r="D30" t="s">
        <v>176</v>
      </c>
      <c r="E30">
        <v>8</v>
      </c>
      <c r="F30" t="s">
        <v>175</v>
      </c>
      <c r="G30" s="55">
        <v>46047.06527777778</v>
      </c>
      <c r="H30">
        <v>55</v>
      </c>
      <c r="I30" t="s">
        <v>214</v>
      </c>
      <c r="J30">
        <v>375</v>
      </c>
      <c r="K30" t="s">
        <v>153</v>
      </c>
      <c r="L30" t="s">
        <v>209</v>
      </c>
      <c r="M30" t="s">
        <v>140</v>
      </c>
      <c r="P30">
        <v>26</v>
      </c>
      <c r="Q30">
        <v>5499</v>
      </c>
      <c r="R30">
        <v>190</v>
      </c>
      <c r="S30">
        <v>549.9</v>
      </c>
      <c r="T30">
        <v>9403.2900000000009</v>
      </c>
      <c r="U30">
        <v>9953.19</v>
      </c>
      <c r="V30">
        <v>361.67</v>
      </c>
      <c r="W30">
        <v>0</v>
      </c>
      <c r="X30" t="s">
        <v>141</v>
      </c>
      <c r="Y30" s="55">
        <v>45978.75</v>
      </c>
      <c r="Z30">
        <v>549.9</v>
      </c>
      <c r="AA30">
        <v>549.9</v>
      </c>
      <c r="AB30">
        <v>0</v>
      </c>
    </row>
    <row r="31" spans="1:28" x14ac:dyDescent="0.2">
      <c r="A31">
        <v>81</v>
      </c>
      <c r="B31">
        <v>5</v>
      </c>
      <c r="C31">
        <v>10</v>
      </c>
      <c r="D31" t="s">
        <v>215</v>
      </c>
      <c r="E31">
        <v>8</v>
      </c>
      <c r="F31" t="s">
        <v>175</v>
      </c>
      <c r="G31" s="55">
        <v>46047.06527777778</v>
      </c>
      <c r="H31">
        <v>1</v>
      </c>
      <c r="I31" t="s">
        <v>216</v>
      </c>
      <c r="J31">
        <v>376</v>
      </c>
      <c r="K31" t="s">
        <v>138</v>
      </c>
      <c r="L31" t="s">
        <v>217</v>
      </c>
      <c r="M31" t="s">
        <v>140</v>
      </c>
      <c r="P31">
        <v>26</v>
      </c>
      <c r="Q31">
        <v>9099</v>
      </c>
      <c r="R31">
        <v>160</v>
      </c>
      <c r="S31">
        <v>0</v>
      </c>
      <c r="T31">
        <v>14558.4</v>
      </c>
      <c r="U31">
        <v>14558.4</v>
      </c>
      <c r="V31">
        <v>559.94000000000005</v>
      </c>
      <c r="W31">
        <v>0</v>
      </c>
      <c r="X31" t="s">
        <v>141</v>
      </c>
      <c r="Y31" s="55">
        <v>45981.75</v>
      </c>
      <c r="Z31">
        <v>0</v>
      </c>
      <c r="AA31">
        <v>0</v>
      </c>
      <c r="AB31">
        <v>0</v>
      </c>
    </row>
    <row r="32" spans="1:28" x14ac:dyDescent="0.2">
      <c r="A32">
        <v>89</v>
      </c>
      <c r="B32">
        <v>9</v>
      </c>
      <c r="C32">
        <v>12</v>
      </c>
      <c r="D32" t="s">
        <v>187</v>
      </c>
      <c r="E32">
        <v>8</v>
      </c>
      <c r="F32" t="s">
        <v>175</v>
      </c>
      <c r="G32" s="55">
        <v>46047.066666666666</v>
      </c>
      <c r="H32">
        <v>54</v>
      </c>
      <c r="I32" t="s">
        <v>218</v>
      </c>
      <c r="J32">
        <v>250</v>
      </c>
      <c r="K32" t="s">
        <v>153</v>
      </c>
      <c r="L32" t="s">
        <v>195</v>
      </c>
      <c r="M32" t="s">
        <v>140</v>
      </c>
      <c r="P32">
        <v>43</v>
      </c>
      <c r="Q32">
        <v>3799</v>
      </c>
      <c r="R32">
        <v>230</v>
      </c>
      <c r="S32">
        <v>799</v>
      </c>
      <c r="T32">
        <v>6900</v>
      </c>
      <c r="U32">
        <v>7699</v>
      </c>
      <c r="V32">
        <v>160.47</v>
      </c>
      <c r="W32">
        <v>0</v>
      </c>
      <c r="X32" t="s">
        <v>141</v>
      </c>
      <c r="Y32" s="55">
        <v>45942.75</v>
      </c>
      <c r="Z32">
        <v>799</v>
      </c>
      <c r="AA32">
        <v>799</v>
      </c>
      <c r="AB32">
        <v>0</v>
      </c>
    </row>
    <row r="33" spans="1:28" x14ac:dyDescent="0.2">
      <c r="A33">
        <v>90</v>
      </c>
      <c r="B33">
        <v>7</v>
      </c>
      <c r="C33">
        <v>21</v>
      </c>
      <c r="D33" t="s">
        <v>189</v>
      </c>
      <c r="E33">
        <v>8</v>
      </c>
      <c r="F33" t="s">
        <v>175</v>
      </c>
      <c r="G33" s="55">
        <v>46047.066666666666</v>
      </c>
      <c r="H33">
        <v>57</v>
      </c>
      <c r="I33" t="s">
        <v>219</v>
      </c>
      <c r="J33">
        <v>248</v>
      </c>
      <c r="K33" t="s">
        <v>158</v>
      </c>
      <c r="L33" t="s">
        <v>220</v>
      </c>
      <c r="M33" t="s">
        <v>140</v>
      </c>
      <c r="P33">
        <v>15</v>
      </c>
      <c r="Q33">
        <v>3999</v>
      </c>
      <c r="R33">
        <v>150</v>
      </c>
      <c r="S33">
        <v>799</v>
      </c>
      <c r="T33">
        <v>4800</v>
      </c>
      <c r="U33">
        <v>5599</v>
      </c>
      <c r="V33">
        <v>320</v>
      </c>
      <c r="W33">
        <v>0</v>
      </c>
      <c r="X33" t="s">
        <v>141</v>
      </c>
      <c r="Y33" s="55">
        <v>45941.75</v>
      </c>
      <c r="Z33">
        <v>799</v>
      </c>
      <c r="AA33">
        <v>799</v>
      </c>
      <c r="AB33">
        <v>0</v>
      </c>
    </row>
    <row r="34" spans="1:28" x14ac:dyDescent="0.2">
      <c r="A34">
        <v>91</v>
      </c>
      <c r="B34">
        <v>4</v>
      </c>
      <c r="C34">
        <v>10002</v>
      </c>
      <c r="D34" t="s">
        <v>161</v>
      </c>
      <c r="E34">
        <v>8</v>
      </c>
      <c r="F34" t="s">
        <v>175</v>
      </c>
      <c r="G34" s="55">
        <v>46047.066666666666</v>
      </c>
      <c r="H34">
        <v>63</v>
      </c>
      <c r="I34" t="s">
        <v>221</v>
      </c>
      <c r="J34">
        <v>247</v>
      </c>
      <c r="K34" t="s">
        <v>153</v>
      </c>
      <c r="L34" t="s">
        <v>222</v>
      </c>
      <c r="M34" t="s">
        <v>140</v>
      </c>
      <c r="P34">
        <v>35</v>
      </c>
      <c r="Q34">
        <v>5299</v>
      </c>
      <c r="R34">
        <v>210</v>
      </c>
      <c r="S34">
        <v>999</v>
      </c>
      <c r="T34">
        <v>9030</v>
      </c>
      <c r="U34">
        <v>10029</v>
      </c>
      <c r="V34">
        <v>258</v>
      </c>
      <c r="W34">
        <v>0</v>
      </c>
      <c r="X34" t="s">
        <v>141</v>
      </c>
      <c r="Y34" s="55">
        <v>45940.75</v>
      </c>
      <c r="Z34">
        <v>999</v>
      </c>
      <c r="AA34">
        <v>999</v>
      </c>
      <c r="AB34">
        <v>0</v>
      </c>
    </row>
    <row r="35" spans="1:28" x14ac:dyDescent="0.2">
      <c r="A35">
        <v>93</v>
      </c>
      <c r="B35">
        <v>4</v>
      </c>
      <c r="C35">
        <v>10002</v>
      </c>
      <c r="D35" t="s">
        <v>161</v>
      </c>
      <c r="E35">
        <v>8</v>
      </c>
      <c r="F35" t="s">
        <v>175</v>
      </c>
      <c r="G35" s="55">
        <v>46047.067361111112</v>
      </c>
      <c r="H35">
        <v>9</v>
      </c>
      <c r="I35" t="s">
        <v>223</v>
      </c>
      <c r="J35">
        <v>252</v>
      </c>
      <c r="K35" t="s">
        <v>138</v>
      </c>
      <c r="L35" t="s">
        <v>224</v>
      </c>
      <c r="M35" t="s">
        <v>140</v>
      </c>
      <c r="P35">
        <v>43</v>
      </c>
      <c r="Q35">
        <v>5399</v>
      </c>
      <c r="R35">
        <v>230</v>
      </c>
      <c r="S35">
        <v>1249</v>
      </c>
      <c r="T35">
        <v>9545</v>
      </c>
      <c r="U35">
        <v>10794</v>
      </c>
      <c r="V35">
        <v>221.98</v>
      </c>
      <c r="W35">
        <v>0</v>
      </c>
      <c r="X35" t="s">
        <v>141</v>
      </c>
      <c r="Y35" s="55">
        <v>45948.75</v>
      </c>
      <c r="Z35">
        <v>1249</v>
      </c>
      <c r="AA35">
        <v>1249</v>
      </c>
      <c r="AB35">
        <v>0</v>
      </c>
    </row>
    <row r="36" spans="1:28" x14ac:dyDescent="0.2">
      <c r="A36">
        <v>96</v>
      </c>
      <c r="B36">
        <v>4</v>
      </c>
      <c r="C36">
        <v>10002</v>
      </c>
      <c r="D36" t="s">
        <v>161</v>
      </c>
      <c r="E36">
        <v>8</v>
      </c>
      <c r="F36" t="s">
        <v>175</v>
      </c>
      <c r="G36" s="55">
        <v>46047.067361111112</v>
      </c>
      <c r="H36">
        <v>46</v>
      </c>
      <c r="I36" t="s">
        <v>225</v>
      </c>
      <c r="J36">
        <v>265</v>
      </c>
      <c r="K36" t="s">
        <v>138</v>
      </c>
      <c r="L36" t="s">
        <v>139</v>
      </c>
      <c r="M36" t="s">
        <v>140</v>
      </c>
      <c r="P36">
        <v>26</v>
      </c>
      <c r="Q36">
        <v>3799</v>
      </c>
      <c r="R36">
        <v>190</v>
      </c>
      <c r="S36">
        <v>799</v>
      </c>
      <c r="T36">
        <v>5700</v>
      </c>
      <c r="U36">
        <v>6499</v>
      </c>
      <c r="V36">
        <v>219.23</v>
      </c>
      <c r="W36">
        <v>0</v>
      </c>
      <c r="X36" t="s">
        <v>141</v>
      </c>
      <c r="Y36" s="55">
        <v>45962.75</v>
      </c>
      <c r="Z36">
        <v>799</v>
      </c>
      <c r="AA36">
        <v>799</v>
      </c>
      <c r="AB36">
        <v>0</v>
      </c>
    </row>
    <row r="37" spans="1:28" x14ac:dyDescent="0.2">
      <c r="A37">
        <v>97</v>
      </c>
      <c r="B37">
        <v>6</v>
      </c>
      <c r="C37">
        <v>7</v>
      </c>
      <c r="D37" t="s">
        <v>226</v>
      </c>
      <c r="E37">
        <v>8</v>
      </c>
      <c r="F37" t="s">
        <v>175</v>
      </c>
      <c r="G37" s="55">
        <v>46047.068055555559</v>
      </c>
      <c r="H37">
        <v>31</v>
      </c>
      <c r="I37" t="s">
        <v>226</v>
      </c>
      <c r="J37">
        <v>259</v>
      </c>
      <c r="K37" t="s">
        <v>227</v>
      </c>
      <c r="L37" t="s">
        <v>228</v>
      </c>
      <c r="M37" t="s">
        <v>140</v>
      </c>
      <c r="P37">
        <v>12</v>
      </c>
      <c r="Q37">
        <v>2200</v>
      </c>
      <c r="R37">
        <v>101</v>
      </c>
      <c r="S37">
        <v>200</v>
      </c>
      <c r="T37">
        <v>2020</v>
      </c>
      <c r="U37">
        <v>2220</v>
      </c>
      <c r="V37">
        <v>168.33</v>
      </c>
      <c r="W37">
        <v>0</v>
      </c>
      <c r="X37" t="s">
        <v>141</v>
      </c>
      <c r="Y37" s="55">
        <v>45945.75</v>
      </c>
      <c r="Z37">
        <v>200</v>
      </c>
      <c r="AA37">
        <v>200</v>
      </c>
      <c r="AB37">
        <v>0</v>
      </c>
    </row>
    <row r="38" spans="1:28" x14ac:dyDescent="0.2">
      <c r="A38">
        <v>100</v>
      </c>
      <c r="B38">
        <v>7</v>
      </c>
      <c r="C38">
        <v>21</v>
      </c>
      <c r="D38" t="s">
        <v>189</v>
      </c>
      <c r="E38">
        <v>8</v>
      </c>
      <c r="F38" t="s">
        <v>175</v>
      </c>
      <c r="G38" s="55">
        <v>46047.068055555559</v>
      </c>
      <c r="H38">
        <v>54</v>
      </c>
      <c r="I38" t="s">
        <v>229</v>
      </c>
      <c r="J38">
        <v>253</v>
      </c>
      <c r="K38" t="s">
        <v>153</v>
      </c>
      <c r="L38" t="s">
        <v>195</v>
      </c>
      <c r="M38" t="s">
        <v>140</v>
      </c>
      <c r="P38">
        <v>26</v>
      </c>
      <c r="Q38">
        <v>3799</v>
      </c>
      <c r="R38">
        <v>190</v>
      </c>
      <c r="S38">
        <v>799</v>
      </c>
      <c r="T38">
        <v>5700</v>
      </c>
      <c r="U38">
        <v>6499</v>
      </c>
      <c r="V38">
        <v>219.23</v>
      </c>
      <c r="W38">
        <v>0</v>
      </c>
      <c r="X38" t="s">
        <v>141</v>
      </c>
      <c r="Y38" s="55">
        <v>45949.75</v>
      </c>
      <c r="Z38">
        <v>799</v>
      </c>
      <c r="AA38">
        <v>799</v>
      </c>
      <c r="AB38">
        <v>0</v>
      </c>
    </row>
    <row r="39" spans="1:28" x14ac:dyDescent="0.2">
      <c r="A39">
        <v>103</v>
      </c>
      <c r="B39">
        <v>7</v>
      </c>
      <c r="C39">
        <v>11</v>
      </c>
      <c r="D39" t="s">
        <v>230</v>
      </c>
      <c r="E39">
        <v>8</v>
      </c>
      <c r="F39" t="s">
        <v>175</v>
      </c>
      <c r="G39" s="55">
        <v>46047.068055555559</v>
      </c>
      <c r="H39">
        <v>55</v>
      </c>
      <c r="I39" t="s">
        <v>231</v>
      </c>
      <c r="J39">
        <v>237</v>
      </c>
      <c r="K39" t="s">
        <v>153</v>
      </c>
      <c r="L39" t="s">
        <v>209</v>
      </c>
      <c r="M39" t="s">
        <v>140</v>
      </c>
      <c r="P39">
        <v>15</v>
      </c>
      <c r="Q39">
        <v>5999</v>
      </c>
      <c r="R39">
        <v>150</v>
      </c>
      <c r="S39">
        <v>1250</v>
      </c>
      <c r="T39">
        <v>7123.5</v>
      </c>
      <c r="U39">
        <v>8373.5</v>
      </c>
      <c r="V39">
        <v>474.9</v>
      </c>
      <c r="W39">
        <v>0</v>
      </c>
      <c r="X39" t="s">
        <v>141</v>
      </c>
      <c r="Y39" s="55">
        <v>45933.75</v>
      </c>
      <c r="Z39">
        <v>1250</v>
      </c>
      <c r="AA39">
        <v>1250</v>
      </c>
      <c r="AB39">
        <v>0</v>
      </c>
    </row>
    <row r="40" spans="1:28" x14ac:dyDescent="0.2">
      <c r="A40">
        <v>104</v>
      </c>
      <c r="B40">
        <v>4</v>
      </c>
      <c r="C40">
        <v>10002</v>
      </c>
      <c r="D40" t="s">
        <v>161</v>
      </c>
      <c r="E40">
        <v>8</v>
      </c>
      <c r="F40" t="s">
        <v>175</v>
      </c>
      <c r="G40" s="55">
        <v>46047.068749999999</v>
      </c>
      <c r="H40">
        <v>57</v>
      </c>
      <c r="I40" t="s">
        <v>189</v>
      </c>
      <c r="J40">
        <v>382</v>
      </c>
      <c r="K40" t="s">
        <v>158</v>
      </c>
      <c r="L40" t="s">
        <v>220</v>
      </c>
      <c r="M40" t="s">
        <v>140</v>
      </c>
      <c r="P40">
        <v>15</v>
      </c>
      <c r="Q40">
        <v>3999</v>
      </c>
      <c r="R40">
        <v>150</v>
      </c>
      <c r="S40">
        <v>799</v>
      </c>
      <c r="T40">
        <v>4800</v>
      </c>
      <c r="U40">
        <v>5599</v>
      </c>
      <c r="V40">
        <v>320</v>
      </c>
      <c r="W40">
        <v>0</v>
      </c>
      <c r="X40" t="s">
        <v>141</v>
      </c>
      <c r="Y40" s="55">
        <v>45934.75</v>
      </c>
      <c r="Z40">
        <v>799</v>
      </c>
      <c r="AA40">
        <v>799</v>
      </c>
      <c r="AB40">
        <v>0</v>
      </c>
    </row>
    <row r="41" spans="1:28" x14ac:dyDescent="0.2">
      <c r="A41">
        <v>105</v>
      </c>
      <c r="B41">
        <v>11</v>
      </c>
      <c r="C41">
        <v>13</v>
      </c>
      <c r="D41" t="s">
        <v>167</v>
      </c>
      <c r="E41">
        <v>8</v>
      </c>
      <c r="F41" t="s">
        <v>175</v>
      </c>
      <c r="G41" s="55">
        <v>46047.068749999999</v>
      </c>
      <c r="H41">
        <v>54</v>
      </c>
      <c r="I41" t="s">
        <v>232</v>
      </c>
      <c r="J41">
        <v>383</v>
      </c>
      <c r="K41" t="s">
        <v>153</v>
      </c>
      <c r="L41" t="s">
        <v>195</v>
      </c>
      <c r="M41" t="s">
        <v>140</v>
      </c>
      <c r="P41">
        <v>43</v>
      </c>
      <c r="Q41">
        <v>3799</v>
      </c>
      <c r="R41">
        <v>230</v>
      </c>
      <c r="S41">
        <v>799</v>
      </c>
      <c r="T41">
        <v>6900</v>
      </c>
      <c r="U41">
        <v>7699</v>
      </c>
      <c r="V41">
        <v>160.47</v>
      </c>
      <c r="W41">
        <v>0</v>
      </c>
      <c r="X41" t="s">
        <v>141</v>
      </c>
      <c r="Y41" s="55">
        <v>45933.75</v>
      </c>
      <c r="Z41">
        <v>799</v>
      </c>
      <c r="AA41">
        <v>799</v>
      </c>
      <c r="AB41">
        <v>0</v>
      </c>
    </row>
    <row r="42" spans="1:28" x14ac:dyDescent="0.2">
      <c r="A42">
        <v>109</v>
      </c>
      <c r="B42">
        <v>13</v>
      </c>
      <c r="C42">
        <v>31</v>
      </c>
      <c r="D42" t="s">
        <v>170</v>
      </c>
      <c r="E42">
        <v>8</v>
      </c>
      <c r="F42" t="s">
        <v>175</v>
      </c>
      <c r="G42" s="55">
        <v>46047.068749999999</v>
      </c>
      <c r="H42">
        <v>57</v>
      </c>
      <c r="I42" t="s">
        <v>233</v>
      </c>
      <c r="J42">
        <v>241</v>
      </c>
      <c r="K42" t="s">
        <v>158</v>
      </c>
      <c r="L42" t="s">
        <v>220</v>
      </c>
      <c r="M42" t="s">
        <v>140</v>
      </c>
      <c r="P42">
        <v>35</v>
      </c>
      <c r="Q42">
        <v>3999</v>
      </c>
      <c r="R42">
        <v>210</v>
      </c>
      <c r="S42">
        <v>799</v>
      </c>
      <c r="T42">
        <v>6720</v>
      </c>
      <c r="U42">
        <v>7519</v>
      </c>
      <c r="V42">
        <v>192</v>
      </c>
      <c r="W42">
        <v>0</v>
      </c>
      <c r="X42" t="s">
        <v>141</v>
      </c>
      <c r="Y42" s="55">
        <v>45935.75</v>
      </c>
      <c r="Z42">
        <v>799</v>
      </c>
      <c r="AA42">
        <v>799</v>
      </c>
      <c r="AB42">
        <v>0</v>
      </c>
    </row>
    <row r="43" spans="1:28" x14ac:dyDescent="0.2">
      <c r="A43">
        <v>111</v>
      </c>
      <c r="B43">
        <v>6</v>
      </c>
      <c r="C43">
        <v>10002</v>
      </c>
      <c r="D43" t="s">
        <v>161</v>
      </c>
      <c r="E43">
        <v>8</v>
      </c>
      <c r="F43" t="s">
        <v>175</v>
      </c>
      <c r="G43" s="55">
        <v>46047.068749999999</v>
      </c>
      <c r="H43">
        <v>59</v>
      </c>
      <c r="I43" t="s">
        <v>234</v>
      </c>
      <c r="J43">
        <v>218</v>
      </c>
      <c r="K43" t="s">
        <v>235</v>
      </c>
      <c r="L43" t="s">
        <v>236</v>
      </c>
      <c r="M43" t="s">
        <v>140</v>
      </c>
      <c r="P43">
        <v>18</v>
      </c>
      <c r="Q43">
        <v>3799</v>
      </c>
      <c r="R43">
        <v>170</v>
      </c>
      <c r="S43">
        <v>799</v>
      </c>
      <c r="T43">
        <v>5100</v>
      </c>
      <c r="U43">
        <v>5899</v>
      </c>
      <c r="V43">
        <v>283.33</v>
      </c>
      <c r="W43">
        <v>0</v>
      </c>
      <c r="X43" t="s">
        <v>141</v>
      </c>
      <c r="Y43" s="55">
        <v>45919.75</v>
      </c>
      <c r="Z43">
        <v>799</v>
      </c>
      <c r="AA43">
        <v>799</v>
      </c>
      <c r="AB43">
        <v>0</v>
      </c>
    </row>
    <row r="44" spans="1:28" x14ac:dyDescent="0.2">
      <c r="A44">
        <v>113</v>
      </c>
      <c r="B44">
        <v>5</v>
      </c>
      <c r="C44">
        <v>10002</v>
      </c>
      <c r="D44" t="s">
        <v>161</v>
      </c>
      <c r="E44">
        <v>8</v>
      </c>
      <c r="F44" t="s">
        <v>175</v>
      </c>
      <c r="G44" s="55">
        <v>46047.069444444445</v>
      </c>
      <c r="H44">
        <v>63</v>
      </c>
      <c r="I44" t="s">
        <v>237</v>
      </c>
      <c r="J44">
        <v>387</v>
      </c>
      <c r="K44" t="s">
        <v>153</v>
      </c>
      <c r="L44" t="s">
        <v>222</v>
      </c>
      <c r="M44" t="s">
        <v>140</v>
      </c>
      <c r="P44">
        <v>26</v>
      </c>
      <c r="Q44">
        <v>5799</v>
      </c>
      <c r="R44">
        <v>190</v>
      </c>
      <c r="S44">
        <v>999</v>
      </c>
      <c r="T44">
        <v>9120</v>
      </c>
      <c r="U44">
        <v>10119</v>
      </c>
      <c r="V44">
        <v>350.77</v>
      </c>
      <c r="W44">
        <v>0</v>
      </c>
      <c r="X44" t="s">
        <v>141</v>
      </c>
      <c r="Y44" s="55">
        <v>45924.75</v>
      </c>
      <c r="Z44">
        <v>999</v>
      </c>
      <c r="AA44">
        <v>999</v>
      </c>
      <c r="AB44">
        <v>0</v>
      </c>
    </row>
    <row r="45" spans="1:28" x14ac:dyDescent="0.2">
      <c r="A45">
        <v>115</v>
      </c>
      <c r="B45">
        <v>6</v>
      </c>
      <c r="C45">
        <v>10002</v>
      </c>
      <c r="D45" t="s">
        <v>161</v>
      </c>
      <c r="E45">
        <v>8</v>
      </c>
      <c r="F45" t="s">
        <v>175</v>
      </c>
      <c r="G45" s="55">
        <v>46047.069444444445</v>
      </c>
      <c r="H45">
        <v>54</v>
      </c>
      <c r="I45" t="s">
        <v>238</v>
      </c>
      <c r="J45">
        <v>389</v>
      </c>
      <c r="K45" t="s">
        <v>153</v>
      </c>
      <c r="L45" t="s">
        <v>195</v>
      </c>
      <c r="M45" t="s">
        <v>140</v>
      </c>
      <c r="P45">
        <v>15</v>
      </c>
      <c r="Q45">
        <v>3799</v>
      </c>
      <c r="R45">
        <v>150</v>
      </c>
      <c r="S45">
        <v>799</v>
      </c>
      <c r="T45">
        <v>4500</v>
      </c>
      <c r="U45">
        <v>5299</v>
      </c>
      <c r="V45">
        <v>300</v>
      </c>
      <c r="W45">
        <v>0</v>
      </c>
      <c r="X45" t="s">
        <v>141</v>
      </c>
      <c r="Y45" s="55">
        <v>45920.75</v>
      </c>
      <c r="Z45">
        <v>799</v>
      </c>
      <c r="AA45">
        <v>799</v>
      </c>
      <c r="AB45">
        <v>0</v>
      </c>
    </row>
    <row r="46" spans="1:28" x14ac:dyDescent="0.2">
      <c r="A46">
        <v>116</v>
      </c>
      <c r="B46">
        <v>13</v>
      </c>
      <c r="C46">
        <v>31</v>
      </c>
      <c r="D46" t="s">
        <v>170</v>
      </c>
      <c r="E46">
        <v>8</v>
      </c>
      <c r="F46" t="s">
        <v>175</v>
      </c>
      <c r="G46" s="55">
        <v>46047.069444444445</v>
      </c>
      <c r="H46">
        <v>66</v>
      </c>
      <c r="I46" t="s">
        <v>239</v>
      </c>
      <c r="J46">
        <v>222</v>
      </c>
      <c r="K46" t="s">
        <v>240</v>
      </c>
      <c r="L46" t="s">
        <v>241</v>
      </c>
      <c r="M46" t="s">
        <v>140</v>
      </c>
      <c r="P46">
        <v>18</v>
      </c>
      <c r="Q46">
        <v>3999</v>
      </c>
      <c r="R46">
        <v>170</v>
      </c>
      <c r="S46">
        <v>799</v>
      </c>
      <c r="T46">
        <v>5440</v>
      </c>
      <c r="U46">
        <v>6239</v>
      </c>
      <c r="V46">
        <v>302.22000000000003</v>
      </c>
      <c r="W46">
        <v>0</v>
      </c>
      <c r="X46" t="s">
        <v>141</v>
      </c>
      <c r="Y46" s="55">
        <v>45922.75</v>
      </c>
      <c r="Z46">
        <v>799</v>
      </c>
      <c r="AA46">
        <v>799</v>
      </c>
      <c r="AB46">
        <v>0</v>
      </c>
    </row>
    <row r="47" spans="1:28" x14ac:dyDescent="0.2">
      <c r="A47">
        <v>123</v>
      </c>
      <c r="B47">
        <v>12</v>
      </c>
      <c r="C47">
        <v>15</v>
      </c>
      <c r="D47" t="s">
        <v>148</v>
      </c>
      <c r="E47">
        <v>8</v>
      </c>
      <c r="F47" t="s">
        <v>175</v>
      </c>
      <c r="G47" s="55">
        <v>46047.070138888892</v>
      </c>
      <c r="H47">
        <v>54</v>
      </c>
      <c r="I47" t="s">
        <v>242</v>
      </c>
      <c r="J47">
        <v>234</v>
      </c>
      <c r="K47" t="s">
        <v>153</v>
      </c>
      <c r="L47" t="s">
        <v>195</v>
      </c>
      <c r="M47" t="s">
        <v>140</v>
      </c>
      <c r="P47">
        <v>43</v>
      </c>
      <c r="Q47">
        <v>3799</v>
      </c>
      <c r="R47">
        <v>230</v>
      </c>
      <c r="S47">
        <v>799</v>
      </c>
      <c r="T47">
        <v>6900</v>
      </c>
      <c r="U47">
        <v>7699</v>
      </c>
      <c r="V47">
        <v>160.47</v>
      </c>
      <c r="W47">
        <v>0</v>
      </c>
      <c r="X47" t="s">
        <v>141</v>
      </c>
      <c r="Y47" s="55">
        <v>45932.75</v>
      </c>
      <c r="Z47">
        <v>799</v>
      </c>
      <c r="AA47">
        <v>799</v>
      </c>
      <c r="AB47">
        <v>0</v>
      </c>
    </row>
    <row r="48" spans="1:28" x14ac:dyDescent="0.2">
      <c r="A48">
        <v>124</v>
      </c>
      <c r="B48">
        <v>5</v>
      </c>
      <c r="C48">
        <v>10</v>
      </c>
      <c r="D48" t="s">
        <v>215</v>
      </c>
      <c r="E48">
        <v>8</v>
      </c>
      <c r="F48" t="s">
        <v>175</v>
      </c>
      <c r="G48" s="55">
        <v>46047.070138888892</v>
      </c>
      <c r="H48">
        <v>55</v>
      </c>
      <c r="I48" t="s">
        <v>243</v>
      </c>
      <c r="J48">
        <v>230</v>
      </c>
      <c r="K48" t="s">
        <v>153</v>
      </c>
      <c r="L48" t="s">
        <v>209</v>
      </c>
      <c r="M48" t="s">
        <v>140</v>
      </c>
      <c r="P48">
        <v>35</v>
      </c>
      <c r="Q48">
        <v>5999</v>
      </c>
      <c r="R48">
        <v>210</v>
      </c>
      <c r="S48">
        <v>999</v>
      </c>
      <c r="T48">
        <v>10500</v>
      </c>
      <c r="U48">
        <v>11499</v>
      </c>
      <c r="V48">
        <v>300</v>
      </c>
      <c r="W48">
        <v>0</v>
      </c>
      <c r="X48" t="s">
        <v>141</v>
      </c>
      <c r="Y48" s="55">
        <v>45930.75</v>
      </c>
      <c r="Z48">
        <v>999</v>
      </c>
      <c r="AA48">
        <v>999</v>
      </c>
      <c r="AB48">
        <v>0</v>
      </c>
    </row>
    <row r="49" spans="1:28" x14ac:dyDescent="0.2">
      <c r="A49">
        <v>125</v>
      </c>
      <c r="B49">
        <v>6</v>
      </c>
      <c r="C49">
        <v>10002</v>
      </c>
      <c r="D49" t="s">
        <v>161</v>
      </c>
      <c r="E49">
        <v>8</v>
      </c>
      <c r="F49" t="s">
        <v>175</v>
      </c>
      <c r="G49" s="55">
        <v>46047.070138888892</v>
      </c>
      <c r="H49">
        <v>9</v>
      </c>
      <c r="I49" t="s">
        <v>244</v>
      </c>
      <c r="J49">
        <v>233</v>
      </c>
      <c r="K49" t="s">
        <v>138</v>
      </c>
      <c r="L49" t="s">
        <v>224</v>
      </c>
      <c r="M49" t="s">
        <v>140</v>
      </c>
      <c r="P49">
        <v>20</v>
      </c>
      <c r="Q49">
        <v>5899</v>
      </c>
      <c r="R49">
        <v>100</v>
      </c>
      <c r="S49">
        <v>624.5</v>
      </c>
      <c r="T49">
        <v>5274.5</v>
      </c>
      <c r="U49">
        <v>5899</v>
      </c>
      <c r="V49">
        <v>263.73</v>
      </c>
      <c r="W49">
        <v>0</v>
      </c>
      <c r="X49" t="s">
        <v>141</v>
      </c>
      <c r="Y49" s="55">
        <v>45932.75</v>
      </c>
      <c r="Z49">
        <v>624.5</v>
      </c>
      <c r="AA49">
        <v>624.5</v>
      </c>
      <c r="AB49">
        <v>0</v>
      </c>
    </row>
    <row r="50" spans="1:28" x14ac:dyDescent="0.2">
      <c r="A50">
        <v>126</v>
      </c>
      <c r="B50">
        <v>5</v>
      </c>
      <c r="C50">
        <v>10</v>
      </c>
      <c r="D50" t="s">
        <v>215</v>
      </c>
      <c r="E50">
        <v>8</v>
      </c>
      <c r="F50" t="s">
        <v>175</v>
      </c>
      <c r="G50" s="55">
        <v>46047.070138888892</v>
      </c>
      <c r="H50">
        <v>58</v>
      </c>
      <c r="I50" t="s">
        <v>245</v>
      </c>
      <c r="J50">
        <v>232</v>
      </c>
      <c r="K50" t="s">
        <v>153</v>
      </c>
      <c r="L50" t="s">
        <v>201</v>
      </c>
      <c r="M50" t="s">
        <v>140</v>
      </c>
      <c r="P50">
        <v>35</v>
      </c>
      <c r="Q50">
        <v>8799</v>
      </c>
      <c r="R50">
        <v>210</v>
      </c>
      <c r="S50">
        <v>1999</v>
      </c>
      <c r="T50">
        <v>14280</v>
      </c>
      <c r="U50">
        <v>16279</v>
      </c>
      <c r="V50">
        <v>408</v>
      </c>
      <c r="W50">
        <v>0</v>
      </c>
      <c r="X50" t="s">
        <v>141</v>
      </c>
      <c r="Y50" s="55">
        <v>45930.75</v>
      </c>
      <c r="Z50">
        <v>1999</v>
      </c>
      <c r="AA50">
        <v>1999</v>
      </c>
      <c r="AB50">
        <v>0</v>
      </c>
    </row>
    <row r="51" spans="1:28" x14ac:dyDescent="0.2">
      <c r="A51">
        <v>128</v>
      </c>
      <c r="B51">
        <v>4</v>
      </c>
      <c r="C51">
        <v>10002</v>
      </c>
      <c r="D51" t="s">
        <v>161</v>
      </c>
      <c r="E51">
        <v>8</v>
      </c>
      <c r="F51" t="s">
        <v>175</v>
      </c>
      <c r="G51" s="55">
        <v>46047.070833333331</v>
      </c>
      <c r="H51">
        <v>55</v>
      </c>
      <c r="I51" t="s">
        <v>246</v>
      </c>
      <c r="J51">
        <v>217</v>
      </c>
      <c r="K51" t="s">
        <v>153</v>
      </c>
      <c r="L51" t="s">
        <v>209</v>
      </c>
      <c r="M51" t="s">
        <v>140</v>
      </c>
      <c r="P51">
        <v>15</v>
      </c>
      <c r="Q51">
        <v>6499</v>
      </c>
      <c r="R51">
        <v>150</v>
      </c>
      <c r="S51">
        <v>1249.5</v>
      </c>
      <c r="T51">
        <v>7874.25</v>
      </c>
      <c r="U51">
        <v>9123.75</v>
      </c>
      <c r="V51">
        <v>524.95000000000005</v>
      </c>
      <c r="W51">
        <v>0</v>
      </c>
      <c r="X51" t="s">
        <v>141</v>
      </c>
      <c r="Y51" s="55">
        <v>45917.75</v>
      </c>
      <c r="Z51">
        <v>1249.5</v>
      </c>
      <c r="AA51">
        <v>1249.5</v>
      </c>
      <c r="AB51">
        <v>0</v>
      </c>
    </row>
    <row r="52" spans="1:28" x14ac:dyDescent="0.2">
      <c r="A52">
        <v>130</v>
      </c>
      <c r="B52">
        <v>12</v>
      </c>
      <c r="C52">
        <v>25</v>
      </c>
      <c r="D52" t="s">
        <v>151</v>
      </c>
      <c r="E52">
        <v>8</v>
      </c>
      <c r="F52" t="s">
        <v>175</v>
      </c>
      <c r="G52" s="55">
        <v>46047.070833333331</v>
      </c>
      <c r="H52">
        <v>54</v>
      </c>
      <c r="I52" t="s">
        <v>152</v>
      </c>
      <c r="J52">
        <v>329</v>
      </c>
      <c r="K52" t="s">
        <v>153</v>
      </c>
      <c r="L52" t="s">
        <v>195</v>
      </c>
      <c r="M52" t="s">
        <v>140</v>
      </c>
      <c r="P52">
        <v>18</v>
      </c>
      <c r="Q52">
        <v>3799</v>
      </c>
      <c r="R52">
        <v>170</v>
      </c>
      <c r="S52">
        <v>799</v>
      </c>
      <c r="T52">
        <v>5100</v>
      </c>
      <c r="U52">
        <v>5899</v>
      </c>
      <c r="V52">
        <v>283.33</v>
      </c>
      <c r="W52">
        <v>0</v>
      </c>
      <c r="X52" t="s">
        <v>141</v>
      </c>
      <c r="Y52" s="55">
        <v>45913.75</v>
      </c>
      <c r="Z52">
        <v>799</v>
      </c>
      <c r="AA52">
        <v>799</v>
      </c>
      <c r="AB52">
        <v>0</v>
      </c>
    </row>
    <row r="53" spans="1:28" x14ac:dyDescent="0.2">
      <c r="A53">
        <v>131</v>
      </c>
      <c r="B53">
        <v>4</v>
      </c>
      <c r="C53">
        <v>10002</v>
      </c>
      <c r="D53" t="s">
        <v>161</v>
      </c>
      <c r="E53">
        <v>8</v>
      </c>
      <c r="F53" t="s">
        <v>175</v>
      </c>
      <c r="G53" s="55">
        <v>46047.070833333331</v>
      </c>
      <c r="H53">
        <v>66</v>
      </c>
      <c r="I53" t="s">
        <v>247</v>
      </c>
      <c r="J53">
        <v>396</v>
      </c>
      <c r="K53" t="s">
        <v>240</v>
      </c>
      <c r="L53" t="s">
        <v>241</v>
      </c>
      <c r="M53" t="s">
        <v>140</v>
      </c>
      <c r="P53">
        <v>35</v>
      </c>
      <c r="Q53">
        <v>3999</v>
      </c>
      <c r="R53">
        <v>210</v>
      </c>
      <c r="S53">
        <v>799</v>
      </c>
      <c r="T53">
        <v>6720</v>
      </c>
      <c r="U53">
        <v>7519</v>
      </c>
      <c r="V53">
        <v>192</v>
      </c>
      <c r="W53">
        <v>0</v>
      </c>
      <c r="X53" t="s">
        <v>141</v>
      </c>
      <c r="Y53" s="55">
        <v>45911.75</v>
      </c>
      <c r="Z53">
        <v>799</v>
      </c>
      <c r="AA53">
        <v>799</v>
      </c>
      <c r="AB53">
        <v>0</v>
      </c>
    </row>
    <row r="54" spans="1:28" x14ac:dyDescent="0.2">
      <c r="A54">
        <v>132</v>
      </c>
      <c r="B54">
        <v>11</v>
      </c>
      <c r="C54">
        <v>13</v>
      </c>
      <c r="D54" t="s">
        <v>167</v>
      </c>
      <c r="E54">
        <v>8</v>
      </c>
      <c r="F54" t="s">
        <v>175</v>
      </c>
      <c r="G54" s="55">
        <v>46047.070833333331</v>
      </c>
      <c r="H54">
        <v>54</v>
      </c>
      <c r="I54" t="s">
        <v>248</v>
      </c>
      <c r="J54">
        <v>397</v>
      </c>
      <c r="K54" t="s">
        <v>153</v>
      </c>
      <c r="L54" t="s">
        <v>195</v>
      </c>
      <c r="M54" t="s">
        <v>140</v>
      </c>
      <c r="P54">
        <v>43</v>
      </c>
      <c r="Q54">
        <v>3799</v>
      </c>
      <c r="R54">
        <v>230</v>
      </c>
      <c r="S54">
        <v>799</v>
      </c>
      <c r="T54">
        <v>6900</v>
      </c>
      <c r="U54">
        <v>7699</v>
      </c>
      <c r="V54">
        <v>160.47</v>
      </c>
      <c r="W54">
        <v>0</v>
      </c>
      <c r="X54" t="s">
        <v>141</v>
      </c>
      <c r="Y54" s="55">
        <v>45916.75</v>
      </c>
      <c r="Z54">
        <v>799</v>
      </c>
      <c r="AA54">
        <v>799</v>
      </c>
      <c r="AB54">
        <v>0</v>
      </c>
    </row>
    <row r="55" spans="1:28" x14ac:dyDescent="0.2">
      <c r="A55">
        <v>133</v>
      </c>
      <c r="B55">
        <v>8</v>
      </c>
      <c r="C55">
        <v>10002</v>
      </c>
      <c r="D55" t="s">
        <v>161</v>
      </c>
      <c r="E55">
        <v>8</v>
      </c>
      <c r="F55" t="s">
        <v>175</v>
      </c>
      <c r="G55" s="55">
        <v>46047.070833333331</v>
      </c>
      <c r="H55">
        <v>54</v>
      </c>
      <c r="I55" t="s">
        <v>249</v>
      </c>
      <c r="J55">
        <v>398</v>
      </c>
      <c r="K55" t="s">
        <v>153</v>
      </c>
      <c r="L55" t="s">
        <v>195</v>
      </c>
      <c r="M55" t="s">
        <v>140</v>
      </c>
      <c r="P55">
        <v>15</v>
      </c>
      <c r="Q55">
        <v>3799</v>
      </c>
      <c r="R55">
        <v>150</v>
      </c>
      <c r="S55">
        <v>799</v>
      </c>
      <c r="T55">
        <v>4500</v>
      </c>
      <c r="U55">
        <v>5299</v>
      </c>
      <c r="V55">
        <v>300</v>
      </c>
      <c r="W55">
        <v>0</v>
      </c>
      <c r="X55" t="s">
        <v>141</v>
      </c>
      <c r="Y55" s="55">
        <v>45916.75</v>
      </c>
      <c r="Z55">
        <v>799</v>
      </c>
      <c r="AA55">
        <v>799</v>
      </c>
      <c r="AB55">
        <v>0</v>
      </c>
    </row>
    <row r="56" spans="1:28" x14ac:dyDescent="0.2">
      <c r="A56">
        <v>140</v>
      </c>
      <c r="B56">
        <v>9</v>
      </c>
      <c r="C56">
        <v>12</v>
      </c>
      <c r="D56" t="s">
        <v>187</v>
      </c>
      <c r="E56">
        <v>8</v>
      </c>
      <c r="F56" t="s">
        <v>175</v>
      </c>
      <c r="G56" s="55">
        <v>46047.071527777778</v>
      </c>
      <c r="H56">
        <v>54</v>
      </c>
      <c r="I56" t="s">
        <v>250</v>
      </c>
      <c r="J56">
        <v>198</v>
      </c>
      <c r="K56" t="s">
        <v>153</v>
      </c>
      <c r="L56" t="s">
        <v>195</v>
      </c>
      <c r="M56" t="s">
        <v>140</v>
      </c>
      <c r="P56">
        <v>15</v>
      </c>
      <c r="Q56">
        <v>3799</v>
      </c>
      <c r="R56">
        <v>150</v>
      </c>
      <c r="S56">
        <v>799</v>
      </c>
      <c r="T56">
        <v>4500</v>
      </c>
      <c r="U56">
        <v>5299</v>
      </c>
      <c r="V56">
        <v>300</v>
      </c>
      <c r="W56">
        <v>0</v>
      </c>
      <c r="X56" t="s">
        <v>141</v>
      </c>
      <c r="Y56" s="55">
        <v>45884.75</v>
      </c>
      <c r="Z56">
        <v>799</v>
      </c>
      <c r="AA56">
        <v>799</v>
      </c>
      <c r="AB56">
        <v>0</v>
      </c>
    </row>
    <row r="57" spans="1:28" x14ac:dyDescent="0.2">
      <c r="A57">
        <v>141</v>
      </c>
      <c r="B57">
        <v>12</v>
      </c>
      <c r="C57">
        <v>15</v>
      </c>
      <c r="D57" t="s">
        <v>148</v>
      </c>
      <c r="E57">
        <v>8</v>
      </c>
      <c r="F57" t="s">
        <v>175</v>
      </c>
      <c r="G57" s="55">
        <v>46047.071527777778</v>
      </c>
      <c r="H57">
        <v>54</v>
      </c>
      <c r="I57" t="s">
        <v>200</v>
      </c>
      <c r="J57">
        <v>45</v>
      </c>
      <c r="K57" t="s">
        <v>153</v>
      </c>
      <c r="L57" t="s">
        <v>195</v>
      </c>
      <c r="M57" t="s">
        <v>140</v>
      </c>
      <c r="P57">
        <v>18</v>
      </c>
      <c r="Q57">
        <v>3799</v>
      </c>
      <c r="R57">
        <v>155</v>
      </c>
      <c r="S57">
        <v>399.5</v>
      </c>
      <c r="T57">
        <v>5269.23</v>
      </c>
      <c r="U57">
        <v>5668.73</v>
      </c>
      <c r="V57">
        <v>292.73</v>
      </c>
      <c r="W57">
        <v>0</v>
      </c>
      <c r="X57" t="s">
        <v>141</v>
      </c>
      <c r="Y57" s="55">
        <v>45880.75</v>
      </c>
      <c r="Z57">
        <v>399.5</v>
      </c>
      <c r="AA57">
        <v>399.5</v>
      </c>
      <c r="AB57">
        <v>0</v>
      </c>
    </row>
    <row r="58" spans="1:28" x14ac:dyDescent="0.2">
      <c r="A58">
        <v>142</v>
      </c>
      <c r="B58">
        <v>9</v>
      </c>
      <c r="C58">
        <v>12</v>
      </c>
      <c r="D58" t="s">
        <v>187</v>
      </c>
      <c r="E58">
        <v>8</v>
      </c>
      <c r="F58" t="s">
        <v>175</v>
      </c>
      <c r="G58" s="55">
        <v>46047.071527777778</v>
      </c>
      <c r="H58">
        <v>63</v>
      </c>
      <c r="I58" t="s">
        <v>251</v>
      </c>
      <c r="J58">
        <v>191</v>
      </c>
      <c r="K58" t="s">
        <v>153</v>
      </c>
      <c r="L58" t="s">
        <v>222</v>
      </c>
      <c r="M58" t="s">
        <v>140</v>
      </c>
      <c r="P58">
        <v>43</v>
      </c>
      <c r="Q58">
        <v>5299</v>
      </c>
      <c r="R58">
        <v>230</v>
      </c>
      <c r="S58">
        <v>999</v>
      </c>
      <c r="T58">
        <v>9890</v>
      </c>
      <c r="U58">
        <v>10889</v>
      </c>
      <c r="V58">
        <v>230</v>
      </c>
      <c r="W58">
        <v>0</v>
      </c>
      <c r="X58" t="s">
        <v>141</v>
      </c>
      <c r="Y58" s="55">
        <v>45876.75</v>
      </c>
      <c r="Z58">
        <v>999</v>
      </c>
      <c r="AA58">
        <v>999</v>
      </c>
      <c r="AB58">
        <v>0</v>
      </c>
    </row>
    <row r="59" spans="1:28" x14ac:dyDescent="0.2">
      <c r="A59">
        <v>143</v>
      </c>
      <c r="B59">
        <v>11</v>
      </c>
      <c r="C59">
        <v>13</v>
      </c>
      <c r="D59" t="s">
        <v>167</v>
      </c>
      <c r="E59">
        <v>8</v>
      </c>
      <c r="F59" t="s">
        <v>175</v>
      </c>
      <c r="G59" s="55">
        <v>46047.071527777778</v>
      </c>
      <c r="H59">
        <v>63</v>
      </c>
      <c r="I59" t="s">
        <v>252</v>
      </c>
      <c r="J59">
        <v>400</v>
      </c>
      <c r="K59" t="s">
        <v>153</v>
      </c>
      <c r="L59" t="s">
        <v>222</v>
      </c>
      <c r="M59" t="s">
        <v>140</v>
      </c>
      <c r="P59">
        <v>35</v>
      </c>
      <c r="Q59">
        <v>5299</v>
      </c>
      <c r="R59">
        <v>210</v>
      </c>
      <c r="S59">
        <v>999</v>
      </c>
      <c r="T59">
        <v>9030</v>
      </c>
      <c r="U59">
        <v>10029</v>
      </c>
      <c r="V59">
        <v>258</v>
      </c>
      <c r="W59">
        <v>0</v>
      </c>
      <c r="X59" t="s">
        <v>141</v>
      </c>
      <c r="Y59" s="55">
        <v>45880.75</v>
      </c>
      <c r="Z59">
        <v>999</v>
      </c>
      <c r="AA59">
        <v>999</v>
      </c>
      <c r="AB59">
        <v>0</v>
      </c>
    </row>
    <row r="60" spans="1:28" x14ac:dyDescent="0.2">
      <c r="A60">
        <v>145</v>
      </c>
      <c r="B60">
        <v>11</v>
      </c>
      <c r="C60">
        <v>13</v>
      </c>
      <c r="D60" t="s">
        <v>167</v>
      </c>
      <c r="E60">
        <v>8</v>
      </c>
      <c r="F60" t="s">
        <v>175</v>
      </c>
      <c r="G60" s="55">
        <v>46047.072222222225</v>
      </c>
      <c r="H60">
        <v>54</v>
      </c>
      <c r="I60" t="s">
        <v>253</v>
      </c>
      <c r="J60">
        <v>401</v>
      </c>
      <c r="K60" t="s">
        <v>153</v>
      </c>
      <c r="L60" t="s">
        <v>195</v>
      </c>
      <c r="M60" t="s">
        <v>140</v>
      </c>
      <c r="P60">
        <v>15</v>
      </c>
      <c r="Q60">
        <v>3799</v>
      </c>
      <c r="R60">
        <v>150</v>
      </c>
      <c r="S60">
        <v>799</v>
      </c>
      <c r="T60">
        <v>4500</v>
      </c>
      <c r="U60">
        <v>5299</v>
      </c>
      <c r="V60">
        <v>300</v>
      </c>
      <c r="W60">
        <v>0</v>
      </c>
      <c r="X60" t="s">
        <v>141</v>
      </c>
      <c r="Y60" s="55">
        <v>45873.75</v>
      </c>
      <c r="Z60">
        <v>799</v>
      </c>
      <c r="AA60">
        <v>799</v>
      </c>
      <c r="AB60">
        <v>0</v>
      </c>
    </row>
    <row r="61" spans="1:28" x14ac:dyDescent="0.2">
      <c r="A61">
        <v>147</v>
      </c>
      <c r="B61">
        <v>5</v>
      </c>
      <c r="C61">
        <v>10002</v>
      </c>
      <c r="D61" t="s">
        <v>161</v>
      </c>
      <c r="E61">
        <v>8</v>
      </c>
      <c r="F61" t="s">
        <v>175</v>
      </c>
      <c r="G61" s="55">
        <v>46047.072222222225</v>
      </c>
      <c r="H61">
        <v>63</v>
      </c>
      <c r="I61" t="s">
        <v>254</v>
      </c>
      <c r="J61">
        <v>402</v>
      </c>
      <c r="K61" t="s">
        <v>153</v>
      </c>
      <c r="L61" t="s">
        <v>222</v>
      </c>
      <c r="M61" t="s">
        <v>140</v>
      </c>
      <c r="P61">
        <v>43</v>
      </c>
      <c r="Q61">
        <v>5299</v>
      </c>
      <c r="R61">
        <v>230</v>
      </c>
      <c r="S61">
        <v>999</v>
      </c>
      <c r="T61">
        <v>9890</v>
      </c>
      <c r="U61">
        <v>10889</v>
      </c>
      <c r="V61">
        <v>230</v>
      </c>
      <c r="W61">
        <v>0</v>
      </c>
      <c r="X61" t="s">
        <v>141</v>
      </c>
      <c r="Y61" s="55">
        <v>45873.75</v>
      </c>
      <c r="Z61">
        <v>999</v>
      </c>
      <c r="AA61">
        <v>999</v>
      </c>
      <c r="AB61">
        <v>0</v>
      </c>
    </row>
    <row r="62" spans="1:28" x14ac:dyDescent="0.2">
      <c r="A62">
        <v>148</v>
      </c>
      <c r="B62">
        <v>10</v>
      </c>
      <c r="C62">
        <v>24</v>
      </c>
      <c r="D62" t="s">
        <v>207</v>
      </c>
      <c r="E62">
        <v>8</v>
      </c>
      <c r="F62" t="s">
        <v>175</v>
      </c>
      <c r="G62" s="55">
        <v>46047.072222222225</v>
      </c>
      <c r="H62">
        <v>54</v>
      </c>
      <c r="I62" t="s">
        <v>255</v>
      </c>
      <c r="J62">
        <v>187</v>
      </c>
      <c r="K62" t="s">
        <v>153</v>
      </c>
      <c r="L62" t="s">
        <v>195</v>
      </c>
      <c r="M62" t="s">
        <v>140</v>
      </c>
      <c r="P62">
        <v>15</v>
      </c>
      <c r="Q62">
        <v>3799</v>
      </c>
      <c r="R62">
        <v>150</v>
      </c>
      <c r="S62">
        <v>799</v>
      </c>
      <c r="T62">
        <v>4500</v>
      </c>
      <c r="U62">
        <v>5299</v>
      </c>
      <c r="V62">
        <v>300</v>
      </c>
      <c r="W62">
        <v>0</v>
      </c>
      <c r="X62" t="s">
        <v>141</v>
      </c>
      <c r="Y62" s="55">
        <v>45873.75</v>
      </c>
      <c r="Z62">
        <v>799</v>
      </c>
      <c r="AA62">
        <v>799</v>
      </c>
      <c r="AB62">
        <v>0</v>
      </c>
    </row>
    <row r="63" spans="1:28" x14ac:dyDescent="0.2">
      <c r="A63">
        <v>149</v>
      </c>
      <c r="B63">
        <v>9</v>
      </c>
      <c r="C63">
        <v>12</v>
      </c>
      <c r="D63" t="s">
        <v>187</v>
      </c>
      <c r="E63">
        <v>8</v>
      </c>
      <c r="F63" t="s">
        <v>175</v>
      </c>
      <c r="G63" s="55">
        <v>46047.072222222225</v>
      </c>
      <c r="H63">
        <v>54</v>
      </c>
      <c r="I63" t="s">
        <v>256</v>
      </c>
      <c r="J63">
        <v>199</v>
      </c>
      <c r="K63" t="s">
        <v>153</v>
      </c>
      <c r="L63" t="s">
        <v>195</v>
      </c>
      <c r="M63" t="s">
        <v>140</v>
      </c>
      <c r="P63">
        <v>15</v>
      </c>
      <c r="Q63">
        <v>3799</v>
      </c>
      <c r="R63">
        <v>150</v>
      </c>
      <c r="S63">
        <v>799</v>
      </c>
      <c r="T63">
        <v>4500</v>
      </c>
      <c r="U63">
        <v>5299</v>
      </c>
      <c r="V63">
        <v>300</v>
      </c>
      <c r="W63">
        <v>0</v>
      </c>
      <c r="X63" t="s">
        <v>141</v>
      </c>
      <c r="Y63" s="55">
        <v>45884.75</v>
      </c>
      <c r="Z63">
        <v>799</v>
      </c>
      <c r="AA63">
        <v>799</v>
      </c>
      <c r="AB63">
        <v>0</v>
      </c>
    </row>
    <row r="64" spans="1:28" x14ac:dyDescent="0.2">
      <c r="A64">
        <v>150</v>
      </c>
      <c r="B64">
        <v>4</v>
      </c>
      <c r="C64">
        <v>11</v>
      </c>
      <c r="D64" t="s">
        <v>230</v>
      </c>
      <c r="E64">
        <v>8</v>
      </c>
      <c r="F64" t="s">
        <v>175</v>
      </c>
      <c r="G64" s="55">
        <v>46047.072222222225</v>
      </c>
      <c r="H64">
        <v>54</v>
      </c>
      <c r="I64" t="s">
        <v>257</v>
      </c>
      <c r="J64">
        <v>209</v>
      </c>
      <c r="K64" t="s">
        <v>153</v>
      </c>
      <c r="L64" t="s">
        <v>195</v>
      </c>
      <c r="M64" t="s">
        <v>140</v>
      </c>
      <c r="P64">
        <v>26</v>
      </c>
      <c r="Q64">
        <v>4099</v>
      </c>
      <c r="R64">
        <v>190</v>
      </c>
      <c r="S64">
        <v>999</v>
      </c>
      <c r="T64">
        <v>5890</v>
      </c>
      <c r="U64">
        <v>6889</v>
      </c>
      <c r="V64">
        <v>226.54</v>
      </c>
      <c r="W64">
        <v>0</v>
      </c>
      <c r="X64" t="s">
        <v>141</v>
      </c>
      <c r="Y64" s="55">
        <v>45905.75</v>
      </c>
      <c r="Z64">
        <v>999</v>
      </c>
      <c r="AA64">
        <v>999</v>
      </c>
      <c r="AB64">
        <v>0</v>
      </c>
    </row>
    <row r="65" spans="1:28" x14ac:dyDescent="0.2">
      <c r="A65">
        <v>151</v>
      </c>
      <c r="B65">
        <v>4</v>
      </c>
      <c r="C65">
        <v>10002</v>
      </c>
      <c r="D65" t="s">
        <v>161</v>
      </c>
      <c r="E65">
        <v>8</v>
      </c>
      <c r="F65" t="s">
        <v>175</v>
      </c>
      <c r="G65" s="55">
        <v>46047.072916666664</v>
      </c>
      <c r="H65">
        <v>1</v>
      </c>
      <c r="I65" t="s">
        <v>258</v>
      </c>
      <c r="J65">
        <v>403</v>
      </c>
      <c r="K65" t="s">
        <v>138</v>
      </c>
      <c r="L65" t="s">
        <v>217</v>
      </c>
      <c r="M65" t="s">
        <v>140</v>
      </c>
      <c r="P65">
        <v>20</v>
      </c>
      <c r="Q65">
        <v>9099</v>
      </c>
      <c r="R65">
        <v>100</v>
      </c>
      <c r="S65">
        <v>1249.5</v>
      </c>
      <c r="T65">
        <v>7849.5</v>
      </c>
      <c r="U65">
        <v>9099</v>
      </c>
      <c r="V65">
        <v>392.48</v>
      </c>
      <c r="W65">
        <v>0</v>
      </c>
      <c r="X65" t="s">
        <v>141</v>
      </c>
      <c r="Y65" s="55">
        <v>45898.75</v>
      </c>
      <c r="Z65">
        <v>1249.5</v>
      </c>
      <c r="AA65">
        <v>1249.5</v>
      </c>
      <c r="AB65">
        <v>0</v>
      </c>
    </row>
    <row r="66" spans="1:28" x14ac:dyDescent="0.2">
      <c r="A66">
        <v>154</v>
      </c>
      <c r="B66">
        <v>8</v>
      </c>
      <c r="C66">
        <v>5</v>
      </c>
      <c r="D66" t="s">
        <v>164</v>
      </c>
      <c r="E66">
        <v>8</v>
      </c>
      <c r="F66" t="s">
        <v>175</v>
      </c>
      <c r="G66" s="55">
        <v>46047.072916666664</v>
      </c>
      <c r="H66">
        <v>54</v>
      </c>
      <c r="I66" t="s">
        <v>259</v>
      </c>
      <c r="J66">
        <v>405</v>
      </c>
      <c r="K66" t="s">
        <v>153</v>
      </c>
      <c r="L66" t="s">
        <v>195</v>
      </c>
      <c r="M66" t="s">
        <v>140</v>
      </c>
      <c r="P66">
        <v>43</v>
      </c>
      <c r="Q66">
        <v>3799</v>
      </c>
      <c r="R66">
        <v>230</v>
      </c>
      <c r="S66">
        <v>799</v>
      </c>
      <c r="T66">
        <v>6900</v>
      </c>
      <c r="U66">
        <v>7699</v>
      </c>
      <c r="V66">
        <v>160.47</v>
      </c>
      <c r="W66">
        <v>0</v>
      </c>
      <c r="X66" t="s">
        <v>141</v>
      </c>
      <c r="Y66" s="55">
        <v>45883.75</v>
      </c>
      <c r="Z66">
        <v>799</v>
      </c>
      <c r="AA66">
        <v>799</v>
      </c>
      <c r="AB66">
        <v>0</v>
      </c>
    </row>
    <row r="67" spans="1:28" x14ac:dyDescent="0.2">
      <c r="A67">
        <v>155</v>
      </c>
      <c r="B67">
        <v>5</v>
      </c>
      <c r="C67">
        <v>14</v>
      </c>
      <c r="D67" t="s">
        <v>135</v>
      </c>
      <c r="E67">
        <v>8</v>
      </c>
      <c r="F67" t="s">
        <v>175</v>
      </c>
      <c r="G67" s="55">
        <v>46047.072916666664</v>
      </c>
      <c r="H67">
        <v>63</v>
      </c>
      <c r="I67" t="s">
        <v>260</v>
      </c>
      <c r="J67">
        <v>204</v>
      </c>
      <c r="K67" t="s">
        <v>153</v>
      </c>
      <c r="L67" t="s">
        <v>222</v>
      </c>
      <c r="M67" t="s">
        <v>140</v>
      </c>
      <c r="P67">
        <v>35</v>
      </c>
      <c r="Q67">
        <v>5899</v>
      </c>
      <c r="R67">
        <v>210</v>
      </c>
      <c r="S67">
        <v>1249</v>
      </c>
      <c r="T67">
        <v>9765</v>
      </c>
      <c r="U67">
        <v>11014</v>
      </c>
      <c r="V67">
        <v>279</v>
      </c>
      <c r="W67">
        <v>0</v>
      </c>
      <c r="X67" t="s">
        <v>141</v>
      </c>
      <c r="Y67" s="55">
        <v>45893.75</v>
      </c>
      <c r="Z67">
        <v>1249</v>
      </c>
      <c r="AA67">
        <v>1249</v>
      </c>
      <c r="AB67">
        <v>0</v>
      </c>
    </row>
    <row r="68" spans="1:28" x14ac:dyDescent="0.2">
      <c r="A68">
        <v>156</v>
      </c>
      <c r="B68">
        <v>4</v>
      </c>
      <c r="C68">
        <v>10002</v>
      </c>
      <c r="D68" t="s">
        <v>161</v>
      </c>
      <c r="E68">
        <v>8</v>
      </c>
      <c r="F68" t="s">
        <v>175</v>
      </c>
      <c r="G68" s="55">
        <v>46047.072916666664</v>
      </c>
      <c r="H68">
        <v>63</v>
      </c>
      <c r="I68" t="s">
        <v>261</v>
      </c>
      <c r="J68">
        <v>203</v>
      </c>
      <c r="K68" t="s">
        <v>153</v>
      </c>
      <c r="L68" t="s">
        <v>222</v>
      </c>
      <c r="M68" t="s">
        <v>140</v>
      </c>
      <c r="P68">
        <v>35</v>
      </c>
      <c r="Q68">
        <v>5799</v>
      </c>
      <c r="R68">
        <v>210</v>
      </c>
      <c r="S68">
        <v>1249</v>
      </c>
      <c r="T68">
        <v>9555</v>
      </c>
      <c r="U68">
        <v>10804</v>
      </c>
      <c r="V68">
        <v>273</v>
      </c>
      <c r="W68">
        <v>0</v>
      </c>
      <c r="X68" t="s">
        <v>141</v>
      </c>
      <c r="Y68" s="55">
        <v>45892.75</v>
      </c>
      <c r="Z68">
        <v>1249</v>
      </c>
      <c r="AA68">
        <v>1249</v>
      </c>
      <c r="AB68">
        <v>0</v>
      </c>
    </row>
    <row r="69" spans="1:28" x14ac:dyDescent="0.2">
      <c r="A69">
        <v>159</v>
      </c>
      <c r="B69">
        <v>10</v>
      </c>
      <c r="C69">
        <v>24</v>
      </c>
      <c r="D69" t="s">
        <v>207</v>
      </c>
      <c r="E69">
        <v>8</v>
      </c>
      <c r="F69" t="s">
        <v>175</v>
      </c>
      <c r="G69" s="55">
        <v>46047.073611111111</v>
      </c>
      <c r="H69">
        <v>54</v>
      </c>
      <c r="I69" t="s">
        <v>262</v>
      </c>
      <c r="J69">
        <v>406</v>
      </c>
      <c r="K69" t="s">
        <v>153</v>
      </c>
      <c r="L69" t="s">
        <v>195</v>
      </c>
      <c r="M69" t="s">
        <v>140</v>
      </c>
      <c r="P69">
        <v>15</v>
      </c>
      <c r="Q69">
        <v>4099</v>
      </c>
      <c r="R69">
        <v>150</v>
      </c>
      <c r="S69">
        <v>999</v>
      </c>
      <c r="T69">
        <v>4650</v>
      </c>
      <c r="U69">
        <v>5649</v>
      </c>
      <c r="V69">
        <v>310</v>
      </c>
      <c r="W69">
        <v>0</v>
      </c>
      <c r="X69" t="s">
        <v>141</v>
      </c>
      <c r="Y69" s="55">
        <v>45892.75</v>
      </c>
      <c r="Z69">
        <v>999</v>
      </c>
      <c r="AA69">
        <v>999</v>
      </c>
      <c r="AB69">
        <v>0</v>
      </c>
    </row>
    <row r="70" spans="1:28" x14ac:dyDescent="0.2">
      <c r="A70">
        <v>162</v>
      </c>
      <c r="B70">
        <v>5</v>
      </c>
      <c r="C70">
        <v>10002</v>
      </c>
      <c r="D70" t="s">
        <v>161</v>
      </c>
      <c r="E70">
        <v>8</v>
      </c>
      <c r="F70" t="s">
        <v>175</v>
      </c>
      <c r="G70" s="55">
        <v>46047.073611111111</v>
      </c>
      <c r="H70">
        <v>54</v>
      </c>
      <c r="I70" t="s">
        <v>263</v>
      </c>
      <c r="J70">
        <v>183</v>
      </c>
      <c r="K70" t="s">
        <v>153</v>
      </c>
      <c r="L70" t="s">
        <v>195</v>
      </c>
      <c r="M70" t="s">
        <v>140</v>
      </c>
      <c r="P70">
        <v>15</v>
      </c>
      <c r="Q70">
        <v>3799</v>
      </c>
      <c r="R70">
        <v>150</v>
      </c>
      <c r="S70">
        <v>799</v>
      </c>
      <c r="T70">
        <v>4500</v>
      </c>
      <c r="U70">
        <v>5299</v>
      </c>
      <c r="V70">
        <v>300</v>
      </c>
      <c r="W70">
        <v>0</v>
      </c>
      <c r="X70" t="s">
        <v>141</v>
      </c>
      <c r="Y70" s="55">
        <v>45871.75</v>
      </c>
      <c r="Z70">
        <v>799</v>
      </c>
      <c r="AA70">
        <v>799</v>
      </c>
      <c r="AB70">
        <v>0</v>
      </c>
    </row>
    <row r="71" spans="1:28" x14ac:dyDescent="0.2">
      <c r="A71">
        <v>163</v>
      </c>
      <c r="B71">
        <v>4</v>
      </c>
      <c r="C71">
        <v>10002</v>
      </c>
      <c r="D71" t="s">
        <v>161</v>
      </c>
      <c r="E71">
        <v>8</v>
      </c>
      <c r="F71" t="s">
        <v>175</v>
      </c>
      <c r="G71" s="55">
        <v>46047.073611111111</v>
      </c>
      <c r="H71">
        <v>54</v>
      </c>
      <c r="I71" t="s">
        <v>264</v>
      </c>
      <c r="J71">
        <v>408</v>
      </c>
      <c r="K71" t="s">
        <v>153</v>
      </c>
      <c r="L71" t="s">
        <v>195</v>
      </c>
      <c r="M71" t="s">
        <v>140</v>
      </c>
      <c r="P71">
        <v>43</v>
      </c>
      <c r="Q71">
        <v>3799</v>
      </c>
      <c r="R71">
        <v>230</v>
      </c>
      <c r="S71">
        <v>799</v>
      </c>
      <c r="T71">
        <v>6900</v>
      </c>
      <c r="U71">
        <v>7699</v>
      </c>
      <c r="V71">
        <v>160.47</v>
      </c>
      <c r="W71">
        <v>0</v>
      </c>
      <c r="X71" t="s">
        <v>141</v>
      </c>
      <c r="Y71" s="55">
        <v>45869.75</v>
      </c>
      <c r="Z71">
        <v>799</v>
      </c>
      <c r="AA71">
        <v>799</v>
      </c>
      <c r="AB71">
        <v>0</v>
      </c>
    </row>
    <row r="72" spans="1:28" x14ac:dyDescent="0.2">
      <c r="A72">
        <v>164</v>
      </c>
      <c r="B72">
        <v>4</v>
      </c>
      <c r="C72">
        <v>10002</v>
      </c>
      <c r="D72" t="s">
        <v>161</v>
      </c>
      <c r="E72">
        <v>8</v>
      </c>
      <c r="F72" t="s">
        <v>175</v>
      </c>
      <c r="G72" s="55">
        <v>46047.073611111111</v>
      </c>
      <c r="H72">
        <v>46</v>
      </c>
      <c r="I72" t="s">
        <v>265</v>
      </c>
      <c r="J72">
        <v>409</v>
      </c>
      <c r="K72" t="s">
        <v>138</v>
      </c>
      <c r="L72" t="s">
        <v>139</v>
      </c>
      <c r="M72" t="s">
        <v>140</v>
      </c>
      <c r="P72">
        <v>43</v>
      </c>
      <c r="Q72">
        <v>3799</v>
      </c>
      <c r="R72">
        <v>230</v>
      </c>
      <c r="S72">
        <v>799</v>
      </c>
      <c r="T72">
        <v>6900</v>
      </c>
      <c r="U72">
        <v>7699</v>
      </c>
      <c r="V72">
        <v>160.47</v>
      </c>
      <c r="W72">
        <v>0</v>
      </c>
      <c r="X72" t="s">
        <v>141</v>
      </c>
      <c r="Y72" s="55">
        <v>45869.75</v>
      </c>
      <c r="Z72">
        <v>799</v>
      </c>
      <c r="AA72">
        <v>799</v>
      </c>
      <c r="AB72">
        <v>0</v>
      </c>
    </row>
    <row r="73" spans="1:28" x14ac:dyDescent="0.2">
      <c r="A73">
        <v>167</v>
      </c>
      <c r="B73">
        <v>9</v>
      </c>
      <c r="C73">
        <v>12</v>
      </c>
      <c r="D73" t="s">
        <v>187</v>
      </c>
      <c r="E73">
        <v>8</v>
      </c>
      <c r="F73" t="s">
        <v>175</v>
      </c>
      <c r="G73" s="55">
        <v>46047.074305555558</v>
      </c>
      <c r="H73">
        <v>63</v>
      </c>
      <c r="I73" t="s">
        <v>266</v>
      </c>
      <c r="J73">
        <v>170</v>
      </c>
      <c r="K73" t="s">
        <v>153</v>
      </c>
      <c r="L73" t="s">
        <v>222</v>
      </c>
      <c r="M73" t="s">
        <v>140</v>
      </c>
      <c r="P73">
        <v>35</v>
      </c>
      <c r="Q73">
        <v>5499</v>
      </c>
      <c r="R73">
        <v>210</v>
      </c>
      <c r="S73">
        <v>1249</v>
      </c>
      <c r="T73">
        <v>8925</v>
      </c>
      <c r="U73">
        <v>10174</v>
      </c>
      <c r="V73">
        <v>255</v>
      </c>
      <c r="W73">
        <v>0</v>
      </c>
      <c r="X73" t="s">
        <v>141</v>
      </c>
      <c r="Y73" s="55">
        <v>45859.75</v>
      </c>
      <c r="Z73">
        <v>1249</v>
      </c>
      <c r="AA73">
        <v>1249</v>
      </c>
      <c r="AB73">
        <v>0</v>
      </c>
    </row>
    <row r="74" spans="1:28" x14ac:dyDescent="0.2">
      <c r="A74">
        <v>168</v>
      </c>
      <c r="B74">
        <v>12</v>
      </c>
      <c r="C74">
        <v>25</v>
      </c>
      <c r="D74" t="s">
        <v>151</v>
      </c>
      <c r="E74">
        <v>8</v>
      </c>
      <c r="F74" t="s">
        <v>175</v>
      </c>
      <c r="G74" s="55">
        <v>46047.074305555558</v>
      </c>
      <c r="H74">
        <v>44</v>
      </c>
      <c r="I74" t="s">
        <v>267</v>
      </c>
      <c r="J74">
        <v>167</v>
      </c>
      <c r="K74" t="s">
        <v>138</v>
      </c>
      <c r="L74" t="s">
        <v>268</v>
      </c>
      <c r="M74" t="s">
        <v>140</v>
      </c>
      <c r="P74">
        <v>35</v>
      </c>
      <c r="Q74">
        <v>6099</v>
      </c>
      <c r="R74">
        <v>210</v>
      </c>
      <c r="S74">
        <v>1249</v>
      </c>
      <c r="T74">
        <v>10185</v>
      </c>
      <c r="U74">
        <v>11434</v>
      </c>
      <c r="V74">
        <v>291</v>
      </c>
      <c r="W74">
        <v>0</v>
      </c>
      <c r="X74" t="s">
        <v>141</v>
      </c>
      <c r="Y74" s="55">
        <v>45857.75</v>
      </c>
      <c r="Z74">
        <v>1249</v>
      </c>
      <c r="AA74">
        <v>1249</v>
      </c>
      <c r="AB74">
        <v>0</v>
      </c>
    </row>
    <row r="75" spans="1:28" x14ac:dyDescent="0.2">
      <c r="A75">
        <v>169</v>
      </c>
      <c r="B75">
        <v>8</v>
      </c>
      <c r="C75">
        <v>10002</v>
      </c>
      <c r="D75" t="s">
        <v>161</v>
      </c>
      <c r="E75">
        <v>8</v>
      </c>
      <c r="F75" t="s">
        <v>175</v>
      </c>
      <c r="G75" s="55">
        <v>46047.074305555558</v>
      </c>
      <c r="H75">
        <v>63</v>
      </c>
      <c r="I75" t="s">
        <v>269</v>
      </c>
      <c r="J75">
        <v>410</v>
      </c>
      <c r="K75" t="s">
        <v>153</v>
      </c>
      <c r="L75" t="s">
        <v>222</v>
      </c>
      <c r="M75" t="s">
        <v>140</v>
      </c>
      <c r="P75">
        <v>15</v>
      </c>
      <c r="Q75">
        <v>5299</v>
      </c>
      <c r="R75">
        <v>150</v>
      </c>
      <c r="S75">
        <v>999</v>
      </c>
      <c r="T75">
        <v>6450</v>
      </c>
      <c r="U75">
        <v>7449</v>
      </c>
      <c r="V75">
        <v>430</v>
      </c>
      <c r="W75">
        <v>0</v>
      </c>
      <c r="X75" t="s">
        <v>141</v>
      </c>
      <c r="Y75" s="55">
        <v>45865.75</v>
      </c>
      <c r="Z75">
        <v>999</v>
      </c>
      <c r="AA75">
        <v>999</v>
      </c>
      <c r="AB75">
        <v>0</v>
      </c>
    </row>
    <row r="76" spans="1:28" x14ac:dyDescent="0.2">
      <c r="A76">
        <v>170</v>
      </c>
      <c r="B76">
        <v>8</v>
      </c>
      <c r="C76">
        <v>10002</v>
      </c>
      <c r="D76" t="s">
        <v>161</v>
      </c>
      <c r="E76">
        <v>8</v>
      </c>
      <c r="F76" t="s">
        <v>175</v>
      </c>
      <c r="G76" s="55">
        <v>46047.074305555558</v>
      </c>
      <c r="H76">
        <v>63</v>
      </c>
      <c r="I76" t="s">
        <v>270</v>
      </c>
      <c r="J76">
        <v>411</v>
      </c>
      <c r="K76" t="s">
        <v>153</v>
      </c>
      <c r="L76" t="s">
        <v>222</v>
      </c>
      <c r="M76" t="s">
        <v>140</v>
      </c>
      <c r="P76">
        <v>50</v>
      </c>
      <c r="Q76">
        <v>8133</v>
      </c>
      <c r="R76">
        <v>100</v>
      </c>
      <c r="S76">
        <v>0</v>
      </c>
      <c r="T76">
        <v>8133</v>
      </c>
      <c r="U76">
        <v>8133</v>
      </c>
      <c r="V76">
        <v>162.66</v>
      </c>
      <c r="W76">
        <v>0</v>
      </c>
      <c r="X76" t="s">
        <v>141</v>
      </c>
      <c r="Y76" s="55">
        <v>45980.75</v>
      </c>
      <c r="Z76">
        <v>0</v>
      </c>
      <c r="AA76">
        <v>0</v>
      </c>
      <c r="AB76">
        <v>0</v>
      </c>
    </row>
    <row r="77" spans="1:28" x14ac:dyDescent="0.2">
      <c r="A77">
        <v>171</v>
      </c>
      <c r="B77">
        <v>10</v>
      </c>
      <c r="C77">
        <v>10002</v>
      </c>
      <c r="D77" t="s">
        <v>161</v>
      </c>
      <c r="E77">
        <v>8</v>
      </c>
      <c r="F77" t="s">
        <v>175</v>
      </c>
      <c r="G77" s="55">
        <v>46047.074999999997</v>
      </c>
      <c r="H77">
        <v>44</v>
      </c>
      <c r="I77" t="s">
        <v>271</v>
      </c>
      <c r="J77">
        <v>412</v>
      </c>
      <c r="K77" t="s">
        <v>138</v>
      </c>
      <c r="L77" t="s">
        <v>268</v>
      </c>
      <c r="M77" t="s">
        <v>140</v>
      </c>
      <c r="P77">
        <v>20</v>
      </c>
      <c r="Q77">
        <v>6099</v>
      </c>
      <c r="R77">
        <v>100</v>
      </c>
      <c r="S77">
        <v>624.5</v>
      </c>
      <c r="T77">
        <v>5474.5</v>
      </c>
      <c r="U77">
        <v>6099</v>
      </c>
      <c r="V77">
        <v>273.73</v>
      </c>
      <c r="W77">
        <v>0</v>
      </c>
      <c r="X77" t="s">
        <v>141</v>
      </c>
      <c r="Y77" s="55">
        <v>45851.75</v>
      </c>
      <c r="Z77">
        <v>624.5</v>
      </c>
      <c r="AA77">
        <v>624.5</v>
      </c>
      <c r="AB77">
        <v>0</v>
      </c>
    </row>
    <row r="78" spans="1:28" x14ac:dyDescent="0.2">
      <c r="A78">
        <v>172</v>
      </c>
      <c r="B78">
        <v>8</v>
      </c>
      <c r="C78">
        <v>10002</v>
      </c>
      <c r="D78" t="s">
        <v>161</v>
      </c>
      <c r="E78">
        <v>8</v>
      </c>
      <c r="F78" t="s">
        <v>175</v>
      </c>
      <c r="G78" s="55">
        <v>46047.074999999997</v>
      </c>
      <c r="H78">
        <v>63</v>
      </c>
      <c r="I78" t="s">
        <v>272</v>
      </c>
      <c r="J78">
        <v>413</v>
      </c>
      <c r="K78" t="s">
        <v>153</v>
      </c>
      <c r="L78" t="s">
        <v>222</v>
      </c>
      <c r="M78" t="s">
        <v>140</v>
      </c>
      <c r="P78">
        <v>43</v>
      </c>
      <c r="Q78">
        <v>5299</v>
      </c>
      <c r="R78">
        <v>230</v>
      </c>
      <c r="S78">
        <v>999</v>
      </c>
      <c r="T78">
        <v>9890</v>
      </c>
      <c r="U78">
        <v>10889</v>
      </c>
      <c r="V78">
        <v>230</v>
      </c>
      <c r="W78">
        <v>0</v>
      </c>
      <c r="X78" t="s">
        <v>141</v>
      </c>
      <c r="Y78" s="55">
        <v>45854.75</v>
      </c>
      <c r="Z78">
        <v>999</v>
      </c>
      <c r="AA78">
        <v>999</v>
      </c>
      <c r="AB78">
        <v>0</v>
      </c>
    </row>
    <row r="79" spans="1:28" x14ac:dyDescent="0.2">
      <c r="A79">
        <v>173</v>
      </c>
      <c r="B79">
        <v>5</v>
      </c>
      <c r="C79">
        <v>10002</v>
      </c>
      <c r="D79" t="s">
        <v>161</v>
      </c>
      <c r="E79">
        <v>8</v>
      </c>
      <c r="F79" t="s">
        <v>175</v>
      </c>
      <c r="G79" s="55">
        <v>46047.074999999997</v>
      </c>
      <c r="H79">
        <v>63</v>
      </c>
      <c r="I79" t="s">
        <v>273</v>
      </c>
      <c r="J79">
        <v>414</v>
      </c>
      <c r="K79" t="s">
        <v>153</v>
      </c>
      <c r="L79" t="s">
        <v>222</v>
      </c>
      <c r="M79" t="s">
        <v>140</v>
      </c>
      <c r="P79">
        <v>15</v>
      </c>
      <c r="Q79">
        <v>5299</v>
      </c>
      <c r="R79">
        <v>150</v>
      </c>
      <c r="S79">
        <v>999</v>
      </c>
      <c r="T79">
        <v>6450</v>
      </c>
      <c r="U79">
        <v>7449</v>
      </c>
      <c r="V79">
        <v>430</v>
      </c>
      <c r="W79">
        <v>0</v>
      </c>
      <c r="X79" t="s">
        <v>141</v>
      </c>
      <c r="Y79" s="55">
        <v>45865.75</v>
      </c>
      <c r="Z79">
        <v>999</v>
      </c>
      <c r="AA79">
        <v>999</v>
      </c>
      <c r="AB79">
        <v>0</v>
      </c>
    </row>
    <row r="80" spans="1:28" x14ac:dyDescent="0.2">
      <c r="A80">
        <v>174</v>
      </c>
      <c r="B80">
        <v>12</v>
      </c>
      <c r="C80">
        <v>24</v>
      </c>
      <c r="D80" t="s">
        <v>207</v>
      </c>
      <c r="E80">
        <v>8</v>
      </c>
      <c r="F80" t="s">
        <v>175</v>
      </c>
      <c r="G80" s="55">
        <v>46047.074999999997</v>
      </c>
      <c r="H80">
        <v>46</v>
      </c>
      <c r="I80" t="s">
        <v>274</v>
      </c>
      <c r="J80">
        <v>415</v>
      </c>
      <c r="K80" t="s">
        <v>138</v>
      </c>
      <c r="L80" t="s">
        <v>139</v>
      </c>
      <c r="M80" t="s">
        <v>140</v>
      </c>
      <c r="P80">
        <v>26</v>
      </c>
      <c r="Q80">
        <v>3799</v>
      </c>
      <c r="R80">
        <v>160</v>
      </c>
      <c r="S80">
        <v>399.5</v>
      </c>
      <c r="T80">
        <v>5439.2</v>
      </c>
      <c r="U80">
        <v>5838.7</v>
      </c>
      <c r="V80">
        <v>209.2</v>
      </c>
      <c r="W80">
        <v>0</v>
      </c>
      <c r="X80" t="s">
        <v>141</v>
      </c>
      <c r="Y80" s="55">
        <v>45854.75</v>
      </c>
      <c r="Z80">
        <v>399.5</v>
      </c>
      <c r="AA80">
        <v>399.5</v>
      </c>
      <c r="AB80">
        <v>0</v>
      </c>
    </row>
    <row r="81" spans="1:28" x14ac:dyDescent="0.2">
      <c r="A81">
        <v>175</v>
      </c>
      <c r="B81">
        <v>10</v>
      </c>
      <c r="C81">
        <v>10002</v>
      </c>
      <c r="D81" t="s">
        <v>161</v>
      </c>
      <c r="E81">
        <v>8</v>
      </c>
      <c r="F81" t="s">
        <v>175</v>
      </c>
      <c r="G81" s="55">
        <v>46047.074999999997</v>
      </c>
      <c r="H81">
        <v>63</v>
      </c>
      <c r="I81" t="s">
        <v>275</v>
      </c>
      <c r="J81">
        <v>177</v>
      </c>
      <c r="K81" t="s">
        <v>153</v>
      </c>
      <c r="L81" t="s">
        <v>222</v>
      </c>
      <c r="M81" t="s">
        <v>140</v>
      </c>
      <c r="P81">
        <v>26</v>
      </c>
      <c r="Q81">
        <v>5299</v>
      </c>
      <c r="R81">
        <v>190</v>
      </c>
      <c r="S81">
        <v>999</v>
      </c>
      <c r="T81">
        <v>8170</v>
      </c>
      <c r="U81">
        <v>9169</v>
      </c>
      <c r="V81">
        <v>314.23</v>
      </c>
      <c r="W81">
        <v>0</v>
      </c>
      <c r="X81" t="s">
        <v>141</v>
      </c>
      <c r="Y81" s="55">
        <v>45867.75</v>
      </c>
      <c r="Z81">
        <v>999</v>
      </c>
      <c r="AA81">
        <v>999</v>
      </c>
      <c r="AB81">
        <v>0</v>
      </c>
    </row>
    <row r="82" spans="1:28" x14ac:dyDescent="0.2">
      <c r="A82">
        <v>176</v>
      </c>
      <c r="B82">
        <v>9</v>
      </c>
      <c r="C82">
        <v>12</v>
      </c>
      <c r="D82" t="s">
        <v>187</v>
      </c>
      <c r="E82">
        <v>8</v>
      </c>
      <c r="F82" t="s">
        <v>175</v>
      </c>
      <c r="G82" s="55">
        <v>46047.074999999997</v>
      </c>
      <c r="H82">
        <v>63</v>
      </c>
      <c r="I82" t="s">
        <v>276</v>
      </c>
      <c r="J82">
        <v>416</v>
      </c>
      <c r="K82" t="s">
        <v>153</v>
      </c>
      <c r="L82" t="s">
        <v>222</v>
      </c>
      <c r="M82" t="s">
        <v>140</v>
      </c>
      <c r="P82">
        <v>15</v>
      </c>
      <c r="Q82">
        <v>5299</v>
      </c>
      <c r="R82">
        <v>150</v>
      </c>
      <c r="S82">
        <v>999</v>
      </c>
      <c r="T82">
        <v>6450</v>
      </c>
      <c r="U82">
        <v>7449</v>
      </c>
      <c r="V82">
        <v>430</v>
      </c>
      <c r="W82">
        <v>0</v>
      </c>
      <c r="X82" t="s">
        <v>141</v>
      </c>
      <c r="Y82" s="55">
        <v>45859.75</v>
      </c>
      <c r="Z82">
        <v>999</v>
      </c>
      <c r="AA82">
        <v>999</v>
      </c>
      <c r="AB82">
        <v>0</v>
      </c>
    </row>
    <row r="83" spans="1:28" x14ac:dyDescent="0.2">
      <c r="A83">
        <v>179</v>
      </c>
      <c r="B83">
        <v>5</v>
      </c>
      <c r="C83">
        <v>10002</v>
      </c>
      <c r="D83" t="s">
        <v>161</v>
      </c>
      <c r="E83">
        <v>8</v>
      </c>
      <c r="F83" t="s">
        <v>175</v>
      </c>
      <c r="G83" s="55">
        <v>46047.075694444444</v>
      </c>
      <c r="H83">
        <v>63</v>
      </c>
      <c r="I83" t="s">
        <v>277</v>
      </c>
      <c r="J83">
        <v>179</v>
      </c>
      <c r="K83" t="s">
        <v>153</v>
      </c>
      <c r="L83" t="s">
        <v>222</v>
      </c>
      <c r="M83" t="s">
        <v>140</v>
      </c>
      <c r="P83">
        <v>15</v>
      </c>
      <c r="Q83">
        <v>5299</v>
      </c>
      <c r="R83">
        <v>150</v>
      </c>
      <c r="S83">
        <v>999</v>
      </c>
      <c r="T83">
        <v>6450</v>
      </c>
      <c r="U83">
        <v>7449</v>
      </c>
      <c r="V83">
        <v>430</v>
      </c>
      <c r="W83">
        <v>0</v>
      </c>
      <c r="X83" t="s">
        <v>141</v>
      </c>
      <c r="Y83" s="55">
        <v>45869.75</v>
      </c>
      <c r="Z83">
        <v>999</v>
      </c>
      <c r="AA83">
        <v>999</v>
      </c>
      <c r="AB83">
        <v>0</v>
      </c>
    </row>
    <row r="84" spans="1:28" x14ac:dyDescent="0.2">
      <c r="A84">
        <v>180</v>
      </c>
      <c r="B84">
        <v>5</v>
      </c>
      <c r="C84">
        <v>10002</v>
      </c>
      <c r="D84" t="s">
        <v>161</v>
      </c>
      <c r="E84">
        <v>8</v>
      </c>
      <c r="F84" t="s">
        <v>175</v>
      </c>
      <c r="G84" s="55">
        <v>46047.075694444444</v>
      </c>
      <c r="H84">
        <v>46</v>
      </c>
      <c r="I84" t="s">
        <v>278</v>
      </c>
      <c r="J84">
        <v>417</v>
      </c>
      <c r="K84" t="s">
        <v>138</v>
      </c>
      <c r="L84" t="s">
        <v>139</v>
      </c>
      <c r="M84" t="s">
        <v>140</v>
      </c>
      <c r="P84">
        <v>43</v>
      </c>
      <c r="Q84">
        <v>3799</v>
      </c>
      <c r="R84">
        <v>230</v>
      </c>
      <c r="S84">
        <v>799</v>
      </c>
      <c r="T84">
        <v>6900</v>
      </c>
      <c r="U84">
        <v>7699</v>
      </c>
      <c r="V84">
        <v>160.47</v>
      </c>
      <c r="W84">
        <v>0</v>
      </c>
      <c r="X84" t="s">
        <v>141</v>
      </c>
      <c r="Y84" s="55">
        <v>45851.75</v>
      </c>
      <c r="Z84">
        <v>799</v>
      </c>
      <c r="AA84">
        <v>799</v>
      </c>
      <c r="AB84">
        <v>0</v>
      </c>
    </row>
    <row r="85" spans="1:28" x14ac:dyDescent="0.2">
      <c r="A85">
        <v>181</v>
      </c>
      <c r="B85">
        <v>9</v>
      </c>
      <c r="C85">
        <v>12</v>
      </c>
      <c r="D85" t="s">
        <v>187</v>
      </c>
      <c r="E85">
        <v>8</v>
      </c>
      <c r="F85" t="s">
        <v>175</v>
      </c>
      <c r="G85" s="55">
        <v>46047.075694444444</v>
      </c>
      <c r="H85">
        <v>63</v>
      </c>
      <c r="I85" t="s">
        <v>279</v>
      </c>
      <c r="J85">
        <v>418</v>
      </c>
      <c r="K85" t="s">
        <v>153</v>
      </c>
      <c r="L85" t="s">
        <v>222</v>
      </c>
      <c r="M85" t="s">
        <v>140</v>
      </c>
      <c r="P85">
        <v>43</v>
      </c>
      <c r="Q85">
        <v>5299</v>
      </c>
      <c r="R85">
        <v>230</v>
      </c>
      <c r="S85">
        <v>999</v>
      </c>
      <c r="T85">
        <v>9890</v>
      </c>
      <c r="U85">
        <v>10889</v>
      </c>
      <c r="V85">
        <v>230</v>
      </c>
      <c r="W85">
        <v>0</v>
      </c>
      <c r="X85" t="s">
        <v>141</v>
      </c>
      <c r="Y85" s="55">
        <v>45847.75</v>
      </c>
      <c r="Z85">
        <v>999</v>
      </c>
      <c r="AA85">
        <v>999</v>
      </c>
      <c r="AB85">
        <v>0</v>
      </c>
    </row>
    <row r="86" spans="1:28" x14ac:dyDescent="0.2">
      <c r="A86">
        <v>182</v>
      </c>
      <c r="B86">
        <v>12</v>
      </c>
      <c r="C86">
        <v>15</v>
      </c>
      <c r="D86" t="s">
        <v>148</v>
      </c>
      <c r="E86">
        <v>8</v>
      </c>
      <c r="F86" t="s">
        <v>175</v>
      </c>
      <c r="G86" s="55">
        <v>46047.075694444444</v>
      </c>
      <c r="H86">
        <v>70</v>
      </c>
      <c r="I86" t="s">
        <v>179</v>
      </c>
      <c r="J86">
        <v>340</v>
      </c>
      <c r="K86" t="s">
        <v>158</v>
      </c>
      <c r="L86" t="s">
        <v>280</v>
      </c>
      <c r="M86" t="s">
        <v>140</v>
      </c>
      <c r="P86">
        <v>15</v>
      </c>
      <c r="Q86">
        <v>6299</v>
      </c>
      <c r="R86">
        <v>150</v>
      </c>
      <c r="S86">
        <v>1249</v>
      </c>
      <c r="T86">
        <v>7575</v>
      </c>
      <c r="U86">
        <v>8824</v>
      </c>
      <c r="V86">
        <v>505</v>
      </c>
      <c r="W86">
        <v>0</v>
      </c>
      <c r="X86" t="s">
        <v>141</v>
      </c>
      <c r="Y86" s="55">
        <v>45840.75</v>
      </c>
      <c r="Z86">
        <v>1249</v>
      </c>
      <c r="AA86">
        <v>1249</v>
      </c>
      <c r="AB86">
        <v>0</v>
      </c>
    </row>
    <row r="87" spans="1:28" x14ac:dyDescent="0.2">
      <c r="A87">
        <v>183</v>
      </c>
      <c r="B87">
        <v>12</v>
      </c>
      <c r="C87">
        <v>25</v>
      </c>
      <c r="D87" t="s">
        <v>151</v>
      </c>
      <c r="E87">
        <v>8</v>
      </c>
      <c r="F87" t="s">
        <v>175</v>
      </c>
      <c r="G87" s="55">
        <v>46047.076388888891</v>
      </c>
      <c r="H87">
        <v>46</v>
      </c>
      <c r="I87" t="s">
        <v>281</v>
      </c>
      <c r="J87">
        <v>163</v>
      </c>
      <c r="K87" t="s">
        <v>138</v>
      </c>
      <c r="L87" t="s">
        <v>139</v>
      </c>
      <c r="M87" t="s">
        <v>140</v>
      </c>
      <c r="P87">
        <v>15</v>
      </c>
      <c r="Q87">
        <v>3799</v>
      </c>
      <c r="R87">
        <v>150</v>
      </c>
      <c r="S87">
        <v>799</v>
      </c>
      <c r="T87">
        <v>4500</v>
      </c>
      <c r="U87">
        <v>5299</v>
      </c>
      <c r="V87">
        <v>300</v>
      </c>
      <c r="W87">
        <v>0</v>
      </c>
      <c r="X87" t="s">
        <v>141</v>
      </c>
      <c r="Y87" s="55">
        <v>45850.75</v>
      </c>
      <c r="Z87">
        <v>799</v>
      </c>
      <c r="AA87">
        <v>799</v>
      </c>
      <c r="AB87">
        <v>0</v>
      </c>
    </row>
    <row r="88" spans="1:28" x14ac:dyDescent="0.2">
      <c r="A88">
        <v>184</v>
      </c>
      <c r="B88">
        <v>4</v>
      </c>
      <c r="C88">
        <v>10002</v>
      </c>
      <c r="D88" t="s">
        <v>161</v>
      </c>
      <c r="E88">
        <v>8</v>
      </c>
      <c r="F88" t="s">
        <v>175</v>
      </c>
      <c r="G88" s="55">
        <v>46047.076388888891</v>
      </c>
      <c r="H88">
        <v>71</v>
      </c>
      <c r="I88" t="s">
        <v>282</v>
      </c>
      <c r="J88">
        <v>419</v>
      </c>
      <c r="K88" t="s">
        <v>153</v>
      </c>
      <c r="L88" t="s">
        <v>283</v>
      </c>
      <c r="M88" t="s">
        <v>140</v>
      </c>
      <c r="P88">
        <v>26</v>
      </c>
      <c r="Q88">
        <v>3699</v>
      </c>
      <c r="R88">
        <v>190</v>
      </c>
      <c r="S88">
        <v>799</v>
      </c>
      <c r="T88">
        <v>5510</v>
      </c>
      <c r="U88">
        <v>6309</v>
      </c>
      <c r="V88">
        <v>211.92</v>
      </c>
      <c r="W88">
        <v>0</v>
      </c>
      <c r="X88" t="s">
        <v>141</v>
      </c>
      <c r="Y88" s="55">
        <v>45848.75</v>
      </c>
      <c r="Z88">
        <v>799</v>
      </c>
      <c r="AA88">
        <v>799</v>
      </c>
      <c r="AB88">
        <v>0</v>
      </c>
    </row>
    <row r="89" spans="1:28" x14ac:dyDescent="0.2">
      <c r="A89">
        <v>185</v>
      </c>
      <c r="B89">
        <v>5</v>
      </c>
      <c r="C89">
        <v>10002</v>
      </c>
      <c r="D89" t="s">
        <v>161</v>
      </c>
      <c r="E89">
        <v>8</v>
      </c>
      <c r="F89" t="s">
        <v>175</v>
      </c>
      <c r="G89" s="55">
        <v>46047.076388888891</v>
      </c>
      <c r="H89">
        <v>72</v>
      </c>
      <c r="I89" t="s">
        <v>284</v>
      </c>
      <c r="J89">
        <v>420</v>
      </c>
      <c r="K89" t="s">
        <v>285</v>
      </c>
      <c r="L89" t="s">
        <v>286</v>
      </c>
      <c r="M89" t="s">
        <v>140</v>
      </c>
      <c r="P89">
        <v>35</v>
      </c>
      <c r="Q89">
        <v>3799</v>
      </c>
      <c r="R89">
        <v>210</v>
      </c>
      <c r="S89">
        <v>799</v>
      </c>
      <c r="T89">
        <v>6300</v>
      </c>
      <c r="U89">
        <v>7099</v>
      </c>
      <c r="V89">
        <v>180</v>
      </c>
      <c r="W89">
        <v>0</v>
      </c>
      <c r="X89" t="s">
        <v>141</v>
      </c>
      <c r="Y89" s="55">
        <v>45834.75</v>
      </c>
      <c r="Z89">
        <v>799</v>
      </c>
      <c r="AA89">
        <v>799</v>
      </c>
      <c r="AB89">
        <v>0</v>
      </c>
    </row>
    <row r="90" spans="1:28" x14ac:dyDescent="0.2">
      <c r="A90">
        <v>186</v>
      </c>
      <c r="B90">
        <v>12</v>
      </c>
      <c r="C90">
        <v>31</v>
      </c>
      <c r="D90" t="s">
        <v>170</v>
      </c>
      <c r="E90">
        <v>8</v>
      </c>
      <c r="F90" t="s">
        <v>175</v>
      </c>
      <c r="G90" s="55">
        <v>46047.076388888891</v>
      </c>
      <c r="H90">
        <v>43</v>
      </c>
      <c r="I90" t="s">
        <v>287</v>
      </c>
      <c r="J90">
        <v>421</v>
      </c>
      <c r="K90" t="s">
        <v>288</v>
      </c>
      <c r="L90" t="s">
        <v>289</v>
      </c>
      <c r="M90" t="s">
        <v>140</v>
      </c>
      <c r="P90">
        <v>35</v>
      </c>
      <c r="Q90">
        <v>5799</v>
      </c>
      <c r="R90">
        <v>210</v>
      </c>
      <c r="S90">
        <v>1249</v>
      </c>
      <c r="T90">
        <v>9555</v>
      </c>
      <c r="U90">
        <v>10804</v>
      </c>
      <c r="V90">
        <v>273</v>
      </c>
      <c r="W90">
        <v>0</v>
      </c>
      <c r="X90" t="s">
        <v>141</v>
      </c>
      <c r="Y90" s="55">
        <v>45848.75</v>
      </c>
      <c r="Z90">
        <v>1249</v>
      </c>
      <c r="AA90">
        <v>1249</v>
      </c>
      <c r="AB90">
        <v>0</v>
      </c>
    </row>
    <row r="91" spans="1:28" x14ac:dyDescent="0.2">
      <c r="A91">
        <v>187</v>
      </c>
      <c r="B91">
        <v>11</v>
      </c>
      <c r="C91">
        <v>10002</v>
      </c>
      <c r="D91" t="s">
        <v>161</v>
      </c>
      <c r="E91">
        <v>8</v>
      </c>
      <c r="F91" t="s">
        <v>175</v>
      </c>
      <c r="G91" s="55">
        <v>46047.076388888891</v>
      </c>
      <c r="H91">
        <v>46</v>
      </c>
      <c r="I91" t="s">
        <v>290</v>
      </c>
      <c r="J91">
        <v>422</v>
      </c>
      <c r="K91" t="s">
        <v>138</v>
      </c>
      <c r="L91" t="s">
        <v>139</v>
      </c>
      <c r="M91" t="s">
        <v>140</v>
      </c>
      <c r="P91">
        <v>26</v>
      </c>
      <c r="Q91">
        <v>3799</v>
      </c>
      <c r="R91">
        <v>190</v>
      </c>
      <c r="S91">
        <v>799</v>
      </c>
      <c r="T91">
        <v>5700</v>
      </c>
      <c r="U91">
        <v>6499</v>
      </c>
      <c r="V91">
        <v>219.23</v>
      </c>
      <c r="W91">
        <v>0</v>
      </c>
      <c r="X91" t="s">
        <v>141</v>
      </c>
      <c r="Y91" s="55">
        <v>45831.75</v>
      </c>
      <c r="Z91">
        <v>799</v>
      </c>
      <c r="AA91">
        <v>799</v>
      </c>
      <c r="AB91">
        <v>0</v>
      </c>
    </row>
    <row r="92" spans="1:28" x14ac:dyDescent="0.2">
      <c r="A92">
        <v>188</v>
      </c>
      <c r="B92">
        <v>12</v>
      </c>
      <c r="C92">
        <v>31</v>
      </c>
      <c r="D92" t="s">
        <v>170</v>
      </c>
      <c r="E92">
        <v>8</v>
      </c>
      <c r="F92" t="s">
        <v>175</v>
      </c>
      <c r="G92" s="55">
        <v>46047.076388888891</v>
      </c>
      <c r="H92">
        <v>63</v>
      </c>
      <c r="I92" t="s">
        <v>291</v>
      </c>
      <c r="J92">
        <v>138</v>
      </c>
      <c r="K92" t="s">
        <v>153</v>
      </c>
      <c r="L92" t="s">
        <v>222</v>
      </c>
      <c r="M92" t="s">
        <v>140</v>
      </c>
      <c r="P92">
        <v>15</v>
      </c>
      <c r="Q92">
        <v>5299</v>
      </c>
      <c r="R92">
        <v>150</v>
      </c>
      <c r="S92">
        <v>999</v>
      </c>
      <c r="T92">
        <v>6450</v>
      </c>
      <c r="U92">
        <v>7449</v>
      </c>
      <c r="V92">
        <v>430</v>
      </c>
      <c r="W92">
        <v>0</v>
      </c>
      <c r="X92" t="s">
        <v>141</v>
      </c>
      <c r="Y92" s="55">
        <v>45816.75</v>
      </c>
      <c r="Z92">
        <v>999</v>
      </c>
      <c r="AA92">
        <v>999</v>
      </c>
      <c r="AB92">
        <v>0</v>
      </c>
    </row>
    <row r="93" spans="1:28" x14ac:dyDescent="0.2">
      <c r="A93">
        <v>189</v>
      </c>
      <c r="B93">
        <v>10</v>
      </c>
      <c r="C93">
        <v>10002</v>
      </c>
      <c r="D93" t="s">
        <v>161</v>
      </c>
      <c r="E93">
        <v>8</v>
      </c>
      <c r="F93" t="s">
        <v>175</v>
      </c>
      <c r="G93" s="55">
        <v>46047.076388888891</v>
      </c>
      <c r="H93">
        <v>46</v>
      </c>
      <c r="I93" t="s">
        <v>274</v>
      </c>
      <c r="J93">
        <v>415</v>
      </c>
      <c r="K93" t="s">
        <v>138</v>
      </c>
      <c r="L93" t="s">
        <v>139</v>
      </c>
      <c r="M93" t="s">
        <v>140</v>
      </c>
      <c r="P93">
        <v>26</v>
      </c>
      <c r="Q93">
        <v>3799</v>
      </c>
      <c r="R93">
        <v>190</v>
      </c>
      <c r="S93">
        <v>799</v>
      </c>
      <c r="T93">
        <v>5700</v>
      </c>
      <c r="U93">
        <v>6499</v>
      </c>
      <c r="V93">
        <v>219.23</v>
      </c>
      <c r="W93">
        <v>0</v>
      </c>
      <c r="X93" t="s">
        <v>141</v>
      </c>
      <c r="Y93" s="55">
        <v>45821.75</v>
      </c>
      <c r="Z93">
        <v>799</v>
      </c>
      <c r="AA93">
        <v>799</v>
      </c>
      <c r="AB93">
        <v>0</v>
      </c>
    </row>
    <row r="94" spans="1:28" x14ac:dyDescent="0.2">
      <c r="A94">
        <v>191</v>
      </c>
      <c r="B94">
        <v>5</v>
      </c>
      <c r="C94">
        <v>10002</v>
      </c>
      <c r="D94" t="s">
        <v>161</v>
      </c>
      <c r="E94">
        <v>8</v>
      </c>
      <c r="F94" t="s">
        <v>175</v>
      </c>
      <c r="G94" s="55">
        <v>46047.07708333333</v>
      </c>
      <c r="H94">
        <v>6</v>
      </c>
      <c r="I94" t="s">
        <v>292</v>
      </c>
      <c r="J94">
        <v>423</v>
      </c>
      <c r="K94" t="s">
        <v>138</v>
      </c>
      <c r="L94" t="s">
        <v>293</v>
      </c>
      <c r="M94" t="s">
        <v>140</v>
      </c>
      <c r="P94">
        <v>20</v>
      </c>
      <c r="Q94">
        <v>6499</v>
      </c>
      <c r="R94">
        <v>100</v>
      </c>
      <c r="S94">
        <v>0</v>
      </c>
      <c r="T94">
        <v>6499</v>
      </c>
      <c r="U94">
        <v>6499</v>
      </c>
      <c r="V94">
        <v>324.95</v>
      </c>
      <c r="W94">
        <v>0</v>
      </c>
      <c r="X94" t="s">
        <v>141</v>
      </c>
      <c r="Y94" s="55">
        <v>45817.75</v>
      </c>
      <c r="Z94">
        <v>0</v>
      </c>
      <c r="AA94">
        <v>0</v>
      </c>
      <c r="AB94">
        <v>0</v>
      </c>
    </row>
    <row r="95" spans="1:28" x14ac:dyDescent="0.2">
      <c r="A95">
        <v>192</v>
      </c>
      <c r="B95">
        <v>5</v>
      </c>
      <c r="C95">
        <v>10002</v>
      </c>
      <c r="D95" t="s">
        <v>161</v>
      </c>
      <c r="E95">
        <v>8</v>
      </c>
      <c r="F95" t="s">
        <v>175</v>
      </c>
      <c r="G95" s="55">
        <v>46047.07708333333</v>
      </c>
      <c r="H95">
        <v>54</v>
      </c>
      <c r="I95" t="s">
        <v>181</v>
      </c>
      <c r="J95">
        <v>314</v>
      </c>
      <c r="K95" t="s">
        <v>153</v>
      </c>
      <c r="L95" t="s">
        <v>195</v>
      </c>
      <c r="M95" t="s">
        <v>140</v>
      </c>
      <c r="P95">
        <v>20</v>
      </c>
      <c r="Q95">
        <v>3700</v>
      </c>
      <c r="R95">
        <v>100</v>
      </c>
      <c r="S95">
        <v>400</v>
      </c>
      <c r="T95">
        <v>3300</v>
      </c>
      <c r="U95">
        <v>3700</v>
      </c>
      <c r="V95">
        <v>165</v>
      </c>
      <c r="W95">
        <v>0</v>
      </c>
      <c r="X95" t="s">
        <v>141</v>
      </c>
      <c r="Y95" s="55">
        <v>45817.75</v>
      </c>
      <c r="Z95">
        <v>400</v>
      </c>
      <c r="AA95">
        <v>400</v>
      </c>
      <c r="AB95">
        <v>0</v>
      </c>
    </row>
    <row r="96" spans="1:28" x14ac:dyDescent="0.2">
      <c r="A96">
        <v>193</v>
      </c>
      <c r="B96">
        <v>9</v>
      </c>
      <c r="C96">
        <v>12</v>
      </c>
      <c r="D96" t="s">
        <v>187</v>
      </c>
      <c r="E96">
        <v>8</v>
      </c>
      <c r="F96" t="s">
        <v>175</v>
      </c>
      <c r="G96" s="55">
        <v>46047.07708333333</v>
      </c>
      <c r="H96">
        <v>73</v>
      </c>
      <c r="I96" t="s">
        <v>294</v>
      </c>
      <c r="J96">
        <v>139</v>
      </c>
      <c r="K96" t="s">
        <v>295</v>
      </c>
      <c r="L96" t="s">
        <v>296</v>
      </c>
      <c r="M96" t="s">
        <v>140</v>
      </c>
      <c r="P96">
        <v>15</v>
      </c>
      <c r="Q96">
        <v>3799</v>
      </c>
      <c r="R96">
        <v>150</v>
      </c>
      <c r="S96">
        <v>799</v>
      </c>
      <c r="T96">
        <v>4500</v>
      </c>
      <c r="U96">
        <v>5299</v>
      </c>
      <c r="V96">
        <v>300</v>
      </c>
      <c r="W96">
        <v>0</v>
      </c>
      <c r="X96" t="s">
        <v>141</v>
      </c>
      <c r="Y96" s="55">
        <v>45816.75</v>
      </c>
      <c r="Z96">
        <v>799</v>
      </c>
      <c r="AA96">
        <v>799</v>
      </c>
      <c r="AB96">
        <v>0</v>
      </c>
    </row>
    <row r="97" spans="1:28" x14ac:dyDescent="0.2">
      <c r="A97">
        <v>194</v>
      </c>
      <c r="B97">
        <v>3</v>
      </c>
      <c r="C97">
        <v>10002</v>
      </c>
      <c r="D97" t="s">
        <v>161</v>
      </c>
      <c r="E97">
        <v>8</v>
      </c>
      <c r="F97" t="s">
        <v>175</v>
      </c>
      <c r="G97" s="55">
        <v>46047.07708333333</v>
      </c>
      <c r="H97">
        <v>46</v>
      </c>
      <c r="I97" t="s">
        <v>297</v>
      </c>
      <c r="J97">
        <v>68</v>
      </c>
      <c r="K97" t="s">
        <v>138</v>
      </c>
      <c r="L97" t="s">
        <v>139</v>
      </c>
      <c r="M97" t="s">
        <v>140</v>
      </c>
      <c r="P97">
        <v>20</v>
      </c>
      <c r="Q97">
        <v>3799</v>
      </c>
      <c r="R97">
        <v>100</v>
      </c>
      <c r="S97">
        <v>399.5</v>
      </c>
      <c r="T97">
        <v>3399.5</v>
      </c>
      <c r="U97">
        <v>3799</v>
      </c>
      <c r="V97">
        <v>169.98</v>
      </c>
      <c r="W97">
        <v>0</v>
      </c>
      <c r="X97" t="s">
        <v>141</v>
      </c>
      <c r="Y97" s="55">
        <v>45820.75</v>
      </c>
      <c r="Z97">
        <v>399.5</v>
      </c>
      <c r="AA97">
        <v>399.5</v>
      </c>
      <c r="AB97">
        <v>0</v>
      </c>
    </row>
    <row r="98" spans="1:28" x14ac:dyDescent="0.2">
      <c r="A98">
        <v>195</v>
      </c>
      <c r="B98">
        <v>3</v>
      </c>
      <c r="C98">
        <v>10002</v>
      </c>
      <c r="D98" t="s">
        <v>161</v>
      </c>
      <c r="E98">
        <v>8</v>
      </c>
      <c r="F98" t="s">
        <v>175</v>
      </c>
      <c r="G98" s="55">
        <v>46047.07708333333</v>
      </c>
      <c r="H98">
        <v>46</v>
      </c>
      <c r="I98" t="s">
        <v>297</v>
      </c>
      <c r="J98">
        <v>68</v>
      </c>
      <c r="K98" t="s">
        <v>138</v>
      </c>
      <c r="L98" t="s">
        <v>139</v>
      </c>
      <c r="M98" t="s">
        <v>140</v>
      </c>
      <c r="P98">
        <v>15</v>
      </c>
      <c r="Q98">
        <v>3799</v>
      </c>
      <c r="R98">
        <v>150</v>
      </c>
      <c r="S98">
        <v>399.5</v>
      </c>
      <c r="T98">
        <v>5099.25</v>
      </c>
      <c r="U98">
        <v>5498.75</v>
      </c>
      <c r="V98">
        <v>339.95</v>
      </c>
      <c r="W98">
        <v>0</v>
      </c>
      <c r="X98" t="s">
        <v>141</v>
      </c>
      <c r="Y98" s="55">
        <v>45820.75</v>
      </c>
      <c r="Z98">
        <v>399.5</v>
      </c>
      <c r="AA98">
        <v>399.5</v>
      </c>
      <c r="AB98">
        <v>0</v>
      </c>
    </row>
    <row r="99" spans="1:28" x14ac:dyDescent="0.2">
      <c r="A99">
        <v>197</v>
      </c>
      <c r="B99">
        <v>8</v>
      </c>
      <c r="C99">
        <v>10002</v>
      </c>
      <c r="D99" t="s">
        <v>161</v>
      </c>
      <c r="E99">
        <v>8</v>
      </c>
      <c r="F99" t="s">
        <v>175</v>
      </c>
      <c r="G99" s="55">
        <v>46047.07708333333</v>
      </c>
      <c r="H99">
        <v>46</v>
      </c>
      <c r="I99" t="s">
        <v>298</v>
      </c>
      <c r="J99">
        <v>424</v>
      </c>
      <c r="K99" t="s">
        <v>138</v>
      </c>
      <c r="L99" t="s">
        <v>139</v>
      </c>
      <c r="M99" t="s">
        <v>140</v>
      </c>
      <c r="P99">
        <v>43</v>
      </c>
      <c r="Q99">
        <v>3799</v>
      </c>
      <c r="R99">
        <v>230</v>
      </c>
      <c r="S99">
        <v>799</v>
      </c>
      <c r="T99">
        <v>6900</v>
      </c>
      <c r="U99">
        <v>7699</v>
      </c>
      <c r="V99">
        <v>160.47</v>
      </c>
      <c r="W99">
        <v>0</v>
      </c>
      <c r="X99" t="s">
        <v>141</v>
      </c>
      <c r="Y99" s="55">
        <v>45822.75</v>
      </c>
      <c r="Z99">
        <v>799</v>
      </c>
      <c r="AA99">
        <v>799</v>
      </c>
      <c r="AB99">
        <v>0</v>
      </c>
    </row>
    <row r="100" spans="1:28" x14ac:dyDescent="0.2">
      <c r="A100">
        <v>198</v>
      </c>
      <c r="B100">
        <v>7</v>
      </c>
      <c r="C100">
        <v>11</v>
      </c>
      <c r="D100" t="s">
        <v>230</v>
      </c>
      <c r="E100">
        <v>8</v>
      </c>
      <c r="F100" t="s">
        <v>175</v>
      </c>
      <c r="G100" s="55">
        <v>46047.077777777777</v>
      </c>
      <c r="H100">
        <v>46</v>
      </c>
      <c r="I100" t="s">
        <v>299</v>
      </c>
      <c r="J100">
        <v>425</v>
      </c>
      <c r="K100" t="s">
        <v>138</v>
      </c>
      <c r="L100" t="s">
        <v>139</v>
      </c>
      <c r="M100" t="s">
        <v>140</v>
      </c>
      <c r="P100">
        <v>15</v>
      </c>
      <c r="Q100">
        <v>3799</v>
      </c>
      <c r="R100">
        <v>150</v>
      </c>
      <c r="S100">
        <v>799</v>
      </c>
      <c r="T100">
        <v>4500</v>
      </c>
      <c r="U100">
        <v>5299</v>
      </c>
      <c r="V100">
        <v>300</v>
      </c>
      <c r="W100">
        <v>0</v>
      </c>
      <c r="X100" t="s">
        <v>141</v>
      </c>
      <c r="Y100" s="55">
        <v>45822.75</v>
      </c>
      <c r="Z100">
        <v>799</v>
      </c>
      <c r="AA100">
        <v>799</v>
      </c>
      <c r="AB100">
        <v>0</v>
      </c>
    </row>
    <row r="101" spans="1:28" x14ac:dyDescent="0.2">
      <c r="A101">
        <v>199</v>
      </c>
      <c r="B101">
        <v>15</v>
      </c>
      <c r="C101">
        <v>10002</v>
      </c>
      <c r="D101" t="s">
        <v>161</v>
      </c>
      <c r="E101">
        <v>8</v>
      </c>
      <c r="F101" t="s">
        <v>175</v>
      </c>
      <c r="G101" s="55">
        <v>46047.077777777777</v>
      </c>
      <c r="H101">
        <v>72</v>
      </c>
      <c r="I101" t="s">
        <v>300</v>
      </c>
      <c r="J101">
        <v>145</v>
      </c>
      <c r="K101" t="s">
        <v>285</v>
      </c>
      <c r="L101" t="s">
        <v>286</v>
      </c>
      <c r="M101" t="s">
        <v>140</v>
      </c>
      <c r="P101">
        <v>43</v>
      </c>
      <c r="Q101">
        <v>3799</v>
      </c>
      <c r="R101">
        <v>170</v>
      </c>
      <c r="S101">
        <v>399.5</v>
      </c>
      <c r="T101">
        <v>5779.15</v>
      </c>
      <c r="U101">
        <v>6178.65</v>
      </c>
      <c r="V101">
        <v>134.4</v>
      </c>
      <c r="W101">
        <v>0</v>
      </c>
      <c r="X101" t="s">
        <v>141</v>
      </c>
      <c r="Y101" s="55">
        <v>45822.75</v>
      </c>
      <c r="Z101">
        <v>399.5</v>
      </c>
      <c r="AA101">
        <v>399.5</v>
      </c>
      <c r="AB101">
        <v>0</v>
      </c>
    </row>
    <row r="102" spans="1:28" x14ac:dyDescent="0.2">
      <c r="A102">
        <v>205</v>
      </c>
      <c r="B102">
        <v>8</v>
      </c>
      <c r="C102">
        <v>10002</v>
      </c>
      <c r="D102" t="s">
        <v>161</v>
      </c>
      <c r="E102">
        <v>8</v>
      </c>
      <c r="F102" t="s">
        <v>175</v>
      </c>
      <c r="G102" s="55">
        <v>46047.078472222223</v>
      </c>
      <c r="H102">
        <v>46</v>
      </c>
      <c r="I102" t="s">
        <v>301</v>
      </c>
      <c r="J102">
        <v>430</v>
      </c>
      <c r="K102" t="s">
        <v>138</v>
      </c>
      <c r="L102" t="s">
        <v>139</v>
      </c>
      <c r="M102" t="s">
        <v>140</v>
      </c>
      <c r="P102">
        <v>35</v>
      </c>
      <c r="Q102">
        <v>3799</v>
      </c>
      <c r="R102">
        <v>210</v>
      </c>
      <c r="S102">
        <v>799</v>
      </c>
      <c r="T102">
        <v>6300</v>
      </c>
      <c r="U102">
        <v>7099</v>
      </c>
      <c r="V102">
        <v>180</v>
      </c>
      <c r="W102">
        <v>0</v>
      </c>
      <c r="X102" t="s">
        <v>141</v>
      </c>
      <c r="Y102" s="55">
        <v>45828.75</v>
      </c>
      <c r="Z102">
        <v>799</v>
      </c>
      <c r="AA102">
        <v>799</v>
      </c>
      <c r="AB102">
        <v>0</v>
      </c>
    </row>
    <row r="103" spans="1:28" x14ac:dyDescent="0.2">
      <c r="A103">
        <v>207</v>
      </c>
      <c r="B103">
        <v>5</v>
      </c>
      <c r="C103">
        <v>10002</v>
      </c>
      <c r="D103" t="s">
        <v>161</v>
      </c>
      <c r="E103">
        <v>8</v>
      </c>
      <c r="F103" t="s">
        <v>175</v>
      </c>
      <c r="G103" s="55">
        <v>46047.078472222223</v>
      </c>
      <c r="H103">
        <v>58</v>
      </c>
      <c r="I103" t="s">
        <v>302</v>
      </c>
      <c r="J103">
        <v>431</v>
      </c>
      <c r="K103" t="s">
        <v>153</v>
      </c>
      <c r="L103" t="s">
        <v>201</v>
      </c>
      <c r="M103" t="s">
        <v>140</v>
      </c>
      <c r="P103">
        <v>20</v>
      </c>
      <c r="Q103">
        <v>8299</v>
      </c>
      <c r="R103">
        <v>100</v>
      </c>
      <c r="S103">
        <v>999.5</v>
      </c>
      <c r="T103">
        <v>7299.5</v>
      </c>
      <c r="U103">
        <v>8299</v>
      </c>
      <c r="V103">
        <v>364.98</v>
      </c>
      <c r="W103">
        <v>0</v>
      </c>
      <c r="X103" t="s">
        <v>141</v>
      </c>
      <c r="Y103" s="55">
        <v>45825.75</v>
      </c>
      <c r="Z103">
        <v>999.5</v>
      </c>
      <c r="AA103">
        <v>999.5</v>
      </c>
      <c r="AB103">
        <v>0</v>
      </c>
    </row>
    <row r="104" spans="1:28" x14ac:dyDescent="0.2">
      <c r="A104">
        <v>209</v>
      </c>
      <c r="B104">
        <v>12</v>
      </c>
      <c r="C104">
        <v>10002</v>
      </c>
      <c r="D104" t="s">
        <v>161</v>
      </c>
      <c r="E104">
        <v>8</v>
      </c>
      <c r="F104" t="s">
        <v>175</v>
      </c>
      <c r="G104" s="55">
        <v>46047.078472222223</v>
      </c>
      <c r="H104">
        <v>73</v>
      </c>
      <c r="I104" t="s">
        <v>303</v>
      </c>
      <c r="J104">
        <v>432</v>
      </c>
      <c r="K104" t="s">
        <v>295</v>
      </c>
      <c r="L104" t="s">
        <v>296</v>
      </c>
      <c r="M104" t="s">
        <v>140</v>
      </c>
      <c r="P104">
        <v>15</v>
      </c>
      <c r="Q104">
        <v>3799</v>
      </c>
      <c r="R104">
        <v>150</v>
      </c>
      <c r="S104">
        <v>399.5</v>
      </c>
      <c r="T104">
        <v>5099.25</v>
      </c>
      <c r="U104">
        <v>5498.75</v>
      </c>
      <c r="V104">
        <v>339.95</v>
      </c>
      <c r="W104">
        <v>0</v>
      </c>
      <c r="X104" t="s">
        <v>141</v>
      </c>
      <c r="Y104" s="55">
        <v>45822.75</v>
      </c>
      <c r="Z104">
        <v>399.5</v>
      </c>
      <c r="AA104">
        <v>399.5</v>
      </c>
      <c r="AB104">
        <v>0</v>
      </c>
    </row>
    <row r="105" spans="1:28" x14ac:dyDescent="0.2">
      <c r="A105">
        <v>212</v>
      </c>
      <c r="B105">
        <v>10</v>
      </c>
      <c r="C105">
        <v>10002</v>
      </c>
      <c r="D105" t="s">
        <v>161</v>
      </c>
      <c r="E105">
        <v>8</v>
      </c>
      <c r="F105" t="s">
        <v>175</v>
      </c>
      <c r="G105" s="55">
        <v>46047.07916666667</v>
      </c>
      <c r="H105">
        <v>74</v>
      </c>
      <c r="I105" t="s">
        <v>304</v>
      </c>
      <c r="J105">
        <v>130</v>
      </c>
      <c r="K105" t="s">
        <v>285</v>
      </c>
      <c r="L105" t="s">
        <v>305</v>
      </c>
      <c r="M105" t="s">
        <v>140</v>
      </c>
      <c r="P105">
        <v>35</v>
      </c>
      <c r="Q105">
        <v>6499</v>
      </c>
      <c r="R105">
        <v>210</v>
      </c>
      <c r="S105">
        <v>1249</v>
      </c>
      <c r="T105">
        <v>11025</v>
      </c>
      <c r="U105">
        <v>12274</v>
      </c>
      <c r="V105">
        <v>315</v>
      </c>
      <c r="W105">
        <v>0</v>
      </c>
      <c r="X105" t="s">
        <v>141</v>
      </c>
      <c r="Y105" s="55">
        <v>45804.75</v>
      </c>
      <c r="Z105">
        <v>1249</v>
      </c>
      <c r="AA105">
        <v>1249</v>
      </c>
      <c r="AB105">
        <v>0</v>
      </c>
    </row>
    <row r="106" spans="1:28" x14ac:dyDescent="0.2">
      <c r="A106">
        <v>213</v>
      </c>
      <c r="B106">
        <v>9</v>
      </c>
      <c r="C106">
        <v>12</v>
      </c>
      <c r="D106" t="s">
        <v>187</v>
      </c>
      <c r="E106">
        <v>8</v>
      </c>
      <c r="F106" t="s">
        <v>175</v>
      </c>
      <c r="G106" s="55">
        <v>46047.07916666667</v>
      </c>
      <c r="H106">
        <v>63</v>
      </c>
      <c r="I106" t="s">
        <v>306</v>
      </c>
      <c r="J106">
        <v>434</v>
      </c>
      <c r="K106" t="s">
        <v>153</v>
      </c>
      <c r="L106" t="s">
        <v>222</v>
      </c>
      <c r="M106" t="s">
        <v>140</v>
      </c>
      <c r="P106">
        <v>43</v>
      </c>
      <c r="Q106">
        <v>5299</v>
      </c>
      <c r="R106">
        <v>230</v>
      </c>
      <c r="S106">
        <v>999</v>
      </c>
      <c r="T106">
        <v>9890</v>
      </c>
      <c r="U106">
        <v>10889</v>
      </c>
      <c r="V106">
        <v>230</v>
      </c>
      <c r="W106">
        <v>0</v>
      </c>
      <c r="X106" t="s">
        <v>141</v>
      </c>
      <c r="Y106" s="55">
        <v>45804.75</v>
      </c>
      <c r="Z106">
        <v>999</v>
      </c>
      <c r="AA106">
        <v>999</v>
      </c>
      <c r="AB106">
        <v>0</v>
      </c>
    </row>
    <row r="107" spans="1:28" x14ac:dyDescent="0.2">
      <c r="A107">
        <v>214</v>
      </c>
      <c r="B107">
        <v>12</v>
      </c>
      <c r="C107">
        <v>15</v>
      </c>
      <c r="D107" t="s">
        <v>148</v>
      </c>
      <c r="E107">
        <v>8</v>
      </c>
      <c r="F107" t="s">
        <v>175</v>
      </c>
      <c r="G107" s="55">
        <v>46047.079861111109</v>
      </c>
      <c r="H107">
        <v>63</v>
      </c>
      <c r="I107" t="s">
        <v>307</v>
      </c>
      <c r="J107">
        <v>435</v>
      </c>
      <c r="K107" t="s">
        <v>153</v>
      </c>
      <c r="L107" t="s">
        <v>222</v>
      </c>
      <c r="M107" t="s">
        <v>140</v>
      </c>
      <c r="P107">
        <v>43</v>
      </c>
      <c r="Q107">
        <v>5299</v>
      </c>
      <c r="R107">
        <v>230</v>
      </c>
      <c r="S107">
        <v>999</v>
      </c>
      <c r="T107">
        <v>9890</v>
      </c>
      <c r="U107">
        <v>10889</v>
      </c>
      <c r="V107">
        <v>230</v>
      </c>
      <c r="W107">
        <v>0</v>
      </c>
      <c r="X107" t="s">
        <v>141</v>
      </c>
      <c r="Y107" s="55">
        <v>45809.75</v>
      </c>
      <c r="Z107">
        <v>999</v>
      </c>
      <c r="AA107">
        <v>999</v>
      </c>
      <c r="AB107">
        <v>0</v>
      </c>
    </row>
    <row r="108" spans="1:28" x14ac:dyDescent="0.2">
      <c r="A108">
        <v>215</v>
      </c>
      <c r="B108">
        <v>5</v>
      </c>
      <c r="C108">
        <v>10002</v>
      </c>
      <c r="D108" t="s">
        <v>161</v>
      </c>
      <c r="E108">
        <v>8</v>
      </c>
      <c r="F108" t="s">
        <v>175</v>
      </c>
      <c r="G108" s="55">
        <v>46047.079861111109</v>
      </c>
      <c r="H108">
        <v>28</v>
      </c>
      <c r="I108" t="s">
        <v>308</v>
      </c>
      <c r="J108">
        <v>436</v>
      </c>
      <c r="K108" t="s">
        <v>145</v>
      </c>
      <c r="L108" t="s">
        <v>309</v>
      </c>
      <c r="M108" t="s">
        <v>140</v>
      </c>
      <c r="P108">
        <v>20</v>
      </c>
      <c r="Q108">
        <v>6599</v>
      </c>
      <c r="R108">
        <v>100</v>
      </c>
      <c r="S108">
        <v>624.5</v>
      </c>
      <c r="T108">
        <v>5974.5</v>
      </c>
      <c r="U108">
        <v>6599</v>
      </c>
      <c r="V108">
        <v>298.73</v>
      </c>
      <c r="W108">
        <v>0</v>
      </c>
      <c r="X108" t="s">
        <v>141</v>
      </c>
      <c r="Y108" s="55">
        <v>45815.75</v>
      </c>
      <c r="Z108">
        <v>624.5</v>
      </c>
      <c r="AA108">
        <v>624.5</v>
      </c>
      <c r="AB108">
        <v>0</v>
      </c>
    </row>
    <row r="109" spans="1:28" x14ac:dyDescent="0.2">
      <c r="A109">
        <v>216</v>
      </c>
      <c r="B109">
        <v>5</v>
      </c>
      <c r="C109">
        <v>31</v>
      </c>
      <c r="D109" t="s">
        <v>170</v>
      </c>
      <c r="E109">
        <v>8</v>
      </c>
      <c r="F109" t="s">
        <v>175</v>
      </c>
      <c r="G109" s="55">
        <v>46047.079861111109</v>
      </c>
      <c r="H109">
        <v>63</v>
      </c>
      <c r="I109" t="s">
        <v>310</v>
      </c>
      <c r="J109">
        <v>437</v>
      </c>
      <c r="K109" t="s">
        <v>153</v>
      </c>
      <c r="L109" t="s">
        <v>222</v>
      </c>
      <c r="M109" t="s">
        <v>140</v>
      </c>
      <c r="P109">
        <v>15</v>
      </c>
      <c r="Q109">
        <v>5299</v>
      </c>
      <c r="R109">
        <v>150</v>
      </c>
      <c r="S109">
        <v>999</v>
      </c>
      <c r="T109">
        <v>6450</v>
      </c>
      <c r="U109">
        <v>7449</v>
      </c>
      <c r="V109">
        <v>430</v>
      </c>
      <c r="W109">
        <v>0</v>
      </c>
      <c r="X109" t="s">
        <v>141</v>
      </c>
      <c r="Y109" s="55">
        <v>45813.75</v>
      </c>
      <c r="Z109">
        <v>999</v>
      </c>
      <c r="AA109">
        <v>999</v>
      </c>
      <c r="AB109">
        <v>0</v>
      </c>
    </row>
    <row r="110" spans="1:28" x14ac:dyDescent="0.2">
      <c r="A110">
        <v>217</v>
      </c>
      <c r="B110">
        <v>8</v>
      </c>
      <c r="C110">
        <v>10002</v>
      </c>
      <c r="D110" t="s">
        <v>161</v>
      </c>
      <c r="E110">
        <v>8</v>
      </c>
      <c r="F110" t="s">
        <v>175</v>
      </c>
      <c r="G110" s="55">
        <v>46047.079861111109</v>
      </c>
      <c r="H110">
        <v>75</v>
      </c>
      <c r="I110" t="s">
        <v>311</v>
      </c>
      <c r="J110">
        <v>438</v>
      </c>
      <c r="K110" t="s">
        <v>235</v>
      </c>
      <c r="L110" t="s">
        <v>312</v>
      </c>
      <c r="M110" t="s">
        <v>140</v>
      </c>
      <c r="P110">
        <v>35</v>
      </c>
      <c r="Q110">
        <v>3799</v>
      </c>
      <c r="R110">
        <v>210</v>
      </c>
      <c r="S110">
        <v>799</v>
      </c>
      <c r="T110">
        <v>6300</v>
      </c>
      <c r="U110">
        <v>7099</v>
      </c>
      <c r="V110">
        <v>180</v>
      </c>
      <c r="W110">
        <v>0</v>
      </c>
      <c r="X110" t="s">
        <v>141</v>
      </c>
      <c r="Y110" s="55">
        <v>45811.75</v>
      </c>
      <c r="Z110">
        <v>799</v>
      </c>
      <c r="AA110">
        <v>799</v>
      </c>
      <c r="AB110">
        <v>0</v>
      </c>
    </row>
    <row r="111" spans="1:28" x14ac:dyDescent="0.2">
      <c r="A111">
        <v>219</v>
      </c>
      <c r="B111">
        <v>3</v>
      </c>
      <c r="C111">
        <v>10002</v>
      </c>
      <c r="D111" t="s">
        <v>161</v>
      </c>
      <c r="E111">
        <v>8</v>
      </c>
      <c r="F111" t="s">
        <v>175</v>
      </c>
      <c r="G111" s="55">
        <v>46047.080555555556</v>
      </c>
      <c r="H111">
        <v>58</v>
      </c>
      <c r="I111" t="s">
        <v>313</v>
      </c>
      <c r="J111">
        <v>440</v>
      </c>
      <c r="K111" t="s">
        <v>153</v>
      </c>
      <c r="L111" t="s">
        <v>201</v>
      </c>
      <c r="M111" t="s">
        <v>140</v>
      </c>
      <c r="P111">
        <v>43</v>
      </c>
      <c r="Q111">
        <v>7599</v>
      </c>
      <c r="R111">
        <v>100</v>
      </c>
      <c r="S111">
        <v>1000</v>
      </c>
      <c r="T111">
        <v>6599</v>
      </c>
      <c r="U111">
        <v>7599</v>
      </c>
      <c r="V111">
        <v>153.47</v>
      </c>
      <c r="W111">
        <v>0</v>
      </c>
      <c r="X111" t="s">
        <v>141</v>
      </c>
      <c r="Y111" s="55">
        <v>45771.75</v>
      </c>
      <c r="Z111">
        <v>1000</v>
      </c>
      <c r="AA111">
        <v>1000</v>
      </c>
      <c r="AB111">
        <v>0</v>
      </c>
    </row>
    <row r="112" spans="1:28" x14ac:dyDescent="0.2">
      <c r="A112">
        <v>220</v>
      </c>
      <c r="B112">
        <v>9</v>
      </c>
      <c r="C112">
        <v>12</v>
      </c>
      <c r="D112" t="s">
        <v>187</v>
      </c>
      <c r="E112">
        <v>8</v>
      </c>
      <c r="F112" t="s">
        <v>175</v>
      </c>
      <c r="G112" s="55">
        <v>46047.080555555556</v>
      </c>
      <c r="H112">
        <v>63</v>
      </c>
      <c r="I112" t="s">
        <v>314</v>
      </c>
      <c r="J112">
        <v>116</v>
      </c>
      <c r="K112" t="s">
        <v>153</v>
      </c>
      <c r="L112" t="s">
        <v>222</v>
      </c>
      <c r="M112" t="s">
        <v>140</v>
      </c>
      <c r="P112">
        <v>43</v>
      </c>
      <c r="Q112">
        <v>5299</v>
      </c>
      <c r="R112">
        <v>230</v>
      </c>
      <c r="S112">
        <v>999</v>
      </c>
      <c r="T112">
        <v>9890</v>
      </c>
      <c r="U112">
        <v>10889</v>
      </c>
      <c r="V112">
        <v>230</v>
      </c>
      <c r="W112">
        <v>0</v>
      </c>
      <c r="X112" t="s">
        <v>141</v>
      </c>
      <c r="Y112" s="55">
        <v>45779.75</v>
      </c>
      <c r="Z112">
        <v>999</v>
      </c>
      <c r="AA112">
        <v>999</v>
      </c>
      <c r="AB112">
        <v>0</v>
      </c>
    </row>
    <row r="113" spans="1:28" x14ac:dyDescent="0.2">
      <c r="A113">
        <v>221</v>
      </c>
      <c r="B113">
        <v>12</v>
      </c>
      <c r="C113">
        <v>15</v>
      </c>
      <c r="D113" t="s">
        <v>148</v>
      </c>
      <c r="E113">
        <v>8</v>
      </c>
      <c r="F113" t="s">
        <v>175</v>
      </c>
      <c r="G113" s="55">
        <v>46047.080555555556</v>
      </c>
      <c r="H113">
        <v>58</v>
      </c>
      <c r="I113" t="s">
        <v>315</v>
      </c>
      <c r="J113">
        <v>43</v>
      </c>
      <c r="K113" t="s">
        <v>153</v>
      </c>
      <c r="L113" t="s">
        <v>201</v>
      </c>
      <c r="M113" t="s">
        <v>140</v>
      </c>
      <c r="P113">
        <v>43</v>
      </c>
      <c r="Q113">
        <v>8299</v>
      </c>
      <c r="R113">
        <v>170</v>
      </c>
      <c r="S113">
        <v>999</v>
      </c>
      <c r="T113">
        <v>12410</v>
      </c>
      <c r="U113">
        <v>13409</v>
      </c>
      <c r="V113">
        <v>288.60000000000002</v>
      </c>
      <c r="W113">
        <v>0</v>
      </c>
      <c r="X113" t="s">
        <v>141</v>
      </c>
      <c r="Y113" s="55">
        <v>45785.75</v>
      </c>
      <c r="Z113">
        <v>999</v>
      </c>
      <c r="AA113">
        <v>999</v>
      </c>
      <c r="AB113">
        <v>0</v>
      </c>
    </row>
    <row r="114" spans="1:28" x14ac:dyDescent="0.2">
      <c r="A114">
        <v>222</v>
      </c>
      <c r="B114">
        <v>5</v>
      </c>
      <c r="C114">
        <v>5</v>
      </c>
      <c r="D114" t="s">
        <v>164</v>
      </c>
      <c r="E114">
        <v>8</v>
      </c>
      <c r="F114" t="s">
        <v>175</v>
      </c>
      <c r="G114" s="55">
        <v>46047.080555555556</v>
      </c>
      <c r="H114">
        <v>75</v>
      </c>
      <c r="I114" t="s">
        <v>316</v>
      </c>
      <c r="J114">
        <v>115</v>
      </c>
      <c r="K114" t="s">
        <v>235</v>
      </c>
      <c r="L114" t="s">
        <v>312</v>
      </c>
      <c r="M114" t="s">
        <v>140</v>
      </c>
      <c r="P114">
        <v>35</v>
      </c>
      <c r="Q114">
        <v>3799</v>
      </c>
      <c r="R114">
        <v>210</v>
      </c>
      <c r="S114">
        <v>799</v>
      </c>
      <c r="T114">
        <v>6300</v>
      </c>
      <c r="U114">
        <v>7099</v>
      </c>
      <c r="V114">
        <v>180</v>
      </c>
      <c r="W114">
        <v>0</v>
      </c>
      <c r="X114" t="s">
        <v>141</v>
      </c>
      <c r="Y114" s="55">
        <v>45773.75</v>
      </c>
      <c r="Z114">
        <v>799</v>
      </c>
      <c r="AA114">
        <v>799</v>
      </c>
      <c r="AB114">
        <v>0</v>
      </c>
    </row>
    <row r="115" spans="1:28" x14ac:dyDescent="0.2">
      <c r="A115">
        <v>223</v>
      </c>
      <c r="B115">
        <v>8</v>
      </c>
      <c r="C115">
        <v>5</v>
      </c>
      <c r="D115" t="s">
        <v>164</v>
      </c>
      <c r="E115">
        <v>8</v>
      </c>
      <c r="F115" t="s">
        <v>175</v>
      </c>
      <c r="G115" s="55">
        <v>46047.080555555556</v>
      </c>
      <c r="H115">
        <v>63</v>
      </c>
      <c r="I115" t="s">
        <v>317</v>
      </c>
      <c r="J115">
        <v>441</v>
      </c>
      <c r="K115" t="s">
        <v>153</v>
      </c>
      <c r="L115" t="s">
        <v>222</v>
      </c>
      <c r="M115" t="s">
        <v>140</v>
      </c>
      <c r="P115">
        <v>26</v>
      </c>
      <c r="Q115">
        <v>5299</v>
      </c>
      <c r="R115">
        <v>190</v>
      </c>
      <c r="S115">
        <v>999</v>
      </c>
      <c r="T115">
        <v>8170</v>
      </c>
      <c r="U115">
        <v>9169</v>
      </c>
      <c r="V115">
        <v>314.23</v>
      </c>
      <c r="W115">
        <v>0</v>
      </c>
      <c r="X115" t="s">
        <v>141</v>
      </c>
      <c r="Y115" s="55">
        <v>45791.75</v>
      </c>
      <c r="Z115">
        <v>999</v>
      </c>
      <c r="AA115">
        <v>999</v>
      </c>
      <c r="AB115">
        <v>0</v>
      </c>
    </row>
    <row r="116" spans="1:28" x14ac:dyDescent="0.2">
      <c r="A116">
        <v>224</v>
      </c>
      <c r="B116">
        <v>12</v>
      </c>
      <c r="C116">
        <v>31</v>
      </c>
      <c r="D116" t="s">
        <v>170</v>
      </c>
      <c r="E116">
        <v>8</v>
      </c>
      <c r="F116" t="s">
        <v>175</v>
      </c>
      <c r="G116" s="55">
        <v>46047.080555555556</v>
      </c>
      <c r="H116">
        <v>63</v>
      </c>
      <c r="I116" t="s">
        <v>203</v>
      </c>
      <c r="J116">
        <v>368</v>
      </c>
      <c r="K116" t="s">
        <v>153</v>
      </c>
      <c r="L116" t="s">
        <v>222</v>
      </c>
      <c r="M116" t="s">
        <v>140</v>
      </c>
      <c r="P116">
        <v>20</v>
      </c>
      <c r="Q116">
        <v>5299</v>
      </c>
      <c r="R116">
        <v>100</v>
      </c>
      <c r="S116">
        <v>999</v>
      </c>
      <c r="T116">
        <v>4300</v>
      </c>
      <c r="U116">
        <v>5299</v>
      </c>
      <c r="V116">
        <v>215</v>
      </c>
      <c r="W116">
        <v>0</v>
      </c>
      <c r="X116" t="s">
        <v>141</v>
      </c>
      <c r="Y116" s="55">
        <v>45768.75</v>
      </c>
      <c r="Z116">
        <v>999</v>
      </c>
      <c r="AA116">
        <v>999</v>
      </c>
      <c r="AB116">
        <v>0</v>
      </c>
    </row>
    <row r="117" spans="1:28" x14ac:dyDescent="0.2">
      <c r="A117">
        <v>228</v>
      </c>
      <c r="B117">
        <v>9</v>
      </c>
      <c r="C117">
        <v>10002</v>
      </c>
      <c r="D117" t="s">
        <v>161</v>
      </c>
      <c r="E117">
        <v>8</v>
      </c>
      <c r="F117" t="s">
        <v>175</v>
      </c>
      <c r="G117" s="55">
        <v>46047.081250000003</v>
      </c>
      <c r="H117">
        <v>5</v>
      </c>
      <c r="I117" t="s">
        <v>187</v>
      </c>
      <c r="J117">
        <v>347</v>
      </c>
      <c r="K117" t="s">
        <v>138</v>
      </c>
      <c r="L117" t="s">
        <v>166</v>
      </c>
      <c r="M117" t="s">
        <v>140</v>
      </c>
      <c r="P117">
        <v>20</v>
      </c>
      <c r="Q117">
        <v>6499</v>
      </c>
      <c r="R117">
        <v>100</v>
      </c>
      <c r="S117">
        <v>750</v>
      </c>
      <c r="T117">
        <v>5749</v>
      </c>
      <c r="U117">
        <v>6499</v>
      </c>
      <c r="V117">
        <v>287.45</v>
      </c>
      <c r="W117">
        <v>0</v>
      </c>
      <c r="X117" t="s">
        <v>141</v>
      </c>
      <c r="Y117" s="55">
        <v>45763.75</v>
      </c>
      <c r="Z117">
        <v>750</v>
      </c>
      <c r="AA117">
        <v>750</v>
      </c>
      <c r="AB117">
        <v>0</v>
      </c>
    </row>
    <row r="118" spans="1:28" x14ac:dyDescent="0.2">
      <c r="A118">
        <v>231</v>
      </c>
      <c r="B118">
        <v>12</v>
      </c>
      <c r="C118">
        <v>10002</v>
      </c>
      <c r="D118" t="s">
        <v>161</v>
      </c>
      <c r="E118">
        <v>8</v>
      </c>
      <c r="F118" t="s">
        <v>175</v>
      </c>
      <c r="G118" s="55">
        <v>46047.081250000003</v>
      </c>
      <c r="H118">
        <v>1</v>
      </c>
      <c r="I118" t="s">
        <v>206</v>
      </c>
      <c r="J118">
        <v>100</v>
      </c>
      <c r="K118" t="s">
        <v>138</v>
      </c>
      <c r="L118" t="s">
        <v>217</v>
      </c>
      <c r="M118" t="s">
        <v>140</v>
      </c>
      <c r="P118">
        <v>26</v>
      </c>
      <c r="Q118">
        <v>9199</v>
      </c>
      <c r="R118">
        <v>190</v>
      </c>
      <c r="S118">
        <v>2499</v>
      </c>
      <c r="T118">
        <v>12730</v>
      </c>
      <c r="U118">
        <v>15229</v>
      </c>
      <c r="V118">
        <v>489.62</v>
      </c>
      <c r="W118">
        <v>0</v>
      </c>
      <c r="X118" t="s">
        <v>141</v>
      </c>
      <c r="Y118" s="55">
        <v>45759.75</v>
      </c>
      <c r="Z118">
        <v>2499</v>
      </c>
      <c r="AA118">
        <v>2499</v>
      </c>
      <c r="AB118">
        <v>0</v>
      </c>
    </row>
    <row r="119" spans="1:28" x14ac:dyDescent="0.2">
      <c r="A119">
        <v>233</v>
      </c>
      <c r="B119">
        <v>3</v>
      </c>
      <c r="C119">
        <v>10002</v>
      </c>
      <c r="D119" t="s">
        <v>161</v>
      </c>
      <c r="E119">
        <v>8</v>
      </c>
      <c r="F119" t="s">
        <v>175</v>
      </c>
      <c r="G119" s="55">
        <v>46047.081250000003</v>
      </c>
      <c r="H119">
        <v>1</v>
      </c>
      <c r="I119" t="s">
        <v>318</v>
      </c>
      <c r="J119">
        <v>29</v>
      </c>
      <c r="K119" t="s">
        <v>138</v>
      </c>
      <c r="L119" t="s">
        <v>217</v>
      </c>
      <c r="M119" t="s">
        <v>140</v>
      </c>
      <c r="P119">
        <v>20</v>
      </c>
      <c r="Q119">
        <v>9199</v>
      </c>
      <c r="R119">
        <v>100</v>
      </c>
      <c r="S119">
        <v>1249</v>
      </c>
      <c r="T119">
        <v>7950</v>
      </c>
      <c r="U119">
        <v>9199</v>
      </c>
      <c r="V119">
        <v>397.5</v>
      </c>
      <c r="W119">
        <v>0</v>
      </c>
      <c r="X119" t="s">
        <v>141</v>
      </c>
      <c r="Y119" s="55">
        <v>45755.75</v>
      </c>
      <c r="Z119">
        <v>1249</v>
      </c>
      <c r="AA119">
        <v>1249</v>
      </c>
      <c r="AB119">
        <v>0</v>
      </c>
    </row>
    <row r="120" spans="1:28" x14ac:dyDescent="0.2">
      <c r="A120">
        <v>235</v>
      </c>
      <c r="B120">
        <v>12</v>
      </c>
      <c r="C120">
        <v>13</v>
      </c>
      <c r="D120" t="s">
        <v>167</v>
      </c>
      <c r="E120">
        <v>8</v>
      </c>
      <c r="F120" t="s">
        <v>175</v>
      </c>
      <c r="G120" s="55">
        <v>46047.081944444442</v>
      </c>
      <c r="H120">
        <v>77</v>
      </c>
      <c r="I120" t="s">
        <v>319</v>
      </c>
      <c r="J120">
        <v>445</v>
      </c>
      <c r="K120" t="s">
        <v>153</v>
      </c>
      <c r="L120" t="s">
        <v>320</v>
      </c>
      <c r="M120" t="s">
        <v>140</v>
      </c>
      <c r="P120">
        <v>26</v>
      </c>
      <c r="Q120">
        <v>5299</v>
      </c>
      <c r="R120">
        <v>190</v>
      </c>
      <c r="S120">
        <v>999</v>
      </c>
      <c r="T120">
        <v>8170</v>
      </c>
      <c r="U120">
        <v>9169</v>
      </c>
      <c r="V120">
        <v>314.23</v>
      </c>
      <c r="W120">
        <v>0</v>
      </c>
      <c r="X120" t="s">
        <v>141</v>
      </c>
      <c r="Y120" s="55">
        <v>45755.75</v>
      </c>
      <c r="Z120">
        <v>999</v>
      </c>
      <c r="AA120">
        <v>999</v>
      </c>
      <c r="AB120">
        <v>0</v>
      </c>
    </row>
    <row r="121" spans="1:28" x14ac:dyDescent="0.2">
      <c r="A121">
        <v>238</v>
      </c>
      <c r="B121">
        <v>9</v>
      </c>
      <c r="C121">
        <v>10002</v>
      </c>
      <c r="D121" t="s">
        <v>161</v>
      </c>
      <c r="E121">
        <v>8</v>
      </c>
      <c r="F121" t="s">
        <v>175</v>
      </c>
      <c r="G121" s="55">
        <v>46047.081944444442</v>
      </c>
      <c r="H121">
        <v>63</v>
      </c>
      <c r="I121" t="s">
        <v>321</v>
      </c>
      <c r="J121">
        <v>128</v>
      </c>
      <c r="K121" t="s">
        <v>153</v>
      </c>
      <c r="L121" t="s">
        <v>222</v>
      </c>
      <c r="M121" t="s">
        <v>140</v>
      </c>
      <c r="P121">
        <v>35</v>
      </c>
      <c r="Q121">
        <v>5299</v>
      </c>
      <c r="R121">
        <v>210</v>
      </c>
      <c r="S121">
        <v>999</v>
      </c>
      <c r="T121">
        <v>9030</v>
      </c>
      <c r="U121">
        <v>10029</v>
      </c>
      <c r="V121">
        <v>258</v>
      </c>
      <c r="W121">
        <v>0</v>
      </c>
      <c r="X121" t="s">
        <v>141</v>
      </c>
      <c r="Y121" s="55">
        <v>45804.75</v>
      </c>
      <c r="Z121">
        <v>999</v>
      </c>
      <c r="AA121">
        <v>999</v>
      </c>
      <c r="AB121">
        <v>0</v>
      </c>
    </row>
    <row r="122" spans="1:28" x14ac:dyDescent="0.2">
      <c r="A122">
        <v>240</v>
      </c>
      <c r="B122">
        <v>12</v>
      </c>
      <c r="C122">
        <v>10002</v>
      </c>
      <c r="D122" t="s">
        <v>161</v>
      </c>
      <c r="E122">
        <v>8</v>
      </c>
      <c r="F122" t="s">
        <v>175</v>
      </c>
      <c r="G122" s="55">
        <v>46047.572916666664</v>
      </c>
      <c r="H122">
        <v>79</v>
      </c>
      <c r="I122" t="s">
        <v>322</v>
      </c>
      <c r="J122">
        <v>3</v>
      </c>
      <c r="K122" t="s">
        <v>323</v>
      </c>
      <c r="L122" t="s">
        <v>324</v>
      </c>
      <c r="M122" t="s">
        <v>140</v>
      </c>
      <c r="P122">
        <v>26</v>
      </c>
      <c r="Q122">
        <v>6499</v>
      </c>
      <c r="R122">
        <v>140.03</v>
      </c>
      <c r="S122">
        <v>0</v>
      </c>
      <c r="T122">
        <v>9100.5499999999993</v>
      </c>
      <c r="U122">
        <v>9100.5499999999993</v>
      </c>
      <c r="V122">
        <v>350.02</v>
      </c>
      <c r="W122">
        <v>0</v>
      </c>
      <c r="X122" t="s">
        <v>141</v>
      </c>
      <c r="Y122" s="55">
        <v>46043.397916666669</v>
      </c>
      <c r="Z122">
        <v>0</v>
      </c>
      <c r="AA122">
        <v>0</v>
      </c>
      <c r="AB122">
        <v>0</v>
      </c>
    </row>
    <row r="123" spans="1:28" x14ac:dyDescent="0.2">
      <c r="A123">
        <v>241</v>
      </c>
      <c r="B123">
        <v>5</v>
      </c>
      <c r="C123">
        <v>10002</v>
      </c>
      <c r="D123" t="s">
        <v>161</v>
      </c>
      <c r="E123">
        <v>8</v>
      </c>
      <c r="F123" t="s">
        <v>175</v>
      </c>
      <c r="G123" s="55">
        <v>46047.572916666664</v>
      </c>
      <c r="H123">
        <v>80</v>
      </c>
      <c r="I123" t="s">
        <v>325</v>
      </c>
      <c r="J123">
        <v>7</v>
      </c>
      <c r="K123" t="s">
        <v>326</v>
      </c>
      <c r="L123" t="s">
        <v>327</v>
      </c>
      <c r="M123" t="s">
        <v>140</v>
      </c>
      <c r="P123">
        <v>13</v>
      </c>
      <c r="Q123">
        <v>7699</v>
      </c>
      <c r="R123">
        <v>147.43</v>
      </c>
      <c r="S123">
        <v>1720</v>
      </c>
      <c r="T123">
        <v>8814.84</v>
      </c>
      <c r="U123">
        <v>10534.84</v>
      </c>
      <c r="V123">
        <v>678.06</v>
      </c>
      <c r="W123">
        <v>0</v>
      </c>
      <c r="X123" t="s">
        <v>141</v>
      </c>
      <c r="Y123" s="55">
        <v>46043.397916666669</v>
      </c>
      <c r="Z123">
        <v>1720</v>
      </c>
      <c r="AA123">
        <v>1720</v>
      </c>
      <c r="AB123">
        <v>0</v>
      </c>
    </row>
    <row r="124" spans="1:28" x14ac:dyDescent="0.2">
      <c r="A124">
        <v>242</v>
      </c>
      <c r="B124">
        <v>8</v>
      </c>
      <c r="C124">
        <v>28</v>
      </c>
      <c r="D124" t="s">
        <v>328</v>
      </c>
      <c r="E124">
        <v>8</v>
      </c>
      <c r="F124" t="s">
        <v>175</v>
      </c>
      <c r="G124" s="55">
        <v>46047.572916666664</v>
      </c>
      <c r="H124">
        <v>56</v>
      </c>
      <c r="I124" t="s">
        <v>329</v>
      </c>
      <c r="J124">
        <v>448</v>
      </c>
      <c r="K124" t="s">
        <v>138</v>
      </c>
      <c r="L124" t="s">
        <v>211</v>
      </c>
      <c r="M124" t="s">
        <v>140</v>
      </c>
      <c r="P124">
        <v>15</v>
      </c>
      <c r="Q124">
        <v>3999</v>
      </c>
      <c r="R124">
        <v>150</v>
      </c>
      <c r="S124">
        <v>799</v>
      </c>
      <c r="T124">
        <v>4800</v>
      </c>
      <c r="U124">
        <v>5599</v>
      </c>
      <c r="V124">
        <v>320</v>
      </c>
      <c r="W124">
        <v>0</v>
      </c>
      <c r="X124" t="s">
        <v>141</v>
      </c>
      <c r="Y124" s="55">
        <v>45992.75</v>
      </c>
      <c r="Z124">
        <v>799</v>
      </c>
      <c r="AA124">
        <v>799</v>
      </c>
      <c r="AB124">
        <v>0</v>
      </c>
    </row>
    <row r="125" spans="1:28" x14ac:dyDescent="0.2">
      <c r="A125">
        <v>243</v>
      </c>
      <c r="B125">
        <v>5</v>
      </c>
      <c r="C125">
        <v>10</v>
      </c>
      <c r="D125" t="s">
        <v>215</v>
      </c>
      <c r="E125">
        <v>8</v>
      </c>
      <c r="F125" t="s">
        <v>175</v>
      </c>
      <c r="G125" s="55">
        <v>46047.573611111111</v>
      </c>
      <c r="H125">
        <v>30</v>
      </c>
      <c r="I125" t="s">
        <v>330</v>
      </c>
      <c r="J125">
        <v>449</v>
      </c>
      <c r="K125" t="s">
        <v>145</v>
      </c>
      <c r="L125" t="s">
        <v>331</v>
      </c>
      <c r="M125" t="s">
        <v>140</v>
      </c>
      <c r="P125">
        <v>43</v>
      </c>
      <c r="Q125">
        <v>3999</v>
      </c>
      <c r="R125">
        <v>230</v>
      </c>
      <c r="S125">
        <v>799</v>
      </c>
      <c r="T125">
        <v>7360</v>
      </c>
      <c r="U125">
        <v>8159</v>
      </c>
      <c r="V125">
        <v>171.16</v>
      </c>
      <c r="W125">
        <v>0</v>
      </c>
      <c r="X125" t="s">
        <v>141</v>
      </c>
      <c r="Y125" s="55">
        <v>46004.75</v>
      </c>
      <c r="Z125">
        <v>799</v>
      </c>
      <c r="AA125">
        <v>799</v>
      </c>
      <c r="AB125">
        <v>0</v>
      </c>
    </row>
    <row r="126" spans="1:28" x14ac:dyDescent="0.2">
      <c r="A126">
        <v>244</v>
      </c>
      <c r="B126">
        <v>11</v>
      </c>
      <c r="C126">
        <v>14</v>
      </c>
      <c r="D126" t="s">
        <v>135</v>
      </c>
      <c r="E126">
        <v>8</v>
      </c>
      <c r="F126" t="s">
        <v>175</v>
      </c>
      <c r="G126" s="55">
        <v>46047.573611111111</v>
      </c>
      <c r="H126">
        <v>56</v>
      </c>
      <c r="I126" t="s">
        <v>332</v>
      </c>
      <c r="J126">
        <v>313</v>
      </c>
      <c r="K126" t="s">
        <v>138</v>
      </c>
      <c r="L126" t="s">
        <v>211</v>
      </c>
      <c r="M126" t="s">
        <v>140</v>
      </c>
      <c r="P126">
        <v>35</v>
      </c>
      <c r="Q126">
        <v>3999</v>
      </c>
      <c r="R126">
        <v>210</v>
      </c>
      <c r="S126">
        <v>799</v>
      </c>
      <c r="T126">
        <v>6720</v>
      </c>
      <c r="U126">
        <v>7519</v>
      </c>
      <c r="V126">
        <v>192</v>
      </c>
      <c r="W126">
        <v>0</v>
      </c>
      <c r="X126" t="s">
        <v>141</v>
      </c>
      <c r="Y126" s="55">
        <v>45998.75</v>
      </c>
      <c r="Z126">
        <v>799</v>
      </c>
      <c r="AA126">
        <v>799</v>
      </c>
      <c r="AB126">
        <v>0</v>
      </c>
    </row>
    <row r="127" spans="1:28" x14ac:dyDescent="0.2">
      <c r="A127">
        <v>246</v>
      </c>
      <c r="B127">
        <v>12</v>
      </c>
      <c r="C127">
        <v>31</v>
      </c>
      <c r="D127" t="s">
        <v>170</v>
      </c>
      <c r="E127">
        <v>8</v>
      </c>
      <c r="F127" t="s">
        <v>175</v>
      </c>
      <c r="G127" s="55">
        <v>46047.573611111111</v>
      </c>
      <c r="H127">
        <v>56</v>
      </c>
      <c r="I127" t="s">
        <v>333</v>
      </c>
      <c r="J127">
        <v>451</v>
      </c>
      <c r="K127" t="s">
        <v>138</v>
      </c>
      <c r="L127" t="s">
        <v>211</v>
      </c>
      <c r="M127" t="s">
        <v>140</v>
      </c>
      <c r="P127">
        <v>35</v>
      </c>
      <c r="Q127">
        <v>3999</v>
      </c>
      <c r="R127">
        <v>210</v>
      </c>
      <c r="S127">
        <v>799</v>
      </c>
      <c r="T127">
        <v>6720</v>
      </c>
      <c r="U127">
        <v>7519</v>
      </c>
      <c r="V127">
        <v>192</v>
      </c>
      <c r="W127">
        <v>0</v>
      </c>
      <c r="X127" t="s">
        <v>141</v>
      </c>
      <c r="Y127" s="55">
        <v>46001.75</v>
      </c>
      <c r="Z127">
        <v>799</v>
      </c>
      <c r="AA127">
        <v>799</v>
      </c>
      <c r="AB127">
        <v>0</v>
      </c>
    </row>
    <row r="128" spans="1:28" x14ac:dyDescent="0.2">
      <c r="A128">
        <v>247</v>
      </c>
      <c r="B128">
        <v>6</v>
      </c>
      <c r="C128">
        <v>9</v>
      </c>
      <c r="D128" t="s">
        <v>181</v>
      </c>
      <c r="E128">
        <v>8</v>
      </c>
      <c r="F128" t="s">
        <v>175</v>
      </c>
      <c r="G128" s="55">
        <v>46047.574305555558</v>
      </c>
      <c r="H128">
        <v>33</v>
      </c>
      <c r="I128" t="s">
        <v>334</v>
      </c>
      <c r="J128">
        <v>121</v>
      </c>
      <c r="K128" t="s">
        <v>153</v>
      </c>
      <c r="L128" t="s">
        <v>154</v>
      </c>
      <c r="M128" t="s">
        <v>140</v>
      </c>
      <c r="P128">
        <v>43</v>
      </c>
      <c r="Q128">
        <v>6399</v>
      </c>
      <c r="R128">
        <v>170</v>
      </c>
      <c r="S128">
        <v>624.5</v>
      </c>
      <c r="T128">
        <v>9816.65</v>
      </c>
      <c r="U128">
        <v>10441.15</v>
      </c>
      <c r="V128">
        <v>228.29</v>
      </c>
      <c r="W128">
        <v>0</v>
      </c>
      <c r="X128" t="s">
        <v>141</v>
      </c>
      <c r="Y128" s="55">
        <v>46006.75</v>
      </c>
      <c r="Z128">
        <v>624.5</v>
      </c>
      <c r="AA128">
        <v>624.5</v>
      </c>
      <c r="AB128">
        <v>0</v>
      </c>
    </row>
    <row r="129" spans="1:28" x14ac:dyDescent="0.2">
      <c r="A129">
        <v>254</v>
      </c>
      <c r="B129">
        <v>9</v>
      </c>
      <c r="C129">
        <v>17</v>
      </c>
      <c r="D129" t="s">
        <v>335</v>
      </c>
      <c r="E129">
        <v>8</v>
      </c>
      <c r="F129" t="s">
        <v>175</v>
      </c>
      <c r="G129" s="55">
        <v>46047.574999999997</v>
      </c>
      <c r="H129">
        <v>54</v>
      </c>
      <c r="I129" t="s">
        <v>336</v>
      </c>
      <c r="J129">
        <v>456</v>
      </c>
      <c r="K129" t="s">
        <v>153</v>
      </c>
      <c r="L129" t="s">
        <v>195</v>
      </c>
      <c r="M129" t="s">
        <v>140</v>
      </c>
      <c r="P129">
        <v>35</v>
      </c>
      <c r="Q129">
        <v>3799</v>
      </c>
      <c r="R129">
        <v>210</v>
      </c>
      <c r="S129">
        <v>799</v>
      </c>
      <c r="T129">
        <v>6300</v>
      </c>
      <c r="U129">
        <v>7099</v>
      </c>
      <c r="V129">
        <v>180</v>
      </c>
      <c r="W129">
        <v>0</v>
      </c>
      <c r="X129" t="s">
        <v>141</v>
      </c>
      <c r="Y129" s="55">
        <v>45982.75</v>
      </c>
      <c r="Z129">
        <v>799</v>
      </c>
      <c r="AA129">
        <v>799</v>
      </c>
      <c r="AB129">
        <v>0</v>
      </c>
    </row>
    <row r="130" spans="1:28" x14ac:dyDescent="0.2">
      <c r="A130">
        <v>255</v>
      </c>
      <c r="B130">
        <v>10</v>
      </c>
      <c r="C130">
        <v>24</v>
      </c>
      <c r="D130" t="s">
        <v>207</v>
      </c>
      <c r="E130">
        <v>8</v>
      </c>
      <c r="F130" t="s">
        <v>175</v>
      </c>
      <c r="G130" s="55">
        <v>46047.574999999997</v>
      </c>
      <c r="H130">
        <v>56</v>
      </c>
      <c r="I130" t="s">
        <v>337</v>
      </c>
      <c r="J130">
        <v>457</v>
      </c>
      <c r="K130" t="s">
        <v>138</v>
      </c>
      <c r="L130" t="s">
        <v>211</v>
      </c>
      <c r="M130" t="s">
        <v>140</v>
      </c>
      <c r="P130">
        <v>15</v>
      </c>
      <c r="Q130">
        <v>3999</v>
      </c>
      <c r="R130">
        <v>150</v>
      </c>
      <c r="S130">
        <v>799</v>
      </c>
      <c r="T130">
        <v>4800</v>
      </c>
      <c r="U130">
        <v>5599</v>
      </c>
      <c r="V130">
        <v>320</v>
      </c>
      <c r="W130">
        <v>0</v>
      </c>
      <c r="X130" t="s">
        <v>141</v>
      </c>
      <c r="Y130" s="55">
        <v>45992.75</v>
      </c>
      <c r="Z130">
        <v>799</v>
      </c>
      <c r="AA130">
        <v>799</v>
      </c>
      <c r="AB130">
        <v>0</v>
      </c>
    </row>
    <row r="131" spans="1:28" x14ac:dyDescent="0.2">
      <c r="A131">
        <v>258</v>
      </c>
      <c r="B131">
        <v>9</v>
      </c>
      <c r="C131">
        <v>12</v>
      </c>
      <c r="D131" t="s">
        <v>187</v>
      </c>
      <c r="E131">
        <v>8</v>
      </c>
      <c r="F131" t="s">
        <v>175</v>
      </c>
      <c r="G131" s="55">
        <v>46047.575694444444</v>
      </c>
      <c r="H131">
        <v>10</v>
      </c>
      <c r="I131" t="s">
        <v>338</v>
      </c>
      <c r="J131">
        <v>460</v>
      </c>
      <c r="K131" t="s">
        <v>138</v>
      </c>
      <c r="L131" t="s">
        <v>339</v>
      </c>
      <c r="M131" t="s">
        <v>140</v>
      </c>
      <c r="P131">
        <v>35</v>
      </c>
      <c r="Q131">
        <v>3999</v>
      </c>
      <c r="R131">
        <v>210</v>
      </c>
      <c r="S131">
        <v>799</v>
      </c>
      <c r="T131">
        <v>6720</v>
      </c>
      <c r="U131">
        <v>7519</v>
      </c>
      <c r="V131">
        <v>192</v>
      </c>
      <c r="W131">
        <v>0</v>
      </c>
      <c r="X131" t="s">
        <v>141</v>
      </c>
      <c r="Y131" s="55">
        <v>46013.75</v>
      </c>
      <c r="Z131">
        <v>799</v>
      </c>
      <c r="AA131">
        <v>799</v>
      </c>
      <c r="AB131">
        <v>0</v>
      </c>
    </row>
    <row r="132" spans="1:28" x14ac:dyDescent="0.2">
      <c r="A132">
        <v>261</v>
      </c>
      <c r="B132">
        <v>9</v>
      </c>
      <c r="C132">
        <v>12</v>
      </c>
      <c r="D132" t="s">
        <v>187</v>
      </c>
      <c r="E132">
        <v>8</v>
      </c>
      <c r="F132" t="s">
        <v>175</v>
      </c>
      <c r="G132" s="55">
        <v>46047.576388888891</v>
      </c>
      <c r="H132">
        <v>54</v>
      </c>
      <c r="I132" t="s">
        <v>340</v>
      </c>
      <c r="J132">
        <v>462</v>
      </c>
      <c r="K132" t="s">
        <v>153</v>
      </c>
      <c r="L132" t="s">
        <v>195</v>
      </c>
      <c r="M132" t="s">
        <v>140</v>
      </c>
      <c r="P132">
        <v>43</v>
      </c>
      <c r="Q132">
        <v>3799</v>
      </c>
      <c r="R132">
        <v>230</v>
      </c>
      <c r="S132">
        <v>379.9</v>
      </c>
      <c r="T132">
        <v>7863.93</v>
      </c>
      <c r="U132">
        <v>8243.83</v>
      </c>
      <c r="V132">
        <v>182.88</v>
      </c>
      <c r="W132">
        <v>0</v>
      </c>
      <c r="X132" t="s">
        <v>141</v>
      </c>
      <c r="Y132" s="55">
        <v>45978.75</v>
      </c>
      <c r="Z132">
        <v>379.9</v>
      </c>
      <c r="AA132">
        <v>379.9</v>
      </c>
      <c r="AB132">
        <v>0</v>
      </c>
    </row>
    <row r="133" spans="1:28" x14ac:dyDescent="0.2">
      <c r="A133">
        <v>262</v>
      </c>
      <c r="B133">
        <v>4</v>
      </c>
      <c r="C133">
        <v>10002</v>
      </c>
      <c r="D133" t="s">
        <v>161</v>
      </c>
      <c r="E133">
        <v>8</v>
      </c>
      <c r="F133" t="s">
        <v>175</v>
      </c>
      <c r="G133" s="55">
        <v>46047.576388888891</v>
      </c>
      <c r="H133">
        <v>10</v>
      </c>
      <c r="I133" t="s">
        <v>341</v>
      </c>
      <c r="J133">
        <v>288</v>
      </c>
      <c r="K133" t="s">
        <v>138</v>
      </c>
      <c r="L133" t="s">
        <v>339</v>
      </c>
      <c r="M133" t="s">
        <v>140</v>
      </c>
      <c r="P133">
        <v>43</v>
      </c>
      <c r="Q133">
        <v>3999</v>
      </c>
      <c r="R133">
        <v>230</v>
      </c>
      <c r="S133">
        <v>399.9</v>
      </c>
      <c r="T133">
        <v>8277.93</v>
      </c>
      <c r="U133">
        <v>8677.83</v>
      </c>
      <c r="V133">
        <v>192.51</v>
      </c>
      <c r="W133">
        <v>0</v>
      </c>
      <c r="X133" t="s">
        <v>141</v>
      </c>
      <c r="Y133" s="55">
        <v>45978.75</v>
      </c>
      <c r="Z133">
        <v>399.9</v>
      </c>
      <c r="AA133">
        <v>399.9</v>
      </c>
      <c r="AB133">
        <v>0</v>
      </c>
    </row>
    <row r="134" spans="1:28" x14ac:dyDescent="0.2">
      <c r="A134">
        <v>265</v>
      </c>
      <c r="B134">
        <v>9</v>
      </c>
      <c r="C134">
        <v>17</v>
      </c>
      <c r="D134" t="s">
        <v>335</v>
      </c>
      <c r="E134">
        <v>8</v>
      </c>
      <c r="F134" t="s">
        <v>175</v>
      </c>
      <c r="G134" s="55">
        <v>46047.57708333333</v>
      </c>
      <c r="H134">
        <v>55</v>
      </c>
      <c r="I134" t="s">
        <v>342</v>
      </c>
      <c r="J134">
        <v>464</v>
      </c>
      <c r="K134" t="s">
        <v>153</v>
      </c>
      <c r="L134" t="s">
        <v>209</v>
      </c>
      <c r="M134" t="s">
        <v>140</v>
      </c>
      <c r="P134">
        <v>35</v>
      </c>
      <c r="Q134">
        <v>5999</v>
      </c>
      <c r="R134">
        <v>210</v>
      </c>
      <c r="S134">
        <v>599.9</v>
      </c>
      <c r="T134">
        <v>11338.11</v>
      </c>
      <c r="U134">
        <v>11938.01</v>
      </c>
      <c r="V134">
        <v>323.95</v>
      </c>
      <c r="W134">
        <v>0</v>
      </c>
      <c r="X134" t="s">
        <v>141</v>
      </c>
      <c r="Y134" s="55">
        <v>45979.75</v>
      </c>
      <c r="Z134">
        <v>599.9</v>
      </c>
      <c r="AA134">
        <v>599.9</v>
      </c>
      <c r="AB134">
        <v>0</v>
      </c>
    </row>
    <row r="135" spans="1:28" x14ac:dyDescent="0.2">
      <c r="A135">
        <v>270</v>
      </c>
      <c r="B135">
        <v>8</v>
      </c>
      <c r="C135">
        <v>5</v>
      </c>
      <c r="D135" t="s">
        <v>164</v>
      </c>
      <c r="E135">
        <v>8</v>
      </c>
      <c r="F135" t="s">
        <v>175</v>
      </c>
      <c r="G135" s="55">
        <v>46047.577777777777</v>
      </c>
      <c r="H135">
        <v>54</v>
      </c>
      <c r="I135" t="s">
        <v>343</v>
      </c>
      <c r="J135">
        <v>297</v>
      </c>
      <c r="K135" t="s">
        <v>153</v>
      </c>
      <c r="L135" t="s">
        <v>195</v>
      </c>
      <c r="M135" t="s">
        <v>140</v>
      </c>
      <c r="P135">
        <v>35</v>
      </c>
      <c r="Q135">
        <v>3799</v>
      </c>
      <c r="R135">
        <v>210</v>
      </c>
      <c r="S135">
        <v>379.9</v>
      </c>
      <c r="T135">
        <v>7180.11</v>
      </c>
      <c r="U135">
        <v>7560.01</v>
      </c>
      <c r="V135">
        <v>205.15</v>
      </c>
      <c r="W135">
        <v>0</v>
      </c>
      <c r="X135" t="s">
        <v>141</v>
      </c>
      <c r="Y135" s="55">
        <v>45981.75</v>
      </c>
      <c r="Z135">
        <v>379.9</v>
      </c>
      <c r="AA135">
        <v>379.9</v>
      </c>
      <c r="AB135">
        <v>0</v>
      </c>
    </row>
    <row r="136" spans="1:28" x14ac:dyDescent="0.2">
      <c r="A136">
        <v>273</v>
      </c>
      <c r="B136">
        <v>6</v>
      </c>
      <c r="C136">
        <v>10002</v>
      </c>
      <c r="D136" t="s">
        <v>161</v>
      </c>
      <c r="E136">
        <v>8</v>
      </c>
      <c r="F136" t="s">
        <v>175</v>
      </c>
      <c r="G136" s="55">
        <v>46047.578472222223</v>
      </c>
      <c r="H136">
        <v>55</v>
      </c>
      <c r="I136" t="s">
        <v>344</v>
      </c>
      <c r="J136">
        <v>469</v>
      </c>
      <c r="K136" t="s">
        <v>153</v>
      </c>
      <c r="L136" t="s">
        <v>209</v>
      </c>
      <c r="M136" t="s">
        <v>140</v>
      </c>
      <c r="P136">
        <v>43</v>
      </c>
      <c r="Q136">
        <v>5999</v>
      </c>
      <c r="R136">
        <v>230</v>
      </c>
      <c r="S136">
        <v>599.9</v>
      </c>
      <c r="T136">
        <v>12417.93</v>
      </c>
      <c r="U136">
        <v>13017.83</v>
      </c>
      <c r="V136">
        <v>288.79000000000002</v>
      </c>
      <c r="W136">
        <v>0</v>
      </c>
      <c r="X136" t="s">
        <v>141</v>
      </c>
      <c r="Y136" s="55">
        <v>45977.75</v>
      </c>
      <c r="Z136">
        <v>599.9</v>
      </c>
      <c r="AA136">
        <v>599.9</v>
      </c>
      <c r="AB136">
        <v>0</v>
      </c>
    </row>
    <row r="137" spans="1:28" x14ac:dyDescent="0.2">
      <c r="A137">
        <v>274</v>
      </c>
      <c r="B137">
        <v>10</v>
      </c>
      <c r="C137">
        <v>13</v>
      </c>
      <c r="D137" t="s">
        <v>167</v>
      </c>
      <c r="E137">
        <v>8</v>
      </c>
      <c r="F137" t="s">
        <v>175</v>
      </c>
      <c r="G137" s="55">
        <v>46047.578472222223</v>
      </c>
      <c r="H137">
        <v>9</v>
      </c>
      <c r="I137" t="s">
        <v>345</v>
      </c>
      <c r="J137">
        <v>277</v>
      </c>
      <c r="K137" t="s">
        <v>138</v>
      </c>
      <c r="L137" t="s">
        <v>224</v>
      </c>
      <c r="M137" t="s">
        <v>140</v>
      </c>
      <c r="P137">
        <v>15</v>
      </c>
      <c r="Q137">
        <v>5399</v>
      </c>
      <c r="R137">
        <v>150</v>
      </c>
      <c r="S137">
        <v>539.9</v>
      </c>
      <c r="T137">
        <v>7288.65</v>
      </c>
      <c r="U137">
        <v>7828.55</v>
      </c>
      <c r="V137">
        <v>485.91</v>
      </c>
      <c r="W137">
        <v>0</v>
      </c>
      <c r="X137" t="s">
        <v>141</v>
      </c>
      <c r="Y137" s="55">
        <v>45976.75</v>
      </c>
      <c r="Z137">
        <v>539.9</v>
      </c>
      <c r="AA137">
        <v>539.9</v>
      </c>
      <c r="AB137">
        <v>0</v>
      </c>
    </row>
    <row r="138" spans="1:28" x14ac:dyDescent="0.2">
      <c r="A138">
        <v>279</v>
      </c>
      <c r="B138">
        <v>8</v>
      </c>
      <c r="C138">
        <v>5</v>
      </c>
      <c r="D138" t="s">
        <v>164</v>
      </c>
      <c r="E138">
        <v>8</v>
      </c>
      <c r="F138" t="s">
        <v>175</v>
      </c>
      <c r="G138" s="55">
        <v>46047.57916666667</v>
      </c>
      <c r="H138">
        <v>9</v>
      </c>
      <c r="I138" t="s">
        <v>346</v>
      </c>
      <c r="J138">
        <v>472</v>
      </c>
      <c r="K138" t="s">
        <v>138</v>
      </c>
      <c r="L138" t="s">
        <v>224</v>
      </c>
      <c r="M138" t="s">
        <v>140</v>
      </c>
      <c r="P138">
        <v>15</v>
      </c>
      <c r="Q138">
        <v>5399</v>
      </c>
      <c r="R138">
        <v>150</v>
      </c>
      <c r="S138">
        <v>550</v>
      </c>
      <c r="T138">
        <v>7273.5</v>
      </c>
      <c r="U138">
        <v>7823.5</v>
      </c>
      <c r="V138">
        <v>484.9</v>
      </c>
      <c r="W138">
        <v>0</v>
      </c>
      <c r="X138" t="s">
        <v>141</v>
      </c>
      <c r="Y138" s="55">
        <v>45976.75</v>
      </c>
      <c r="Z138">
        <v>550</v>
      </c>
      <c r="AA138">
        <v>550</v>
      </c>
      <c r="AB138">
        <v>0</v>
      </c>
    </row>
    <row r="139" spans="1:28" x14ac:dyDescent="0.2">
      <c r="A139">
        <v>280</v>
      </c>
      <c r="B139">
        <v>13</v>
      </c>
      <c r="C139">
        <v>10002</v>
      </c>
      <c r="D139" t="s">
        <v>161</v>
      </c>
      <c r="E139">
        <v>8</v>
      </c>
      <c r="F139" t="s">
        <v>175</v>
      </c>
      <c r="G139" s="55">
        <v>46047.57916666667</v>
      </c>
      <c r="H139">
        <v>24</v>
      </c>
      <c r="I139" t="s">
        <v>347</v>
      </c>
      <c r="J139">
        <v>473</v>
      </c>
      <c r="K139" t="s">
        <v>145</v>
      </c>
      <c r="L139" t="s">
        <v>146</v>
      </c>
      <c r="M139" t="s">
        <v>140</v>
      </c>
      <c r="P139">
        <v>43</v>
      </c>
      <c r="Q139">
        <v>9999</v>
      </c>
      <c r="R139">
        <v>170</v>
      </c>
      <c r="S139">
        <v>0</v>
      </c>
      <c r="T139">
        <v>16998.3</v>
      </c>
      <c r="U139">
        <v>16998.3</v>
      </c>
      <c r="V139">
        <v>395.31</v>
      </c>
      <c r="W139">
        <v>0</v>
      </c>
      <c r="X139" t="s">
        <v>141</v>
      </c>
      <c r="Y139" s="55">
        <v>45975.75</v>
      </c>
      <c r="Z139">
        <v>0</v>
      </c>
      <c r="AA139">
        <v>0</v>
      </c>
      <c r="AB139">
        <v>0</v>
      </c>
    </row>
    <row r="140" spans="1:28" x14ac:dyDescent="0.2">
      <c r="A140">
        <v>283</v>
      </c>
      <c r="B140">
        <v>8</v>
      </c>
      <c r="C140">
        <v>28</v>
      </c>
      <c r="D140" t="s">
        <v>328</v>
      </c>
      <c r="E140">
        <v>8</v>
      </c>
      <c r="F140" t="s">
        <v>175</v>
      </c>
      <c r="G140" s="55">
        <v>46047.579861111109</v>
      </c>
      <c r="H140">
        <v>10</v>
      </c>
      <c r="I140" t="s">
        <v>348</v>
      </c>
      <c r="J140">
        <v>474</v>
      </c>
      <c r="K140" t="s">
        <v>138</v>
      </c>
      <c r="L140" t="s">
        <v>339</v>
      </c>
      <c r="M140" t="s">
        <v>140</v>
      </c>
      <c r="P140">
        <v>43</v>
      </c>
      <c r="Q140">
        <v>3999</v>
      </c>
      <c r="R140">
        <v>230</v>
      </c>
      <c r="S140">
        <v>360</v>
      </c>
      <c r="T140">
        <v>8369.7000000000007</v>
      </c>
      <c r="U140">
        <v>8729.7000000000007</v>
      </c>
      <c r="V140">
        <v>194.64</v>
      </c>
      <c r="W140">
        <v>0</v>
      </c>
      <c r="X140" t="s">
        <v>141</v>
      </c>
      <c r="Y140" s="55">
        <v>45976.75</v>
      </c>
      <c r="Z140">
        <v>360</v>
      </c>
      <c r="AA140">
        <v>360</v>
      </c>
      <c r="AB140">
        <v>0</v>
      </c>
    </row>
    <row r="141" spans="1:28" x14ac:dyDescent="0.2">
      <c r="A141">
        <v>286</v>
      </c>
      <c r="B141">
        <v>4</v>
      </c>
      <c r="C141">
        <v>10002</v>
      </c>
      <c r="D141" t="s">
        <v>161</v>
      </c>
      <c r="E141">
        <v>8</v>
      </c>
      <c r="F141" t="s">
        <v>175</v>
      </c>
      <c r="G141" s="55">
        <v>46047.580555555556</v>
      </c>
      <c r="H141">
        <v>1</v>
      </c>
      <c r="I141" t="s">
        <v>349</v>
      </c>
      <c r="J141">
        <v>274</v>
      </c>
      <c r="K141" t="s">
        <v>138</v>
      </c>
      <c r="L141" t="s">
        <v>217</v>
      </c>
      <c r="M141" t="s">
        <v>140</v>
      </c>
      <c r="P141">
        <v>43</v>
      </c>
      <c r="Q141">
        <v>9099</v>
      </c>
      <c r="R141">
        <v>230</v>
      </c>
      <c r="S141">
        <v>909.9</v>
      </c>
      <c r="T141">
        <v>18834.93</v>
      </c>
      <c r="U141">
        <v>19744.830000000002</v>
      </c>
      <c r="V141">
        <v>438.02</v>
      </c>
      <c r="W141">
        <v>0</v>
      </c>
      <c r="X141" t="s">
        <v>141</v>
      </c>
      <c r="Y141" s="55">
        <v>45976.75</v>
      </c>
      <c r="Z141">
        <v>909.9</v>
      </c>
      <c r="AA141">
        <v>909.9</v>
      </c>
      <c r="AB141">
        <v>0</v>
      </c>
    </row>
    <row r="142" spans="1:28" x14ac:dyDescent="0.2">
      <c r="A142">
        <v>289</v>
      </c>
      <c r="B142">
        <v>7</v>
      </c>
      <c r="C142">
        <v>21</v>
      </c>
      <c r="D142" t="s">
        <v>189</v>
      </c>
      <c r="E142">
        <v>8</v>
      </c>
      <c r="F142" t="s">
        <v>175</v>
      </c>
      <c r="G142" s="55">
        <v>46047.580555555556</v>
      </c>
      <c r="H142">
        <v>46</v>
      </c>
      <c r="I142" t="s">
        <v>350</v>
      </c>
      <c r="J142">
        <v>262</v>
      </c>
      <c r="K142" t="s">
        <v>138</v>
      </c>
      <c r="L142" t="s">
        <v>139</v>
      </c>
      <c r="M142" t="s">
        <v>140</v>
      </c>
      <c r="P142">
        <v>15</v>
      </c>
      <c r="Q142">
        <v>3799</v>
      </c>
      <c r="R142">
        <v>150</v>
      </c>
      <c r="S142">
        <v>799</v>
      </c>
      <c r="T142">
        <v>4500</v>
      </c>
      <c r="U142">
        <v>5299</v>
      </c>
      <c r="V142">
        <v>300</v>
      </c>
      <c r="W142">
        <v>0</v>
      </c>
      <c r="X142" t="s">
        <v>141</v>
      </c>
      <c r="Y142" s="55">
        <v>45961.75</v>
      </c>
      <c r="Z142">
        <v>799</v>
      </c>
      <c r="AA142">
        <v>799</v>
      </c>
      <c r="AB142">
        <v>0</v>
      </c>
    </row>
    <row r="143" spans="1:28" x14ac:dyDescent="0.2">
      <c r="A143">
        <v>290</v>
      </c>
      <c r="B143">
        <v>8</v>
      </c>
      <c r="C143">
        <v>5</v>
      </c>
      <c r="D143" t="s">
        <v>164</v>
      </c>
      <c r="E143">
        <v>8</v>
      </c>
      <c r="F143" t="s">
        <v>175</v>
      </c>
      <c r="G143" s="55">
        <v>46047.581250000003</v>
      </c>
      <c r="H143">
        <v>63</v>
      </c>
      <c r="I143" t="s">
        <v>351</v>
      </c>
      <c r="J143">
        <v>478</v>
      </c>
      <c r="K143" t="s">
        <v>153</v>
      </c>
      <c r="L143" t="s">
        <v>222</v>
      </c>
      <c r="M143" t="s">
        <v>140</v>
      </c>
      <c r="P143">
        <v>26</v>
      </c>
      <c r="Q143">
        <v>5399</v>
      </c>
      <c r="R143">
        <v>190</v>
      </c>
      <c r="S143">
        <v>1249</v>
      </c>
      <c r="T143">
        <v>7885</v>
      </c>
      <c r="U143">
        <v>9134</v>
      </c>
      <c r="V143">
        <v>303.27</v>
      </c>
      <c r="W143">
        <v>0</v>
      </c>
      <c r="X143" t="s">
        <v>141</v>
      </c>
      <c r="Y143" s="55">
        <v>45958.75</v>
      </c>
      <c r="Z143">
        <v>1249</v>
      </c>
      <c r="AA143">
        <v>1249</v>
      </c>
      <c r="AB143">
        <v>0</v>
      </c>
    </row>
    <row r="144" spans="1:28" x14ac:dyDescent="0.2">
      <c r="A144">
        <v>291</v>
      </c>
      <c r="B144">
        <v>8</v>
      </c>
      <c r="C144">
        <v>5</v>
      </c>
      <c r="D144" t="s">
        <v>164</v>
      </c>
      <c r="E144">
        <v>8</v>
      </c>
      <c r="F144" t="s">
        <v>175</v>
      </c>
      <c r="G144" s="55">
        <v>46047.581250000003</v>
      </c>
      <c r="H144">
        <v>54</v>
      </c>
      <c r="I144" t="s">
        <v>352</v>
      </c>
      <c r="J144">
        <v>260</v>
      </c>
      <c r="K144" t="s">
        <v>153</v>
      </c>
      <c r="L144" t="s">
        <v>195</v>
      </c>
      <c r="M144" t="s">
        <v>140</v>
      </c>
      <c r="P144">
        <v>35</v>
      </c>
      <c r="Q144">
        <v>3799</v>
      </c>
      <c r="R144">
        <v>210</v>
      </c>
      <c r="S144">
        <v>799</v>
      </c>
      <c r="T144">
        <v>6300</v>
      </c>
      <c r="U144">
        <v>7099</v>
      </c>
      <c r="V144">
        <v>180</v>
      </c>
      <c r="W144">
        <v>0</v>
      </c>
      <c r="X144" t="s">
        <v>141</v>
      </c>
      <c r="Y144" s="55">
        <v>45959.75</v>
      </c>
      <c r="Z144">
        <v>799</v>
      </c>
      <c r="AA144">
        <v>799</v>
      </c>
      <c r="AB144">
        <v>0</v>
      </c>
    </row>
    <row r="145" spans="1:28" x14ac:dyDescent="0.2">
      <c r="A145">
        <v>293</v>
      </c>
      <c r="B145">
        <v>8</v>
      </c>
      <c r="C145">
        <v>21</v>
      </c>
      <c r="D145" t="s">
        <v>189</v>
      </c>
      <c r="E145">
        <v>8</v>
      </c>
      <c r="F145" t="s">
        <v>175</v>
      </c>
      <c r="G145" s="55">
        <v>46047.581250000003</v>
      </c>
      <c r="H145">
        <v>54</v>
      </c>
      <c r="I145" t="s">
        <v>353</v>
      </c>
      <c r="J145">
        <v>479</v>
      </c>
      <c r="K145" t="s">
        <v>153</v>
      </c>
      <c r="L145" t="s">
        <v>195</v>
      </c>
      <c r="M145" t="s">
        <v>140</v>
      </c>
      <c r="P145">
        <v>43</v>
      </c>
      <c r="Q145">
        <v>3799</v>
      </c>
      <c r="R145">
        <v>230</v>
      </c>
      <c r="S145">
        <v>799</v>
      </c>
      <c r="T145">
        <v>6900</v>
      </c>
      <c r="U145">
        <v>7699</v>
      </c>
      <c r="V145">
        <v>160.47</v>
      </c>
      <c r="W145">
        <v>0</v>
      </c>
      <c r="X145" t="s">
        <v>141</v>
      </c>
      <c r="Y145" s="55">
        <v>45961.75</v>
      </c>
      <c r="Z145">
        <v>799</v>
      </c>
      <c r="AA145">
        <v>799</v>
      </c>
      <c r="AB145">
        <v>0</v>
      </c>
    </row>
    <row r="146" spans="1:28" x14ac:dyDescent="0.2">
      <c r="A146">
        <v>295</v>
      </c>
      <c r="B146">
        <v>11</v>
      </c>
      <c r="C146">
        <v>13</v>
      </c>
      <c r="D146" t="s">
        <v>167</v>
      </c>
      <c r="E146">
        <v>8</v>
      </c>
      <c r="F146" t="s">
        <v>175</v>
      </c>
      <c r="G146" s="55">
        <v>46047.581944444442</v>
      </c>
      <c r="H146">
        <v>54</v>
      </c>
      <c r="I146" t="s">
        <v>354</v>
      </c>
      <c r="J146">
        <v>245</v>
      </c>
      <c r="K146" t="s">
        <v>153</v>
      </c>
      <c r="L146" t="s">
        <v>195</v>
      </c>
      <c r="M146" t="s">
        <v>140</v>
      </c>
      <c r="P146">
        <v>15</v>
      </c>
      <c r="Q146">
        <v>3799</v>
      </c>
      <c r="R146">
        <v>150</v>
      </c>
      <c r="S146">
        <v>799</v>
      </c>
      <c r="T146">
        <v>4500</v>
      </c>
      <c r="U146">
        <v>5299</v>
      </c>
      <c r="V146">
        <v>300</v>
      </c>
      <c r="W146">
        <v>0</v>
      </c>
      <c r="X146" t="s">
        <v>141</v>
      </c>
      <c r="Y146" s="55">
        <v>45937.75</v>
      </c>
      <c r="Z146">
        <v>799</v>
      </c>
      <c r="AA146">
        <v>799</v>
      </c>
      <c r="AB146">
        <v>0</v>
      </c>
    </row>
    <row r="147" spans="1:28" x14ac:dyDescent="0.2">
      <c r="A147">
        <v>296</v>
      </c>
      <c r="B147">
        <v>4</v>
      </c>
      <c r="C147">
        <v>10002</v>
      </c>
      <c r="D147" t="s">
        <v>161</v>
      </c>
      <c r="E147">
        <v>8</v>
      </c>
      <c r="F147" t="s">
        <v>175</v>
      </c>
      <c r="G147" s="55">
        <v>46047.581944444442</v>
      </c>
      <c r="H147">
        <v>73</v>
      </c>
      <c r="I147" t="s">
        <v>355</v>
      </c>
      <c r="J147">
        <v>480</v>
      </c>
      <c r="K147" t="s">
        <v>295</v>
      </c>
      <c r="L147" t="s">
        <v>296</v>
      </c>
      <c r="M147" t="s">
        <v>140</v>
      </c>
      <c r="P147">
        <v>35</v>
      </c>
      <c r="Q147">
        <v>3999</v>
      </c>
      <c r="R147">
        <v>210</v>
      </c>
      <c r="S147">
        <v>799</v>
      </c>
      <c r="T147">
        <v>6720</v>
      </c>
      <c r="U147">
        <v>7519</v>
      </c>
      <c r="V147">
        <v>192</v>
      </c>
      <c r="W147">
        <v>0</v>
      </c>
      <c r="X147" t="s">
        <v>141</v>
      </c>
      <c r="Y147" s="55">
        <v>45938.75</v>
      </c>
      <c r="Z147">
        <v>799</v>
      </c>
      <c r="AA147">
        <v>799</v>
      </c>
      <c r="AB147">
        <v>0</v>
      </c>
    </row>
    <row r="148" spans="1:28" x14ac:dyDescent="0.2">
      <c r="A148">
        <v>299</v>
      </c>
      <c r="B148">
        <v>5</v>
      </c>
      <c r="C148">
        <v>9</v>
      </c>
      <c r="D148" t="s">
        <v>181</v>
      </c>
      <c r="E148">
        <v>8</v>
      </c>
      <c r="F148" t="s">
        <v>175</v>
      </c>
      <c r="G148" s="55">
        <v>46047.582638888889</v>
      </c>
      <c r="H148">
        <v>54</v>
      </c>
      <c r="I148" t="s">
        <v>356</v>
      </c>
      <c r="J148">
        <v>482</v>
      </c>
      <c r="K148" t="s">
        <v>153</v>
      </c>
      <c r="L148" t="s">
        <v>195</v>
      </c>
      <c r="M148" t="s">
        <v>140</v>
      </c>
      <c r="P148">
        <v>35</v>
      </c>
      <c r="Q148">
        <v>3799</v>
      </c>
      <c r="R148">
        <v>165</v>
      </c>
      <c r="S148">
        <v>399.5</v>
      </c>
      <c r="T148">
        <v>5609.17</v>
      </c>
      <c r="U148">
        <v>6008.67</v>
      </c>
      <c r="V148">
        <v>160.26</v>
      </c>
      <c r="W148">
        <v>0</v>
      </c>
      <c r="X148" t="s">
        <v>141</v>
      </c>
      <c r="Y148" s="55">
        <v>45930.75</v>
      </c>
      <c r="Z148">
        <v>399.5</v>
      </c>
      <c r="AA148">
        <v>399.5</v>
      </c>
      <c r="AB148">
        <v>0</v>
      </c>
    </row>
    <row r="149" spans="1:28" x14ac:dyDescent="0.2">
      <c r="A149">
        <v>300</v>
      </c>
      <c r="B149">
        <v>11</v>
      </c>
      <c r="C149">
        <v>13</v>
      </c>
      <c r="D149" t="s">
        <v>167</v>
      </c>
      <c r="E149">
        <v>8</v>
      </c>
      <c r="F149" t="s">
        <v>175</v>
      </c>
      <c r="G149" s="55">
        <v>46047.582638888889</v>
      </c>
      <c r="H149">
        <v>54</v>
      </c>
      <c r="I149" t="s">
        <v>357</v>
      </c>
      <c r="J149">
        <v>205</v>
      </c>
      <c r="K149" t="s">
        <v>153</v>
      </c>
      <c r="L149" t="s">
        <v>195</v>
      </c>
      <c r="M149" t="s">
        <v>140</v>
      </c>
      <c r="P149">
        <v>15</v>
      </c>
      <c r="Q149">
        <v>4099</v>
      </c>
      <c r="R149">
        <v>150</v>
      </c>
      <c r="S149">
        <v>999</v>
      </c>
      <c r="T149">
        <v>4650</v>
      </c>
      <c r="U149">
        <v>5649</v>
      </c>
      <c r="V149">
        <v>310</v>
      </c>
      <c r="W149">
        <v>0</v>
      </c>
      <c r="X149" t="s">
        <v>141</v>
      </c>
      <c r="Y149" s="55">
        <v>45895.75</v>
      </c>
      <c r="Z149">
        <v>999</v>
      </c>
      <c r="AA149">
        <v>999</v>
      </c>
      <c r="AB149">
        <v>0</v>
      </c>
    </row>
    <row r="150" spans="1:28" x14ac:dyDescent="0.2">
      <c r="A150">
        <v>302</v>
      </c>
      <c r="B150">
        <v>5</v>
      </c>
      <c r="C150">
        <v>10002</v>
      </c>
      <c r="D150" t="s">
        <v>161</v>
      </c>
      <c r="E150">
        <v>8</v>
      </c>
      <c r="F150" t="s">
        <v>175</v>
      </c>
      <c r="G150" s="55">
        <v>46047.583333333336</v>
      </c>
      <c r="H150">
        <v>59</v>
      </c>
      <c r="I150" t="s">
        <v>358</v>
      </c>
      <c r="J150">
        <v>483</v>
      </c>
      <c r="K150" t="s">
        <v>235</v>
      </c>
      <c r="L150" t="s">
        <v>236</v>
      </c>
      <c r="M150" t="s">
        <v>140</v>
      </c>
      <c r="P150">
        <v>15</v>
      </c>
      <c r="Q150">
        <v>3799</v>
      </c>
      <c r="R150">
        <v>150</v>
      </c>
      <c r="S150">
        <v>799</v>
      </c>
      <c r="T150">
        <v>4500</v>
      </c>
      <c r="U150">
        <v>5299</v>
      </c>
      <c r="V150">
        <v>300</v>
      </c>
      <c r="W150">
        <v>0</v>
      </c>
      <c r="X150" t="s">
        <v>141</v>
      </c>
      <c r="Y150" s="55">
        <v>45870.75</v>
      </c>
      <c r="Z150">
        <v>799</v>
      </c>
      <c r="AA150">
        <v>799</v>
      </c>
      <c r="AB150">
        <v>0</v>
      </c>
    </row>
    <row r="151" spans="1:28" x14ac:dyDescent="0.2">
      <c r="A151">
        <v>303</v>
      </c>
      <c r="B151">
        <v>7</v>
      </c>
      <c r="C151">
        <v>11</v>
      </c>
      <c r="D151" t="s">
        <v>230</v>
      </c>
      <c r="E151">
        <v>8</v>
      </c>
      <c r="F151" t="s">
        <v>175</v>
      </c>
      <c r="G151" s="55">
        <v>46047.583333333336</v>
      </c>
      <c r="H151">
        <v>44</v>
      </c>
      <c r="I151" t="s">
        <v>359</v>
      </c>
      <c r="J151">
        <v>484</v>
      </c>
      <c r="K151" t="s">
        <v>138</v>
      </c>
      <c r="L151" t="s">
        <v>268</v>
      </c>
      <c r="M151" t="s">
        <v>140</v>
      </c>
      <c r="P151">
        <v>26</v>
      </c>
      <c r="Q151">
        <v>6099</v>
      </c>
      <c r="R151">
        <v>190</v>
      </c>
      <c r="S151">
        <v>1249</v>
      </c>
      <c r="T151">
        <v>9215</v>
      </c>
      <c r="U151">
        <v>10464</v>
      </c>
      <c r="V151">
        <v>354.42</v>
      </c>
      <c r="W151">
        <v>0</v>
      </c>
      <c r="X151" t="s">
        <v>141</v>
      </c>
      <c r="Y151" s="55">
        <v>45858.75</v>
      </c>
      <c r="Z151">
        <v>1249</v>
      </c>
      <c r="AA151">
        <v>1249</v>
      </c>
      <c r="AB151">
        <v>0</v>
      </c>
    </row>
    <row r="152" spans="1:28" x14ac:dyDescent="0.2">
      <c r="A152">
        <v>304</v>
      </c>
      <c r="B152">
        <v>4</v>
      </c>
      <c r="C152">
        <v>10002</v>
      </c>
      <c r="D152" t="s">
        <v>161</v>
      </c>
      <c r="E152">
        <v>8</v>
      </c>
      <c r="F152" t="s">
        <v>175</v>
      </c>
      <c r="G152" s="55">
        <v>46047.583333333336</v>
      </c>
      <c r="H152">
        <v>63</v>
      </c>
      <c r="I152" t="s">
        <v>360</v>
      </c>
      <c r="J152">
        <v>485</v>
      </c>
      <c r="K152" t="s">
        <v>153</v>
      </c>
      <c r="L152" t="s">
        <v>222</v>
      </c>
      <c r="M152" t="s">
        <v>140</v>
      </c>
      <c r="P152">
        <v>15</v>
      </c>
      <c r="Q152">
        <v>5299</v>
      </c>
      <c r="R152">
        <v>150</v>
      </c>
      <c r="S152">
        <v>999</v>
      </c>
      <c r="T152">
        <v>6450</v>
      </c>
      <c r="U152">
        <v>7449</v>
      </c>
      <c r="V152">
        <v>430</v>
      </c>
      <c r="W152">
        <v>0</v>
      </c>
      <c r="X152" t="s">
        <v>141</v>
      </c>
      <c r="Y152" s="55">
        <v>45844.75</v>
      </c>
      <c r="Z152">
        <v>999</v>
      </c>
      <c r="AA152">
        <v>999</v>
      </c>
      <c r="AB152">
        <v>0</v>
      </c>
    </row>
    <row r="153" spans="1:28" x14ac:dyDescent="0.2">
      <c r="A153">
        <v>305</v>
      </c>
      <c r="B153">
        <v>5</v>
      </c>
      <c r="C153">
        <v>7</v>
      </c>
      <c r="D153" t="s">
        <v>226</v>
      </c>
      <c r="E153">
        <v>8</v>
      </c>
      <c r="F153" t="s">
        <v>175</v>
      </c>
      <c r="G153" s="55">
        <v>46047.65</v>
      </c>
      <c r="H153">
        <v>6</v>
      </c>
      <c r="I153" t="s">
        <v>361</v>
      </c>
      <c r="J153">
        <v>37</v>
      </c>
      <c r="K153" t="s">
        <v>138</v>
      </c>
      <c r="L153" t="s">
        <v>293</v>
      </c>
      <c r="M153" t="s">
        <v>140</v>
      </c>
      <c r="P153">
        <v>43</v>
      </c>
      <c r="Q153">
        <v>6499</v>
      </c>
      <c r="R153">
        <v>207.03</v>
      </c>
      <c r="S153">
        <v>624.5</v>
      </c>
      <c r="T153">
        <v>12161.98</v>
      </c>
      <c r="U153">
        <v>12786.48</v>
      </c>
      <c r="V153">
        <v>282.83999999999997</v>
      </c>
      <c r="W153">
        <v>0</v>
      </c>
      <c r="X153" t="s">
        <v>141</v>
      </c>
      <c r="Y153" s="55">
        <v>45808.75</v>
      </c>
      <c r="Z153">
        <v>624.5</v>
      </c>
      <c r="AA153">
        <v>624.5</v>
      </c>
      <c r="AB153">
        <v>0</v>
      </c>
    </row>
    <row r="154" spans="1:28" x14ac:dyDescent="0.2">
      <c r="A154">
        <v>306</v>
      </c>
      <c r="B154">
        <v>3</v>
      </c>
      <c r="C154">
        <v>10002</v>
      </c>
      <c r="D154" t="s">
        <v>161</v>
      </c>
      <c r="E154">
        <v>8</v>
      </c>
      <c r="F154" t="s">
        <v>175</v>
      </c>
      <c r="G154" s="55">
        <v>46047.65</v>
      </c>
      <c r="H154">
        <v>1</v>
      </c>
      <c r="I154" t="s">
        <v>362</v>
      </c>
      <c r="J154">
        <v>486</v>
      </c>
      <c r="K154" t="s">
        <v>138</v>
      </c>
      <c r="L154" t="s">
        <v>217</v>
      </c>
      <c r="M154" t="s">
        <v>140</v>
      </c>
      <c r="P154">
        <v>43</v>
      </c>
      <c r="Q154">
        <v>8499</v>
      </c>
      <c r="R154">
        <v>100</v>
      </c>
      <c r="S154">
        <v>500</v>
      </c>
      <c r="T154">
        <v>7999</v>
      </c>
      <c r="U154">
        <v>8499</v>
      </c>
      <c r="V154">
        <v>186.02</v>
      </c>
      <c r="W154">
        <v>0</v>
      </c>
      <c r="X154" t="s">
        <v>141</v>
      </c>
      <c r="Y154" s="55">
        <v>45771.75</v>
      </c>
      <c r="Z154">
        <v>500</v>
      </c>
      <c r="AA154">
        <v>500</v>
      </c>
      <c r="AB154">
        <v>0</v>
      </c>
    </row>
    <row r="155" spans="1:28" x14ac:dyDescent="0.2">
      <c r="A155">
        <v>307</v>
      </c>
      <c r="B155">
        <v>5</v>
      </c>
      <c r="C155">
        <v>10002</v>
      </c>
      <c r="D155" t="s">
        <v>161</v>
      </c>
      <c r="E155">
        <v>8</v>
      </c>
      <c r="F155" t="s">
        <v>175</v>
      </c>
      <c r="G155" s="55">
        <v>46047.65</v>
      </c>
      <c r="H155">
        <v>63</v>
      </c>
      <c r="I155" t="s">
        <v>363</v>
      </c>
      <c r="J155">
        <v>120</v>
      </c>
      <c r="K155" t="s">
        <v>153</v>
      </c>
      <c r="L155" t="s">
        <v>222</v>
      </c>
      <c r="M155" t="s">
        <v>140</v>
      </c>
      <c r="P155">
        <v>18</v>
      </c>
      <c r="Q155">
        <v>5299</v>
      </c>
      <c r="R155">
        <v>170</v>
      </c>
      <c r="S155">
        <v>999</v>
      </c>
      <c r="T155">
        <v>7310</v>
      </c>
      <c r="U155">
        <v>8309</v>
      </c>
      <c r="V155">
        <v>406.11</v>
      </c>
      <c r="W155">
        <v>0</v>
      </c>
      <c r="X155" t="s">
        <v>141</v>
      </c>
      <c r="Y155" s="55">
        <v>45792.75</v>
      </c>
      <c r="Z155">
        <v>999</v>
      </c>
      <c r="AA155">
        <v>999</v>
      </c>
      <c r="AB155">
        <v>0</v>
      </c>
    </row>
    <row r="156" spans="1:28" x14ac:dyDescent="0.2">
      <c r="A156">
        <v>309</v>
      </c>
      <c r="B156">
        <v>9</v>
      </c>
      <c r="C156">
        <v>12</v>
      </c>
      <c r="D156" t="s">
        <v>187</v>
      </c>
      <c r="E156">
        <v>8</v>
      </c>
      <c r="F156" t="s">
        <v>175</v>
      </c>
      <c r="G156" s="55">
        <v>46047.650694444441</v>
      </c>
      <c r="H156">
        <v>63</v>
      </c>
      <c r="I156" t="s">
        <v>364</v>
      </c>
      <c r="J156">
        <v>488</v>
      </c>
      <c r="K156" t="s">
        <v>153</v>
      </c>
      <c r="L156" t="s">
        <v>222</v>
      </c>
      <c r="M156" t="s">
        <v>140</v>
      </c>
      <c r="P156">
        <v>35</v>
      </c>
      <c r="Q156">
        <v>5299</v>
      </c>
      <c r="R156">
        <v>210</v>
      </c>
      <c r="S156">
        <v>999</v>
      </c>
      <c r="T156">
        <v>9030</v>
      </c>
      <c r="U156">
        <v>10029</v>
      </c>
      <c r="V156">
        <v>258</v>
      </c>
      <c r="W156">
        <v>0</v>
      </c>
      <c r="X156" t="s">
        <v>141</v>
      </c>
      <c r="Y156" s="55">
        <v>45801.75</v>
      </c>
      <c r="Z156">
        <v>999</v>
      </c>
      <c r="AA156">
        <v>999</v>
      </c>
      <c r="AB156">
        <v>0</v>
      </c>
    </row>
    <row r="157" spans="1:28" x14ac:dyDescent="0.2">
      <c r="A157">
        <v>311</v>
      </c>
      <c r="B157">
        <v>8</v>
      </c>
      <c r="C157">
        <v>5</v>
      </c>
      <c r="D157" t="s">
        <v>164</v>
      </c>
      <c r="E157">
        <v>8</v>
      </c>
      <c r="F157" t="s">
        <v>175</v>
      </c>
      <c r="G157" s="55">
        <v>46047.650694444441</v>
      </c>
      <c r="H157">
        <v>63</v>
      </c>
      <c r="I157" t="s">
        <v>365</v>
      </c>
      <c r="J157">
        <v>123</v>
      </c>
      <c r="K157" t="s">
        <v>153</v>
      </c>
      <c r="L157" t="s">
        <v>222</v>
      </c>
      <c r="M157" t="s">
        <v>140</v>
      </c>
      <c r="P157">
        <v>15</v>
      </c>
      <c r="Q157">
        <v>5299</v>
      </c>
      <c r="R157">
        <v>150</v>
      </c>
      <c r="S157">
        <v>999</v>
      </c>
      <c r="T157">
        <v>6450</v>
      </c>
      <c r="U157">
        <v>7449</v>
      </c>
      <c r="V157">
        <v>430</v>
      </c>
      <c r="W157">
        <v>0</v>
      </c>
      <c r="X157" t="s">
        <v>141</v>
      </c>
      <c r="Y157" s="55">
        <v>45793.75</v>
      </c>
      <c r="Z157">
        <v>999</v>
      </c>
      <c r="AA157">
        <v>999</v>
      </c>
      <c r="AB157">
        <v>0</v>
      </c>
    </row>
    <row r="158" spans="1:28" x14ac:dyDescent="0.2">
      <c r="A158">
        <v>312</v>
      </c>
      <c r="B158">
        <v>10</v>
      </c>
      <c r="C158">
        <v>24</v>
      </c>
      <c r="D158" t="s">
        <v>207</v>
      </c>
      <c r="E158">
        <v>8</v>
      </c>
      <c r="F158" t="s">
        <v>175</v>
      </c>
      <c r="G158" s="55">
        <v>46047.650694444441</v>
      </c>
      <c r="H158">
        <v>46</v>
      </c>
      <c r="I158" t="s">
        <v>366</v>
      </c>
      <c r="J158">
        <v>489</v>
      </c>
      <c r="K158" t="s">
        <v>138</v>
      </c>
      <c r="L158" t="s">
        <v>139</v>
      </c>
      <c r="M158" t="s">
        <v>140</v>
      </c>
      <c r="P158">
        <v>15</v>
      </c>
      <c r="Q158">
        <v>3799</v>
      </c>
      <c r="R158">
        <v>150</v>
      </c>
      <c r="S158">
        <v>799</v>
      </c>
      <c r="T158">
        <v>4500</v>
      </c>
      <c r="U158">
        <v>5299</v>
      </c>
      <c r="V158">
        <v>300</v>
      </c>
      <c r="W158">
        <v>0</v>
      </c>
      <c r="X158" t="s">
        <v>141</v>
      </c>
      <c r="Y158" s="55">
        <v>45769.75</v>
      </c>
      <c r="Z158">
        <v>799</v>
      </c>
      <c r="AA158">
        <v>799</v>
      </c>
      <c r="AB158">
        <v>0</v>
      </c>
    </row>
    <row r="159" spans="1:28" x14ac:dyDescent="0.2">
      <c r="A159">
        <v>313</v>
      </c>
      <c r="B159">
        <v>12</v>
      </c>
      <c r="C159">
        <v>15</v>
      </c>
      <c r="D159" t="s">
        <v>148</v>
      </c>
      <c r="E159">
        <v>8</v>
      </c>
      <c r="F159" t="s">
        <v>175</v>
      </c>
      <c r="G159" s="55">
        <v>46047.651388888888</v>
      </c>
      <c r="H159">
        <v>58</v>
      </c>
      <c r="I159" t="s">
        <v>319</v>
      </c>
      <c r="J159">
        <v>445</v>
      </c>
      <c r="K159" t="s">
        <v>153</v>
      </c>
      <c r="L159" t="s">
        <v>201</v>
      </c>
      <c r="M159" t="s">
        <v>140</v>
      </c>
      <c r="P159">
        <v>35</v>
      </c>
      <c r="Q159">
        <v>8299</v>
      </c>
      <c r="R159">
        <v>165</v>
      </c>
      <c r="S159">
        <v>999</v>
      </c>
      <c r="T159">
        <v>12045</v>
      </c>
      <c r="U159">
        <v>13044</v>
      </c>
      <c r="V159">
        <v>344.14</v>
      </c>
      <c r="W159">
        <v>0</v>
      </c>
      <c r="X159" t="s">
        <v>141</v>
      </c>
      <c r="Y159" s="55">
        <v>45777.75</v>
      </c>
      <c r="Z159">
        <v>999</v>
      </c>
      <c r="AA159">
        <v>999</v>
      </c>
      <c r="AB159">
        <v>0</v>
      </c>
    </row>
    <row r="160" spans="1:28" x14ac:dyDescent="0.2">
      <c r="A160">
        <v>314</v>
      </c>
      <c r="B160">
        <v>6</v>
      </c>
      <c r="C160">
        <v>10002</v>
      </c>
      <c r="D160" t="s">
        <v>161</v>
      </c>
      <c r="E160">
        <v>8</v>
      </c>
      <c r="F160" t="s">
        <v>175</v>
      </c>
      <c r="G160" s="55">
        <v>46047.651388888888</v>
      </c>
      <c r="H160">
        <v>46</v>
      </c>
      <c r="I160" t="s">
        <v>367</v>
      </c>
      <c r="J160">
        <v>122</v>
      </c>
      <c r="K160" t="s">
        <v>138</v>
      </c>
      <c r="L160" t="s">
        <v>139</v>
      </c>
      <c r="M160" t="s">
        <v>140</v>
      </c>
      <c r="P160">
        <v>26</v>
      </c>
      <c r="Q160">
        <v>3799</v>
      </c>
      <c r="R160">
        <v>190</v>
      </c>
      <c r="S160">
        <v>799</v>
      </c>
      <c r="T160">
        <v>5700</v>
      </c>
      <c r="U160">
        <v>6499</v>
      </c>
      <c r="V160">
        <v>219.23</v>
      </c>
      <c r="W160">
        <v>0</v>
      </c>
      <c r="X160" t="s">
        <v>141</v>
      </c>
      <c r="Y160" s="55">
        <v>45793.75</v>
      </c>
      <c r="Z160">
        <v>799</v>
      </c>
      <c r="AA160">
        <v>799</v>
      </c>
      <c r="AB160">
        <v>0</v>
      </c>
    </row>
    <row r="161" spans="1:28" x14ac:dyDescent="0.2">
      <c r="A161">
        <v>315</v>
      </c>
      <c r="B161">
        <v>12</v>
      </c>
      <c r="C161">
        <v>10002</v>
      </c>
      <c r="D161" t="s">
        <v>161</v>
      </c>
      <c r="E161">
        <v>8</v>
      </c>
      <c r="F161" t="s">
        <v>175</v>
      </c>
      <c r="G161" s="55">
        <v>46047.651388888888</v>
      </c>
      <c r="H161">
        <v>25</v>
      </c>
      <c r="I161" t="s">
        <v>368</v>
      </c>
      <c r="J161">
        <v>110</v>
      </c>
      <c r="K161" t="s">
        <v>145</v>
      </c>
      <c r="L161" t="s">
        <v>312</v>
      </c>
      <c r="M161" t="s">
        <v>140</v>
      </c>
      <c r="P161">
        <v>20</v>
      </c>
      <c r="Q161">
        <v>10099</v>
      </c>
      <c r="R161">
        <v>100</v>
      </c>
      <c r="S161">
        <v>1249</v>
      </c>
      <c r="T161">
        <v>8850</v>
      </c>
      <c r="U161">
        <v>10099</v>
      </c>
      <c r="V161">
        <v>442.5</v>
      </c>
      <c r="W161">
        <v>0</v>
      </c>
      <c r="X161" t="s">
        <v>141</v>
      </c>
      <c r="Y161" s="55">
        <v>45769.75</v>
      </c>
      <c r="Z161">
        <v>1249</v>
      </c>
      <c r="AA161">
        <v>1249</v>
      </c>
      <c r="AB161">
        <v>0</v>
      </c>
    </row>
    <row r="162" spans="1:28" x14ac:dyDescent="0.2">
      <c r="A162">
        <v>319</v>
      </c>
      <c r="B162">
        <v>10</v>
      </c>
      <c r="C162">
        <v>10002</v>
      </c>
      <c r="D162" t="s">
        <v>161</v>
      </c>
      <c r="E162">
        <v>8</v>
      </c>
      <c r="F162" t="s">
        <v>175</v>
      </c>
      <c r="G162" s="55">
        <v>46047.651388888888</v>
      </c>
      <c r="H162">
        <v>78</v>
      </c>
      <c r="I162" t="s">
        <v>369</v>
      </c>
      <c r="J162">
        <v>492</v>
      </c>
      <c r="K162" t="s">
        <v>138</v>
      </c>
      <c r="L162" t="s">
        <v>222</v>
      </c>
      <c r="M162" t="s">
        <v>140</v>
      </c>
      <c r="P162">
        <v>43</v>
      </c>
      <c r="Q162">
        <v>5299</v>
      </c>
      <c r="R162">
        <v>230</v>
      </c>
      <c r="S162">
        <v>999</v>
      </c>
      <c r="T162">
        <v>9890</v>
      </c>
      <c r="U162">
        <v>10889</v>
      </c>
      <c r="V162">
        <v>230</v>
      </c>
      <c r="W162">
        <v>0</v>
      </c>
      <c r="X162" t="s">
        <v>141</v>
      </c>
      <c r="Y162" s="55">
        <v>45771.75</v>
      </c>
      <c r="Z162">
        <v>999</v>
      </c>
      <c r="AA162">
        <v>999</v>
      </c>
      <c r="AB162">
        <v>0</v>
      </c>
    </row>
    <row r="163" spans="1:28" x14ac:dyDescent="0.2">
      <c r="A163">
        <v>320</v>
      </c>
      <c r="B163">
        <v>6</v>
      </c>
      <c r="C163">
        <v>10002</v>
      </c>
      <c r="D163" t="s">
        <v>161</v>
      </c>
      <c r="E163">
        <v>8</v>
      </c>
      <c r="F163" t="s">
        <v>175</v>
      </c>
      <c r="G163" s="55">
        <v>46047.652083333334</v>
      </c>
      <c r="H163">
        <v>46</v>
      </c>
      <c r="I163" t="s">
        <v>334</v>
      </c>
      <c r="J163">
        <v>121</v>
      </c>
      <c r="K163" t="s">
        <v>138</v>
      </c>
      <c r="L163" t="s">
        <v>139</v>
      </c>
      <c r="M163" t="s">
        <v>140</v>
      </c>
      <c r="P163">
        <v>26</v>
      </c>
      <c r="Q163">
        <v>3799</v>
      </c>
      <c r="R163">
        <v>190</v>
      </c>
      <c r="S163">
        <v>799</v>
      </c>
      <c r="T163">
        <v>5700</v>
      </c>
      <c r="U163">
        <v>6499</v>
      </c>
      <c r="V163">
        <v>219.23</v>
      </c>
      <c r="W163">
        <v>0</v>
      </c>
      <c r="X163" t="s">
        <v>141</v>
      </c>
      <c r="Y163" s="55">
        <v>45793.75</v>
      </c>
      <c r="Z163">
        <v>799</v>
      </c>
      <c r="AA163">
        <v>799</v>
      </c>
      <c r="AB163">
        <v>0</v>
      </c>
    </row>
    <row r="164" spans="1:28" x14ac:dyDescent="0.2">
      <c r="A164">
        <v>321</v>
      </c>
      <c r="B164">
        <v>12</v>
      </c>
      <c r="C164">
        <v>31</v>
      </c>
      <c r="D164" t="s">
        <v>170</v>
      </c>
      <c r="E164">
        <v>8</v>
      </c>
      <c r="F164" t="s">
        <v>175</v>
      </c>
      <c r="G164" s="55">
        <v>46047.652083333334</v>
      </c>
      <c r="H164">
        <v>25</v>
      </c>
      <c r="I164" t="s">
        <v>370</v>
      </c>
      <c r="J164">
        <v>90</v>
      </c>
      <c r="K164" t="s">
        <v>145</v>
      </c>
      <c r="L164" t="s">
        <v>312</v>
      </c>
      <c r="M164" t="s">
        <v>140</v>
      </c>
      <c r="P164">
        <v>35</v>
      </c>
      <c r="Q164">
        <v>10099</v>
      </c>
      <c r="R164">
        <v>210</v>
      </c>
      <c r="S164">
        <v>2600</v>
      </c>
      <c r="T164">
        <v>15747.9</v>
      </c>
      <c r="U164">
        <v>18347.900000000001</v>
      </c>
      <c r="V164">
        <v>449.94</v>
      </c>
      <c r="W164">
        <v>0</v>
      </c>
      <c r="X164" t="s">
        <v>141</v>
      </c>
      <c r="Y164" s="55">
        <v>45746.75</v>
      </c>
      <c r="Z164">
        <v>2600</v>
      </c>
      <c r="AA164">
        <v>2600</v>
      </c>
      <c r="AB164">
        <v>0</v>
      </c>
    </row>
    <row r="165" spans="1:28" x14ac:dyDescent="0.2">
      <c r="A165">
        <v>324</v>
      </c>
      <c r="B165">
        <v>3</v>
      </c>
      <c r="C165">
        <v>10002</v>
      </c>
      <c r="D165" t="s">
        <v>161</v>
      </c>
      <c r="E165">
        <v>8</v>
      </c>
      <c r="F165" t="s">
        <v>175</v>
      </c>
      <c r="G165" s="55">
        <v>46047.652083333334</v>
      </c>
      <c r="H165">
        <v>58</v>
      </c>
      <c r="I165" t="s">
        <v>371</v>
      </c>
      <c r="J165">
        <v>374</v>
      </c>
      <c r="K165" t="s">
        <v>153</v>
      </c>
      <c r="L165" t="s">
        <v>201</v>
      </c>
      <c r="M165" t="s">
        <v>140</v>
      </c>
      <c r="P165">
        <v>43</v>
      </c>
      <c r="Q165">
        <v>8299</v>
      </c>
      <c r="R165">
        <v>85</v>
      </c>
      <c r="S165">
        <v>999</v>
      </c>
      <c r="T165">
        <v>6205</v>
      </c>
      <c r="U165">
        <v>7204</v>
      </c>
      <c r="V165">
        <v>144.30000000000001</v>
      </c>
      <c r="W165">
        <v>0</v>
      </c>
      <c r="X165" t="s">
        <v>141</v>
      </c>
      <c r="Y165" s="55">
        <v>45750.75</v>
      </c>
      <c r="Z165">
        <v>999</v>
      </c>
      <c r="AA165">
        <v>999</v>
      </c>
      <c r="AB165">
        <v>0</v>
      </c>
    </row>
    <row r="166" spans="1:28" x14ac:dyDescent="0.2">
      <c r="A166">
        <v>325</v>
      </c>
      <c r="B166">
        <v>12</v>
      </c>
      <c r="C166">
        <v>15</v>
      </c>
      <c r="D166" t="s">
        <v>148</v>
      </c>
      <c r="E166">
        <v>8</v>
      </c>
      <c r="F166" t="s">
        <v>175</v>
      </c>
      <c r="G166" s="55">
        <v>46047.652777777781</v>
      </c>
      <c r="H166">
        <v>46</v>
      </c>
      <c r="I166" t="s">
        <v>372</v>
      </c>
      <c r="J166">
        <v>96</v>
      </c>
      <c r="K166" t="s">
        <v>138</v>
      </c>
      <c r="L166" t="s">
        <v>139</v>
      </c>
      <c r="M166" t="s">
        <v>140</v>
      </c>
      <c r="P166">
        <v>15</v>
      </c>
      <c r="Q166">
        <v>3799</v>
      </c>
      <c r="R166">
        <v>150</v>
      </c>
      <c r="S166">
        <v>799</v>
      </c>
      <c r="T166">
        <v>4500</v>
      </c>
      <c r="U166">
        <v>5299</v>
      </c>
      <c r="V166">
        <v>300</v>
      </c>
      <c r="W166">
        <v>0</v>
      </c>
      <c r="X166" t="s">
        <v>141</v>
      </c>
      <c r="Y166" s="55">
        <v>45753.75</v>
      </c>
      <c r="Z166">
        <v>799</v>
      </c>
      <c r="AA166">
        <v>799</v>
      </c>
      <c r="AB166">
        <v>0</v>
      </c>
    </row>
    <row r="167" spans="1:28" x14ac:dyDescent="0.2">
      <c r="A167">
        <v>333</v>
      </c>
      <c r="B167">
        <v>5</v>
      </c>
      <c r="C167">
        <v>10002</v>
      </c>
      <c r="D167" t="s">
        <v>161</v>
      </c>
      <c r="E167">
        <v>8</v>
      </c>
      <c r="F167" t="s">
        <v>175</v>
      </c>
      <c r="G167" s="55">
        <v>46047.65347222222</v>
      </c>
      <c r="H167">
        <v>46</v>
      </c>
      <c r="I167" t="s">
        <v>373</v>
      </c>
      <c r="J167">
        <v>85</v>
      </c>
      <c r="K167" t="s">
        <v>138</v>
      </c>
      <c r="L167" t="s">
        <v>139</v>
      </c>
      <c r="M167" t="s">
        <v>140</v>
      </c>
      <c r="P167">
        <v>26</v>
      </c>
      <c r="Q167">
        <v>3799</v>
      </c>
      <c r="R167">
        <v>190</v>
      </c>
      <c r="S167">
        <v>799</v>
      </c>
      <c r="T167">
        <v>5700</v>
      </c>
      <c r="U167">
        <v>6499</v>
      </c>
      <c r="V167">
        <v>219.23</v>
      </c>
      <c r="W167">
        <v>0</v>
      </c>
      <c r="X167" t="s">
        <v>141</v>
      </c>
      <c r="Y167" s="55">
        <v>45739.75</v>
      </c>
      <c r="Z167">
        <v>799</v>
      </c>
      <c r="AA167">
        <v>799</v>
      </c>
      <c r="AB167">
        <v>0</v>
      </c>
    </row>
    <row r="168" spans="1:28" x14ac:dyDescent="0.2">
      <c r="A168">
        <v>334</v>
      </c>
      <c r="B168">
        <v>12</v>
      </c>
      <c r="C168">
        <v>10002</v>
      </c>
      <c r="D168" t="s">
        <v>161</v>
      </c>
      <c r="E168">
        <v>8</v>
      </c>
      <c r="F168" t="s">
        <v>175</v>
      </c>
      <c r="G168" s="55">
        <v>46047.774305555555</v>
      </c>
      <c r="H168">
        <v>46</v>
      </c>
      <c r="I168" t="s">
        <v>172</v>
      </c>
      <c r="J168">
        <v>337</v>
      </c>
      <c r="K168" t="s">
        <v>138</v>
      </c>
      <c r="L168" t="s">
        <v>139</v>
      </c>
      <c r="M168" t="s">
        <v>140</v>
      </c>
      <c r="P168">
        <v>15</v>
      </c>
      <c r="Q168">
        <v>3799</v>
      </c>
      <c r="R168">
        <v>150</v>
      </c>
      <c r="S168">
        <v>799</v>
      </c>
      <c r="T168">
        <v>4500</v>
      </c>
      <c r="U168">
        <v>5299</v>
      </c>
      <c r="V168">
        <v>300</v>
      </c>
      <c r="W168">
        <v>0</v>
      </c>
      <c r="X168" t="s">
        <v>141</v>
      </c>
      <c r="Y168" s="55">
        <v>45808.75</v>
      </c>
      <c r="Z168">
        <v>799</v>
      </c>
      <c r="AA168">
        <v>799</v>
      </c>
      <c r="AB168">
        <v>0</v>
      </c>
    </row>
    <row r="169" spans="1:28" x14ac:dyDescent="0.2">
      <c r="A169">
        <v>343</v>
      </c>
      <c r="B169">
        <v>5</v>
      </c>
      <c r="C169">
        <v>5</v>
      </c>
      <c r="D169" t="s">
        <v>164</v>
      </c>
      <c r="E169">
        <v>8</v>
      </c>
      <c r="F169" t="s">
        <v>175</v>
      </c>
      <c r="G169" s="55">
        <v>46047.81527777778</v>
      </c>
      <c r="H169">
        <v>76</v>
      </c>
      <c r="I169" t="s">
        <v>374</v>
      </c>
      <c r="J169">
        <v>455</v>
      </c>
      <c r="K169" t="s">
        <v>138</v>
      </c>
      <c r="L169" t="s">
        <v>375</v>
      </c>
      <c r="M169" t="s">
        <v>140</v>
      </c>
      <c r="P169">
        <v>26</v>
      </c>
      <c r="Q169">
        <v>6599</v>
      </c>
      <c r="R169">
        <v>160</v>
      </c>
      <c r="S169">
        <v>499</v>
      </c>
      <c r="T169">
        <v>9760</v>
      </c>
      <c r="U169">
        <v>10259</v>
      </c>
      <c r="V169">
        <v>375.38</v>
      </c>
      <c r="W169">
        <v>0</v>
      </c>
      <c r="X169" t="s">
        <v>141</v>
      </c>
      <c r="Y169" s="55">
        <v>45655.75</v>
      </c>
      <c r="Z169">
        <v>499</v>
      </c>
      <c r="AA169">
        <v>499</v>
      </c>
      <c r="AB169">
        <v>0</v>
      </c>
    </row>
    <row r="170" spans="1:28" x14ac:dyDescent="0.2">
      <c r="A170">
        <v>348</v>
      </c>
      <c r="B170">
        <v>12</v>
      </c>
      <c r="C170">
        <v>10002</v>
      </c>
      <c r="D170" t="s">
        <v>161</v>
      </c>
      <c r="E170">
        <v>8</v>
      </c>
      <c r="F170" t="s">
        <v>175</v>
      </c>
      <c r="G170" s="55">
        <v>46047.81527777778</v>
      </c>
      <c r="H170">
        <v>84</v>
      </c>
      <c r="I170" t="s">
        <v>376</v>
      </c>
      <c r="J170">
        <v>502</v>
      </c>
      <c r="K170" t="s">
        <v>138</v>
      </c>
      <c r="L170" t="s">
        <v>377</v>
      </c>
      <c r="M170" t="s">
        <v>140</v>
      </c>
      <c r="P170">
        <v>43</v>
      </c>
      <c r="Q170">
        <v>8599</v>
      </c>
      <c r="R170">
        <v>170</v>
      </c>
      <c r="S170">
        <v>1250</v>
      </c>
      <c r="T170">
        <v>12493.3</v>
      </c>
      <c r="U170">
        <v>13743.3</v>
      </c>
      <c r="V170">
        <v>290.54000000000002</v>
      </c>
      <c r="W170">
        <v>0</v>
      </c>
      <c r="X170" t="s">
        <v>141</v>
      </c>
      <c r="Y170" s="55">
        <v>45685.75</v>
      </c>
      <c r="Z170">
        <v>1250</v>
      </c>
      <c r="AA170">
        <v>1250</v>
      </c>
      <c r="AB170">
        <v>0</v>
      </c>
    </row>
    <row r="171" spans="1:28" x14ac:dyDescent="0.2">
      <c r="A171">
        <v>349</v>
      </c>
      <c r="B171">
        <v>12</v>
      </c>
      <c r="C171">
        <v>31</v>
      </c>
      <c r="D171" t="s">
        <v>170</v>
      </c>
      <c r="E171">
        <v>8</v>
      </c>
      <c r="F171" t="s">
        <v>175</v>
      </c>
      <c r="G171" s="55">
        <v>46047.815972222219</v>
      </c>
      <c r="H171">
        <v>76</v>
      </c>
      <c r="I171" t="s">
        <v>378</v>
      </c>
      <c r="J171">
        <v>19</v>
      </c>
      <c r="K171" t="s">
        <v>138</v>
      </c>
      <c r="L171" t="s">
        <v>375</v>
      </c>
      <c r="M171" t="s">
        <v>140</v>
      </c>
      <c r="P171">
        <v>15</v>
      </c>
      <c r="Q171">
        <v>6399</v>
      </c>
      <c r="R171">
        <v>150</v>
      </c>
      <c r="S171">
        <v>500</v>
      </c>
      <c r="T171">
        <v>8848.5</v>
      </c>
      <c r="U171">
        <v>9348.5</v>
      </c>
      <c r="V171">
        <v>589.9</v>
      </c>
      <c r="W171">
        <v>0</v>
      </c>
      <c r="X171" t="s">
        <v>141</v>
      </c>
      <c r="Y171" s="55">
        <v>45700.75</v>
      </c>
      <c r="Z171">
        <v>500</v>
      </c>
      <c r="AA171">
        <v>500</v>
      </c>
      <c r="AB171">
        <v>0</v>
      </c>
    </row>
    <row r="172" spans="1:28" x14ac:dyDescent="0.2">
      <c r="A172">
        <v>353</v>
      </c>
      <c r="B172">
        <v>5</v>
      </c>
      <c r="C172">
        <v>10002</v>
      </c>
      <c r="D172" t="s">
        <v>161</v>
      </c>
      <c r="E172">
        <v>8</v>
      </c>
      <c r="F172" t="s">
        <v>175</v>
      </c>
      <c r="G172" s="55">
        <v>46047.815972222219</v>
      </c>
      <c r="H172">
        <v>42</v>
      </c>
      <c r="I172" t="s">
        <v>379</v>
      </c>
      <c r="J172">
        <v>504</v>
      </c>
      <c r="K172" t="s">
        <v>204</v>
      </c>
      <c r="L172" t="s">
        <v>380</v>
      </c>
      <c r="M172" t="s">
        <v>140</v>
      </c>
      <c r="P172">
        <v>26</v>
      </c>
      <c r="Q172">
        <v>5599</v>
      </c>
      <c r="R172">
        <v>190</v>
      </c>
      <c r="S172">
        <v>1000</v>
      </c>
      <c r="T172">
        <v>8738.1</v>
      </c>
      <c r="U172">
        <v>9738.1</v>
      </c>
      <c r="V172">
        <v>336.08</v>
      </c>
      <c r="W172">
        <v>0</v>
      </c>
      <c r="X172" t="s">
        <v>141</v>
      </c>
      <c r="Y172" s="55">
        <v>45735.75</v>
      </c>
      <c r="Z172">
        <v>1000</v>
      </c>
      <c r="AA172">
        <v>1000</v>
      </c>
      <c r="AB172">
        <v>0</v>
      </c>
    </row>
    <row r="173" spans="1:28" x14ac:dyDescent="0.2">
      <c r="A173">
        <v>354</v>
      </c>
      <c r="B173">
        <v>5</v>
      </c>
      <c r="C173">
        <v>10002</v>
      </c>
      <c r="D173" t="s">
        <v>161</v>
      </c>
      <c r="E173">
        <v>8</v>
      </c>
      <c r="F173" t="s">
        <v>175</v>
      </c>
      <c r="G173" s="55">
        <v>46047.815972222219</v>
      </c>
      <c r="H173">
        <v>7</v>
      </c>
      <c r="I173" t="s">
        <v>381</v>
      </c>
      <c r="J173">
        <v>72</v>
      </c>
      <c r="K173" t="s">
        <v>138</v>
      </c>
      <c r="L173" t="s">
        <v>382</v>
      </c>
      <c r="M173" t="s">
        <v>140</v>
      </c>
      <c r="P173">
        <v>20</v>
      </c>
      <c r="Q173">
        <v>6999</v>
      </c>
      <c r="R173">
        <v>100</v>
      </c>
      <c r="S173">
        <v>1000</v>
      </c>
      <c r="T173">
        <v>5999</v>
      </c>
      <c r="U173">
        <v>6999</v>
      </c>
      <c r="V173">
        <v>299.95</v>
      </c>
      <c r="W173">
        <v>0</v>
      </c>
      <c r="X173" t="s">
        <v>141</v>
      </c>
      <c r="Y173" s="55">
        <v>45649.75</v>
      </c>
      <c r="Z173">
        <v>1000</v>
      </c>
      <c r="AA173">
        <v>1000</v>
      </c>
      <c r="AB173">
        <v>0</v>
      </c>
    </row>
    <row r="174" spans="1:28" x14ac:dyDescent="0.2">
      <c r="A174">
        <v>355</v>
      </c>
      <c r="B174">
        <v>5</v>
      </c>
      <c r="C174">
        <v>10002</v>
      </c>
      <c r="D174" t="s">
        <v>161</v>
      </c>
      <c r="E174">
        <v>8</v>
      </c>
      <c r="F174" t="s">
        <v>175</v>
      </c>
      <c r="G174" s="55">
        <v>46047.816666666666</v>
      </c>
      <c r="H174">
        <v>86</v>
      </c>
      <c r="I174" t="s">
        <v>383</v>
      </c>
      <c r="J174">
        <v>505</v>
      </c>
      <c r="K174" t="s">
        <v>138</v>
      </c>
      <c r="L174" t="s">
        <v>384</v>
      </c>
      <c r="M174" t="s">
        <v>140</v>
      </c>
      <c r="P174">
        <v>20</v>
      </c>
      <c r="Q174">
        <v>7699</v>
      </c>
      <c r="R174">
        <v>100</v>
      </c>
      <c r="S174">
        <v>1000</v>
      </c>
      <c r="T174">
        <v>6699</v>
      </c>
      <c r="U174">
        <v>7699</v>
      </c>
      <c r="V174">
        <v>334.95</v>
      </c>
      <c r="W174">
        <v>0</v>
      </c>
      <c r="X174" t="s">
        <v>141</v>
      </c>
      <c r="Y174" s="55">
        <v>45605.75</v>
      </c>
      <c r="Z174">
        <v>1000</v>
      </c>
      <c r="AA174">
        <v>1000</v>
      </c>
      <c r="AB174">
        <v>0</v>
      </c>
    </row>
    <row r="175" spans="1:28" x14ac:dyDescent="0.2">
      <c r="A175">
        <v>356</v>
      </c>
      <c r="B175">
        <v>12</v>
      </c>
      <c r="C175">
        <v>10002</v>
      </c>
      <c r="D175" t="s">
        <v>161</v>
      </c>
      <c r="E175">
        <v>8</v>
      </c>
      <c r="F175" t="s">
        <v>175</v>
      </c>
      <c r="G175" s="55">
        <v>46047.816666666666</v>
      </c>
      <c r="H175">
        <v>87</v>
      </c>
      <c r="I175" t="s">
        <v>347</v>
      </c>
      <c r="J175">
        <v>473</v>
      </c>
      <c r="K175" t="s">
        <v>138</v>
      </c>
      <c r="L175" t="s">
        <v>385</v>
      </c>
      <c r="M175" t="s">
        <v>140</v>
      </c>
      <c r="P175">
        <v>26</v>
      </c>
      <c r="Q175">
        <v>6399</v>
      </c>
      <c r="R175">
        <v>190</v>
      </c>
      <c r="S175">
        <v>1500</v>
      </c>
      <c r="T175">
        <v>9308.1</v>
      </c>
      <c r="U175">
        <v>10808.1</v>
      </c>
      <c r="V175">
        <v>358</v>
      </c>
      <c r="W175">
        <v>0</v>
      </c>
      <c r="X175" t="s">
        <v>141</v>
      </c>
      <c r="Y175" s="55">
        <v>45541.75</v>
      </c>
      <c r="Z175">
        <v>1500</v>
      </c>
      <c r="AA175">
        <v>1500</v>
      </c>
      <c r="AB175">
        <v>0</v>
      </c>
    </row>
    <row r="176" spans="1:28" x14ac:dyDescent="0.2">
      <c r="A176">
        <v>361</v>
      </c>
      <c r="B176">
        <v>2</v>
      </c>
      <c r="C176">
        <v>10002</v>
      </c>
      <c r="D176" t="s">
        <v>161</v>
      </c>
      <c r="E176">
        <v>8</v>
      </c>
      <c r="F176" t="s">
        <v>175</v>
      </c>
      <c r="G176" s="55">
        <v>46047.817361111112</v>
      </c>
      <c r="H176">
        <v>89</v>
      </c>
      <c r="I176" t="s">
        <v>297</v>
      </c>
      <c r="J176">
        <v>68</v>
      </c>
      <c r="K176" t="s">
        <v>145</v>
      </c>
      <c r="L176" t="s">
        <v>386</v>
      </c>
      <c r="M176" t="s">
        <v>140</v>
      </c>
      <c r="P176">
        <v>15</v>
      </c>
      <c r="Q176">
        <v>24000</v>
      </c>
      <c r="R176">
        <v>150</v>
      </c>
      <c r="S176">
        <v>4800</v>
      </c>
      <c r="T176">
        <v>28800</v>
      </c>
      <c r="U176">
        <v>33600</v>
      </c>
      <c r="V176">
        <v>1920</v>
      </c>
      <c r="W176">
        <v>0</v>
      </c>
      <c r="X176" t="s">
        <v>141</v>
      </c>
      <c r="Y176" s="55">
        <v>45540.75</v>
      </c>
      <c r="Z176">
        <v>4800</v>
      </c>
      <c r="AA176">
        <v>4800</v>
      </c>
      <c r="AB176">
        <v>0</v>
      </c>
    </row>
    <row r="177" spans="1:28" x14ac:dyDescent="0.2">
      <c r="A177">
        <v>362</v>
      </c>
      <c r="B177">
        <v>11</v>
      </c>
      <c r="C177">
        <v>10002</v>
      </c>
      <c r="D177" t="s">
        <v>161</v>
      </c>
      <c r="E177">
        <v>8</v>
      </c>
      <c r="F177" t="s">
        <v>175</v>
      </c>
      <c r="G177" s="55">
        <v>46047.817361111112</v>
      </c>
      <c r="H177">
        <v>7</v>
      </c>
      <c r="I177" t="s">
        <v>383</v>
      </c>
      <c r="J177">
        <v>505</v>
      </c>
      <c r="K177" t="s">
        <v>138</v>
      </c>
      <c r="L177" t="s">
        <v>382</v>
      </c>
      <c r="M177" t="s">
        <v>140</v>
      </c>
      <c r="P177">
        <v>20</v>
      </c>
      <c r="Q177">
        <v>7199</v>
      </c>
      <c r="R177">
        <v>100</v>
      </c>
      <c r="S177">
        <v>500</v>
      </c>
      <c r="T177">
        <v>6699</v>
      </c>
      <c r="U177">
        <v>7199</v>
      </c>
      <c r="V177">
        <v>334.95</v>
      </c>
      <c r="W177">
        <v>0</v>
      </c>
      <c r="X177" t="s">
        <v>141</v>
      </c>
      <c r="Y177" s="55">
        <v>45525.75</v>
      </c>
      <c r="Z177">
        <v>500</v>
      </c>
      <c r="AA177">
        <v>500</v>
      </c>
      <c r="AB177">
        <v>0</v>
      </c>
    </row>
    <row r="178" spans="1:28" x14ac:dyDescent="0.2">
      <c r="A178">
        <v>364</v>
      </c>
      <c r="B178">
        <v>3</v>
      </c>
      <c r="C178">
        <v>10002</v>
      </c>
      <c r="D178" t="s">
        <v>161</v>
      </c>
      <c r="E178">
        <v>8</v>
      </c>
      <c r="F178" t="s">
        <v>175</v>
      </c>
      <c r="G178" s="55">
        <v>46047.817361111112</v>
      </c>
      <c r="H178">
        <v>91</v>
      </c>
      <c r="I178" t="s">
        <v>387</v>
      </c>
      <c r="J178">
        <v>491</v>
      </c>
      <c r="K178" t="s">
        <v>388</v>
      </c>
      <c r="L178" t="s">
        <v>389</v>
      </c>
      <c r="M178" t="s">
        <v>140</v>
      </c>
      <c r="P178">
        <v>43</v>
      </c>
      <c r="Q178">
        <v>6500</v>
      </c>
      <c r="R178">
        <v>100</v>
      </c>
      <c r="S178">
        <v>0</v>
      </c>
      <c r="T178">
        <v>6500</v>
      </c>
      <c r="U178">
        <v>6500</v>
      </c>
      <c r="V178">
        <v>151.16</v>
      </c>
      <c r="W178">
        <v>0</v>
      </c>
      <c r="X178" t="s">
        <v>141</v>
      </c>
      <c r="Y178" s="55">
        <v>45518.75</v>
      </c>
      <c r="Z178">
        <v>0</v>
      </c>
      <c r="AA178">
        <v>0</v>
      </c>
      <c r="AB178">
        <v>0</v>
      </c>
    </row>
    <row r="179" spans="1:28" x14ac:dyDescent="0.2">
      <c r="A179">
        <v>365</v>
      </c>
      <c r="B179">
        <v>10</v>
      </c>
      <c r="C179">
        <v>10002</v>
      </c>
      <c r="D179" t="s">
        <v>161</v>
      </c>
      <c r="E179">
        <v>8</v>
      </c>
      <c r="F179" t="s">
        <v>175</v>
      </c>
      <c r="G179" s="55">
        <v>46047.817361111112</v>
      </c>
      <c r="H179">
        <v>7</v>
      </c>
      <c r="I179" t="s">
        <v>390</v>
      </c>
      <c r="J179">
        <v>55</v>
      </c>
      <c r="K179" t="s">
        <v>138</v>
      </c>
      <c r="L179" t="s">
        <v>382</v>
      </c>
      <c r="M179" t="s">
        <v>140</v>
      </c>
      <c r="P179">
        <v>15</v>
      </c>
      <c r="Q179">
        <v>7199</v>
      </c>
      <c r="R179">
        <v>150</v>
      </c>
      <c r="S179">
        <v>2499</v>
      </c>
      <c r="T179">
        <v>7050</v>
      </c>
      <c r="U179">
        <v>9549</v>
      </c>
      <c r="V179">
        <v>470</v>
      </c>
      <c r="W179">
        <v>0</v>
      </c>
      <c r="X179" t="s">
        <v>141</v>
      </c>
      <c r="Y179" s="55">
        <v>45515.75</v>
      </c>
      <c r="Z179">
        <v>2499</v>
      </c>
      <c r="AA179">
        <v>2499</v>
      </c>
      <c r="AB179">
        <v>0</v>
      </c>
    </row>
    <row r="180" spans="1:28" x14ac:dyDescent="0.2">
      <c r="A180">
        <v>368</v>
      </c>
      <c r="B180">
        <v>12</v>
      </c>
      <c r="C180">
        <v>31</v>
      </c>
      <c r="D180" t="s">
        <v>170</v>
      </c>
      <c r="E180">
        <v>8</v>
      </c>
      <c r="F180" t="s">
        <v>175</v>
      </c>
      <c r="G180" s="55">
        <v>46047.818055555559</v>
      </c>
      <c r="H180">
        <v>74</v>
      </c>
      <c r="I180" t="s">
        <v>391</v>
      </c>
      <c r="J180">
        <v>511</v>
      </c>
      <c r="K180" t="s">
        <v>285</v>
      </c>
      <c r="L180" t="s">
        <v>305</v>
      </c>
      <c r="M180" t="s">
        <v>140</v>
      </c>
      <c r="P180">
        <v>26</v>
      </c>
      <c r="Q180">
        <v>5799</v>
      </c>
      <c r="R180">
        <v>190</v>
      </c>
      <c r="S180">
        <v>999</v>
      </c>
      <c r="T180">
        <v>9120</v>
      </c>
      <c r="U180">
        <v>10119</v>
      </c>
      <c r="V180">
        <v>350.77</v>
      </c>
      <c r="W180">
        <v>0</v>
      </c>
      <c r="X180" t="s">
        <v>141</v>
      </c>
      <c r="Y180" s="55">
        <v>45521.75</v>
      </c>
      <c r="Z180">
        <v>999</v>
      </c>
      <c r="AA180">
        <v>999</v>
      </c>
      <c r="AB180">
        <v>0</v>
      </c>
    </row>
    <row r="181" spans="1:28" x14ac:dyDescent="0.2">
      <c r="A181">
        <v>369</v>
      </c>
      <c r="B181">
        <v>12</v>
      </c>
      <c r="C181">
        <v>31</v>
      </c>
      <c r="D181" t="s">
        <v>170</v>
      </c>
      <c r="E181">
        <v>8</v>
      </c>
      <c r="F181" t="s">
        <v>175</v>
      </c>
      <c r="G181" s="55">
        <v>46047.818055555559</v>
      </c>
      <c r="H181">
        <v>74</v>
      </c>
      <c r="I181" t="s">
        <v>392</v>
      </c>
      <c r="J181">
        <v>386</v>
      </c>
      <c r="K181" t="s">
        <v>285</v>
      </c>
      <c r="L181" t="s">
        <v>305</v>
      </c>
      <c r="M181" t="s">
        <v>140</v>
      </c>
      <c r="P181">
        <v>35</v>
      </c>
      <c r="Q181">
        <v>5799</v>
      </c>
      <c r="R181">
        <v>210</v>
      </c>
      <c r="S181">
        <v>1350</v>
      </c>
      <c r="T181">
        <v>9342.9</v>
      </c>
      <c r="U181">
        <v>10692.9</v>
      </c>
      <c r="V181">
        <v>266.94</v>
      </c>
      <c r="W181">
        <v>0</v>
      </c>
      <c r="X181" t="s">
        <v>141</v>
      </c>
      <c r="Y181" s="55">
        <v>45534.75</v>
      </c>
      <c r="Z181">
        <v>1350</v>
      </c>
      <c r="AA181">
        <v>1350</v>
      </c>
      <c r="AB181">
        <v>0</v>
      </c>
    </row>
    <row r="182" spans="1:28" x14ac:dyDescent="0.2">
      <c r="A182">
        <v>372</v>
      </c>
      <c r="B182">
        <v>12</v>
      </c>
      <c r="C182">
        <v>31</v>
      </c>
      <c r="D182" t="s">
        <v>170</v>
      </c>
      <c r="E182">
        <v>8</v>
      </c>
      <c r="F182" t="s">
        <v>175</v>
      </c>
      <c r="G182" s="55">
        <v>46047.818055555559</v>
      </c>
      <c r="H182">
        <v>90</v>
      </c>
      <c r="I182" t="s">
        <v>393</v>
      </c>
      <c r="J182">
        <v>61</v>
      </c>
      <c r="K182" t="s">
        <v>394</v>
      </c>
      <c r="L182" t="s">
        <v>395</v>
      </c>
      <c r="M182" t="s">
        <v>140</v>
      </c>
      <c r="P182">
        <v>35</v>
      </c>
      <c r="Q182">
        <v>3999</v>
      </c>
      <c r="R182">
        <v>210</v>
      </c>
      <c r="S182">
        <v>499</v>
      </c>
      <c r="T182">
        <v>7350</v>
      </c>
      <c r="U182">
        <v>7849</v>
      </c>
      <c r="V182">
        <v>210</v>
      </c>
      <c r="W182">
        <v>0</v>
      </c>
      <c r="X182" t="s">
        <v>141</v>
      </c>
      <c r="Y182" s="55">
        <v>45530.75</v>
      </c>
      <c r="Z182">
        <v>499</v>
      </c>
      <c r="AA182">
        <v>499</v>
      </c>
      <c r="AB182">
        <v>0</v>
      </c>
    </row>
    <row r="183" spans="1:28" x14ac:dyDescent="0.2">
      <c r="A183">
        <v>375</v>
      </c>
      <c r="B183">
        <v>5</v>
      </c>
      <c r="C183">
        <v>10002</v>
      </c>
      <c r="D183" t="s">
        <v>161</v>
      </c>
      <c r="E183">
        <v>8</v>
      </c>
      <c r="F183" t="s">
        <v>175</v>
      </c>
      <c r="G183" s="55">
        <v>46047.818749999999</v>
      </c>
      <c r="H183">
        <v>7</v>
      </c>
      <c r="I183" t="s">
        <v>396</v>
      </c>
      <c r="J183">
        <v>12</v>
      </c>
      <c r="K183" t="s">
        <v>138</v>
      </c>
      <c r="L183" t="s">
        <v>382</v>
      </c>
      <c r="M183" t="s">
        <v>140</v>
      </c>
      <c r="P183">
        <v>43</v>
      </c>
      <c r="Q183">
        <v>7199</v>
      </c>
      <c r="R183">
        <v>170</v>
      </c>
      <c r="S183">
        <v>499</v>
      </c>
      <c r="T183">
        <v>11390</v>
      </c>
      <c r="U183">
        <v>11889</v>
      </c>
      <c r="V183">
        <v>264.88</v>
      </c>
      <c r="W183">
        <v>0</v>
      </c>
      <c r="X183" t="s">
        <v>141</v>
      </c>
      <c r="Y183" s="55">
        <v>45534.75</v>
      </c>
      <c r="Z183">
        <v>499</v>
      </c>
      <c r="AA183">
        <v>499</v>
      </c>
      <c r="AB183">
        <v>0</v>
      </c>
    </row>
    <row r="184" spans="1:28" x14ac:dyDescent="0.2">
      <c r="A184">
        <v>378</v>
      </c>
      <c r="B184">
        <v>12</v>
      </c>
      <c r="C184">
        <v>10002</v>
      </c>
      <c r="D184" t="s">
        <v>161</v>
      </c>
      <c r="E184">
        <v>8</v>
      </c>
      <c r="F184" t="s">
        <v>175</v>
      </c>
      <c r="G184" s="55">
        <v>46047.818749999999</v>
      </c>
      <c r="H184">
        <v>90</v>
      </c>
      <c r="I184" t="s">
        <v>397</v>
      </c>
      <c r="J184">
        <v>41</v>
      </c>
      <c r="K184" t="s">
        <v>394</v>
      </c>
      <c r="L184" t="s">
        <v>395</v>
      </c>
      <c r="M184" t="s">
        <v>140</v>
      </c>
      <c r="P184">
        <v>15</v>
      </c>
      <c r="Q184">
        <v>3999</v>
      </c>
      <c r="R184">
        <v>150</v>
      </c>
      <c r="S184">
        <v>799</v>
      </c>
      <c r="T184">
        <v>4800</v>
      </c>
      <c r="U184">
        <v>5599</v>
      </c>
      <c r="V184">
        <v>320</v>
      </c>
      <c r="W184">
        <v>0</v>
      </c>
      <c r="X184" t="s">
        <v>141</v>
      </c>
      <c r="Y184" s="55">
        <v>45488.75</v>
      </c>
      <c r="Z184">
        <v>799</v>
      </c>
      <c r="AA184">
        <v>799</v>
      </c>
      <c r="AB184">
        <v>0</v>
      </c>
    </row>
    <row r="185" spans="1:28" x14ac:dyDescent="0.2">
      <c r="A185">
        <v>379</v>
      </c>
      <c r="B185">
        <v>10</v>
      </c>
      <c r="C185">
        <v>10002</v>
      </c>
      <c r="D185" t="s">
        <v>161</v>
      </c>
      <c r="E185">
        <v>8</v>
      </c>
      <c r="F185" t="s">
        <v>175</v>
      </c>
      <c r="G185" s="55">
        <v>46047.819444444445</v>
      </c>
      <c r="H185">
        <v>87</v>
      </c>
      <c r="I185" t="s">
        <v>398</v>
      </c>
      <c r="J185">
        <v>487</v>
      </c>
      <c r="K185" t="s">
        <v>138</v>
      </c>
      <c r="L185" t="s">
        <v>385</v>
      </c>
      <c r="M185" t="s">
        <v>140</v>
      </c>
      <c r="P185">
        <v>26</v>
      </c>
      <c r="Q185">
        <v>6399</v>
      </c>
      <c r="R185">
        <v>160</v>
      </c>
      <c r="S185">
        <v>1499</v>
      </c>
      <c r="T185">
        <v>7840</v>
      </c>
      <c r="U185">
        <v>9339</v>
      </c>
      <c r="V185">
        <v>301.54000000000002</v>
      </c>
      <c r="W185">
        <v>0</v>
      </c>
      <c r="X185" t="s">
        <v>141</v>
      </c>
      <c r="Y185" s="55">
        <v>45494.75</v>
      </c>
      <c r="Z185">
        <v>1499</v>
      </c>
      <c r="AA185">
        <v>1499</v>
      </c>
      <c r="AB185">
        <v>0</v>
      </c>
    </row>
    <row r="186" spans="1:28" x14ac:dyDescent="0.2">
      <c r="A186">
        <v>380</v>
      </c>
      <c r="B186">
        <v>12</v>
      </c>
      <c r="C186">
        <v>31</v>
      </c>
      <c r="D186" t="s">
        <v>170</v>
      </c>
      <c r="E186">
        <v>8</v>
      </c>
      <c r="F186" t="s">
        <v>175</v>
      </c>
      <c r="G186" s="55">
        <v>46047.819444444445</v>
      </c>
      <c r="H186">
        <v>76</v>
      </c>
      <c r="I186" t="s">
        <v>399</v>
      </c>
      <c r="J186">
        <v>517</v>
      </c>
      <c r="K186" t="s">
        <v>138</v>
      </c>
      <c r="L186" t="s">
        <v>375</v>
      </c>
      <c r="M186" t="s">
        <v>140</v>
      </c>
      <c r="P186">
        <v>35</v>
      </c>
      <c r="Q186">
        <v>6699</v>
      </c>
      <c r="R186">
        <v>165</v>
      </c>
      <c r="S186">
        <v>999</v>
      </c>
      <c r="T186">
        <v>9405</v>
      </c>
      <c r="U186">
        <v>10404</v>
      </c>
      <c r="V186">
        <v>268.70999999999998</v>
      </c>
      <c r="W186">
        <v>0</v>
      </c>
      <c r="X186" t="s">
        <v>141</v>
      </c>
      <c r="Y186" s="55">
        <v>45484.75</v>
      </c>
      <c r="Z186">
        <v>999</v>
      </c>
      <c r="AA186">
        <v>999</v>
      </c>
      <c r="AB186">
        <v>0</v>
      </c>
    </row>
    <row r="187" spans="1:28" x14ac:dyDescent="0.2">
      <c r="A187">
        <v>382</v>
      </c>
      <c r="B187">
        <v>5</v>
      </c>
      <c r="C187">
        <v>7</v>
      </c>
      <c r="D187" t="s">
        <v>226</v>
      </c>
      <c r="E187">
        <v>8</v>
      </c>
      <c r="F187" t="s">
        <v>175</v>
      </c>
      <c r="G187" s="55">
        <v>46047.819444444445</v>
      </c>
      <c r="H187">
        <v>74</v>
      </c>
      <c r="I187" t="s">
        <v>361</v>
      </c>
      <c r="J187">
        <v>37</v>
      </c>
      <c r="K187" t="s">
        <v>285</v>
      </c>
      <c r="L187" t="s">
        <v>305</v>
      </c>
      <c r="M187" t="s">
        <v>140</v>
      </c>
      <c r="P187">
        <v>43</v>
      </c>
      <c r="Q187">
        <v>5799</v>
      </c>
      <c r="R187">
        <v>170</v>
      </c>
      <c r="S187">
        <v>300</v>
      </c>
      <c r="T187">
        <v>9348.2999999999993</v>
      </c>
      <c r="U187">
        <v>9648.2999999999993</v>
      </c>
      <c r="V187">
        <v>217.4</v>
      </c>
      <c r="W187">
        <v>0</v>
      </c>
      <c r="X187" t="s">
        <v>141</v>
      </c>
      <c r="Y187" s="55">
        <v>45476.75</v>
      </c>
      <c r="Z187">
        <v>300</v>
      </c>
      <c r="AA187">
        <v>300</v>
      </c>
      <c r="AB187">
        <v>0</v>
      </c>
    </row>
    <row r="188" spans="1:28" x14ac:dyDescent="0.2">
      <c r="A188">
        <v>383</v>
      </c>
      <c r="B188">
        <v>5</v>
      </c>
      <c r="C188">
        <v>10002</v>
      </c>
      <c r="D188" t="s">
        <v>161</v>
      </c>
      <c r="E188">
        <v>8</v>
      </c>
      <c r="F188" t="s">
        <v>175</v>
      </c>
      <c r="G188" s="55">
        <v>46047.819444444445</v>
      </c>
      <c r="H188">
        <v>76</v>
      </c>
      <c r="I188" t="s">
        <v>400</v>
      </c>
      <c r="J188">
        <v>519</v>
      </c>
      <c r="K188" t="s">
        <v>138</v>
      </c>
      <c r="L188" t="s">
        <v>375</v>
      </c>
      <c r="M188" t="s">
        <v>140</v>
      </c>
      <c r="P188">
        <v>20</v>
      </c>
      <c r="Q188">
        <v>6599</v>
      </c>
      <c r="R188">
        <v>100</v>
      </c>
      <c r="S188">
        <v>0</v>
      </c>
      <c r="T188">
        <v>6599</v>
      </c>
      <c r="U188">
        <v>6599</v>
      </c>
      <c r="V188">
        <v>329.95</v>
      </c>
      <c r="W188">
        <v>0</v>
      </c>
      <c r="X188" t="s">
        <v>141</v>
      </c>
      <c r="Y188" s="55">
        <v>45472.75</v>
      </c>
      <c r="Z188">
        <v>0</v>
      </c>
      <c r="AA188">
        <v>0</v>
      </c>
      <c r="AB188">
        <v>0</v>
      </c>
    </row>
    <row r="189" spans="1:28" x14ac:dyDescent="0.2">
      <c r="A189">
        <v>384</v>
      </c>
      <c r="B189">
        <v>12</v>
      </c>
      <c r="C189">
        <v>31</v>
      </c>
      <c r="D189" t="s">
        <v>170</v>
      </c>
      <c r="E189">
        <v>8</v>
      </c>
      <c r="F189" t="s">
        <v>175</v>
      </c>
      <c r="G189" s="55">
        <v>46047.819444444445</v>
      </c>
      <c r="H189">
        <v>90</v>
      </c>
      <c r="I189" t="s">
        <v>401</v>
      </c>
      <c r="J189">
        <v>38</v>
      </c>
      <c r="K189" t="s">
        <v>394</v>
      </c>
      <c r="L189" t="s">
        <v>395</v>
      </c>
      <c r="M189" t="s">
        <v>140</v>
      </c>
      <c r="P189">
        <v>35</v>
      </c>
      <c r="Q189">
        <v>3999</v>
      </c>
      <c r="R189">
        <v>165</v>
      </c>
      <c r="S189">
        <v>499</v>
      </c>
      <c r="T189">
        <v>5775</v>
      </c>
      <c r="U189">
        <v>6274</v>
      </c>
      <c r="V189">
        <v>165</v>
      </c>
      <c r="W189">
        <v>0</v>
      </c>
      <c r="X189" t="s">
        <v>141</v>
      </c>
      <c r="Y189" s="55">
        <v>45479.75</v>
      </c>
      <c r="Z189">
        <v>499</v>
      </c>
      <c r="AA189">
        <v>499</v>
      </c>
      <c r="AB189">
        <v>0</v>
      </c>
    </row>
    <row r="190" spans="1:28" x14ac:dyDescent="0.2">
      <c r="A190">
        <v>385</v>
      </c>
      <c r="B190">
        <v>10</v>
      </c>
      <c r="C190">
        <v>10002</v>
      </c>
      <c r="D190" t="s">
        <v>161</v>
      </c>
      <c r="E190">
        <v>8</v>
      </c>
      <c r="F190" t="s">
        <v>175</v>
      </c>
      <c r="G190" s="55">
        <v>46047.820138888892</v>
      </c>
      <c r="H190">
        <v>92</v>
      </c>
      <c r="I190" t="s">
        <v>402</v>
      </c>
      <c r="J190">
        <v>503</v>
      </c>
      <c r="K190" t="s">
        <v>403</v>
      </c>
      <c r="L190" t="s">
        <v>404</v>
      </c>
      <c r="M190" t="s">
        <v>140</v>
      </c>
      <c r="P190">
        <v>35</v>
      </c>
      <c r="Q190">
        <v>7199</v>
      </c>
      <c r="R190">
        <v>165</v>
      </c>
      <c r="S190">
        <v>1499</v>
      </c>
      <c r="T190">
        <v>9405</v>
      </c>
      <c r="U190">
        <v>10904</v>
      </c>
      <c r="V190">
        <v>268.70999999999998</v>
      </c>
      <c r="W190">
        <v>0</v>
      </c>
      <c r="X190" t="s">
        <v>141</v>
      </c>
      <c r="Y190" s="55">
        <v>45471.75</v>
      </c>
      <c r="Z190">
        <v>1499</v>
      </c>
      <c r="AA190">
        <v>1499</v>
      </c>
      <c r="AB190">
        <v>0</v>
      </c>
    </row>
    <row r="191" spans="1:28" x14ac:dyDescent="0.2">
      <c r="A191">
        <v>386</v>
      </c>
      <c r="B191">
        <v>5</v>
      </c>
      <c r="C191">
        <v>10002</v>
      </c>
      <c r="D191" t="s">
        <v>161</v>
      </c>
      <c r="E191">
        <v>8</v>
      </c>
      <c r="F191" t="s">
        <v>175</v>
      </c>
      <c r="G191" s="55">
        <v>46047.820138888892</v>
      </c>
      <c r="H191">
        <v>89</v>
      </c>
      <c r="I191" t="s">
        <v>405</v>
      </c>
      <c r="J191">
        <v>39</v>
      </c>
      <c r="K191" t="s">
        <v>145</v>
      </c>
      <c r="L191" t="s">
        <v>386</v>
      </c>
      <c r="M191" t="s">
        <v>140</v>
      </c>
      <c r="P191">
        <v>35</v>
      </c>
      <c r="Q191">
        <v>24500</v>
      </c>
      <c r="R191">
        <v>210</v>
      </c>
      <c r="S191">
        <v>6000</v>
      </c>
      <c r="T191">
        <v>38850</v>
      </c>
      <c r="U191">
        <v>44850</v>
      </c>
      <c r="V191">
        <v>1110</v>
      </c>
      <c r="W191">
        <v>0</v>
      </c>
      <c r="X191" t="s">
        <v>141</v>
      </c>
      <c r="Y191" s="55">
        <v>45480.75</v>
      </c>
      <c r="Z191">
        <v>6000</v>
      </c>
      <c r="AA191">
        <v>6000</v>
      </c>
      <c r="AB191">
        <v>0</v>
      </c>
    </row>
    <row r="192" spans="1:28" x14ac:dyDescent="0.2">
      <c r="A192">
        <v>389</v>
      </c>
      <c r="B192">
        <v>5</v>
      </c>
      <c r="C192">
        <v>10002</v>
      </c>
      <c r="D192" t="s">
        <v>161</v>
      </c>
      <c r="E192">
        <v>8</v>
      </c>
      <c r="F192" t="s">
        <v>175</v>
      </c>
      <c r="G192" s="55">
        <v>46047.820138888892</v>
      </c>
      <c r="H192">
        <v>64</v>
      </c>
      <c r="I192" t="s">
        <v>406</v>
      </c>
      <c r="J192">
        <v>51</v>
      </c>
      <c r="K192" t="s">
        <v>138</v>
      </c>
      <c r="L192" t="s">
        <v>407</v>
      </c>
      <c r="M192" t="s">
        <v>140</v>
      </c>
      <c r="P192">
        <v>15</v>
      </c>
      <c r="Q192">
        <v>5799</v>
      </c>
      <c r="R192">
        <v>150</v>
      </c>
      <c r="S192">
        <v>1499</v>
      </c>
      <c r="T192">
        <v>6450</v>
      </c>
      <c r="U192">
        <v>7949</v>
      </c>
      <c r="V192">
        <v>430</v>
      </c>
      <c r="W192">
        <v>0</v>
      </c>
      <c r="X192" t="s">
        <v>141</v>
      </c>
      <c r="Y192" s="55">
        <v>45512.75</v>
      </c>
      <c r="Z192">
        <v>1499</v>
      </c>
      <c r="AA192">
        <v>1499</v>
      </c>
      <c r="AB192">
        <v>0</v>
      </c>
    </row>
    <row r="193" spans="1:28" x14ac:dyDescent="0.2">
      <c r="A193">
        <v>390</v>
      </c>
      <c r="B193">
        <v>12</v>
      </c>
      <c r="C193">
        <v>31</v>
      </c>
      <c r="D193" t="s">
        <v>170</v>
      </c>
      <c r="E193">
        <v>8</v>
      </c>
      <c r="F193" t="s">
        <v>175</v>
      </c>
      <c r="G193" s="55">
        <v>46047.820138888892</v>
      </c>
      <c r="H193">
        <v>92</v>
      </c>
      <c r="I193" t="s">
        <v>408</v>
      </c>
      <c r="J193">
        <v>522</v>
      </c>
      <c r="K193" t="s">
        <v>403</v>
      </c>
      <c r="L193" t="s">
        <v>404</v>
      </c>
      <c r="M193" t="s">
        <v>140</v>
      </c>
      <c r="P193">
        <v>15</v>
      </c>
      <c r="Q193">
        <v>7199</v>
      </c>
      <c r="R193">
        <v>150</v>
      </c>
      <c r="S193">
        <v>1999</v>
      </c>
      <c r="T193">
        <v>7800</v>
      </c>
      <c r="U193">
        <v>9799</v>
      </c>
      <c r="V193">
        <v>520</v>
      </c>
      <c r="W193">
        <v>0</v>
      </c>
      <c r="X193" t="s">
        <v>141</v>
      </c>
      <c r="Y193" s="55">
        <v>45511.75</v>
      </c>
      <c r="Z193">
        <v>1999</v>
      </c>
      <c r="AA193">
        <v>1999</v>
      </c>
      <c r="AB193">
        <v>0</v>
      </c>
    </row>
    <row r="194" spans="1:28" x14ac:dyDescent="0.2">
      <c r="A194">
        <v>392</v>
      </c>
      <c r="B194">
        <v>10</v>
      </c>
      <c r="C194">
        <v>10002</v>
      </c>
      <c r="D194" t="s">
        <v>161</v>
      </c>
      <c r="E194">
        <v>8</v>
      </c>
      <c r="F194" t="s">
        <v>175</v>
      </c>
      <c r="G194" s="55">
        <v>46047.820833333331</v>
      </c>
      <c r="H194">
        <v>90</v>
      </c>
      <c r="I194" t="s">
        <v>409</v>
      </c>
      <c r="J194">
        <v>47</v>
      </c>
      <c r="K194" t="s">
        <v>394</v>
      </c>
      <c r="L194" t="s">
        <v>395</v>
      </c>
      <c r="M194" t="s">
        <v>140</v>
      </c>
      <c r="P194">
        <v>15</v>
      </c>
      <c r="Q194">
        <v>3999</v>
      </c>
      <c r="R194">
        <v>150</v>
      </c>
      <c r="S194">
        <v>799</v>
      </c>
      <c r="T194">
        <v>4800</v>
      </c>
      <c r="U194">
        <v>5599</v>
      </c>
      <c r="V194">
        <v>320</v>
      </c>
      <c r="W194">
        <v>0</v>
      </c>
      <c r="X194" t="s">
        <v>141</v>
      </c>
      <c r="Y194" s="55">
        <v>45507.75</v>
      </c>
      <c r="Z194">
        <v>799</v>
      </c>
      <c r="AA194">
        <v>799</v>
      </c>
      <c r="AB194">
        <v>0</v>
      </c>
    </row>
    <row r="195" spans="1:28" x14ac:dyDescent="0.2">
      <c r="A195">
        <v>394</v>
      </c>
      <c r="B195">
        <v>11</v>
      </c>
      <c r="C195">
        <v>5</v>
      </c>
      <c r="D195" t="s">
        <v>164</v>
      </c>
      <c r="E195">
        <v>8</v>
      </c>
      <c r="F195" t="s">
        <v>175</v>
      </c>
      <c r="G195" s="55">
        <v>46047.820833333331</v>
      </c>
      <c r="H195">
        <v>97</v>
      </c>
      <c r="I195" t="s">
        <v>410</v>
      </c>
      <c r="J195">
        <v>46</v>
      </c>
      <c r="K195" t="s">
        <v>145</v>
      </c>
      <c r="L195" t="s">
        <v>411</v>
      </c>
      <c r="M195" t="s">
        <v>140</v>
      </c>
      <c r="P195">
        <v>43</v>
      </c>
      <c r="Q195">
        <v>3999</v>
      </c>
      <c r="R195">
        <v>170</v>
      </c>
      <c r="S195">
        <v>499</v>
      </c>
      <c r="T195">
        <v>5950</v>
      </c>
      <c r="U195">
        <v>6449</v>
      </c>
      <c r="V195">
        <v>138.37</v>
      </c>
      <c r="W195">
        <v>0</v>
      </c>
      <c r="X195" t="s">
        <v>141</v>
      </c>
      <c r="Y195" s="55">
        <v>45505.75</v>
      </c>
      <c r="Z195">
        <v>499</v>
      </c>
      <c r="AA195">
        <v>499</v>
      </c>
      <c r="AB195">
        <v>0</v>
      </c>
    </row>
    <row r="196" spans="1:28" x14ac:dyDescent="0.2">
      <c r="A196">
        <v>395</v>
      </c>
      <c r="B196">
        <v>12</v>
      </c>
      <c r="C196">
        <v>31</v>
      </c>
      <c r="D196" t="s">
        <v>170</v>
      </c>
      <c r="E196">
        <v>8</v>
      </c>
      <c r="F196" t="s">
        <v>175</v>
      </c>
      <c r="G196" s="55">
        <v>46047.820833333331</v>
      </c>
      <c r="H196">
        <v>90</v>
      </c>
      <c r="I196" t="s">
        <v>200</v>
      </c>
      <c r="J196">
        <v>45</v>
      </c>
      <c r="K196" t="s">
        <v>394</v>
      </c>
      <c r="L196" t="s">
        <v>395</v>
      </c>
      <c r="M196" t="s">
        <v>140</v>
      </c>
      <c r="P196">
        <v>26</v>
      </c>
      <c r="Q196">
        <v>3999</v>
      </c>
      <c r="R196">
        <v>190</v>
      </c>
      <c r="S196">
        <v>799</v>
      </c>
      <c r="T196">
        <v>6080</v>
      </c>
      <c r="U196">
        <v>6879</v>
      </c>
      <c r="V196">
        <v>233.85</v>
      </c>
      <c r="W196">
        <v>0</v>
      </c>
      <c r="X196" t="s">
        <v>141</v>
      </c>
      <c r="Y196" s="55">
        <v>45501.75</v>
      </c>
      <c r="Z196">
        <v>799</v>
      </c>
      <c r="AA196">
        <v>799</v>
      </c>
      <c r="AB196">
        <v>0</v>
      </c>
    </row>
    <row r="197" spans="1:28" x14ac:dyDescent="0.2">
      <c r="A197">
        <v>396</v>
      </c>
      <c r="B197">
        <v>10</v>
      </c>
      <c r="C197">
        <v>10002</v>
      </c>
      <c r="D197" t="s">
        <v>161</v>
      </c>
      <c r="E197">
        <v>8</v>
      </c>
      <c r="F197" t="s">
        <v>175</v>
      </c>
      <c r="G197" s="55">
        <v>46047.821527777778</v>
      </c>
      <c r="H197">
        <v>92</v>
      </c>
      <c r="I197" t="s">
        <v>315</v>
      </c>
      <c r="J197">
        <v>43</v>
      </c>
      <c r="K197" t="s">
        <v>403</v>
      </c>
      <c r="L197" t="s">
        <v>404</v>
      </c>
      <c r="M197" t="s">
        <v>140</v>
      </c>
      <c r="P197">
        <v>35</v>
      </c>
      <c r="Q197">
        <v>7199</v>
      </c>
      <c r="R197">
        <v>165</v>
      </c>
      <c r="S197">
        <v>1499</v>
      </c>
      <c r="T197">
        <v>9405</v>
      </c>
      <c r="U197">
        <v>10904</v>
      </c>
      <c r="V197">
        <v>268.70999999999998</v>
      </c>
      <c r="W197">
        <v>0</v>
      </c>
      <c r="X197" t="s">
        <v>141</v>
      </c>
      <c r="Y197" s="55">
        <v>45498.75</v>
      </c>
      <c r="Z197">
        <v>1499</v>
      </c>
      <c r="AA197">
        <v>1499</v>
      </c>
      <c r="AB197">
        <v>0</v>
      </c>
    </row>
    <row r="198" spans="1:28" x14ac:dyDescent="0.2">
      <c r="A198">
        <v>397</v>
      </c>
      <c r="B198">
        <v>7</v>
      </c>
      <c r="C198">
        <v>10002</v>
      </c>
      <c r="D198" t="s">
        <v>161</v>
      </c>
      <c r="E198">
        <v>8</v>
      </c>
      <c r="F198" t="s">
        <v>175</v>
      </c>
      <c r="G198" s="55">
        <v>46047.821527777778</v>
      </c>
      <c r="H198">
        <v>76</v>
      </c>
      <c r="I198" t="s">
        <v>412</v>
      </c>
      <c r="J198">
        <v>524</v>
      </c>
      <c r="K198" t="s">
        <v>138</v>
      </c>
      <c r="L198" t="s">
        <v>375</v>
      </c>
      <c r="M198" t="s">
        <v>140</v>
      </c>
      <c r="P198">
        <v>20</v>
      </c>
      <c r="Q198">
        <v>6700</v>
      </c>
      <c r="R198">
        <v>100</v>
      </c>
      <c r="S198">
        <v>810</v>
      </c>
      <c r="T198">
        <v>5890</v>
      </c>
      <c r="U198">
        <v>6700</v>
      </c>
      <c r="V198">
        <v>294.5</v>
      </c>
      <c r="W198">
        <v>0</v>
      </c>
      <c r="X198" t="s">
        <v>141</v>
      </c>
      <c r="Y198" s="55">
        <v>45453.75</v>
      </c>
      <c r="Z198">
        <v>810</v>
      </c>
      <c r="AA198">
        <v>810</v>
      </c>
      <c r="AB198">
        <v>0</v>
      </c>
    </row>
    <row r="199" spans="1:28" x14ac:dyDescent="0.2">
      <c r="A199">
        <v>399</v>
      </c>
      <c r="B199">
        <v>5</v>
      </c>
      <c r="C199">
        <v>10002</v>
      </c>
      <c r="D199" t="s">
        <v>161</v>
      </c>
      <c r="E199">
        <v>8</v>
      </c>
      <c r="F199" t="s">
        <v>175</v>
      </c>
      <c r="G199" s="55">
        <v>46047.821527777778</v>
      </c>
      <c r="H199">
        <v>92</v>
      </c>
      <c r="I199" t="s">
        <v>374</v>
      </c>
      <c r="J199">
        <v>455</v>
      </c>
      <c r="K199" t="s">
        <v>403</v>
      </c>
      <c r="L199" t="s">
        <v>404</v>
      </c>
      <c r="M199" t="s">
        <v>140</v>
      </c>
      <c r="P199">
        <v>26</v>
      </c>
      <c r="Q199">
        <v>7199</v>
      </c>
      <c r="R199">
        <v>160</v>
      </c>
      <c r="S199">
        <v>1499</v>
      </c>
      <c r="T199">
        <v>9120</v>
      </c>
      <c r="U199">
        <v>10619</v>
      </c>
      <c r="V199">
        <v>350.77</v>
      </c>
      <c r="W199">
        <v>0</v>
      </c>
      <c r="X199" t="s">
        <v>141</v>
      </c>
      <c r="Y199" s="55">
        <v>45460.75</v>
      </c>
      <c r="Z199">
        <v>1499</v>
      </c>
      <c r="AA199">
        <v>1499</v>
      </c>
      <c r="AB199">
        <v>0</v>
      </c>
    </row>
    <row r="200" spans="1:28" x14ac:dyDescent="0.2">
      <c r="A200">
        <v>400</v>
      </c>
      <c r="B200">
        <v>10</v>
      </c>
      <c r="C200">
        <v>10002</v>
      </c>
      <c r="D200" t="s">
        <v>161</v>
      </c>
      <c r="E200">
        <v>8</v>
      </c>
      <c r="F200" t="s">
        <v>175</v>
      </c>
      <c r="G200" s="55">
        <v>46047.821527777778</v>
      </c>
      <c r="H200">
        <v>94</v>
      </c>
      <c r="I200" t="s">
        <v>282</v>
      </c>
      <c r="J200">
        <v>33</v>
      </c>
      <c r="K200" t="s">
        <v>153</v>
      </c>
      <c r="L200" t="s">
        <v>413</v>
      </c>
      <c r="M200" t="s">
        <v>140</v>
      </c>
      <c r="P200">
        <v>15</v>
      </c>
      <c r="Q200">
        <v>5199</v>
      </c>
      <c r="R200">
        <v>150</v>
      </c>
      <c r="S200">
        <v>1000</v>
      </c>
      <c r="T200">
        <v>6298.5</v>
      </c>
      <c r="U200">
        <v>7298.5</v>
      </c>
      <c r="V200">
        <v>419.9</v>
      </c>
      <c r="W200">
        <v>0</v>
      </c>
      <c r="X200" t="s">
        <v>141</v>
      </c>
      <c r="Y200" s="55">
        <v>45465.75</v>
      </c>
      <c r="Z200">
        <v>1000</v>
      </c>
      <c r="AA200">
        <v>1000</v>
      </c>
      <c r="AB200">
        <v>0</v>
      </c>
    </row>
    <row r="201" spans="1:28" x14ac:dyDescent="0.2">
      <c r="A201">
        <v>401</v>
      </c>
      <c r="B201">
        <v>12</v>
      </c>
      <c r="C201">
        <v>10002</v>
      </c>
      <c r="D201" t="s">
        <v>161</v>
      </c>
      <c r="E201">
        <v>8</v>
      </c>
      <c r="F201" t="s">
        <v>175</v>
      </c>
      <c r="G201" s="55">
        <v>46047.822222222225</v>
      </c>
      <c r="H201">
        <v>25</v>
      </c>
      <c r="I201" t="s">
        <v>414</v>
      </c>
      <c r="J201">
        <v>32</v>
      </c>
      <c r="K201" t="s">
        <v>145</v>
      </c>
      <c r="L201" t="s">
        <v>312</v>
      </c>
      <c r="M201" t="s">
        <v>140</v>
      </c>
      <c r="P201">
        <v>20</v>
      </c>
      <c r="Q201">
        <v>9299</v>
      </c>
      <c r="R201">
        <v>100</v>
      </c>
      <c r="S201">
        <v>0</v>
      </c>
      <c r="T201">
        <v>9299</v>
      </c>
      <c r="U201">
        <v>9299</v>
      </c>
      <c r="V201">
        <v>464.95</v>
      </c>
      <c r="W201">
        <v>0</v>
      </c>
      <c r="X201" t="s">
        <v>141</v>
      </c>
      <c r="Y201" s="55">
        <v>45465.75</v>
      </c>
      <c r="Z201">
        <v>0</v>
      </c>
      <c r="AA201">
        <v>0</v>
      </c>
      <c r="AB201">
        <v>0</v>
      </c>
    </row>
    <row r="202" spans="1:28" x14ac:dyDescent="0.2">
      <c r="A202">
        <v>403</v>
      </c>
      <c r="B202">
        <v>12</v>
      </c>
      <c r="C202">
        <v>10002</v>
      </c>
      <c r="D202" t="s">
        <v>161</v>
      </c>
      <c r="E202">
        <v>8</v>
      </c>
      <c r="F202" t="s">
        <v>175</v>
      </c>
      <c r="G202" s="55">
        <v>46047.822222222225</v>
      </c>
      <c r="H202">
        <v>98</v>
      </c>
      <c r="I202" t="s">
        <v>415</v>
      </c>
      <c r="J202">
        <v>17</v>
      </c>
      <c r="K202" t="s">
        <v>416</v>
      </c>
      <c r="L202" t="s">
        <v>417</v>
      </c>
      <c r="M202" t="s">
        <v>140</v>
      </c>
      <c r="P202">
        <v>42</v>
      </c>
      <c r="Q202">
        <v>6799</v>
      </c>
      <c r="R202">
        <v>190</v>
      </c>
      <c r="S202">
        <v>999</v>
      </c>
      <c r="T202">
        <v>11020</v>
      </c>
      <c r="U202">
        <v>12019</v>
      </c>
      <c r="V202">
        <v>262.38</v>
      </c>
      <c r="W202">
        <v>0</v>
      </c>
      <c r="X202" t="s">
        <v>141</v>
      </c>
      <c r="Y202" s="55">
        <v>45389.75</v>
      </c>
      <c r="Z202">
        <v>999</v>
      </c>
      <c r="AA202">
        <v>999</v>
      </c>
      <c r="AB202">
        <v>0</v>
      </c>
    </row>
    <row r="203" spans="1:28" x14ac:dyDescent="0.2">
      <c r="A203">
        <v>404</v>
      </c>
      <c r="B203">
        <v>9</v>
      </c>
      <c r="C203">
        <v>10002</v>
      </c>
      <c r="D203" t="s">
        <v>161</v>
      </c>
      <c r="E203">
        <v>8</v>
      </c>
      <c r="F203" t="s">
        <v>175</v>
      </c>
      <c r="G203" s="55">
        <v>46047.822222222225</v>
      </c>
      <c r="H203">
        <v>99</v>
      </c>
      <c r="I203" t="s">
        <v>418</v>
      </c>
      <c r="J203">
        <v>404</v>
      </c>
      <c r="K203" t="s">
        <v>138</v>
      </c>
      <c r="L203" t="s">
        <v>419</v>
      </c>
      <c r="M203" t="s">
        <v>140</v>
      </c>
      <c r="P203">
        <v>26</v>
      </c>
      <c r="Q203">
        <v>7599</v>
      </c>
      <c r="R203">
        <v>170</v>
      </c>
      <c r="S203">
        <v>1499</v>
      </c>
      <c r="T203">
        <v>10370</v>
      </c>
      <c r="U203">
        <v>11869</v>
      </c>
      <c r="V203">
        <v>398.85</v>
      </c>
      <c r="W203">
        <v>0</v>
      </c>
      <c r="X203" t="s">
        <v>141</v>
      </c>
      <c r="Y203" s="55">
        <v>45389.75</v>
      </c>
      <c r="Z203">
        <v>1499</v>
      </c>
      <c r="AA203">
        <v>1499</v>
      </c>
      <c r="AB203">
        <v>0</v>
      </c>
    </row>
    <row r="204" spans="1:28" x14ac:dyDescent="0.2">
      <c r="A204">
        <v>405</v>
      </c>
      <c r="B204">
        <v>5</v>
      </c>
      <c r="C204">
        <v>10002</v>
      </c>
      <c r="D204" t="s">
        <v>161</v>
      </c>
      <c r="E204">
        <v>8</v>
      </c>
      <c r="F204" t="s">
        <v>175</v>
      </c>
      <c r="G204" s="55">
        <v>46047.822222222225</v>
      </c>
      <c r="H204">
        <v>76</v>
      </c>
      <c r="I204" t="s">
        <v>420</v>
      </c>
      <c r="J204">
        <v>526</v>
      </c>
      <c r="K204" t="s">
        <v>138</v>
      </c>
      <c r="L204" t="s">
        <v>375</v>
      </c>
      <c r="M204" t="s">
        <v>140</v>
      </c>
      <c r="P204">
        <v>15</v>
      </c>
      <c r="Q204">
        <v>6299</v>
      </c>
      <c r="R204">
        <v>150</v>
      </c>
      <c r="S204">
        <v>1500</v>
      </c>
      <c r="T204">
        <v>7198.5</v>
      </c>
      <c r="U204">
        <v>8698.5</v>
      </c>
      <c r="V204">
        <v>479.9</v>
      </c>
      <c r="W204">
        <v>0</v>
      </c>
      <c r="X204" t="s">
        <v>141</v>
      </c>
      <c r="Y204" s="55">
        <v>45402.75</v>
      </c>
      <c r="Z204">
        <v>1500</v>
      </c>
      <c r="AA204">
        <v>1500</v>
      </c>
      <c r="AB204">
        <v>0</v>
      </c>
    </row>
    <row r="205" spans="1:28" x14ac:dyDescent="0.2">
      <c r="A205">
        <v>406</v>
      </c>
      <c r="B205">
        <v>12</v>
      </c>
      <c r="C205">
        <v>10002</v>
      </c>
      <c r="D205" t="s">
        <v>161</v>
      </c>
      <c r="E205">
        <v>8</v>
      </c>
      <c r="F205" t="s">
        <v>175</v>
      </c>
      <c r="G205" s="55">
        <v>46047.822916666664</v>
      </c>
      <c r="H205">
        <v>76</v>
      </c>
      <c r="I205" t="s">
        <v>421</v>
      </c>
      <c r="J205">
        <v>429</v>
      </c>
      <c r="K205" t="s">
        <v>138</v>
      </c>
      <c r="L205" t="s">
        <v>375</v>
      </c>
      <c r="M205" t="s">
        <v>140</v>
      </c>
      <c r="P205">
        <v>26</v>
      </c>
      <c r="Q205">
        <v>6599</v>
      </c>
      <c r="R205">
        <v>170</v>
      </c>
      <c r="S205">
        <v>1249</v>
      </c>
      <c r="T205">
        <v>9095</v>
      </c>
      <c r="U205">
        <v>10344</v>
      </c>
      <c r="V205">
        <v>349.81</v>
      </c>
      <c r="W205">
        <v>0</v>
      </c>
      <c r="X205" t="s">
        <v>141</v>
      </c>
      <c r="Y205" s="55">
        <v>45375.75</v>
      </c>
      <c r="Z205">
        <v>1249</v>
      </c>
      <c r="AA205">
        <v>1249</v>
      </c>
      <c r="AB205">
        <v>0</v>
      </c>
    </row>
    <row r="206" spans="1:28" x14ac:dyDescent="0.2">
      <c r="A206">
        <v>407</v>
      </c>
      <c r="B206">
        <v>10</v>
      </c>
      <c r="C206">
        <v>10002</v>
      </c>
      <c r="D206" t="s">
        <v>161</v>
      </c>
      <c r="E206">
        <v>8</v>
      </c>
      <c r="F206" t="s">
        <v>175</v>
      </c>
      <c r="G206" s="55">
        <v>46047.822916666664</v>
      </c>
      <c r="H206">
        <v>76</v>
      </c>
      <c r="I206" t="s">
        <v>422</v>
      </c>
      <c r="J206">
        <v>21</v>
      </c>
      <c r="K206" t="s">
        <v>138</v>
      </c>
      <c r="L206" t="s">
        <v>375</v>
      </c>
      <c r="M206" t="s">
        <v>140</v>
      </c>
      <c r="P206">
        <v>20</v>
      </c>
      <c r="Q206">
        <v>6000</v>
      </c>
      <c r="R206">
        <v>100</v>
      </c>
      <c r="S206">
        <v>1000</v>
      </c>
      <c r="T206">
        <v>5000</v>
      </c>
      <c r="U206">
        <v>6000</v>
      </c>
      <c r="V206">
        <v>250</v>
      </c>
      <c r="W206">
        <v>0</v>
      </c>
      <c r="X206" t="s">
        <v>141</v>
      </c>
      <c r="Y206" s="55">
        <v>45403.75</v>
      </c>
      <c r="Z206">
        <v>1000</v>
      </c>
      <c r="AA206">
        <v>1000</v>
      </c>
      <c r="AB206">
        <v>0</v>
      </c>
    </row>
    <row r="207" spans="1:28" x14ac:dyDescent="0.2">
      <c r="A207">
        <v>408</v>
      </c>
      <c r="B207">
        <v>10</v>
      </c>
      <c r="C207">
        <v>31</v>
      </c>
      <c r="D207" t="s">
        <v>170</v>
      </c>
      <c r="E207">
        <v>8</v>
      </c>
      <c r="F207" t="s">
        <v>175</v>
      </c>
      <c r="G207" s="55">
        <v>46047.822916666664</v>
      </c>
      <c r="H207">
        <v>79</v>
      </c>
      <c r="I207" t="s">
        <v>378</v>
      </c>
      <c r="J207">
        <v>19</v>
      </c>
      <c r="K207" t="s">
        <v>323</v>
      </c>
      <c r="L207" t="s">
        <v>324</v>
      </c>
      <c r="M207" t="s">
        <v>140</v>
      </c>
      <c r="P207">
        <v>10</v>
      </c>
      <c r="Q207">
        <v>2500</v>
      </c>
      <c r="R207">
        <v>100</v>
      </c>
      <c r="S207">
        <v>0</v>
      </c>
      <c r="T207">
        <v>2500</v>
      </c>
      <c r="U207">
        <v>2500</v>
      </c>
      <c r="V207">
        <v>250</v>
      </c>
      <c r="W207">
        <v>0</v>
      </c>
      <c r="X207" t="s">
        <v>141</v>
      </c>
      <c r="Y207" s="55">
        <v>45393.75</v>
      </c>
      <c r="Z207">
        <v>0</v>
      </c>
      <c r="AA207">
        <v>0</v>
      </c>
      <c r="AB207">
        <v>0</v>
      </c>
    </row>
    <row r="208" spans="1:28" x14ac:dyDescent="0.2">
      <c r="A208">
        <v>409</v>
      </c>
      <c r="B208">
        <v>12</v>
      </c>
      <c r="C208">
        <v>10002</v>
      </c>
      <c r="D208" t="s">
        <v>161</v>
      </c>
      <c r="E208">
        <v>8</v>
      </c>
      <c r="F208" t="s">
        <v>175</v>
      </c>
      <c r="G208" s="55">
        <v>46047.822916666664</v>
      </c>
      <c r="H208">
        <v>100</v>
      </c>
      <c r="I208" t="s">
        <v>376</v>
      </c>
      <c r="J208">
        <v>527</v>
      </c>
      <c r="K208" t="s">
        <v>388</v>
      </c>
      <c r="L208" t="s">
        <v>423</v>
      </c>
      <c r="M208" t="s">
        <v>140</v>
      </c>
      <c r="P208">
        <v>26</v>
      </c>
      <c r="Q208">
        <v>5499</v>
      </c>
      <c r="R208">
        <v>170</v>
      </c>
      <c r="S208">
        <v>999</v>
      </c>
      <c r="T208">
        <v>7650</v>
      </c>
      <c r="U208">
        <v>8649</v>
      </c>
      <c r="V208">
        <v>294.23</v>
      </c>
      <c r="W208">
        <v>0</v>
      </c>
      <c r="X208" t="s">
        <v>141</v>
      </c>
      <c r="Y208" s="55">
        <v>45418.75</v>
      </c>
      <c r="Z208">
        <v>999</v>
      </c>
      <c r="AA208">
        <v>999</v>
      </c>
      <c r="AB208">
        <v>0</v>
      </c>
    </row>
    <row r="209" spans="1:28" x14ac:dyDescent="0.2">
      <c r="A209">
        <v>414</v>
      </c>
      <c r="B209">
        <v>7</v>
      </c>
      <c r="C209">
        <v>10002</v>
      </c>
      <c r="D209" t="s">
        <v>161</v>
      </c>
      <c r="E209">
        <v>8</v>
      </c>
      <c r="F209" t="s">
        <v>175</v>
      </c>
      <c r="G209" s="55">
        <v>46047.823611111111</v>
      </c>
      <c r="H209">
        <v>7</v>
      </c>
      <c r="I209" t="s">
        <v>318</v>
      </c>
      <c r="J209">
        <v>29</v>
      </c>
      <c r="K209" t="s">
        <v>138</v>
      </c>
      <c r="L209" t="s">
        <v>382</v>
      </c>
      <c r="M209" t="s">
        <v>140</v>
      </c>
      <c r="P209">
        <v>20</v>
      </c>
      <c r="Q209">
        <v>7200</v>
      </c>
      <c r="R209">
        <v>100</v>
      </c>
      <c r="S209">
        <v>1800</v>
      </c>
      <c r="T209">
        <v>5400</v>
      </c>
      <c r="U209">
        <v>7200</v>
      </c>
      <c r="V209">
        <v>270</v>
      </c>
      <c r="W209">
        <v>0</v>
      </c>
      <c r="X209" t="s">
        <v>141</v>
      </c>
      <c r="Y209" s="55">
        <v>45447.75</v>
      </c>
      <c r="Z209">
        <v>1800</v>
      </c>
      <c r="AA209">
        <v>1800</v>
      </c>
      <c r="AB209">
        <v>0</v>
      </c>
    </row>
    <row r="210" spans="1:28" x14ac:dyDescent="0.2">
      <c r="A210">
        <v>417</v>
      </c>
      <c r="B210">
        <v>5</v>
      </c>
      <c r="C210">
        <v>10002</v>
      </c>
      <c r="D210" t="s">
        <v>161</v>
      </c>
      <c r="E210">
        <v>8</v>
      </c>
      <c r="F210" t="s">
        <v>175</v>
      </c>
      <c r="G210" s="55">
        <v>46047.824305555558</v>
      </c>
      <c r="H210">
        <v>101</v>
      </c>
      <c r="I210" t="s">
        <v>400</v>
      </c>
      <c r="J210">
        <v>519</v>
      </c>
      <c r="K210" t="s">
        <v>191</v>
      </c>
      <c r="L210" t="s">
        <v>424</v>
      </c>
      <c r="M210" t="s">
        <v>140</v>
      </c>
      <c r="P210">
        <v>20</v>
      </c>
      <c r="Q210">
        <v>3999</v>
      </c>
      <c r="R210">
        <v>100</v>
      </c>
      <c r="S210">
        <v>749</v>
      </c>
      <c r="T210">
        <v>3250</v>
      </c>
      <c r="U210">
        <v>3999</v>
      </c>
      <c r="V210">
        <v>162.5</v>
      </c>
      <c r="W210">
        <v>0</v>
      </c>
      <c r="X210" t="s">
        <v>141</v>
      </c>
      <c r="Y210" s="55">
        <v>45345.75</v>
      </c>
      <c r="Z210">
        <v>749</v>
      </c>
      <c r="AA210">
        <v>749</v>
      </c>
      <c r="AB210">
        <v>0</v>
      </c>
    </row>
    <row r="211" spans="1:28" x14ac:dyDescent="0.2">
      <c r="A211">
        <v>418</v>
      </c>
      <c r="B211">
        <v>12</v>
      </c>
      <c r="C211">
        <v>10002</v>
      </c>
      <c r="D211" t="s">
        <v>161</v>
      </c>
      <c r="E211">
        <v>8</v>
      </c>
      <c r="F211" t="s">
        <v>175</v>
      </c>
      <c r="G211" s="55">
        <v>46047.824305555558</v>
      </c>
      <c r="H211">
        <v>99</v>
      </c>
      <c r="I211" t="s">
        <v>425</v>
      </c>
      <c r="J211">
        <v>14</v>
      </c>
      <c r="K211" t="s">
        <v>138</v>
      </c>
      <c r="L211" t="s">
        <v>419</v>
      </c>
      <c r="M211" t="s">
        <v>140</v>
      </c>
      <c r="P211">
        <v>15</v>
      </c>
      <c r="Q211">
        <v>8499</v>
      </c>
      <c r="R211">
        <v>150</v>
      </c>
      <c r="S211">
        <v>2499</v>
      </c>
      <c r="T211">
        <v>9000</v>
      </c>
      <c r="U211">
        <v>11499</v>
      </c>
      <c r="V211">
        <v>600</v>
      </c>
      <c r="W211">
        <v>0</v>
      </c>
      <c r="X211" t="s">
        <v>141</v>
      </c>
      <c r="Y211" s="55">
        <v>45365.75</v>
      </c>
      <c r="Z211">
        <v>2499</v>
      </c>
      <c r="AA211">
        <v>2499</v>
      </c>
      <c r="AB211">
        <v>0</v>
      </c>
    </row>
    <row r="212" spans="1:28" x14ac:dyDescent="0.2">
      <c r="A212">
        <v>419</v>
      </c>
      <c r="B212">
        <v>12</v>
      </c>
      <c r="C212">
        <v>31</v>
      </c>
      <c r="D212" t="s">
        <v>170</v>
      </c>
      <c r="E212">
        <v>8</v>
      </c>
      <c r="F212" t="s">
        <v>175</v>
      </c>
      <c r="G212" s="55">
        <v>46047.824305555558</v>
      </c>
      <c r="H212">
        <v>100</v>
      </c>
      <c r="I212" t="s">
        <v>426</v>
      </c>
      <c r="J212">
        <v>9</v>
      </c>
      <c r="K212" t="s">
        <v>388</v>
      </c>
      <c r="L212" t="s">
        <v>423</v>
      </c>
      <c r="M212" t="s">
        <v>140</v>
      </c>
      <c r="P212">
        <v>26</v>
      </c>
      <c r="Q212">
        <v>5499</v>
      </c>
      <c r="R212">
        <v>170</v>
      </c>
      <c r="S212">
        <v>499</v>
      </c>
      <c r="T212">
        <v>8500</v>
      </c>
      <c r="U212">
        <v>8999</v>
      </c>
      <c r="V212">
        <v>326.92</v>
      </c>
      <c r="W212">
        <v>0</v>
      </c>
      <c r="X212" t="s">
        <v>141</v>
      </c>
      <c r="Y212" s="55">
        <v>45330.75</v>
      </c>
      <c r="Z212">
        <v>499</v>
      </c>
      <c r="AA212">
        <v>499</v>
      </c>
      <c r="AB212">
        <v>0</v>
      </c>
    </row>
    <row r="213" spans="1:28" x14ac:dyDescent="0.2">
      <c r="A213">
        <v>420</v>
      </c>
      <c r="B213">
        <v>4</v>
      </c>
      <c r="C213">
        <v>10002</v>
      </c>
      <c r="D213" t="s">
        <v>161</v>
      </c>
      <c r="E213">
        <v>8</v>
      </c>
      <c r="F213" t="s">
        <v>175</v>
      </c>
      <c r="G213" s="55">
        <v>46047.824305555558</v>
      </c>
      <c r="H213">
        <v>96</v>
      </c>
      <c r="I213" t="s">
        <v>427</v>
      </c>
      <c r="J213">
        <v>533</v>
      </c>
      <c r="K213" t="s">
        <v>403</v>
      </c>
      <c r="L213" t="s">
        <v>428</v>
      </c>
      <c r="M213" t="s">
        <v>140</v>
      </c>
      <c r="P213">
        <v>35</v>
      </c>
      <c r="Q213">
        <v>6999</v>
      </c>
      <c r="R213">
        <v>150</v>
      </c>
      <c r="S213">
        <v>0</v>
      </c>
      <c r="T213">
        <v>10498.5</v>
      </c>
      <c r="U213">
        <v>10498.5</v>
      </c>
      <c r="V213">
        <v>299.95999999999998</v>
      </c>
      <c r="W213">
        <v>0</v>
      </c>
      <c r="X213" t="s">
        <v>141</v>
      </c>
      <c r="Y213" s="55">
        <v>45337.75</v>
      </c>
      <c r="Z213">
        <v>0</v>
      </c>
      <c r="AA213">
        <v>0</v>
      </c>
      <c r="AB213">
        <v>0</v>
      </c>
    </row>
    <row r="214" spans="1:28" x14ac:dyDescent="0.2">
      <c r="A214">
        <v>421</v>
      </c>
      <c r="B214">
        <v>12</v>
      </c>
      <c r="C214">
        <v>10002</v>
      </c>
      <c r="D214" t="s">
        <v>161</v>
      </c>
      <c r="E214">
        <v>8</v>
      </c>
      <c r="F214" t="s">
        <v>175</v>
      </c>
      <c r="G214" s="55">
        <v>46047.824305555558</v>
      </c>
      <c r="H214">
        <v>102</v>
      </c>
      <c r="I214" t="s">
        <v>429</v>
      </c>
      <c r="J214">
        <v>506</v>
      </c>
      <c r="K214" t="s">
        <v>145</v>
      </c>
      <c r="L214" t="s">
        <v>430</v>
      </c>
      <c r="M214" t="s">
        <v>140</v>
      </c>
      <c r="P214">
        <v>43</v>
      </c>
      <c r="Q214">
        <v>8999</v>
      </c>
      <c r="R214">
        <v>190</v>
      </c>
      <c r="S214">
        <v>1999</v>
      </c>
      <c r="T214">
        <v>13300</v>
      </c>
      <c r="U214">
        <v>15299</v>
      </c>
      <c r="V214">
        <v>309.3</v>
      </c>
      <c r="W214">
        <v>0</v>
      </c>
      <c r="X214" t="s">
        <v>141</v>
      </c>
      <c r="Y214" s="55">
        <v>45356.75</v>
      </c>
      <c r="Z214">
        <v>1999</v>
      </c>
      <c r="AA214">
        <v>1999</v>
      </c>
      <c r="AB214">
        <v>0</v>
      </c>
    </row>
    <row r="215" spans="1:28" x14ac:dyDescent="0.2">
      <c r="A215">
        <v>422</v>
      </c>
      <c r="B215">
        <v>12</v>
      </c>
      <c r="C215">
        <v>10002</v>
      </c>
      <c r="D215" t="s">
        <v>161</v>
      </c>
      <c r="E215">
        <v>8</v>
      </c>
      <c r="F215" t="s">
        <v>175</v>
      </c>
      <c r="G215" s="55">
        <v>46047.824999999997</v>
      </c>
      <c r="H215">
        <v>76</v>
      </c>
      <c r="I215" t="s">
        <v>396</v>
      </c>
      <c r="J215">
        <v>12</v>
      </c>
      <c r="K215" t="s">
        <v>138</v>
      </c>
      <c r="L215" t="s">
        <v>375</v>
      </c>
      <c r="M215" t="s">
        <v>140</v>
      </c>
      <c r="P215">
        <v>15</v>
      </c>
      <c r="Q215">
        <v>6599</v>
      </c>
      <c r="R215">
        <v>150</v>
      </c>
      <c r="S215">
        <v>999</v>
      </c>
      <c r="T215">
        <v>8400</v>
      </c>
      <c r="U215">
        <v>9399</v>
      </c>
      <c r="V215">
        <v>560</v>
      </c>
      <c r="W215">
        <v>0</v>
      </c>
      <c r="X215" t="s">
        <v>141</v>
      </c>
      <c r="Y215" s="55">
        <v>45346.75</v>
      </c>
      <c r="Z215">
        <v>999</v>
      </c>
      <c r="AA215">
        <v>999</v>
      </c>
      <c r="AB215">
        <v>0</v>
      </c>
    </row>
    <row r="216" spans="1:28" x14ac:dyDescent="0.2">
      <c r="A216">
        <v>423</v>
      </c>
      <c r="B216">
        <v>12</v>
      </c>
      <c r="C216">
        <v>31</v>
      </c>
      <c r="D216" t="s">
        <v>170</v>
      </c>
      <c r="E216">
        <v>8</v>
      </c>
      <c r="F216" t="s">
        <v>175</v>
      </c>
      <c r="G216" s="55">
        <v>46047.824999999997</v>
      </c>
      <c r="H216">
        <v>76</v>
      </c>
      <c r="I216" t="s">
        <v>431</v>
      </c>
      <c r="J216">
        <v>534</v>
      </c>
      <c r="K216" t="s">
        <v>138</v>
      </c>
      <c r="L216" t="s">
        <v>375</v>
      </c>
      <c r="M216" t="s">
        <v>140</v>
      </c>
      <c r="P216">
        <v>15</v>
      </c>
      <c r="Q216">
        <v>6599</v>
      </c>
      <c r="R216">
        <v>150</v>
      </c>
      <c r="S216">
        <v>999</v>
      </c>
      <c r="T216">
        <v>8400</v>
      </c>
      <c r="U216">
        <v>9399</v>
      </c>
      <c r="V216">
        <v>560</v>
      </c>
      <c r="W216">
        <v>0</v>
      </c>
      <c r="X216" t="s">
        <v>141</v>
      </c>
      <c r="Y216" s="55">
        <v>45339.75</v>
      </c>
      <c r="Z216">
        <v>999</v>
      </c>
      <c r="AA216">
        <v>999</v>
      </c>
      <c r="AB216">
        <v>0</v>
      </c>
    </row>
    <row r="217" spans="1:28" x14ac:dyDescent="0.2">
      <c r="A217">
        <v>424</v>
      </c>
      <c r="B217">
        <v>12</v>
      </c>
      <c r="C217">
        <v>10002</v>
      </c>
      <c r="D217" t="s">
        <v>161</v>
      </c>
      <c r="E217">
        <v>8</v>
      </c>
      <c r="F217" t="s">
        <v>175</v>
      </c>
      <c r="G217" s="55">
        <v>46047.824999999997</v>
      </c>
      <c r="H217">
        <v>79</v>
      </c>
      <c r="I217" t="s">
        <v>432</v>
      </c>
      <c r="J217">
        <v>535</v>
      </c>
      <c r="K217" t="s">
        <v>323</v>
      </c>
      <c r="L217" t="s">
        <v>324</v>
      </c>
      <c r="M217" t="s">
        <v>140</v>
      </c>
      <c r="P217">
        <v>26</v>
      </c>
      <c r="Q217">
        <v>5799</v>
      </c>
      <c r="R217">
        <v>170</v>
      </c>
      <c r="S217">
        <v>1249</v>
      </c>
      <c r="T217">
        <v>7735</v>
      </c>
      <c r="U217">
        <v>8984</v>
      </c>
      <c r="V217">
        <v>297.5</v>
      </c>
      <c r="W217">
        <v>0</v>
      </c>
      <c r="X217" t="s">
        <v>141</v>
      </c>
      <c r="Y217" s="55">
        <v>45368.75</v>
      </c>
      <c r="Z217">
        <v>1249</v>
      </c>
      <c r="AA217">
        <v>1249</v>
      </c>
      <c r="AB217">
        <v>0</v>
      </c>
    </row>
    <row r="218" spans="1:28" x14ac:dyDescent="0.2">
      <c r="A218">
        <v>425</v>
      </c>
      <c r="B218">
        <v>12</v>
      </c>
      <c r="C218">
        <v>31</v>
      </c>
      <c r="D218" t="s">
        <v>170</v>
      </c>
      <c r="E218">
        <v>8</v>
      </c>
      <c r="F218" t="s">
        <v>175</v>
      </c>
      <c r="G218" s="55">
        <v>46047.824999999997</v>
      </c>
      <c r="H218">
        <v>92</v>
      </c>
      <c r="I218" t="s">
        <v>433</v>
      </c>
      <c r="J218">
        <v>5</v>
      </c>
      <c r="K218" t="s">
        <v>403</v>
      </c>
      <c r="L218" t="s">
        <v>404</v>
      </c>
      <c r="M218" t="s">
        <v>140</v>
      </c>
      <c r="P218">
        <v>26</v>
      </c>
      <c r="Q218">
        <v>8799</v>
      </c>
      <c r="R218">
        <v>174.2</v>
      </c>
      <c r="S218">
        <v>1500</v>
      </c>
      <c r="T218">
        <v>12714.86</v>
      </c>
      <c r="U218">
        <v>14214.86</v>
      </c>
      <c r="V218">
        <v>489.03</v>
      </c>
      <c r="W218">
        <v>0</v>
      </c>
      <c r="X218" t="s">
        <v>141</v>
      </c>
      <c r="Y218" s="55">
        <v>45266.75</v>
      </c>
      <c r="Z218">
        <v>1500</v>
      </c>
      <c r="AA218">
        <v>1500</v>
      </c>
      <c r="AB218">
        <v>0</v>
      </c>
    </row>
    <row r="219" spans="1:28" x14ac:dyDescent="0.2">
      <c r="A219">
        <v>426</v>
      </c>
      <c r="B219">
        <v>12</v>
      </c>
      <c r="C219">
        <v>10002</v>
      </c>
      <c r="D219" t="s">
        <v>161</v>
      </c>
      <c r="E219">
        <v>8</v>
      </c>
      <c r="F219" t="s">
        <v>175</v>
      </c>
      <c r="G219" s="55">
        <v>46047.825694444444</v>
      </c>
      <c r="H219">
        <v>96</v>
      </c>
      <c r="I219" t="s">
        <v>412</v>
      </c>
      <c r="J219">
        <v>524</v>
      </c>
      <c r="K219" t="s">
        <v>403</v>
      </c>
      <c r="L219" t="s">
        <v>428</v>
      </c>
      <c r="M219" t="s">
        <v>140</v>
      </c>
      <c r="P219">
        <v>26</v>
      </c>
      <c r="Q219">
        <v>7699</v>
      </c>
      <c r="R219">
        <v>118.2</v>
      </c>
      <c r="S219">
        <v>0</v>
      </c>
      <c r="T219">
        <v>9100.2199999999993</v>
      </c>
      <c r="U219">
        <v>9100.2199999999993</v>
      </c>
      <c r="V219">
        <v>350.01</v>
      </c>
      <c r="W219">
        <v>0</v>
      </c>
      <c r="X219" t="s">
        <v>141</v>
      </c>
      <c r="Y219" s="55">
        <v>45286.75</v>
      </c>
      <c r="Z219">
        <v>0</v>
      </c>
      <c r="AA219">
        <v>0</v>
      </c>
      <c r="AB219">
        <v>0</v>
      </c>
    </row>
    <row r="220" spans="1:28" x14ac:dyDescent="0.2">
      <c r="A220">
        <v>427</v>
      </c>
      <c r="B220">
        <v>5</v>
      </c>
      <c r="C220">
        <v>10002</v>
      </c>
      <c r="D220" t="s">
        <v>161</v>
      </c>
      <c r="E220">
        <v>8</v>
      </c>
      <c r="F220" t="s">
        <v>175</v>
      </c>
      <c r="G220" s="55">
        <v>46047.827777777777</v>
      </c>
      <c r="H220">
        <v>92</v>
      </c>
      <c r="I220" t="s">
        <v>434</v>
      </c>
      <c r="J220">
        <v>2</v>
      </c>
      <c r="K220" t="s">
        <v>403</v>
      </c>
      <c r="L220" t="s">
        <v>404</v>
      </c>
      <c r="M220" t="s">
        <v>140</v>
      </c>
      <c r="P220">
        <v>26</v>
      </c>
      <c r="Q220">
        <v>8799</v>
      </c>
      <c r="R220">
        <v>145.38</v>
      </c>
      <c r="S220">
        <v>0</v>
      </c>
      <c r="T220">
        <v>12791.99</v>
      </c>
      <c r="U220">
        <v>12791.99</v>
      </c>
      <c r="V220">
        <v>492.01</v>
      </c>
      <c r="W220">
        <v>0</v>
      </c>
      <c r="X220" t="s">
        <v>141</v>
      </c>
      <c r="Y220" s="55">
        <v>46042.75</v>
      </c>
      <c r="Z220">
        <v>0</v>
      </c>
      <c r="AA220">
        <v>0</v>
      </c>
      <c r="AB220">
        <v>0</v>
      </c>
    </row>
    <row r="221" spans="1:28" x14ac:dyDescent="0.2">
      <c r="A221">
        <v>430</v>
      </c>
      <c r="B221">
        <v>5</v>
      </c>
      <c r="C221">
        <v>9</v>
      </c>
      <c r="D221" t="s">
        <v>181</v>
      </c>
      <c r="E221">
        <v>8</v>
      </c>
      <c r="F221" t="s">
        <v>175</v>
      </c>
      <c r="G221" s="55">
        <v>46048.665972222225</v>
      </c>
      <c r="H221">
        <v>36</v>
      </c>
      <c r="I221" t="s">
        <v>435</v>
      </c>
      <c r="J221">
        <v>536</v>
      </c>
      <c r="K221" t="s">
        <v>153</v>
      </c>
      <c r="L221" t="s">
        <v>183</v>
      </c>
      <c r="M221" t="s">
        <v>140</v>
      </c>
      <c r="N221">
        <v>3</v>
      </c>
      <c r="O221">
        <v>64</v>
      </c>
      <c r="P221">
        <v>43</v>
      </c>
      <c r="Q221">
        <v>3799</v>
      </c>
      <c r="R221">
        <v>230</v>
      </c>
      <c r="S221">
        <v>799</v>
      </c>
      <c r="T221">
        <v>6900.02</v>
      </c>
      <c r="U221">
        <v>7699.02</v>
      </c>
      <c r="V221">
        <v>160.47</v>
      </c>
      <c r="W221">
        <v>0</v>
      </c>
      <c r="X221" t="s">
        <v>141</v>
      </c>
      <c r="Y221" s="55">
        <v>46048.695833333331</v>
      </c>
      <c r="Z221">
        <v>799</v>
      </c>
      <c r="AA221">
        <v>799</v>
      </c>
      <c r="AB221">
        <v>0</v>
      </c>
    </row>
    <row r="222" spans="1:28" x14ac:dyDescent="0.2">
      <c r="A222">
        <v>431</v>
      </c>
      <c r="B222">
        <v>5</v>
      </c>
      <c r="C222">
        <v>9</v>
      </c>
      <c r="D222" t="s">
        <v>181</v>
      </c>
      <c r="E222">
        <v>8</v>
      </c>
      <c r="F222" t="s">
        <v>175</v>
      </c>
      <c r="G222" s="55">
        <v>46048.70416666667</v>
      </c>
      <c r="H222">
        <v>36</v>
      </c>
      <c r="I222" t="s">
        <v>436</v>
      </c>
      <c r="J222">
        <v>537</v>
      </c>
      <c r="K222" t="s">
        <v>153</v>
      </c>
      <c r="L222" t="s">
        <v>183</v>
      </c>
      <c r="M222" t="s">
        <v>140</v>
      </c>
      <c r="N222">
        <v>3</v>
      </c>
      <c r="O222">
        <v>64</v>
      </c>
      <c r="P222">
        <v>43</v>
      </c>
      <c r="Q222">
        <v>3799</v>
      </c>
      <c r="R222">
        <v>230</v>
      </c>
      <c r="S222">
        <v>799</v>
      </c>
      <c r="T222">
        <v>6900.02</v>
      </c>
      <c r="U222">
        <v>7699.02</v>
      </c>
      <c r="V222">
        <v>160.47</v>
      </c>
      <c r="W222">
        <v>0</v>
      </c>
      <c r="X222" t="s">
        <v>141</v>
      </c>
      <c r="Y222" s="55">
        <v>46048.72152777778</v>
      </c>
      <c r="Z222">
        <v>799</v>
      </c>
      <c r="AA222">
        <v>799</v>
      </c>
      <c r="AB222">
        <v>0</v>
      </c>
    </row>
    <row r="223" spans="1:28" x14ac:dyDescent="0.2">
      <c r="A223">
        <v>443</v>
      </c>
      <c r="B223">
        <v>14</v>
      </c>
      <c r="C223">
        <v>12</v>
      </c>
      <c r="D223" t="s">
        <v>187</v>
      </c>
      <c r="E223">
        <v>8</v>
      </c>
      <c r="F223" t="s">
        <v>175</v>
      </c>
      <c r="G223" s="55">
        <v>46050.795138888891</v>
      </c>
      <c r="H223">
        <v>36</v>
      </c>
      <c r="I223" t="s">
        <v>437</v>
      </c>
      <c r="J223">
        <v>552</v>
      </c>
      <c r="K223" t="s">
        <v>153</v>
      </c>
      <c r="L223" t="s">
        <v>183</v>
      </c>
      <c r="M223" t="s">
        <v>140</v>
      </c>
      <c r="N223">
        <v>3</v>
      </c>
      <c r="O223">
        <v>64</v>
      </c>
      <c r="P223">
        <v>35</v>
      </c>
      <c r="Q223">
        <v>3799</v>
      </c>
      <c r="R223">
        <v>210</v>
      </c>
      <c r="S223">
        <v>799</v>
      </c>
      <c r="T223">
        <v>6300.03</v>
      </c>
      <c r="U223">
        <v>7099.03</v>
      </c>
      <c r="V223">
        <v>180</v>
      </c>
      <c r="W223">
        <v>0</v>
      </c>
      <c r="X223" t="s">
        <v>141</v>
      </c>
      <c r="Y223" s="55">
        <v>46073.835416666669</v>
      </c>
      <c r="Z223">
        <v>799</v>
      </c>
      <c r="AA223">
        <v>799</v>
      </c>
      <c r="AB223">
        <v>0</v>
      </c>
    </row>
    <row r="224" spans="1:28" x14ac:dyDescent="0.2">
      <c r="A224">
        <v>444</v>
      </c>
      <c r="B224">
        <v>14</v>
      </c>
      <c r="C224">
        <v>12</v>
      </c>
      <c r="D224" t="s">
        <v>187</v>
      </c>
      <c r="E224">
        <v>8</v>
      </c>
      <c r="F224" t="s">
        <v>175</v>
      </c>
      <c r="G224" s="55">
        <v>46050.79583333333</v>
      </c>
      <c r="H224">
        <v>36</v>
      </c>
      <c r="I224" t="s">
        <v>438</v>
      </c>
      <c r="J224">
        <v>539</v>
      </c>
      <c r="K224" t="s">
        <v>153</v>
      </c>
      <c r="L224" t="s">
        <v>183</v>
      </c>
      <c r="M224" t="s">
        <v>140</v>
      </c>
      <c r="N224">
        <v>3</v>
      </c>
      <c r="O224">
        <v>64</v>
      </c>
      <c r="P224">
        <v>35</v>
      </c>
      <c r="Q224">
        <v>3799</v>
      </c>
      <c r="R224">
        <v>210</v>
      </c>
      <c r="S224">
        <v>799</v>
      </c>
      <c r="T224">
        <v>6300.03</v>
      </c>
      <c r="U224">
        <v>7099.03</v>
      </c>
      <c r="V224">
        <v>180</v>
      </c>
      <c r="W224">
        <v>0</v>
      </c>
      <c r="X224" t="s">
        <v>141</v>
      </c>
      <c r="Y224" s="55">
        <v>46050.82708333333</v>
      </c>
      <c r="Z224">
        <v>799</v>
      </c>
      <c r="AA224">
        <v>799</v>
      </c>
      <c r="AB224">
        <v>0</v>
      </c>
    </row>
    <row r="225" spans="1:28" x14ac:dyDescent="0.2">
      <c r="A225">
        <v>445</v>
      </c>
      <c r="B225">
        <v>14</v>
      </c>
      <c r="C225">
        <v>12</v>
      </c>
      <c r="D225" t="s">
        <v>187</v>
      </c>
      <c r="E225">
        <v>8</v>
      </c>
      <c r="F225" t="s">
        <v>175</v>
      </c>
      <c r="G225" s="55">
        <v>46050.796527777777</v>
      </c>
      <c r="H225">
        <v>8</v>
      </c>
      <c r="I225" t="s">
        <v>439</v>
      </c>
      <c r="J225">
        <v>97</v>
      </c>
      <c r="K225" t="s">
        <v>138</v>
      </c>
      <c r="L225" t="s">
        <v>178</v>
      </c>
      <c r="M225" t="s">
        <v>150</v>
      </c>
      <c r="N225">
        <v>6</v>
      </c>
      <c r="O225">
        <v>128</v>
      </c>
      <c r="P225">
        <v>26</v>
      </c>
      <c r="Q225">
        <v>5799</v>
      </c>
      <c r="R225">
        <v>160</v>
      </c>
      <c r="S225">
        <v>0</v>
      </c>
      <c r="T225">
        <v>9278.4</v>
      </c>
      <c r="U225">
        <v>9278.4</v>
      </c>
      <c r="V225">
        <v>356.86</v>
      </c>
      <c r="W225">
        <v>1</v>
      </c>
      <c r="X225" t="s">
        <v>141</v>
      </c>
      <c r="Y225" s="55">
        <v>46057.631249999999</v>
      </c>
      <c r="Z225">
        <v>0</v>
      </c>
      <c r="AA225">
        <v>0</v>
      </c>
      <c r="AB225">
        <v>0</v>
      </c>
    </row>
    <row r="226" spans="1:28" x14ac:dyDescent="0.2">
      <c r="A226">
        <v>458</v>
      </c>
      <c r="B226">
        <v>11</v>
      </c>
      <c r="C226">
        <v>10002</v>
      </c>
      <c r="D226" t="s">
        <v>161</v>
      </c>
      <c r="E226">
        <v>8</v>
      </c>
      <c r="F226" t="s">
        <v>175</v>
      </c>
      <c r="G226" s="55">
        <v>46052.063888888886</v>
      </c>
      <c r="H226">
        <v>88</v>
      </c>
      <c r="I226" t="s">
        <v>440</v>
      </c>
      <c r="J226">
        <v>508</v>
      </c>
      <c r="K226" t="s">
        <v>394</v>
      </c>
      <c r="L226" t="s">
        <v>441</v>
      </c>
      <c r="M226" t="s">
        <v>140</v>
      </c>
      <c r="P226">
        <v>20</v>
      </c>
      <c r="Q226">
        <v>4299</v>
      </c>
      <c r="R226">
        <v>100</v>
      </c>
      <c r="S226">
        <v>999</v>
      </c>
      <c r="T226">
        <v>3300</v>
      </c>
      <c r="U226">
        <v>4299</v>
      </c>
      <c r="V226">
        <v>165</v>
      </c>
      <c r="W226">
        <v>0</v>
      </c>
      <c r="X226" t="s">
        <v>141</v>
      </c>
      <c r="Y226" s="55">
        <v>45634.75</v>
      </c>
      <c r="Z226">
        <v>999</v>
      </c>
      <c r="AA226">
        <v>999</v>
      </c>
      <c r="AB226">
        <v>0</v>
      </c>
    </row>
    <row r="227" spans="1:28" x14ac:dyDescent="0.2">
      <c r="A227">
        <v>460</v>
      </c>
      <c r="B227">
        <v>12</v>
      </c>
      <c r="C227">
        <v>10002</v>
      </c>
      <c r="D227" t="s">
        <v>161</v>
      </c>
      <c r="E227">
        <v>8</v>
      </c>
      <c r="F227" t="s">
        <v>175</v>
      </c>
      <c r="G227" s="55">
        <v>46052.066666666666</v>
      </c>
      <c r="H227">
        <v>74</v>
      </c>
      <c r="I227" t="s">
        <v>442</v>
      </c>
      <c r="J227">
        <v>507</v>
      </c>
      <c r="K227" t="s">
        <v>285</v>
      </c>
      <c r="L227" t="s">
        <v>305</v>
      </c>
      <c r="M227" t="s">
        <v>140</v>
      </c>
      <c r="P227">
        <v>35</v>
      </c>
      <c r="Q227">
        <v>6199</v>
      </c>
      <c r="R227">
        <v>210</v>
      </c>
      <c r="S227">
        <v>999</v>
      </c>
      <c r="T227">
        <v>10920</v>
      </c>
      <c r="U227">
        <v>11919</v>
      </c>
      <c r="V227">
        <v>312</v>
      </c>
      <c r="W227">
        <v>0</v>
      </c>
      <c r="X227" t="s">
        <v>141</v>
      </c>
      <c r="Y227" s="55">
        <v>45600.75</v>
      </c>
      <c r="Z227">
        <v>999</v>
      </c>
      <c r="AA227">
        <v>999</v>
      </c>
      <c r="AB227">
        <v>0</v>
      </c>
    </row>
    <row r="228" spans="1:28" x14ac:dyDescent="0.2">
      <c r="A228">
        <v>461</v>
      </c>
      <c r="B228">
        <v>10</v>
      </c>
      <c r="C228">
        <v>10002</v>
      </c>
      <c r="D228" t="s">
        <v>161</v>
      </c>
      <c r="E228">
        <v>8</v>
      </c>
      <c r="F228" t="s">
        <v>175</v>
      </c>
      <c r="G228" s="55">
        <v>46052.068055555559</v>
      </c>
      <c r="H228">
        <v>86</v>
      </c>
      <c r="I228" t="s">
        <v>422</v>
      </c>
      <c r="J228">
        <v>21</v>
      </c>
      <c r="K228" t="s">
        <v>138</v>
      </c>
      <c r="L228" t="s">
        <v>384</v>
      </c>
      <c r="M228" t="s">
        <v>140</v>
      </c>
      <c r="P228">
        <v>20</v>
      </c>
      <c r="Q228">
        <v>8399</v>
      </c>
      <c r="R228">
        <v>100</v>
      </c>
      <c r="S228">
        <v>1000</v>
      </c>
      <c r="T228">
        <v>7399</v>
      </c>
      <c r="U228">
        <v>8399</v>
      </c>
      <c r="V228">
        <v>369.95</v>
      </c>
      <c r="W228">
        <v>0</v>
      </c>
      <c r="X228" t="s">
        <v>141</v>
      </c>
      <c r="Y228" s="55">
        <v>45540.75</v>
      </c>
      <c r="Z228">
        <v>1000</v>
      </c>
      <c r="AA228">
        <v>1000</v>
      </c>
      <c r="AB228">
        <v>0</v>
      </c>
    </row>
    <row r="229" spans="1:28" x14ac:dyDescent="0.2">
      <c r="A229">
        <v>462</v>
      </c>
      <c r="B229">
        <v>12</v>
      </c>
      <c r="C229">
        <v>31</v>
      </c>
      <c r="D229" t="s">
        <v>170</v>
      </c>
      <c r="E229">
        <v>8</v>
      </c>
      <c r="F229" t="s">
        <v>175</v>
      </c>
      <c r="G229" s="55">
        <v>46052.069444444445</v>
      </c>
      <c r="H229">
        <v>39</v>
      </c>
      <c r="I229" t="s">
        <v>443</v>
      </c>
      <c r="J229">
        <v>518</v>
      </c>
      <c r="K229" t="s">
        <v>240</v>
      </c>
      <c r="L229" t="s">
        <v>444</v>
      </c>
      <c r="M229" t="s">
        <v>140</v>
      </c>
      <c r="P229">
        <v>15</v>
      </c>
      <c r="Q229">
        <v>3999</v>
      </c>
      <c r="R229">
        <v>150</v>
      </c>
      <c r="S229">
        <v>799</v>
      </c>
      <c r="T229">
        <v>4800</v>
      </c>
      <c r="U229">
        <v>5599</v>
      </c>
      <c r="V229">
        <v>320</v>
      </c>
      <c r="W229">
        <v>0</v>
      </c>
      <c r="X229" t="s">
        <v>141</v>
      </c>
      <c r="Y229" s="55">
        <v>45465.75</v>
      </c>
      <c r="Z229">
        <v>799</v>
      </c>
      <c r="AA229">
        <v>799</v>
      </c>
      <c r="AB229">
        <v>0</v>
      </c>
    </row>
    <row r="230" spans="1:28" x14ac:dyDescent="0.2">
      <c r="A230">
        <v>463</v>
      </c>
      <c r="B230">
        <v>12</v>
      </c>
      <c r="C230">
        <v>31</v>
      </c>
      <c r="D230" t="s">
        <v>170</v>
      </c>
      <c r="E230">
        <v>8</v>
      </c>
      <c r="F230" t="s">
        <v>175</v>
      </c>
      <c r="G230" s="55">
        <v>46052.072222222225</v>
      </c>
      <c r="H230">
        <v>39</v>
      </c>
      <c r="I230" t="s">
        <v>445</v>
      </c>
      <c r="J230">
        <v>34</v>
      </c>
      <c r="K230" t="s">
        <v>240</v>
      </c>
      <c r="L230" t="s">
        <v>444</v>
      </c>
      <c r="M230" t="s">
        <v>140</v>
      </c>
      <c r="P230">
        <v>15</v>
      </c>
      <c r="Q230">
        <v>3999</v>
      </c>
      <c r="R230">
        <v>150</v>
      </c>
      <c r="S230">
        <v>799</v>
      </c>
      <c r="T230">
        <v>4800</v>
      </c>
      <c r="U230">
        <v>5599</v>
      </c>
      <c r="V230">
        <v>320</v>
      </c>
      <c r="W230">
        <v>0</v>
      </c>
      <c r="X230" t="s">
        <v>141</v>
      </c>
      <c r="Y230" s="55">
        <v>45465.75</v>
      </c>
      <c r="Z230">
        <v>799</v>
      </c>
      <c r="AA230">
        <v>799</v>
      </c>
      <c r="AB230">
        <v>0</v>
      </c>
    </row>
    <row r="231" spans="1:28" x14ac:dyDescent="0.2">
      <c r="A231">
        <v>464</v>
      </c>
      <c r="B231">
        <v>12</v>
      </c>
      <c r="C231">
        <v>31</v>
      </c>
      <c r="D231" t="s">
        <v>170</v>
      </c>
      <c r="E231">
        <v>8</v>
      </c>
      <c r="F231" t="s">
        <v>175</v>
      </c>
      <c r="G231" s="55">
        <v>46052.073611111111</v>
      </c>
      <c r="H231">
        <v>93</v>
      </c>
      <c r="I231" t="s">
        <v>446</v>
      </c>
      <c r="J231">
        <v>525</v>
      </c>
      <c r="K231" t="s">
        <v>138</v>
      </c>
      <c r="L231" t="s">
        <v>447</v>
      </c>
      <c r="M231" t="s">
        <v>140</v>
      </c>
      <c r="P231">
        <v>43</v>
      </c>
      <c r="Q231">
        <v>5799</v>
      </c>
      <c r="R231">
        <v>230</v>
      </c>
      <c r="S231">
        <v>1249</v>
      </c>
      <c r="T231">
        <v>10465</v>
      </c>
      <c r="U231">
        <v>11714</v>
      </c>
      <c r="V231">
        <v>243.37</v>
      </c>
      <c r="W231">
        <v>0</v>
      </c>
      <c r="X231" t="s">
        <v>141</v>
      </c>
      <c r="Y231" s="55">
        <v>45462.75</v>
      </c>
      <c r="Z231">
        <v>1249</v>
      </c>
      <c r="AA231">
        <v>1249</v>
      </c>
      <c r="AB231">
        <v>0</v>
      </c>
    </row>
    <row r="232" spans="1:28" x14ac:dyDescent="0.2">
      <c r="A232">
        <v>465</v>
      </c>
      <c r="B232">
        <v>5</v>
      </c>
      <c r="C232">
        <v>10002</v>
      </c>
      <c r="D232" t="s">
        <v>161</v>
      </c>
      <c r="E232">
        <v>8</v>
      </c>
      <c r="F232" t="s">
        <v>175</v>
      </c>
      <c r="G232" s="55">
        <v>46052.074999999997</v>
      </c>
      <c r="H232">
        <v>87</v>
      </c>
      <c r="I232" t="s">
        <v>448</v>
      </c>
      <c r="J232">
        <v>532</v>
      </c>
      <c r="K232" t="s">
        <v>138</v>
      </c>
      <c r="L232" t="s">
        <v>385</v>
      </c>
      <c r="M232" t="s">
        <v>140</v>
      </c>
      <c r="P232">
        <v>15</v>
      </c>
      <c r="Q232">
        <v>6899</v>
      </c>
      <c r="R232">
        <v>150</v>
      </c>
      <c r="S232">
        <v>1200</v>
      </c>
      <c r="T232">
        <v>8548.5</v>
      </c>
      <c r="U232">
        <v>9748.5</v>
      </c>
      <c r="V232">
        <v>569.9</v>
      </c>
      <c r="W232">
        <v>0</v>
      </c>
      <c r="X232" t="s">
        <v>141</v>
      </c>
      <c r="Y232" s="55">
        <v>45443.75</v>
      </c>
      <c r="Z232">
        <v>1200</v>
      </c>
      <c r="AA232">
        <v>1200</v>
      </c>
      <c r="AB232">
        <v>0</v>
      </c>
    </row>
    <row r="233" spans="1:28" x14ac:dyDescent="0.2">
      <c r="A233">
        <v>466</v>
      </c>
      <c r="B233">
        <v>10</v>
      </c>
      <c r="C233">
        <v>10002</v>
      </c>
      <c r="D233" t="s">
        <v>161</v>
      </c>
      <c r="E233">
        <v>8</v>
      </c>
      <c r="F233" t="s">
        <v>175</v>
      </c>
      <c r="G233" s="55">
        <v>46052.076388888891</v>
      </c>
      <c r="H233">
        <v>101</v>
      </c>
      <c r="I233" t="s">
        <v>449</v>
      </c>
      <c r="J233">
        <v>529</v>
      </c>
      <c r="K233" t="s">
        <v>191</v>
      </c>
      <c r="L233" t="s">
        <v>424</v>
      </c>
      <c r="M233" t="s">
        <v>140</v>
      </c>
      <c r="P233">
        <v>15</v>
      </c>
      <c r="Q233">
        <v>3999</v>
      </c>
      <c r="R233">
        <v>150</v>
      </c>
      <c r="S233">
        <v>800</v>
      </c>
      <c r="T233">
        <v>4798.5</v>
      </c>
      <c r="U233">
        <v>5598.5</v>
      </c>
      <c r="V233">
        <v>319.89999999999998</v>
      </c>
      <c r="W233">
        <v>0</v>
      </c>
      <c r="X233" t="s">
        <v>141</v>
      </c>
      <c r="Y233" s="55">
        <v>45441.75</v>
      </c>
      <c r="Z233">
        <v>800</v>
      </c>
      <c r="AA233">
        <v>800</v>
      </c>
      <c r="AB233">
        <v>0</v>
      </c>
    </row>
    <row r="234" spans="1:28" x14ac:dyDescent="0.2">
      <c r="A234">
        <v>467</v>
      </c>
      <c r="B234">
        <v>5</v>
      </c>
      <c r="C234">
        <v>10002</v>
      </c>
      <c r="D234" t="s">
        <v>161</v>
      </c>
      <c r="E234">
        <v>8</v>
      </c>
      <c r="F234" t="s">
        <v>175</v>
      </c>
      <c r="G234" s="55">
        <v>46052.077777777777</v>
      </c>
      <c r="H234">
        <v>100</v>
      </c>
      <c r="I234" t="s">
        <v>450</v>
      </c>
      <c r="J234">
        <v>531</v>
      </c>
      <c r="K234" t="s">
        <v>388</v>
      </c>
      <c r="L234" t="s">
        <v>423</v>
      </c>
      <c r="M234" t="s">
        <v>140</v>
      </c>
      <c r="P234">
        <v>35</v>
      </c>
      <c r="Q234">
        <v>4699</v>
      </c>
      <c r="R234">
        <v>180</v>
      </c>
      <c r="S234">
        <v>250</v>
      </c>
      <c r="T234">
        <v>8008.2</v>
      </c>
      <c r="U234">
        <v>8258.2000000000007</v>
      </c>
      <c r="V234">
        <v>228.81</v>
      </c>
      <c r="W234">
        <v>0</v>
      </c>
      <c r="X234" t="s">
        <v>141</v>
      </c>
      <c r="Y234" s="55">
        <v>45440.75</v>
      </c>
      <c r="Z234">
        <v>250</v>
      </c>
      <c r="AA234">
        <v>250</v>
      </c>
      <c r="AB234">
        <v>0</v>
      </c>
    </row>
    <row r="235" spans="1:28" x14ac:dyDescent="0.2">
      <c r="A235">
        <v>468</v>
      </c>
      <c r="B235">
        <v>5</v>
      </c>
      <c r="C235">
        <v>10002</v>
      </c>
      <c r="D235" t="s">
        <v>161</v>
      </c>
      <c r="E235">
        <v>8</v>
      </c>
      <c r="F235" t="s">
        <v>175</v>
      </c>
      <c r="G235" s="55">
        <v>46052.07916666667</v>
      </c>
      <c r="H235">
        <v>100</v>
      </c>
      <c r="I235" t="s">
        <v>451</v>
      </c>
      <c r="J235">
        <v>530</v>
      </c>
      <c r="K235" t="s">
        <v>388</v>
      </c>
      <c r="L235" t="s">
        <v>423</v>
      </c>
      <c r="M235" t="s">
        <v>140</v>
      </c>
      <c r="P235">
        <v>35</v>
      </c>
      <c r="Q235">
        <v>4699</v>
      </c>
      <c r="R235">
        <v>180</v>
      </c>
      <c r="S235">
        <v>250</v>
      </c>
      <c r="T235">
        <v>8008.2</v>
      </c>
      <c r="U235">
        <v>8258.2000000000007</v>
      </c>
      <c r="V235">
        <v>228.81</v>
      </c>
      <c r="W235">
        <v>0</v>
      </c>
      <c r="X235" t="s">
        <v>141</v>
      </c>
      <c r="Y235" s="55">
        <v>45440.75</v>
      </c>
      <c r="Z235">
        <v>250</v>
      </c>
      <c r="AA235">
        <v>250</v>
      </c>
      <c r="AB235">
        <v>0</v>
      </c>
    </row>
    <row r="236" spans="1:28" x14ac:dyDescent="0.2">
      <c r="A236">
        <v>469</v>
      </c>
      <c r="B236">
        <v>10</v>
      </c>
      <c r="C236">
        <v>10002</v>
      </c>
      <c r="D236" t="s">
        <v>161</v>
      </c>
      <c r="E236">
        <v>8</v>
      </c>
      <c r="F236" t="s">
        <v>175</v>
      </c>
      <c r="G236" s="55">
        <v>46052.080555555556</v>
      </c>
      <c r="H236">
        <v>25</v>
      </c>
      <c r="I236" t="s">
        <v>170</v>
      </c>
      <c r="J236">
        <v>24</v>
      </c>
      <c r="K236" t="s">
        <v>145</v>
      </c>
      <c r="L236" t="s">
        <v>312</v>
      </c>
      <c r="M236" t="s">
        <v>140</v>
      </c>
      <c r="P236">
        <v>20</v>
      </c>
      <c r="Q236">
        <v>10500</v>
      </c>
      <c r="R236">
        <v>100</v>
      </c>
      <c r="S236">
        <v>0</v>
      </c>
      <c r="T236">
        <v>10500</v>
      </c>
      <c r="U236">
        <v>10500</v>
      </c>
      <c r="V236">
        <v>525</v>
      </c>
      <c r="W236">
        <v>0</v>
      </c>
      <c r="X236" t="s">
        <v>141</v>
      </c>
      <c r="Y236" s="55">
        <v>45425.75</v>
      </c>
      <c r="Z236">
        <v>0</v>
      </c>
      <c r="AA236">
        <v>0</v>
      </c>
      <c r="AB236">
        <v>0</v>
      </c>
    </row>
    <row r="237" spans="1:28" x14ac:dyDescent="0.2">
      <c r="A237">
        <v>470</v>
      </c>
      <c r="B237">
        <v>12</v>
      </c>
      <c r="C237">
        <v>10002</v>
      </c>
      <c r="D237" t="s">
        <v>161</v>
      </c>
      <c r="E237">
        <v>8</v>
      </c>
      <c r="F237" t="s">
        <v>175</v>
      </c>
      <c r="G237" s="55">
        <v>46052.081944444442</v>
      </c>
      <c r="H237">
        <v>101</v>
      </c>
      <c r="I237" t="s">
        <v>452</v>
      </c>
      <c r="J237">
        <v>528</v>
      </c>
      <c r="K237" t="s">
        <v>191</v>
      </c>
      <c r="L237" t="s">
        <v>424</v>
      </c>
      <c r="M237" t="s">
        <v>140</v>
      </c>
      <c r="P237">
        <v>15</v>
      </c>
      <c r="Q237">
        <v>3999</v>
      </c>
      <c r="R237">
        <v>150</v>
      </c>
      <c r="S237">
        <v>799</v>
      </c>
      <c r="T237">
        <v>4800</v>
      </c>
      <c r="U237">
        <v>5599</v>
      </c>
      <c r="V237">
        <v>320</v>
      </c>
      <c r="W237">
        <v>0</v>
      </c>
      <c r="X237" t="s">
        <v>141</v>
      </c>
      <c r="Y237" s="55">
        <v>45422.75</v>
      </c>
      <c r="Z237">
        <v>799</v>
      </c>
      <c r="AA237">
        <v>799</v>
      </c>
      <c r="AB237">
        <v>0</v>
      </c>
    </row>
    <row r="238" spans="1:28" x14ac:dyDescent="0.2">
      <c r="A238">
        <v>472</v>
      </c>
      <c r="B238">
        <v>11</v>
      </c>
      <c r="C238">
        <v>5</v>
      </c>
      <c r="D238" t="s">
        <v>164</v>
      </c>
      <c r="E238">
        <v>8</v>
      </c>
      <c r="F238" t="s">
        <v>175</v>
      </c>
      <c r="G238" s="55">
        <v>46052.088194444441</v>
      </c>
      <c r="H238">
        <v>95</v>
      </c>
      <c r="I238" t="s">
        <v>453</v>
      </c>
      <c r="J238">
        <v>516</v>
      </c>
      <c r="K238" t="s">
        <v>235</v>
      </c>
      <c r="L238" t="s">
        <v>454</v>
      </c>
      <c r="M238" t="s">
        <v>140</v>
      </c>
      <c r="P238">
        <v>35</v>
      </c>
      <c r="Q238">
        <v>3799</v>
      </c>
      <c r="R238">
        <v>210</v>
      </c>
      <c r="S238">
        <v>499</v>
      </c>
      <c r="T238">
        <v>6930</v>
      </c>
      <c r="U238">
        <v>7429</v>
      </c>
      <c r="V238">
        <v>198</v>
      </c>
      <c r="W238">
        <v>0</v>
      </c>
      <c r="X238" t="s">
        <v>141</v>
      </c>
      <c r="Y238" s="55">
        <v>45539.75</v>
      </c>
      <c r="Z238">
        <v>499</v>
      </c>
      <c r="AA238">
        <v>499</v>
      </c>
      <c r="AB238">
        <v>0</v>
      </c>
    </row>
    <row r="239" spans="1:28" x14ac:dyDescent="0.2">
      <c r="A239">
        <v>473</v>
      </c>
      <c r="B239">
        <v>11</v>
      </c>
      <c r="C239">
        <v>5</v>
      </c>
      <c r="D239" t="s">
        <v>164</v>
      </c>
      <c r="E239">
        <v>8</v>
      </c>
      <c r="F239" t="s">
        <v>175</v>
      </c>
      <c r="G239" s="55">
        <v>46052.089583333334</v>
      </c>
      <c r="H239">
        <v>95</v>
      </c>
      <c r="I239" t="s">
        <v>455</v>
      </c>
      <c r="J239">
        <v>65</v>
      </c>
      <c r="K239" t="s">
        <v>235</v>
      </c>
      <c r="L239" t="s">
        <v>454</v>
      </c>
      <c r="M239" t="s">
        <v>140</v>
      </c>
      <c r="P239">
        <v>35</v>
      </c>
      <c r="Q239">
        <v>3799</v>
      </c>
      <c r="R239">
        <v>210</v>
      </c>
      <c r="S239">
        <v>499</v>
      </c>
      <c r="T239">
        <v>6930</v>
      </c>
      <c r="U239">
        <v>7429</v>
      </c>
      <c r="V239">
        <v>198</v>
      </c>
      <c r="W239">
        <v>0</v>
      </c>
      <c r="X239" t="s">
        <v>141</v>
      </c>
      <c r="Y239" s="55">
        <v>45539.75</v>
      </c>
      <c r="Z239">
        <v>499</v>
      </c>
      <c r="AA239">
        <v>499</v>
      </c>
      <c r="AB239">
        <v>0</v>
      </c>
    </row>
    <row r="240" spans="1:28" x14ac:dyDescent="0.2">
      <c r="A240">
        <v>474</v>
      </c>
      <c r="B240">
        <v>3</v>
      </c>
      <c r="C240">
        <v>10002</v>
      </c>
      <c r="D240" t="s">
        <v>161</v>
      </c>
      <c r="E240">
        <v>8</v>
      </c>
      <c r="F240" t="s">
        <v>175</v>
      </c>
      <c r="G240" s="55">
        <v>46052.090277777781</v>
      </c>
      <c r="H240">
        <v>92</v>
      </c>
      <c r="I240" t="s">
        <v>456</v>
      </c>
      <c r="J240">
        <v>514</v>
      </c>
      <c r="K240" t="s">
        <v>403</v>
      </c>
      <c r="L240" t="s">
        <v>404</v>
      </c>
      <c r="M240" t="s">
        <v>140</v>
      </c>
      <c r="P240">
        <v>20</v>
      </c>
      <c r="Q240">
        <v>7199</v>
      </c>
      <c r="R240">
        <v>100</v>
      </c>
      <c r="S240">
        <v>1000</v>
      </c>
      <c r="T240">
        <v>6199</v>
      </c>
      <c r="U240">
        <v>7199</v>
      </c>
      <c r="V240">
        <v>309.95</v>
      </c>
      <c r="W240">
        <v>0</v>
      </c>
      <c r="X240" t="s">
        <v>141</v>
      </c>
      <c r="Y240" s="55">
        <v>45536.75</v>
      </c>
      <c r="Z240">
        <v>1000</v>
      </c>
      <c r="AA240">
        <v>1000</v>
      </c>
      <c r="AB240">
        <v>0</v>
      </c>
    </row>
    <row r="241" spans="1:28" x14ac:dyDescent="0.2">
      <c r="A241">
        <v>475</v>
      </c>
      <c r="B241">
        <v>5</v>
      </c>
      <c r="C241">
        <v>10002</v>
      </c>
      <c r="D241" t="s">
        <v>161</v>
      </c>
      <c r="E241">
        <v>8</v>
      </c>
      <c r="F241" t="s">
        <v>175</v>
      </c>
      <c r="G241" s="55">
        <v>46052.093055555553</v>
      </c>
      <c r="H241">
        <v>93</v>
      </c>
      <c r="I241" t="s">
        <v>457</v>
      </c>
      <c r="J241">
        <v>512</v>
      </c>
      <c r="K241" t="s">
        <v>138</v>
      </c>
      <c r="L241" t="s">
        <v>447</v>
      </c>
      <c r="M241" t="s">
        <v>140</v>
      </c>
      <c r="P241">
        <v>43</v>
      </c>
      <c r="Q241">
        <v>5799</v>
      </c>
      <c r="R241">
        <v>229.9545</v>
      </c>
      <c r="S241">
        <v>748</v>
      </c>
      <c r="T241">
        <v>11615</v>
      </c>
      <c r="U241">
        <v>12363</v>
      </c>
      <c r="V241">
        <v>270.12</v>
      </c>
      <c r="W241">
        <v>0</v>
      </c>
      <c r="X241" t="s">
        <v>141</v>
      </c>
      <c r="Y241" s="55">
        <v>45531.75</v>
      </c>
      <c r="Z241">
        <v>748</v>
      </c>
      <c r="AA241">
        <v>748</v>
      </c>
      <c r="AB241">
        <v>0</v>
      </c>
    </row>
    <row r="242" spans="1:28" x14ac:dyDescent="0.2">
      <c r="A242">
        <v>476</v>
      </c>
      <c r="B242">
        <v>11</v>
      </c>
      <c r="C242">
        <v>5</v>
      </c>
      <c r="D242" t="s">
        <v>164</v>
      </c>
      <c r="E242">
        <v>8</v>
      </c>
      <c r="F242" t="s">
        <v>175</v>
      </c>
      <c r="G242" s="55">
        <v>46052.094444444447</v>
      </c>
      <c r="H242">
        <v>94</v>
      </c>
      <c r="I242" t="s">
        <v>458</v>
      </c>
      <c r="J242">
        <v>513</v>
      </c>
      <c r="K242" t="s">
        <v>153</v>
      </c>
      <c r="L242" t="s">
        <v>413</v>
      </c>
      <c r="M242" t="s">
        <v>140</v>
      </c>
      <c r="P242">
        <v>43</v>
      </c>
      <c r="Q242">
        <v>5199</v>
      </c>
      <c r="R242">
        <v>230</v>
      </c>
      <c r="S242">
        <v>999</v>
      </c>
      <c r="T242">
        <v>9660</v>
      </c>
      <c r="U242">
        <v>10659</v>
      </c>
      <c r="V242">
        <v>224.65</v>
      </c>
      <c r="W242">
        <v>0</v>
      </c>
      <c r="X242" t="s">
        <v>141</v>
      </c>
      <c r="Y242" s="55">
        <v>45521.75</v>
      </c>
      <c r="Z242">
        <v>999</v>
      </c>
      <c r="AA242">
        <v>999</v>
      </c>
      <c r="AB242">
        <v>0</v>
      </c>
    </row>
    <row r="243" spans="1:28" x14ac:dyDescent="0.2">
      <c r="A243">
        <v>477</v>
      </c>
      <c r="B243">
        <v>10</v>
      </c>
      <c r="C243">
        <v>10002</v>
      </c>
      <c r="D243" t="s">
        <v>161</v>
      </c>
      <c r="E243">
        <v>8</v>
      </c>
      <c r="F243" t="s">
        <v>175</v>
      </c>
      <c r="G243" s="55">
        <v>46052.095138888886</v>
      </c>
      <c r="H243">
        <v>90</v>
      </c>
      <c r="I243" t="s">
        <v>459</v>
      </c>
      <c r="J243">
        <v>56</v>
      </c>
      <c r="K243" t="s">
        <v>394</v>
      </c>
      <c r="L243" t="s">
        <v>395</v>
      </c>
      <c r="M243" t="s">
        <v>140</v>
      </c>
      <c r="P243">
        <v>26</v>
      </c>
      <c r="Q243">
        <v>3999</v>
      </c>
      <c r="R243">
        <v>190</v>
      </c>
      <c r="S243">
        <v>799</v>
      </c>
      <c r="T243">
        <v>6080</v>
      </c>
      <c r="U243">
        <v>6879</v>
      </c>
      <c r="V243">
        <v>233.85</v>
      </c>
      <c r="W243">
        <v>0</v>
      </c>
      <c r="X243" t="s">
        <v>141</v>
      </c>
      <c r="Y243" s="55">
        <v>45516.75</v>
      </c>
      <c r="Z243">
        <v>799</v>
      </c>
      <c r="AA243">
        <v>799</v>
      </c>
      <c r="AB243">
        <v>0</v>
      </c>
    </row>
    <row r="244" spans="1:28" x14ac:dyDescent="0.2">
      <c r="A244">
        <v>478</v>
      </c>
      <c r="B244">
        <v>11</v>
      </c>
      <c r="C244">
        <v>5</v>
      </c>
      <c r="D244" t="s">
        <v>164</v>
      </c>
      <c r="E244">
        <v>8</v>
      </c>
      <c r="F244" t="s">
        <v>175</v>
      </c>
      <c r="G244" s="55">
        <v>46052.09652777778</v>
      </c>
      <c r="H244">
        <v>92</v>
      </c>
      <c r="I244" t="s">
        <v>460</v>
      </c>
      <c r="J244">
        <v>510</v>
      </c>
      <c r="K244" t="s">
        <v>403</v>
      </c>
      <c r="L244" t="s">
        <v>404</v>
      </c>
      <c r="M244" t="s">
        <v>140</v>
      </c>
      <c r="P244">
        <v>43</v>
      </c>
      <c r="Q244">
        <v>7199</v>
      </c>
      <c r="R244">
        <v>230</v>
      </c>
      <c r="S244">
        <v>1499</v>
      </c>
      <c r="T244">
        <v>13110</v>
      </c>
      <c r="U244">
        <v>14609</v>
      </c>
      <c r="V244">
        <v>304.88</v>
      </c>
      <c r="W244">
        <v>0</v>
      </c>
      <c r="X244" t="s">
        <v>141</v>
      </c>
      <c r="Y244" s="55">
        <v>45514.75</v>
      </c>
      <c r="Z244">
        <v>1499</v>
      </c>
      <c r="AA244">
        <v>1499</v>
      </c>
      <c r="AB244">
        <v>0</v>
      </c>
    </row>
    <row r="245" spans="1:28" x14ac:dyDescent="0.2">
      <c r="A245">
        <v>479</v>
      </c>
      <c r="B245">
        <v>12</v>
      </c>
      <c r="C245">
        <v>31</v>
      </c>
      <c r="D245" t="s">
        <v>170</v>
      </c>
      <c r="E245">
        <v>8</v>
      </c>
      <c r="F245" t="s">
        <v>175</v>
      </c>
      <c r="G245" s="55">
        <v>46052.097916666666</v>
      </c>
      <c r="H245">
        <v>90</v>
      </c>
      <c r="I245" t="s">
        <v>461</v>
      </c>
      <c r="J245">
        <v>509</v>
      </c>
      <c r="K245" t="s">
        <v>394</v>
      </c>
      <c r="L245" t="s">
        <v>395</v>
      </c>
      <c r="M245" t="s">
        <v>140</v>
      </c>
      <c r="P245">
        <v>15</v>
      </c>
      <c r="Q245">
        <v>3999</v>
      </c>
      <c r="R245">
        <v>150</v>
      </c>
      <c r="S245">
        <v>799</v>
      </c>
      <c r="T245">
        <v>4800</v>
      </c>
      <c r="U245">
        <v>5599</v>
      </c>
      <c r="V245">
        <v>320</v>
      </c>
      <c r="W245">
        <v>0</v>
      </c>
      <c r="X245" t="s">
        <v>141</v>
      </c>
      <c r="Y245" s="55">
        <v>45513.75</v>
      </c>
      <c r="Z245">
        <v>799</v>
      </c>
      <c r="AA245">
        <v>799</v>
      </c>
      <c r="AB245">
        <v>0</v>
      </c>
    </row>
    <row r="246" spans="1:28" x14ac:dyDescent="0.2">
      <c r="A246">
        <v>480</v>
      </c>
      <c r="B246">
        <v>11</v>
      </c>
      <c r="C246">
        <v>5</v>
      </c>
      <c r="D246" t="s">
        <v>164</v>
      </c>
      <c r="E246">
        <v>8</v>
      </c>
      <c r="F246" t="s">
        <v>175</v>
      </c>
      <c r="G246" s="55">
        <v>46052.098611111112</v>
      </c>
      <c r="H246">
        <v>39</v>
      </c>
      <c r="I246" t="s">
        <v>462</v>
      </c>
      <c r="J246">
        <v>521</v>
      </c>
      <c r="K246" t="s">
        <v>240</v>
      </c>
      <c r="L246" t="s">
        <v>444</v>
      </c>
      <c r="M246" t="s">
        <v>140</v>
      </c>
      <c r="P246">
        <v>26</v>
      </c>
      <c r="Q246">
        <v>3999</v>
      </c>
      <c r="R246">
        <v>190</v>
      </c>
      <c r="S246">
        <v>799</v>
      </c>
      <c r="T246">
        <v>6080</v>
      </c>
      <c r="U246">
        <v>6879</v>
      </c>
      <c r="V246">
        <v>233.85</v>
      </c>
      <c r="W246">
        <v>0</v>
      </c>
      <c r="X246" t="s">
        <v>141</v>
      </c>
      <c r="Y246" s="55">
        <v>45513.75</v>
      </c>
      <c r="Z246">
        <v>799</v>
      </c>
      <c r="AA246">
        <v>799</v>
      </c>
      <c r="AB246">
        <v>0</v>
      </c>
    </row>
    <row r="247" spans="1:28" x14ac:dyDescent="0.2">
      <c r="A247">
        <v>481</v>
      </c>
      <c r="B247">
        <v>10</v>
      </c>
      <c r="C247">
        <v>10002</v>
      </c>
      <c r="D247" t="s">
        <v>161</v>
      </c>
      <c r="E247">
        <v>8</v>
      </c>
      <c r="F247" t="s">
        <v>175</v>
      </c>
      <c r="G247" s="55">
        <v>46052.1</v>
      </c>
      <c r="H247">
        <v>90</v>
      </c>
      <c r="I247" t="s">
        <v>463</v>
      </c>
      <c r="J247">
        <v>523</v>
      </c>
      <c r="K247" t="s">
        <v>394</v>
      </c>
      <c r="L247" t="s">
        <v>395</v>
      </c>
      <c r="M247" t="s">
        <v>140</v>
      </c>
      <c r="P247">
        <v>43</v>
      </c>
      <c r="Q247">
        <v>3999</v>
      </c>
      <c r="R247">
        <v>230</v>
      </c>
      <c r="S247">
        <v>799</v>
      </c>
      <c r="T247">
        <v>7360</v>
      </c>
      <c r="U247">
        <v>8159</v>
      </c>
      <c r="V247">
        <v>171.16</v>
      </c>
      <c r="W247">
        <v>0</v>
      </c>
      <c r="X247" t="s">
        <v>141</v>
      </c>
      <c r="Y247" s="55">
        <v>45512.75</v>
      </c>
      <c r="Z247">
        <v>799</v>
      </c>
      <c r="AA247">
        <v>799</v>
      </c>
      <c r="AB247">
        <v>0</v>
      </c>
    </row>
    <row r="248" spans="1:28" x14ac:dyDescent="0.2">
      <c r="A248">
        <v>482</v>
      </c>
      <c r="B248">
        <v>9</v>
      </c>
      <c r="C248">
        <v>10002</v>
      </c>
      <c r="D248" t="s">
        <v>161</v>
      </c>
      <c r="E248">
        <v>8</v>
      </c>
      <c r="F248" t="s">
        <v>175</v>
      </c>
      <c r="G248" s="55">
        <v>46052.100694444445</v>
      </c>
      <c r="H248">
        <v>96</v>
      </c>
      <c r="I248" t="s">
        <v>464</v>
      </c>
      <c r="J248">
        <v>48</v>
      </c>
      <c r="K248" t="s">
        <v>403</v>
      </c>
      <c r="L248" t="s">
        <v>428</v>
      </c>
      <c r="M248" t="s">
        <v>140</v>
      </c>
      <c r="P248">
        <v>43</v>
      </c>
      <c r="Q248">
        <v>6199</v>
      </c>
      <c r="R248">
        <v>230</v>
      </c>
      <c r="S248">
        <v>568</v>
      </c>
      <c r="T248">
        <v>12951.3</v>
      </c>
      <c r="U248">
        <v>13519.3</v>
      </c>
      <c r="V248">
        <v>301.19</v>
      </c>
      <c r="W248">
        <v>0</v>
      </c>
      <c r="X248" t="s">
        <v>141</v>
      </c>
      <c r="Y248" s="55">
        <v>45507.75</v>
      </c>
      <c r="Z248">
        <v>568</v>
      </c>
      <c r="AA248">
        <v>568</v>
      </c>
      <c r="AB248">
        <v>0</v>
      </c>
    </row>
    <row r="249" spans="1:28" x14ac:dyDescent="0.2">
      <c r="A249">
        <v>484</v>
      </c>
      <c r="B249">
        <v>4</v>
      </c>
      <c r="C249">
        <v>10002</v>
      </c>
      <c r="D249" t="s">
        <v>161</v>
      </c>
      <c r="E249">
        <v>8</v>
      </c>
      <c r="F249" t="s">
        <v>175</v>
      </c>
      <c r="G249" s="55">
        <v>46052.463194444441</v>
      </c>
      <c r="H249">
        <v>64</v>
      </c>
      <c r="I249" t="s">
        <v>465</v>
      </c>
      <c r="J249">
        <v>74</v>
      </c>
      <c r="K249" t="s">
        <v>138</v>
      </c>
      <c r="L249" t="s">
        <v>407</v>
      </c>
      <c r="M249" t="s">
        <v>140</v>
      </c>
      <c r="P249">
        <v>26</v>
      </c>
      <c r="Q249">
        <v>5599</v>
      </c>
      <c r="R249">
        <v>190</v>
      </c>
      <c r="S249">
        <v>1250</v>
      </c>
      <c r="T249">
        <v>8263.1</v>
      </c>
      <c r="U249">
        <v>9513.1</v>
      </c>
      <c r="V249">
        <v>317.81</v>
      </c>
      <c r="W249">
        <v>0</v>
      </c>
      <c r="X249" t="s">
        <v>141</v>
      </c>
      <c r="Y249" s="55">
        <v>45659.75</v>
      </c>
      <c r="Z249">
        <v>1250</v>
      </c>
      <c r="AA249">
        <v>1250</v>
      </c>
      <c r="AB249">
        <v>0</v>
      </c>
    </row>
    <row r="250" spans="1:28" x14ac:dyDescent="0.2">
      <c r="A250">
        <v>487</v>
      </c>
      <c r="B250">
        <v>12</v>
      </c>
      <c r="C250">
        <v>10002</v>
      </c>
      <c r="D250" t="s">
        <v>161</v>
      </c>
      <c r="E250">
        <v>8</v>
      </c>
      <c r="F250" t="s">
        <v>175</v>
      </c>
      <c r="G250" s="55">
        <v>46052.886111111111</v>
      </c>
      <c r="H250">
        <v>72</v>
      </c>
      <c r="I250" t="s">
        <v>466</v>
      </c>
      <c r="J250">
        <v>76</v>
      </c>
      <c r="K250" t="s">
        <v>285</v>
      </c>
      <c r="L250" t="s">
        <v>286</v>
      </c>
      <c r="M250" t="s">
        <v>140</v>
      </c>
      <c r="P250">
        <v>35</v>
      </c>
      <c r="Q250">
        <v>3999</v>
      </c>
      <c r="R250">
        <v>210</v>
      </c>
      <c r="S250">
        <v>799</v>
      </c>
      <c r="T250">
        <v>6720</v>
      </c>
      <c r="U250">
        <v>7519</v>
      </c>
      <c r="V250">
        <v>192</v>
      </c>
      <c r="W250">
        <v>0</v>
      </c>
      <c r="X250" t="s">
        <v>141</v>
      </c>
      <c r="Y250" s="55">
        <v>45660.75</v>
      </c>
      <c r="Z250">
        <v>799</v>
      </c>
      <c r="AA250">
        <v>799</v>
      </c>
      <c r="AB250">
        <v>0</v>
      </c>
    </row>
    <row r="251" spans="1:28" x14ac:dyDescent="0.2">
      <c r="A251">
        <v>489</v>
      </c>
      <c r="B251">
        <v>12</v>
      </c>
      <c r="C251">
        <v>10002</v>
      </c>
      <c r="D251" t="s">
        <v>161</v>
      </c>
      <c r="E251">
        <v>8</v>
      </c>
      <c r="F251" t="s">
        <v>175</v>
      </c>
      <c r="G251" s="55">
        <v>46052.9</v>
      </c>
      <c r="H251">
        <v>72</v>
      </c>
      <c r="I251" t="s">
        <v>467</v>
      </c>
      <c r="J251">
        <v>77</v>
      </c>
      <c r="K251" t="s">
        <v>285</v>
      </c>
      <c r="L251" t="s">
        <v>286</v>
      </c>
      <c r="M251" t="s">
        <v>140</v>
      </c>
      <c r="P251">
        <v>35</v>
      </c>
      <c r="Q251">
        <v>4199</v>
      </c>
      <c r="R251">
        <v>165</v>
      </c>
      <c r="S251">
        <v>499</v>
      </c>
      <c r="T251">
        <v>6105</v>
      </c>
      <c r="U251">
        <v>6604</v>
      </c>
      <c r="V251">
        <v>174.43</v>
      </c>
      <c r="W251">
        <v>0</v>
      </c>
      <c r="X251" t="s">
        <v>141</v>
      </c>
      <c r="Y251" s="55">
        <v>45661.75</v>
      </c>
      <c r="Z251">
        <v>499</v>
      </c>
      <c r="AA251">
        <v>499</v>
      </c>
      <c r="AB251">
        <v>0</v>
      </c>
    </row>
    <row r="252" spans="1:28" x14ac:dyDescent="0.2">
      <c r="A252">
        <v>490</v>
      </c>
      <c r="B252">
        <v>10</v>
      </c>
      <c r="C252">
        <v>10002</v>
      </c>
      <c r="D252" t="s">
        <v>161</v>
      </c>
      <c r="E252">
        <v>8</v>
      </c>
      <c r="F252" t="s">
        <v>175</v>
      </c>
      <c r="G252" s="55">
        <v>46052.901388888888</v>
      </c>
      <c r="H252">
        <v>7</v>
      </c>
      <c r="I252" t="s">
        <v>414</v>
      </c>
      <c r="J252">
        <v>32</v>
      </c>
      <c r="K252" t="s">
        <v>138</v>
      </c>
      <c r="L252" t="s">
        <v>382</v>
      </c>
      <c r="M252" t="s">
        <v>140</v>
      </c>
      <c r="P252">
        <v>20</v>
      </c>
      <c r="Q252">
        <v>6999</v>
      </c>
      <c r="R252">
        <v>100</v>
      </c>
      <c r="S252">
        <v>1500</v>
      </c>
      <c r="T252">
        <v>5499</v>
      </c>
      <c r="U252">
        <v>6999</v>
      </c>
      <c r="V252">
        <v>274.95</v>
      </c>
      <c r="W252">
        <v>0</v>
      </c>
      <c r="X252" t="s">
        <v>141</v>
      </c>
      <c r="Y252" s="55">
        <v>45661.75</v>
      </c>
      <c r="Z252">
        <v>1500</v>
      </c>
      <c r="AA252">
        <v>1500</v>
      </c>
      <c r="AB252">
        <v>0</v>
      </c>
    </row>
    <row r="253" spans="1:28" x14ac:dyDescent="0.2">
      <c r="A253">
        <v>491</v>
      </c>
      <c r="B253">
        <v>9</v>
      </c>
      <c r="C253">
        <v>10002</v>
      </c>
      <c r="D253" t="s">
        <v>161</v>
      </c>
      <c r="E253">
        <v>8</v>
      </c>
      <c r="F253" t="s">
        <v>175</v>
      </c>
      <c r="G253" s="55">
        <v>46052.902777777781</v>
      </c>
      <c r="H253">
        <v>63</v>
      </c>
      <c r="I253" t="s">
        <v>468</v>
      </c>
      <c r="J253">
        <v>78</v>
      </c>
      <c r="K253" t="s">
        <v>153</v>
      </c>
      <c r="L253" t="s">
        <v>222</v>
      </c>
      <c r="M253" t="s">
        <v>140</v>
      </c>
      <c r="P253">
        <v>43</v>
      </c>
      <c r="Q253">
        <v>4999</v>
      </c>
      <c r="R253">
        <v>230</v>
      </c>
      <c r="S253">
        <v>499</v>
      </c>
      <c r="T253">
        <v>10350</v>
      </c>
      <c r="U253">
        <v>10849</v>
      </c>
      <c r="V253">
        <v>240.7</v>
      </c>
      <c r="W253">
        <v>0</v>
      </c>
      <c r="X253" t="s">
        <v>141</v>
      </c>
      <c r="Y253" s="55">
        <v>45661.75</v>
      </c>
      <c r="Z253">
        <v>499</v>
      </c>
      <c r="AA253">
        <v>499</v>
      </c>
      <c r="AB253">
        <v>0</v>
      </c>
    </row>
    <row r="254" spans="1:28" x14ac:dyDescent="0.2">
      <c r="A254">
        <v>492</v>
      </c>
      <c r="B254">
        <v>9</v>
      </c>
      <c r="C254">
        <v>10002</v>
      </c>
      <c r="D254" t="s">
        <v>161</v>
      </c>
      <c r="E254">
        <v>8</v>
      </c>
      <c r="F254" t="s">
        <v>175</v>
      </c>
      <c r="G254" s="55">
        <v>46053.035416666666</v>
      </c>
      <c r="H254">
        <v>63</v>
      </c>
      <c r="I254" t="s">
        <v>469</v>
      </c>
      <c r="J254">
        <v>79</v>
      </c>
      <c r="K254" t="s">
        <v>153</v>
      </c>
      <c r="L254" t="s">
        <v>222</v>
      </c>
      <c r="M254" t="s">
        <v>140</v>
      </c>
      <c r="P254">
        <v>43</v>
      </c>
      <c r="Q254">
        <v>4999</v>
      </c>
      <c r="R254">
        <v>230</v>
      </c>
      <c r="S254">
        <v>499</v>
      </c>
      <c r="T254">
        <v>10350</v>
      </c>
      <c r="U254">
        <v>10849</v>
      </c>
      <c r="V254">
        <v>240.7</v>
      </c>
      <c r="W254">
        <v>0</v>
      </c>
      <c r="X254" t="s">
        <v>141</v>
      </c>
      <c r="Y254" s="55">
        <v>45661.75</v>
      </c>
      <c r="Z254">
        <v>499</v>
      </c>
      <c r="AA254">
        <v>499</v>
      </c>
      <c r="AB254">
        <v>0</v>
      </c>
    </row>
    <row r="255" spans="1:28" x14ac:dyDescent="0.2">
      <c r="A255">
        <v>493</v>
      </c>
      <c r="B255">
        <v>11</v>
      </c>
      <c r="C255">
        <v>10002</v>
      </c>
      <c r="D255" t="s">
        <v>161</v>
      </c>
      <c r="E255">
        <v>8</v>
      </c>
      <c r="F255" t="s">
        <v>175</v>
      </c>
      <c r="G255" s="55">
        <v>46053.036111111112</v>
      </c>
      <c r="H255">
        <v>68</v>
      </c>
      <c r="I255" t="s">
        <v>470</v>
      </c>
      <c r="J255">
        <v>501</v>
      </c>
      <c r="K255" t="s">
        <v>240</v>
      </c>
      <c r="L255" t="s">
        <v>471</v>
      </c>
      <c r="M255" t="s">
        <v>140</v>
      </c>
      <c r="P255">
        <v>15</v>
      </c>
      <c r="Q255">
        <v>6199</v>
      </c>
      <c r="R255">
        <v>150</v>
      </c>
      <c r="S255">
        <v>1300</v>
      </c>
      <c r="T255">
        <v>7348.5</v>
      </c>
      <c r="U255">
        <v>8648.5</v>
      </c>
      <c r="V255">
        <v>489.9</v>
      </c>
      <c r="W255">
        <v>0</v>
      </c>
      <c r="X255" t="s">
        <v>141</v>
      </c>
      <c r="Y255" s="55">
        <v>45695.75</v>
      </c>
      <c r="Z255">
        <v>1300</v>
      </c>
      <c r="AA255">
        <v>1300</v>
      </c>
      <c r="AB255">
        <v>0</v>
      </c>
    </row>
    <row r="256" spans="1:28" x14ac:dyDescent="0.2">
      <c r="A256">
        <v>495</v>
      </c>
      <c r="B256">
        <v>12</v>
      </c>
      <c r="C256">
        <v>10002</v>
      </c>
      <c r="D256" t="s">
        <v>161</v>
      </c>
      <c r="E256">
        <v>8</v>
      </c>
      <c r="F256" t="s">
        <v>175</v>
      </c>
      <c r="G256" s="55">
        <v>46053.037499999999</v>
      </c>
      <c r="H256">
        <v>7</v>
      </c>
      <c r="I256" t="s">
        <v>472</v>
      </c>
      <c r="J256">
        <v>82</v>
      </c>
      <c r="K256" t="s">
        <v>138</v>
      </c>
      <c r="L256" t="s">
        <v>382</v>
      </c>
      <c r="M256" t="s">
        <v>140</v>
      </c>
      <c r="P256">
        <v>20</v>
      </c>
      <c r="Q256">
        <v>6999</v>
      </c>
      <c r="R256">
        <v>100</v>
      </c>
      <c r="S256">
        <v>1000</v>
      </c>
      <c r="T256">
        <v>5999</v>
      </c>
      <c r="U256">
        <v>6999</v>
      </c>
      <c r="V256">
        <v>299.95</v>
      </c>
      <c r="W256">
        <v>0</v>
      </c>
      <c r="X256" t="s">
        <v>141</v>
      </c>
      <c r="Y256" s="55">
        <v>45703.75</v>
      </c>
      <c r="Z256">
        <v>1000</v>
      </c>
      <c r="AA256">
        <v>1000</v>
      </c>
      <c r="AB256">
        <v>0</v>
      </c>
    </row>
    <row r="257" spans="1:28" x14ac:dyDescent="0.2">
      <c r="A257">
        <v>496</v>
      </c>
      <c r="B257">
        <v>5</v>
      </c>
      <c r="C257">
        <v>10002</v>
      </c>
      <c r="D257" t="s">
        <v>161</v>
      </c>
      <c r="E257">
        <v>8</v>
      </c>
      <c r="F257" t="s">
        <v>175</v>
      </c>
      <c r="G257" s="55">
        <v>46053.038194444445</v>
      </c>
      <c r="H257">
        <v>46</v>
      </c>
      <c r="I257" t="s">
        <v>406</v>
      </c>
      <c r="J257">
        <v>51</v>
      </c>
      <c r="K257" t="s">
        <v>138</v>
      </c>
      <c r="L257" t="s">
        <v>139</v>
      </c>
      <c r="M257" t="s">
        <v>140</v>
      </c>
      <c r="P257">
        <v>15</v>
      </c>
      <c r="Q257">
        <v>3999</v>
      </c>
      <c r="R257">
        <v>150</v>
      </c>
      <c r="S257">
        <v>500</v>
      </c>
      <c r="T257">
        <v>5248.5</v>
      </c>
      <c r="U257">
        <v>5748.5</v>
      </c>
      <c r="V257">
        <v>349.9</v>
      </c>
      <c r="W257">
        <v>0</v>
      </c>
      <c r="X257" t="s">
        <v>141</v>
      </c>
      <c r="Y257" s="55">
        <v>45713.75</v>
      </c>
      <c r="Z257">
        <v>500</v>
      </c>
      <c r="AA257">
        <v>500</v>
      </c>
      <c r="AB257">
        <v>0</v>
      </c>
    </row>
    <row r="258" spans="1:28" x14ac:dyDescent="0.2">
      <c r="A258">
        <v>497</v>
      </c>
      <c r="B258">
        <v>5</v>
      </c>
      <c r="C258">
        <v>10002</v>
      </c>
      <c r="D258" t="s">
        <v>161</v>
      </c>
      <c r="E258">
        <v>8</v>
      </c>
      <c r="F258" t="s">
        <v>175</v>
      </c>
      <c r="G258" s="55">
        <v>46053.039583333331</v>
      </c>
      <c r="H258">
        <v>46</v>
      </c>
      <c r="I258" t="s">
        <v>473</v>
      </c>
      <c r="J258">
        <v>83</v>
      </c>
      <c r="K258" t="s">
        <v>138</v>
      </c>
      <c r="L258" t="s">
        <v>139</v>
      </c>
      <c r="M258" t="s">
        <v>140</v>
      </c>
      <c r="P258">
        <v>35</v>
      </c>
      <c r="Q258">
        <v>3999</v>
      </c>
      <c r="R258">
        <v>210</v>
      </c>
      <c r="S258">
        <v>799</v>
      </c>
      <c r="T258">
        <v>6720</v>
      </c>
      <c r="U258">
        <v>7519</v>
      </c>
      <c r="V258">
        <v>192</v>
      </c>
      <c r="W258">
        <v>0</v>
      </c>
      <c r="X258" t="s">
        <v>141</v>
      </c>
      <c r="Y258" s="55">
        <v>45718.75</v>
      </c>
      <c r="Z258">
        <v>799</v>
      </c>
      <c r="AA258">
        <v>799</v>
      </c>
      <c r="AB258">
        <v>0</v>
      </c>
    </row>
    <row r="259" spans="1:28" x14ac:dyDescent="0.2">
      <c r="A259">
        <v>499</v>
      </c>
      <c r="B259">
        <v>11</v>
      </c>
      <c r="C259">
        <v>10002</v>
      </c>
      <c r="D259" t="s">
        <v>161</v>
      </c>
      <c r="E259">
        <v>8</v>
      </c>
      <c r="F259" t="s">
        <v>175</v>
      </c>
      <c r="G259" s="55">
        <v>46053.040972222225</v>
      </c>
      <c r="H259">
        <v>85</v>
      </c>
      <c r="I259" t="s">
        <v>402</v>
      </c>
      <c r="J259">
        <v>503</v>
      </c>
      <c r="K259" t="s">
        <v>474</v>
      </c>
      <c r="L259" t="s">
        <v>475</v>
      </c>
      <c r="M259" t="s">
        <v>140</v>
      </c>
      <c r="P259">
        <v>35</v>
      </c>
      <c r="Q259">
        <v>6199</v>
      </c>
      <c r="R259">
        <v>165</v>
      </c>
      <c r="S259">
        <v>799</v>
      </c>
      <c r="T259">
        <v>8910</v>
      </c>
      <c r="U259">
        <v>9709</v>
      </c>
      <c r="V259">
        <v>254.57</v>
      </c>
      <c r="W259">
        <v>0</v>
      </c>
      <c r="X259" t="s">
        <v>141</v>
      </c>
      <c r="Y259" s="55">
        <v>45730.75</v>
      </c>
      <c r="Z259">
        <v>799</v>
      </c>
      <c r="AA259">
        <v>799</v>
      </c>
      <c r="AB259">
        <v>0</v>
      </c>
    </row>
    <row r="260" spans="1:28" x14ac:dyDescent="0.2">
      <c r="A260">
        <v>500</v>
      </c>
      <c r="B260">
        <v>5</v>
      </c>
      <c r="C260">
        <v>10002</v>
      </c>
      <c r="D260" t="s">
        <v>161</v>
      </c>
      <c r="E260">
        <v>8</v>
      </c>
      <c r="F260" t="s">
        <v>175</v>
      </c>
      <c r="G260" s="55">
        <v>46053.041666666664</v>
      </c>
      <c r="H260">
        <v>84</v>
      </c>
      <c r="I260" t="s">
        <v>476</v>
      </c>
      <c r="J260">
        <v>498</v>
      </c>
      <c r="K260" t="s">
        <v>138</v>
      </c>
      <c r="L260" t="s">
        <v>377</v>
      </c>
      <c r="M260" t="s">
        <v>140</v>
      </c>
      <c r="P260">
        <v>20</v>
      </c>
      <c r="Q260">
        <v>7999</v>
      </c>
      <c r="R260">
        <v>100</v>
      </c>
      <c r="S260">
        <v>1499</v>
      </c>
      <c r="T260">
        <v>6500</v>
      </c>
      <c r="U260">
        <v>7999</v>
      </c>
      <c r="V260">
        <v>325</v>
      </c>
      <c r="W260">
        <v>0</v>
      </c>
      <c r="X260" t="s">
        <v>141</v>
      </c>
      <c r="Y260" s="55">
        <v>45742.75</v>
      </c>
      <c r="Z260">
        <v>1499</v>
      </c>
      <c r="AA260">
        <v>1499</v>
      </c>
      <c r="AB260">
        <v>0</v>
      </c>
    </row>
    <row r="261" spans="1:28" x14ac:dyDescent="0.2">
      <c r="A261">
        <v>501</v>
      </c>
      <c r="B261">
        <v>4</v>
      </c>
      <c r="C261">
        <v>10002</v>
      </c>
      <c r="D261" t="s">
        <v>161</v>
      </c>
      <c r="E261">
        <v>8</v>
      </c>
      <c r="F261" t="s">
        <v>175</v>
      </c>
      <c r="G261" s="55">
        <v>46053.042361111111</v>
      </c>
      <c r="H261">
        <v>43</v>
      </c>
      <c r="I261" t="s">
        <v>477</v>
      </c>
      <c r="J261">
        <v>87</v>
      </c>
      <c r="K261" t="s">
        <v>288</v>
      </c>
      <c r="L261" t="s">
        <v>289</v>
      </c>
      <c r="M261" t="s">
        <v>140</v>
      </c>
      <c r="P261">
        <v>26</v>
      </c>
      <c r="Q261">
        <v>5799</v>
      </c>
      <c r="R261">
        <v>190</v>
      </c>
      <c r="S261">
        <v>1300</v>
      </c>
      <c r="T261">
        <v>8548.1</v>
      </c>
      <c r="U261">
        <v>9848.1</v>
      </c>
      <c r="V261">
        <v>328.77</v>
      </c>
      <c r="W261">
        <v>0</v>
      </c>
      <c r="X261" t="s">
        <v>141</v>
      </c>
      <c r="Y261" s="55">
        <v>45743.75</v>
      </c>
      <c r="Z261">
        <v>1300</v>
      </c>
      <c r="AA261">
        <v>1300</v>
      </c>
      <c r="AB261">
        <v>0</v>
      </c>
    </row>
    <row r="262" spans="1:28" x14ac:dyDescent="0.2">
      <c r="A262">
        <v>503</v>
      </c>
      <c r="B262">
        <v>5</v>
      </c>
      <c r="C262">
        <v>10002</v>
      </c>
      <c r="D262" t="s">
        <v>161</v>
      </c>
      <c r="E262">
        <v>8</v>
      </c>
      <c r="F262" t="s">
        <v>175</v>
      </c>
      <c r="G262" s="55">
        <v>46053.04583333333</v>
      </c>
      <c r="H262">
        <v>82</v>
      </c>
      <c r="I262" t="s">
        <v>478</v>
      </c>
      <c r="J262">
        <v>497</v>
      </c>
      <c r="K262" t="s">
        <v>153</v>
      </c>
      <c r="L262" t="s">
        <v>479</v>
      </c>
      <c r="M262" t="s">
        <v>140</v>
      </c>
      <c r="P262">
        <v>43</v>
      </c>
      <c r="Q262">
        <v>8299</v>
      </c>
      <c r="R262">
        <v>165</v>
      </c>
      <c r="S262">
        <v>999</v>
      </c>
      <c r="T262">
        <v>12045</v>
      </c>
      <c r="U262">
        <v>13044</v>
      </c>
      <c r="V262">
        <v>280.12</v>
      </c>
      <c r="W262">
        <v>0</v>
      </c>
      <c r="X262" t="s">
        <v>141</v>
      </c>
      <c r="Y262" s="55">
        <v>45746.75</v>
      </c>
      <c r="Z262">
        <v>999</v>
      </c>
      <c r="AA262">
        <v>999</v>
      </c>
      <c r="AB262">
        <v>0</v>
      </c>
    </row>
    <row r="263" spans="1:28" x14ac:dyDescent="0.2">
      <c r="A263">
        <v>504</v>
      </c>
      <c r="B263">
        <v>5</v>
      </c>
      <c r="C263">
        <v>10002</v>
      </c>
      <c r="D263" t="s">
        <v>161</v>
      </c>
      <c r="E263">
        <v>8</v>
      </c>
      <c r="F263" t="s">
        <v>175</v>
      </c>
      <c r="G263" s="55">
        <v>46053.046527777777</v>
      </c>
      <c r="H263">
        <v>83</v>
      </c>
      <c r="I263" t="s">
        <v>480</v>
      </c>
      <c r="J263">
        <v>494</v>
      </c>
      <c r="K263" t="s">
        <v>153</v>
      </c>
      <c r="L263" t="s">
        <v>481</v>
      </c>
      <c r="M263" t="s">
        <v>140</v>
      </c>
      <c r="P263">
        <v>43</v>
      </c>
      <c r="Q263">
        <v>6499</v>
      </c>
      <c r="R263">
        <v>230</v>
      </c>
      <c r="S263">
        <v>1249</v>
      </c>
      <c r="T263">
        <v>12075</v>
      </c>
      <c r="U263">
        <v>13324</v>
      </c>
      <c r="V263">
        <v>280.81</v>
      </c>
      <c r="W263">
        <v>0</v>
      </c>
      <c r="X263" t="s">
        <v>141</v>
      </c>
      <c r="Y263" s="55">
        <v>45748.75</v>
      </c>
      <c r="Z263">
        <v>1249</v>
      </c>
      <c r="AA263">
        <v>1249</v>
      </c>
      <c r="AB263">
        <v>0</v>
      </c>
    </row>
    <row r="264" spans="1:28" x14ac:dyDescent="0.2">
      <c r="A264">
        <v>505</v>
      </c>
      <c r="B264">
        <v>11</v>
      </c>
      <c r="C264">
        <v>10002</v>
      </c>
      <c r="D264" t="s">
        <v>161</v>
      </c>
      <c r="E264">
        <v>8</v>
      </c>
      <c r="F264" t="s">
        <v>175</v>
      </c>
      <c r="G264" s="55">
        <v>46053.047222222223</v>
      </c>
      <c r="H264">
        <v>77</v>
      </c>
      <c r="I264" t="s">
        <v>482</v>
      </c>
      <c r="J264">
        <v>92</v>
      </c>
      <c r="K264" t="s">
        <v>153</v>
      </c>
      <c r="L264" t="s">
        <v>320</v>
      </c>
      <c r="M264" t="s">
        <v>140</v>
      </c>
      <c r="P264">
        <v>43</v>
      </c>
      <c r="Q264">
        <v>5299</v>
      </c>
      <c r="R264">
        <v>230</v>
      </c>
      <c r="S264">
        <v>999</v>
      </c>
      <c r="T264">
        <v>9890</v>
      </c>
      <c r="U264">
        <v>10889</v>
      </c>
      <c r="V264">
        <v>230</v>
      </c>
      <c r="W264">
        <v>0</v>
      </c>
      <c r="X264" t="s">
        <v>141</v>
      </c>
      <c r="Y264" s="55">
        <v>45749.75</v>
      </c>
      <c r="Z264">
        <v>999</v>
      </c>
      <c r="AA264">
        <v>999</v>
      </c>
      <c r="AB264">
        <v>0</v>
      </c>
    </row>
    <row r="265" spans="1:28" x14ac:dyDescent="0.2">
      <c r="A265">
        <v>506</v>
      </c>
      <c r="B265">
        <v>5</v>
      </c>
      <c r="C265">
        <v>10002</v>
      </c>
      <c r="D265" t="s">
        <v>161</v>
      </c>
      <c r="E265">
        <v>8</v>
      </c>
      <c r="F265" t="s">
        <v>175</v>
      </c>
      <c r="G265" s="55">
        <v>46053.04791666667</v>
      </c>
      <c r="H265">
        <v>83</v>
      </c>
      <c r="I265" t="s">
        <v>483</v>
      </c>
      <c r="J265">
        <v>495</v>
      </c>
      <c r="K265" t="s">
        <v>153</v>
      </c>
      <c r="L265" t="s">
        <v>481</v>
      </c>
      <c r="M265" t="s">
        <v>140</v>
      </c>
      <c r="P265">
        <v>43</v>
      </c>
      <c r="Q265">
        <v>6499</v>
      </c>
      <c r="R265">
        <v>230</v>
      </c>
      <c r="S265">
        <v>1249</v>
      </c>
      <c r="T265">
        <v>12075</v>
      </c>
      <c r="U265">
        <v>13324</v>
      </c>
      <c r="V265">
        <v>280.81</v>
      </c>
      <c r="W265">
        <v>0</v>
      </c>
      <c r="X265" t="s">
        <v>141</v>
      </c>
      <c r="Y265" s="55">
        <v>45751.75</v>
      </c>
      <c r="Z265">
        <v>1249</v>
      </c>
      <c r="AA265">
        <v>1249</v>
      </c>
      <c r="AB265">
        <v>0</v>
      </c>
    </row>
    <row r="266" spans="1:28" x14ac:dyDescent="0.2">
      <c r="A266">
        <v>507</v>
      </c>
      <c r="B266">
        <v>8</v>
      </c>
      <c r="C266">
        <v>10002</v>
      </c>
      <c r="D266" t="s">
        <v>161</v>
      </c>
      <c r="E266">
        <v>8</v>
      </c>
      <c r="F266" t="s">
        <v>175</v>
      </c>
      <c r="G266" s="55">
        <v>46053.048611111109</v>
      </c>
      <c r="H266">
        <v>7</v>
      </c>
      <c r="I266" t="s">
        <v>484</v>
      </c>
      <c r="J266">
        <v>496</v>
      </c>
      <c r="K266" t="s">
        <v>138</v>
      </c>
      <c r="L266" t="s">
        <v>382</v>
      </c>
      <c r="M266" t="s">
        <v>140</v>
      </c>
      <c r="P266">
        <v>20</v>
      </c>
      <c r="Q266">
        <v>6999</v>
      </c>
      <c r="R266">
        <v>100</v>
      </c>
      <c r="S266">
        <v>750</v>
      </c>
      <c r="T266">
        <v>6249</v>
      </c>
      <c r="U266">
        <v>6999</v>
      </c>
      <c r="V266">
        <v>312.45</v>
      </c>
      <c r="W266">
        <v>0</v>
      </c>
      <c r="X266" t="s">
        <v>141</v>
      </c>
      <c r="Y266" s="55">
        <v>45752.75</v>
      </c>
      <c r="Z266">
        <v>750</v>
      </c>
      <c r="AA266">
        <v>750</v>
      </c>
      <c r="AB266">
        <v>0</v>
      </c>
    </row>
    <row r="267" spans="1:28" x14ac:dyDescent="0.2">
      <c r="A267">
        <v>509</v>
      </c>
      <c r="B267">
        <v>9</v>
      </c>
      <c r="C267">
        <v>12</v>
      </c>
      <c r="D267" t="s">
        <v>187</v>
      </c>
      <c r="E267">
        <v>8</v>
      </c>
      <c r="F267" t="s">
        <v>175</v>
      </c>
      <c r="G267" s="55">
        <v>46053.050694444442</v>
      </c>
      <c r="H267">
        <v>68</v>
      </c>
      <c r="I267" t="s">
        <v>485</v>
      </c>
      <c r="J267">
        <v>444</v>
      </c>
      <c r="K267" t="s">
        <v>240</v>
      </c>
      <c r="L267" t="s">
        <v>471</v>
      </c>
      <c r="M267" t="s">
        <v>140</v>
      </c>
      <c r="P267">
        <v>43</v>
      </c>
      <c r="Q267">
        <v>6199</v>
      </c>
      <c r="R267">
        <v>230</v>
      </c>
      <c r="S267">
        <v>1249</v>
      </c>
      <c r="T267">
        <v>11385</v>
      </c>
      <c r="U267">
        <v>12634</v>
      </c>
      <c r="V267">
        <v>264.77</v>
      </c>
      <c r="W267">
        <v>0</v>
      </c>
      <c r="X267" t="s">
        <v>141</v>
      </c>
      <c r="Y267" s="55">
        <v>45756.75</v>
      </c>
      <c r="Z267">
        <v>1249</v>
      </c>
      <c r="AA267">
        <v>1249</v>
      </c>
      <c r="AB267">
        <v>0</v>
      </c>
    </row>
    <row r="268" spans="1:28" x14ac:dyDescent="0.2">
      <c r="A268">
        <v>511</v>
      </c>
      <c r="B268">
        <v>12</v>
      </c>
      <c r="C268">
        <v>10002</v>
      </c>
      <c r="D268" t="s">
        <v>161</v>
      </c>
      <c r="E268">
        <v>8</v>
      </c>
      <c r="F268" t="s">
        <v>175</v>
      </c>
      <c r="G268" s="55">
        <v>46053.052083333336</v>
      </c>
      <c r="H268">
        <v>46</v>
      </c>
      <c r="I268" t="s">
        <v>486</v>
      </c>
      <c r="J268">
        <v>102</v>
      </c>
      <c r="K268" t="s">
        <v>138</v>
      </c>
      <c r="L268" t="s">
        <v>139</v>
      </c>
      <c r="M268" t="s">
        <v>140</v>
      </c>
      <c r="P268">
        <v>43</v>
      </c>
      <c r="Q268">
        <v>3799</v>
      </c>
      <c r="R268">
        <v>230</v>
      </c>
      <c r="S268">
        <v>799</v>
      </c>
      <c r="T268">
        <v>6900</v>
      </c>
      <c r="U268">
        <v>7699</v>
      </c>
      <c r="V268">
        <v>160.47</v>
      </c>
      <c r="W268">
        <v>0</v>
      </c>
      <c r="X268" t="s">
        <v>141</v>
      </c>
      <c r="Y268" s="55">
        <v>45760.75</v>
      </c>
      <c r="Z268">
        <v>799</v>
      </c>
      <c r="AA268">
        <v>799</v>
      </c>
      <c r="AB268">
        <v>0</v>
      </c>
    </row>
    <row r="269" spans="1:28" x14ac:dyDescent="0.2">
      <c r="A269">
        <v>513</v>
      </c>
      <c r="B269">
        <v>12</v>
      </c>
      <c r="C269">
        <v>31</v>
      </c>
      <c r="D269" t="s">
        <v>170</v>
      </c>
      <c r="E269">
        <v>8</v>
      </c>
      <c r="F269" t="s">
        <v>175</v>
      </c>
      <c r="G269" s="55">
        <v>46053.053472222222</v>
      </c>
      <c r="H269">
        <v>68</v>
      </c>
      <c r="I269" t="s">
        <v>487</v>
      </c>
      <c r="J269">
        <v>105</v>
      </c>
      <c r="K269" t="s">
        <v>240</v>
      </c>
      <c r="L269" t="s">
        <v>471</v>
      </c>
      <c r="M269" t="s">
        <v>140</v>
      </c>
      <c r="P269">
        <v>35</v>
      </c>
      <c r="Q269">
        <v>6199</v>
      </c>
      <c r="R269">
        <v>210</v>
      </c>
      <c r="S269">
        <v>1249</v>
      </c>
      <c r="T269">
        <v>10395</v>
      </c>
      <c r="U269">
        <v>11644</v>
      </c>
      <c r="V269">
        <v>297</v>
      </c>
      <c r="W269">
        <v>0</v>
      </c>
      <c r="X269" t="s">
        <v>141</v>
      </c>
      <c r="Y269" s="55">
        <v>45765.75</v>
      </c>
      <c r="Z269">
        <v>1249</v>
      </c>
      <c r="AA269">
        <v>1249</v>
      </c>
      <c r="AB269">
        <v>0</v>
      </c>
    </row>
    <row r="270" spans="1:28" x14ac:dyDescent="0.2">
      <c r="A270">
        <v>515</v>
      </c>
      <c r="B270">
        <v>8</v>
      </c>
      <c r="C270">
        <v>10002</v>
      </c>
      <c r="D270" t="s">
        <v>161</v>
      </c>
      <c r="E270">
        <v>8</v>
      </c>
      <c r="F270" t="s">
        <v>175</v>
      </c>
      <c r="G270" s="55">
        <v>46053.054861111108</v>
      </c>
      <c r="H270">
        <v>63</v>
      </c>
      <c r="I270" t="s">
        <v>488</v>
      </c>
      <c r="J270">
        <v>108</v>
      </c>
      <c r="K270" t="s">
        <v>153</v>
      </c>
      <c r="L270" t="s">
        <v>222</v>
      </c>
      <c r="M270" t="s">
        <v>140</v>
      </c>
      <c r="P270">
        <v>43</v>
      </c>
      <c r="Q270">
        <v>5299</v>
      </c>
      <c r="R270">
        <v>230</v>
      </c>
      <c r="S270">
        <v>999</v>
      </c>
      <c r="T270">
        <v>9890</v>
      </c>
      <c r="U270">
        <v>10889</v>
      </c>
      <c r="V270">
        <v>230</v>
      </c>
      <c r="W270">
        <v>0</v>
      </c>
      <c r="X270" t="s">
        <v>141</v>
      </c>
      <c r="Y270" s="55">
        <v>45769.75</v>
      </c>
      <c r="Z270">
        <v>999</v>
      </c>
      <c r="AA270">
        <v>999</v>
      </c>
      <c r="AB270">
        <v>0</v>
      </c>
    </row>
    <row r="271" spans="1:28" x14ac:dyDescent="0.2">
      <c r="A271">
        <v>517</v>
      </c>
      <c r="B271">
        <v>12</v>
      </c>
      <c r="C271">
        <v>24</v>
      </c>
      <c r="D271" t="s">
        <v>207</v>
      </c>
      <c r="E271">
        <v>8</v>
      </c>
      <c r="F271" t="s">
        <v>175</v>
      </c>
      <c r="G271" s="55">
        <v>46053.069444444445</v>
      </c>
      <c r="H271">
        <v>82</v>
      </c>
      <c r="I271" t="s">
        <v>489</v>
      </c>
      <c r="J271">
        <v>493</v>
      </c>
      <c r="K271" t="s">
        <v>153</v>
      </c>
      <c r="L271" t="s">
        <v>479</v>
      </c>
      <c r="M271" t="s">
        <v>140</v>
      </c>
      <c r="P271">
        <v>26</v>
      </c>
      <c r="Q271">
        <v>8299</v>
      </c>
      <c r="R271">
        <v>160</v>
      </c>
      <c r="S271">
        <v>999</v>
      </c>
      <c r="T271">
        <v>11680</v>
      </c>
      <c r="U271">
        <v>12679</v>
      </c>
      <c r="V271">
        <v>449.23</v>
      </c>
      <c r="W271">
        <v>0</v>
      </c>
      <c r="X271" t="s">
        <v>141</v>
      </c>
      <c r="Y271" s="55">
        <v>45753.75</v>
      </c>
      <c r="Z271">
        <v>999</v>
      </c>
      <c r="AA271">
        <v>999</v>
      </c>
      <c r="AB271">
        <v>0</v>
      </c>
    </row>
    <row r="272" spans="1:28" x14ac:dyDescent="0.2">
      <c r="A272">
        <v>518</v>
      </c>
      <c r="B272">
        <v>12</v>
      </c>
      <c r="C272">
        <v>24</v>
      </c>
      <c r="D272" t="s">
        <v>207</v>
      </c>
      <c r="E272">
        <v>8</v>
      </c>
      <c r="F272" t="s">
        <v>175</v>
      </c>
      <c r="G272" s="55">
        <v>46053.072222222225</v>
      </c>
      <c r="H272">
        <v>82</v>
      </c>
      <c r="I272" t="s">
        <v>398</v>
      </c>
      <c r="J272">
        <v>487</v>
      </c>
      <c r="K272" t="s">
        <v>153</v>
      </c>
      <c r="L272" t="s">
        <v>479</v>
      </c>
      <c r="M272" t="s">
        <v>140</v>
      </c>
      <c r="P272">
        <v>26</v>
      </c>
      <c r="Q272">
        <v>8299</v>
      </c>
      <c r="R272">
        <v>238.63</v>
      </c>
      <c r="S272">
        <v>999</v>
      </c>
      <c r="T272">
        <v>17419.990000000002</v>
      </c>
      <c r="U272">
        <v>18418.990000000002</v>
      </c>
      <c r="V272">
        <v>670</v>
      </c>
      <c r="W272">
        <v>0</v>
      </c>
      <c r="X272" t="s">
        <v>141</v>
      </c>
      <c r="Y272" s="55">
        <v>45767.75</v>
      </c>
      <c r="Z272">
        <v>999</v>
      </c>
      <c r="AA272">
        <v>999</v>
      </c>
      <c r="AB272">
        <v>0</v>
      </c>
    </row>
    <row r="273" spans="1:28" x14ac:dyDescent="0.2">
      <c r="A273">
        <v>522</v>
      </c>
      <c r="B273">
        <v>11</v>
      </c>
      <c r="C273">
        <v>18</v>
      </c>
      <c r="D273" t="s">
        <v>176</v>
      </c>
      <c r="E273">
        <v>8</v>
      </c>
      <c r="F273" t="s">
        <v>175</v>
      </c>
      <c r="G273" s="55">
        <v>46054.525000000001</v>
      </c>
      <c r="H273">
        <v>46</v>
      </c>
      <c r="I273" t="s">
        <v>490</v>
      </c>
      <c r="J273">
        <v>540</v>
      </c>
      <c r="K273" t="s">
        <v>138</v>
      </c>
      <c r="L273" t="s">
        <v>139</v>
      </c>
      <c r="M273" t="s">
        <v>140</v>
      </c>
      <c r="N273">
        <v>4</v>
      </c>
      <c r="O273">
        <v>128</v>
      </c>
      <c r="P273">
        <v>26</v>
      </c>
      <c r="Q273">
        <v>3999</v>
      </c>
      <c r="R273">
        <v>190</v>
      </c>
      <c r="S273">
        <v>799</v>
      </c>
      <c r="T273">
        <v>6080</v>
      </c>
      <c r="U273">
        <v>6879</v>
      </c>
      <c r="V273">
        <v>233.85</v>
      </c>
      <c r="W273">
        <v>0</v>
      </c>
      <c r="X273" t="s">
        <v>141</v>
      </c>
      <c r="Y273" s="55">
        <v>46054.604861111111</v>
      </c>
      <c r="Z273">
        <v>799</v>
      </c>
      <c r="AA273">
        <v>799</v>
      </c>
      <c r="AB273">
        <v>0</v>
      </c>
    </row>
    <row r="274" spans="1:28" x14ac:dyDescent="0.2">
      <c r="A274">
        <v>527</v>
      </c>
      <c r="B274">
        <v>8</v>
      </c>
      <c r="C274">
        <v>5</v>
      </c>
      <c r="D274" t="s">
        <v>164</v>
      </c>
      <c r="E274">
        <v>8</v>
      </c>
      <c r="F274" t="s">
        <v>175</v>
      </c>
      <c r="G274" s="55">
        <v>46056.532638888886</v>
      </c>
      <c r="H274">
        <v>33</v>
      </c>
      <c r="I274" t="s">
        <v>491</v>
      </c>
      <c r="J274">
        <v>384</v>
      </c>
      <c r="K274" t="s">
        <v>153</v>
      </c>
      <c r="L274" t="s">
        <v>154</v>
      </c>
      <c r="M274" t="s">
        <v>140</v>
      </c>
      <c r="P274">
        <v>35</v>
      </c>
      <c r="Q274">
        <v>6399</v>
      </c>
      <c r="R274">
        <v>210</v>
      </c>
      <c r="S274">
        <v>1249</v>
      </c>
      <c r="T274">
        <v>10815</v>
      </c>
      <c r="U274">
        <v>12064</v>
      </c>
      <c r="V274">
        <v>309</v>
      </c>
      <c r="W274">
        <v>0</v>
      </c>
      <c r="X274" t="s">
        <v>141</v>
      </c>
      <c r="Y274" s="55">
        <v>45936.75</v>
      </c>
      <c r="Z274">
        <v>1249</v>
      </c>
      <c r="AA274">
        <v>1249</v>
      </c>
      <c r="AB274">
        <v>0</v>
      </c>
    </row>
    <row r="275" spans="1:28" x14ac:dyDescent="0.2">
      <c r="A275">
        <v>528</v>
      </c>
      <c r="B275">
        <v>10</v>
      </c>
      <c r="C275">
        <v>10002</v>
      </c>
      <c r="D275" t="s">
        <v>161</v>
      </c>
      <c r="E275">
        <v>8</v>
      </c>
      <c r="F275" t="s">
        <v>175</v>
      </c>
      <c r="G275" s="55">
        <v>46056.588888888888</v>
      </c>
      <c r="H275">
        <v>33</v>
      </c>
      <c r="I275" t="s">
        <v>492</v>
      </c>
      <c r="J275">
        <v>304</v>
      </c>
      <c r="K275" t="s">
        <v>153</v>
      </c>
      <c r="L275" t="s">
        <v>154</v>
      </c>
      <c r="M275" t="s">
        <v>140</v>
      </c>
      <c r="P275">
        <v>26</v>
      </c>
      <c r="Q275">
        <v>6399</v>
      </c>
      <c r="R275">
        <v>190</v>
      </c>
      <c r="S275">
        <v>1249</v>
      </c>
      <c r="T275">
        <v>9785</v>
      </c>
      <c r="U275">
        <v>11034</v>
      </c>
      <c r="V275">
        <v>376.35</v>
      </c>
      <c r="W275">
        <v>0</v>
      </c>
      <c r="X275" t="s">
        <v>141</v>
      </c>
      <c r="Y275" s="55">
        <v>45986.75</v>
      </c>
      <c r="Z275">
        <v>1249</v>
      </c>
      <c r="AA275">
        <v>1249</v>
      </c>
      <c r="AB275">
        <v>0</v>
      </c>
    </row>
    <row r="276" spans="1:28" x14ac:dyDescent="0.2">
      <c r="A276">
        <v>529</v>
      </c>
      <c r="B276">
        <v>6</v>
      </c>
      <c r="C276">
        <v>8</v>
      </c>
      <c r="D276" t="s">
        <v>493</v>
      </c>
      <c r="E276">
        <v>8</v>
      </c>
      <c r="F276" t="s">
        <v>175</v>
      </c>
      <c r="G276" s="55">
        <v>46056.620138888888</v>
      </c>
      <c r="H276">
        <v>56</v>
      </c>
      <c r="I276" t="s">
        <v>494</v>
      </c>
      <c r="J276">
        <v>369</v>
      </c>
      <c r="K276" t="s">
        <v>138</v>
      </c>
      <c r="L276" t="s">
        <v>211</v>
      </c>
      <c r="M276" t="s">
        <v>140</v>
      </c>
      <c r="P276">
        <v>26</v>
      </c>
      <c r="Q276">
        <v>3999</v>
      </c>
      <c r="R276">
        <v>190</v>
      </c>
      <c r="S276">
        <v>799</v>
      </c>
      <c r="T276">
        <v>6080</v>
      </c>
      <c r="U276">
        <v>6879</v>
      </c>
      <c r="V276">
        <v>233.85</v>
      </c>
      <c r="W276">
        <v>0</v>
      </c>
      <c r="X276" t="s">
        <v>141</v>
      </c>
      <c r="Y276" s="55">
        <v>45993.75</v>
      </c>
      <c r="Z276">
        <v>799</v>
      </c>
      <c r="AA276">
        <v>799</v>
      </c>
      <c r="AB276">
        <v>0</v>
      </c>
    </row>
    <row r="277" spans="1:28" x14ac:dyDescent="0.2">
      <c r="A277">
        <v>530</v>
      </c>
      <c r="B277">
        <v>6</v>
      </c>
      <c r="C277">
        <v>7</v>
      </c>
      <c r="D277" t="s">
        <v>226</v>
      </c>
      <c r="E277">
        <v>8</v>
      </c>
      <c r="F277" t="s">
        <v>175</v>
      </c>
      <c r="G277" s="55">
        <v>46056.631249999999</v>
      </c>
      <c r="H277">
        <v>24</v>
      </c>
      <c r="I277" t="s">
        <v>374</v>
      </c>
      <c r="J277">
        <v>455</v>
      </c>
      <c r="K277" t="s">
        <v>145</v>
      </c>
      <c r="L277" t="s">
        <v>146</v>
      </c>
      <c r="M277" t="s">
        <v>140</v>
      </c>
      <c r="P277">
        <v>35</v>
      </c>
      <c r="Q277">
        <v>10999</v>
      </c>
      <c r="R277">
        <v>165</v>
      </c>
      <c r="S277">
        <v>600</v>
      </c>
      <c r="T277">
        <v>17158.349999999999</v>
      </c>
      <c r="U277">
        <v>17758.349999999999</v>
      </c>
      <c r="V277">
        <v>490.24</v>
      </c>
      <c r="W277">
        <v>0</v>
      </c>
      <c r="X277" t="s">
        <v>141</v>
      </c>
      <c r="Y277" s="55">
        <v>46006.75</v>
      </c>
      <c r="Z277">
        <v>600</v>
      </c>
      <c r="AA277">
        <v>600</v>
      </c>
      <c r="AB277">
        <v>0</v>
      </c>
    </row>
    <row r="278" spans="1:28" x14ac:dyDescent="0.2">
      <c r="A278">
        <v>531</v>
      </c>
      <c r="B278">
        <v>9</v>
      </c>
      <c r="C278">
        <v>12</v>
      </c>
      <c r="D278" t="s">
        <v>187</v>
      </c>
      <c r="E278">
        <v>8</v>
      </c>
      <c r="F278" t="s">
        <v>175</v>
      </c>
      <c r="G278" s="55">
        <v>46056.693055555559</v>
      </c>
      <c r="H278">
        <v>63</v>
      </c>
      <c r="I278" t="s">
        <v>495</v>
      </c>
      <c r="J278">
        <v>144</v>
      </c>
      <c r="K278" t="s">
        <v>153</v>
      </c>
      <c r="L278" t="s">
        <v>222</v>
      </c>
      <c r="M278" t="s">
        <v>140</v>
      </c>
      <c r="P278">
        <v>43</v>
      </c>
      <c r="Q278">
        <v>5499</v>
      </c>
      <c r="R278">
        <v>230</v>
      </c>
      <c r="S278">
        <v>1249</v>
      </c>
      <c r="T278">
        <v>9775</v>
      </c>
      <c r="U278">
        <v>11024</v>
      </c>
      <c r="V278">
        <v>227.33</v>
      </c>
      <c r="W278">
        <v>0</v>
      </c>
      <c r="X278" t="s">
        <v>141</v>
      </c>
      <c r="Y278" s="55">
        <v>45821.75</v>
      </c>
      <c r="Z278">
        <v>1249</v>
      </c>
      <c r="AA278">
        <v>1249</v>
      </c>
      <c r="AB278">
        <v>0</v>
      </c>
    </row>
    <row r="279" spans="1:28" x14ac:dyDescent="0.2">
      <c r="A279">
        <v>532</v>
      </c>
      <c r="B279">
        <v>9</v>
      </c>
      <c r="C279">
        <v>12</v>
      </c>
      <c r="D279" t="s">
        <v>187</v>
      </c>
      <c r="E279">
        <v>8</v>
      </c>
      <c r="F279" t="s">
        <v>175</v>
      </c>
      <c r="G279" s="55">
        <v>46056.695138888892</v>
      </c>
      <c r="H279">
        <v>54</v>
      </c>
      <c r="I279" t="s">
        <v>495</v>
      </c>
      <c r="J279">
        <v>144</v>
      </c>
      <c r="K279" t="s">
        <v>153</v>
      </c>
      <c r="L279" t="s">
        <v>195</v>
      </c>
      <c r="M279" t="s">
        <v>140</v>
      </c>
      <c r="P279">
        <v>26</v>
      </c>
      <c r="Q279">
        <v>3799</v>
      </c>
      <c r="R279">
        <v>190</v>
      </c>
      <c r="S279">
        <v>799</v>
      </c>
      <c r="T279">
        <v>5700</v>
      </c>
      <c r="U279">
        <v>6499</v>
      </c>
      <c r="V279">
        <v>219.23</v>
      </c>
      <c r="W279">
        <v>0</v>
      </c>
      <c r="X279" t="s">
        <v>141</v>
      </c>
      <c r="Y279" s="55">
        <v>45936.75</v>
      </c>
      <c r="Z279">
        <v>799</v>
      </c>
      <c r="AA279">
        <v>799</v>
      </c>
      <c r="AB279">
        <v>0</v>
      </c>
    </row>
    <row r="280" spans="1:28" x14ac:dyDescent="0.2">
      <c r="A280">
        <v>533</v>
      </c>
      <c r="B280">
        <v>8</v>
      </c>
      <c r="C280">
        <v>28</v>
      </c>
      <c r="D280" t="s">
        <v>328</v>
      </c>
      <c r="E280">
        <v>8</v>
      </c>
      <c r="F280" t="s">
        <v>175</v>
      </c>
      <c r="G280" s="55">
        <v>46056.726388888892</v>
      </c>
      <c r="H280">
        <v>5</v>
      </c>
      <c r="I280" t="s">
        <v>496</v>
      </c>
      <c r="J280">
        <v>465</v>
      </c>
      <c r="K280" t="s">
        <v>138</v>
      </c>
      <c r="L280" t="s">
        <v>166</v>
      </c>
      <c r="M280" t="s">
        <v>140</v>
      </c>
      <c r="P280">
        <v>43</v>
      </c>
      <c r="Q280">
        <v>6399</v>
      </c>
      <c r="R280">
        <v>230</v>
      </c>
      <c r="S280">
        <v>639.9</v>
      </c>
      <c r="T280">
        <v>13245.93</v>
      </c>
      <c r="U280">
        <v>13885.83</v>
      </c>
      <c r="V280">
        <v>308.05</v>
      </c>
      <c r="W280">
        <v>0</v>
      </c>
      <c r="X280" t="s">
        <v>141</v>
      </c>
      <c r="Y280" s="55">
        <v>45979.75</v>
      </c>
      <c r="Z280">
        <v>639.9</v>
      </c>
      <c r="AA280">
        <v>639.9</v>
      </c>
      <c r="AB280">
        <v>0</v>
      </c>
    </row>
    <row r="281" spans="1:28" x14ac:dyDescent="0.2">
      <c r="A281">
        <v>534</v>
      </c>
      <c r="B281">
        <v>4</v>
      </c>
      <c r="C281">
        <v>10002</v>
      </c>
      <c r="D281" t="s">
        <v>161</v>
      </c>
      <c r="E281">
        <v>8</v>
      </c>
      <c r="F281" t="s">
        <v>175</v>
      </c>
      <c r="G281" s="55">
        <v>46056.739583333336</v>
      </c>
      <c r="H281">
        <v>55</v>
      </c>
      <c r="I281" t="s">
        <v>497</v>
      </c>
      <c r="J281">
        <v>227</v>
      </c>
      <c r="K281" t="s">
        <v>153</v>
      </c>
      <c r="L281" t="s">
        <v>209</v>
      </c>
      <c r="M281" t="s">
        <v>140</v>
      </c>
      <c r="P281">
        <v>26</v>
      </c>
      <c r="Q281">
        <v>6499</v>
      </c>
      <c r="R281">
        <v>190</v>
      </c>
      <c r="S281">
        <v>1250</v>
      </c>
      <c r="T281">
        <v>9973.1</v>
      </c>
      <c r="U281">
        <v>11223.1</v>
      </c>
      <c r="V281">
        <v>384</v>
      </c>
      <c r="W281">
        <v>0</v>
      </c>
      <c r="X281" t="s">
        <v>141</v>
      </c>
      <c r="Y281" s="55">
        <v>45927.75</v>
      </c>
      <c r="Z281">
        <v>1250</v>
      </c>
      <c r="AA281">
        <v>1250</v>
      </c>
      <c r="AB281">
        <v>0</v>
      </c>
    </row>
    <row r="282" spans="1:28" x14ac:dyDescent="0.2">
      <c r="A282">
        <v>535</v>
      </c>
      <c r="B282">
        <v>9</v>
      </c>
      <c r="C282">
        <v>12</v>
      </c>
      <c r="D282" t="s">
        <v>187</v>
      </c>
      <c r="E282">
        <v>8</v>
      </c>
      <c r="F282" t="s">
        <v>175</v>
      </c>
      <c r="G282" s="55">
        <v>46056.750694444447</v>
      </c>
      <c r="H282">
        <v>81</v>
      </c>
      <c r="I282" t="s">
        <v>498</v>
      </c>
      <c r="J282">
        <v>243</v>
      </c>
      <c r="K282" t="s">
        <v>499</v>
      </c>
      <c r="L282" t="s">
        <v>500</v>
      </c>
      <c r="M282" t="s">
        <v>140</v>
      </c>
      <c r="P282">
        <v>35</v>
      </c>
      <c r="Q282">
        <v>8499</v>
      </c>
      <c r="R282">
        <v>210</v>
      </c>
      <c r="S282">
        <v>1999</v>
      </c>
      <c r="T282">
        <v>13650</v>
      </c>
      <c r="U282">
        <v>15649</v>
      </c>
      <c r="V282">
        <v>390</v>
      </c>
      <c r="W282">
        <v>0</v>
      </c>
      <c r="X282" t="s">
        <v>141</v>
      </c>
      <c r="Y282" s="55">
        <v>45936.75</v>
      </c>
      <c r="Z282">
        <v>1999</v>
      </c>
      <c r="AA282">
        <v>1999</v>
      </c>
      <c r="AB282">
        <v>0</v>
      </c>
    </row>
    <row r="283" spans="1:28" x14ac:dyDescent="0.2">
      <c r="A283">
        <v>536</v>
      </c>
      <c r="B283">
        <v>10</v>
      </c>
      <c r="C283">
        <v>10002</v>
      </c>
      <c r="D283" t="s">
        <v>161</v>
      </c>
      <c r="E283">
        <v>8</v>
      </c>
      <c r="F283" t="s">
        <v>175</v>
      </c>
      <c r="G283" s="55">
        <v>46056.754166666666</v>
      </c>
      <c r="H283">
        <v>46</v>
      </c>
      <c r="I283" t="s">
        <v>501</v>
      </c>
      <c r="J283">
        <v>104</v>
      </c>
      <c r="K283" t="s">
        <v>138</v>
      </c>
      <c r="L283" t="s">
        <v>139</v>
      </c>
      <c r="M283" t="s">
        <v>140</v>
      </c>
      <c r="P283">
        <v>43</v>
      </c>
      <c r="Q283">
        <v>3799</v>
      </c>
      <c r="R283">
        <v>230</v>
      </c>
      <c r="S283">
        <v>799</v>
      </c>
      <c r="T283">
        <v>6900</v>
      </c>
      <c r="U283">
        <v>7699</v>
      </c>
      <c r="V283">
        <v>160</v>
      </c>
      <c r="W283">
        <v>0</v>
      </c>
      <c r="X283" t="s">
        <v>141</v>
      </c>
      <c r="Y283" s="55">
        <v>45765.75</v>
      </c>
      <c r="Z283">
        <v>799</v>
      </c>
      <c r="AA283">
        <v>799</v>
      </c>
      <c r="AB283">
        <v>0</v>
      </c>
    </row>
    <row r="284" spans="1:28" x14ac:dyDescent="0.2">
      <c r="A284">
        <v>537</v>
      </c>
      <c r="B284">
        <v>9</v>
      </c>
      <c r="C284">
        <v>12</v>
      </c>
      <c r="D284" t="s">
        <v>187</v>
      </c>
      <c r="E284">
        <v>8</v>
      </c>
      <c r="F284" t="s">
        <v>175</v>
      </c>
      <c r="G284" s="55">
        <v>46056.756944444445</v>
      </c>
      <c r="H284">
        <v>56</v>
      </c>
      <c r="I284" t="s">
        <v>439</v>
      </c>
      <c r="J284">
        <v>97</v>
      </c>
      <c r="K284" t="s">
        <v>138</v>
      </c>
      <c r="L284" t="s">
        <v>211</v>
      </c>
      <c r="M284" t="s">
        <v>140</v>
      </c>
      <c r="P284">
        <v>15</v>
      </c>
      <c r="Q284">
        <v>3999</v>
      </c>
      <c r="R284">
        <v>150</v>
      </c>
      <c r="S284">
        <v>399.5</v>
      </c>
      <c r="T284">
        <v>5399.25</v>
      </c>
      <c r="U284">
        <v>5798.75</v>
      </c>
      <c r="V284">
        <v>359.95</v>
      </c>
      <c r="W284">
        <v>0</v>
      </c>
      <c r="X284" t="s">
        <v>141</v>
      </c>
      <c r="Y284" s="55">
        <v>46007.75</v>
      </c>
      <c r="Z284">
        <v>399.5</v>
      </c>
      <c r="AA284">
        <v>399.5</v>
      </c>
      <c r="AB284">
        <v>0</v>
      </c>
    </row>
    <row r="285" spans="1:28" x14ac:dyDescent="0.2">
      <c r="A285">
        <v>539</v>
      </c>
      <c r="B285">
        <v>8</v>
      </c>
      <c r="C285">
        <v>28</v>
      </c>
      <c r="D285" t="s">
        <v>328</v>
      </c>
      <c r="E285">
        <v>8</v>
      </c>
      <c r="F285" t="s">
        <v>175</v>
      </c>
      <c r="G285" s="55">
        <v>46056.781944444447</v>
      </c>
      <c r="H285">
        <v>54</v>
      </c>
      <c r="I285" t="s">
        <v>502</v>
      </c>
      <c r="J285">
        <v>471</v>
      </c>
      <c r="K285" t="s">
        <v>153</v>
      </c>
      <c r="L285" t="s">
        <v>195</v>
      </c>
      <c r="M285" t="s">
        <v>140</v>
      </c>
      <c r="P285">
        <v>43</v>
      </c>
      <c r="Q285">
        <v>3799</v>
      </c>
      <c r="R285">
        <v>228.65459999999999</v>
      </c>
      <c r="S285">
        <v>379.9</v>
      </c>
      <c r="T285">
        <v>7817.93</v>
      </c>
      <c r="U285">
        <v>8197.83</v>
      </c>
      <c r="V285">
        <v>181.81</v>
      </c>
      <c r="W285">
        <v>0</v>
      </c>
      <c r="X285" t="s">
        <v>141</v>
      </c>
      <c r="Y285" s="55">
        <v>45976.75</v>
      </c>
      <c r="Z285">
        <v>379.9</v>
      </c>
      <c r="AA285">
        <v>379.9</v>
      </c>
      <c r="AB285">
        <v>0</v>
      </c>
    </row>
    <row r="286" spans="1:28" x14ac:dyDescent="0.2">
      <c r="A286">
        <v>540</v>
      </c>
      <c r="B286">
        <v>11</v>
      </c>
      <c r="C286">
        <v>18</v>
      </c>
      <c r="D286" t="s">
        <v>176</v>
      </c>
      <c r="E286">
        <v>8</v>
      </c>
      <c r="F286" t="s">
        <v>175</v>
      </c>
      <c r="G286" s="55">
        <v>46056.784722222219</v>
      </c>
      <c r="H286">
        <v>10</v>
      </c>
      <c r="I286" t="s">
        <v>503</v>
      </c>
      <c r="J286">
        <v>468</v>
      </c>
      <c r="K286" t="s">
        <v>138</v>
      </c>
      <c r="L286" t="s">
        <v>339</v>
      </c>
      <c r="M286" t="s">
        <v>140</v>
      </c>
      <c r="P286">
        <v>43</v>
      </c>
      <c r="Q286">
        <v>3999</v>
      </c>
      <c r="R286">
        <v>230</v>
      </c>
      <c r="S286">
        <v>399.9</v>
      </c>
      <c r="T286">
        <v>8277.93</v>
      </c>
      <c r="U286">
        <v>8677.83</v>
      </c>
      <c r="V286">
        <v>192.51</v>
      </c>
      <c r="W286">
        <v>0</v>
      </c>
      <c r="X286" t="s">
        <v>141</v>
      </c>
      <c r="Y286" s="55">
        <v>45980.75</v>
      </c>
      <c r="Z286">
        <v>399.9</v>
      </c>
      <c r="AA286">
        <v>399.9</v>
      </c>
      <c r="AB286">
        <v>0</v>
      </c>
    </row>
    <row r="287" spans="1:28" x14ac:dyDescent="0.2">
      <c r="A287">
        <v>541</v>
      </c>
      <c r="B287">
        <v>10</v>
      </c>
      <c r="C287">
        <v>10002</v>
      </c>
      <c r="D287" t="s">
        <v>161</v>
      </c>
      <c r="E287">
        <v>8</v>
      </c>
      <c r="F287" t="s">
        <v>175</v>
      </c>
      <c r="G287" s="55">
        <v>46056.790972222225</v>
      </c>
      <c r="H287">
        <v>78</v>
      </c>
      <c r="I287" t="s">
        <v>504</v>
      </c>
      <c r="J287">
        <v>446</v>
      </c>
      <c r="K287" t="s">
        <v>138</v>
      </c>
      <c r="L287" t="s">
        <v>222</v>
      </c>
      <c r="M287" t="s">
        <v>140</v>
      </c>
      <c r="P287">
        <v>43</v>
      </c>
      <c r="Q287">
        <v>5299</v>
      </c>
      <c r="R287">
        <v>230</v>
      </c>
      <c r="S287">
        <v>999</v>
      </c>
      <c r="T287">
        <v>9890</v>
      </c>
      <c r="U287">
        <v>10889</v>
      </c>
      <c r="V287">
        <v>230</v>
      </c>
      <c r="W287">
        <v>0</v>
      </c>
      <c r="X287" t="s">
        <v>141</v>
      </c>
      <c r="Y287" s="55">
        <v>45771.75</v>
      </c>
      <c r="Z287">
        <v>999</v>
      </c>
      <c r="AA287">
        <v>999</v>
      </c>
      <c r="AB287">
        <v>0</v>
      </c>
    </row>
    <row r="288" spans="1:28" x14ac:dyDescent="0.2">
      <c r="A288">
        <v>542</v>
      </c>
      <c r="B288">
        <v>5</v>
      </c>
      <c r="C288">
        <v>10</v>
      </c>
      <c r="D288" t="s">
        <v>215</v>
      </c>
      <c r="E288">
        <v>8</v>
      </c>
      <c r="F288" t="s">
        <v>175</v>
      </c>
      <c r="G288" s="55">
        <v>46056.850694444445</v>
      </c>
      <c r="H288">
        <v>9</v>
      </c>
      <c r="I288" t="s">
        <v>505</v>
      </c>
      <c r="J288">
        <v>394</v>
      </c>
      <c r="K288" t="s">
        <v>138</v>
      </c>
      <c r="L288" t="s">
        <v>224</v>
      </c>
      <c r="M288" t="s">
        <v>140</v>
      </c>
      <c r="P288">
        <v>35</v>
      </c>
      <c r="Q288">
        <v>5899</v>
      </c>
      <c r="R288">
        <v>210</v>
      </c>
      <c r="S288">
        <v>999</v>
      </c>
      <c r="T288">
        <v>10290</v>
      </c>
      <c r="U288">
        <v>11289</v>
      </c>
      <c r="V288">
        <v>294</v>
      </c>
      <c r="W288">
        <v>0</v>
      </c>
      <c r="X288" t="s">
        <v>141</v>
      </c>
      <c r="Y288" s="55">
        <v>45928.75</v>
      </c>
      <c r="Z288">
        <v>999</v>
      </c>
      <c r="AA288">
        <v>999</v>
      </c>
      <c r="AB288">
        <v>0</v>
      </c>
    </row>
    <row r="289" spans="1:28" x14ac:dyDescent="0.2">
      <c r="A289">
        <v>543</v>
      </c>
      <c r="B289">
        <v>11</v>
      </c>
      <c r="C289">
        <v>18</v>
      </c>
      <c r="D289" t="s">
        <v>176</v>
      </c>
      <c r="E289">
        <v>8</v>
      </c>
      <c r="F289" t="s">
        <v>175</v>
      </c>
      <c r="G289" s="55">
        <v>46056.984722222223</v>
      </c>
      <c r="H289">
        <v>63</v>
      </c>
      <c r="I289" t="s">
        <v>506</v>
      </c>
      <c r="J289">
        <v>477</v>
      </c>
      <c r="K289" t="s">
        <v>153</v>
      </c>
      <c r="L289" t="s">
        <v>222</v>
      </c>
      <c r="M289" t="s">
        <v>140</v>
      </c>
      <c r="P289">
        <v>35</v>
      </c>
      <c r="Q289">
        <v>5299</v>
      </c>
      <c r="R289">
        <v>210</v>
      </c>
      <c r="S289">
        <v>999</v>
      </c>
      <c r="T289">
        <v>9030</v>
      </c>
      <c r="U289">
        <v>10029</v>
      </c>
      <c r="V289">
        <v>258</v>
      </c>
      <c r="W289">
        <v>0</v>
      </c>
      <c r="X289" t="s">
        <v>141</v>
      </c>
      <c r="Y289" s="55">
        <v>45962.75</v>
      </c>
      <c r="Z289">
        <v>999</v>
      </c>
      <c r="AA289">
        <v>999</v>
      </c>
      <c r="AB289">
        <v>0</v>
      </c>
    </row>
    <row r="290" spans="1:28" x14ac:dyDescent="0.2">
      <c r="A290">
        <v>544</v>
      </c>
      <c r="B290">
        <v>12</v>
      </c>
      <c r="C290">
        <v>31</v>
      </c>
      <c r="D290" t="s">
        <v>170</v>
      </c>
      <c r="E290">
        <v>8</v>
      </c>
      <c r="F290" t="s">
        <v>175</v>
      </c>
      <c r="G290" s="55">
        <v>46057.458333333336</v>
      </c>
      <c r="H290">
        <v>9</v>
      </c>
      <c r="I290" t="s">
        <v>397</v>
      </c>
      <c r="J290">
        <v>41</v>
      </c>
      <c r="K290" t="s">
        <v>138</v>
      </c>
      <c r="L290" t="s">
        <v>224</v>
      </c>
      <c r="M290" t="s">
        <v>140</v>
      </c>
      <c r="P290">
        <v>43</v>
      </c>
      <c r="Q290">
        <v>5899</v>
      </c>
      <c r="R290">
        <v>170</v>
      </c>
      <c r="S290">
        <v>624.5</v>
      </c>
      <c r="T290">
        <v>8966.65</v>
      </c>
      <c r="U290">
        <v>9591.15</v>
      </c>
      <c r="V290">
        <v>208.53</v>
      </c>
      <c r="W290">
        <v>0</v>
      </c>
      <c r="X290" t="s">
        <v>141</v>
      </c>
      <c r="Y290" s="55">
        <v>45892.75</v>
      </c>
      <c r="Z290">
        <v>624.5</v>
      </c>
      <c r="AA290">
        <v>624.5</v>
      </c>
      <c r="AB290">
        <v>0</v>
      </c>
    </row>
    <row r="291" spans="1:28" x14ac:dyDescent="0.2">
      <c r="A291">
        <v>545</v>
      </c>
      <c r="B291">
        <v>9</v>
      </c>
      <c r="C291">
        <v>17</v>
      </c>
      <c r="D291" t="s">
        <v>335</v>
      </c>
      <c r="E291">
        <v>8</v>
      </c>
      <c r="F291" t="s">
        <v>175</v>
      </c>
      <c r="G291" s="55">
        <v>46057.505555555559</v>
      </c>
      <c r="H291">
        <v>54</v>
      </c>
      <c r="I291" t="s">
        <v>507</v>
      </c>
      <c r="J291">
        <v>466</v>
      </c>
      <c r="K291" t="s">
        <v>153</v>
      </c>
      <c r="L291" t="s">
        <v>195</v>
      </c>
      <c r="M291" t="s">
        <v>140</v>
      </c>
      <c r="P291">
        <v>43</v>
      </c>
      <c r="Q291">
        <v>3799</v>
      </c>
      <c r="R291">
        <v>230</v>
      </c>
      <c r="S291">
        <v>379.9</v>
      </c>
      <c r="T291">
        <v>7863.93</v>
      </c>
      <c r="U291">
        <v>8243.83</v>
      </c>
      <c r="V291">
        <v>182.88</v>
      </c>
      <c r="W291">
        <v>0</v>
      </c>
      <c r="X291" t="s">
        <v>141</v>
      </c>
      <c r="Y291" s="55">
        <v>45979.75</v>
      </c>
      <c r="Z291">
        <v>379.9</v>
      </c>
      <c r="AA291">
        <v>379.9</v>
      </c>
      <c r="AB291">
        <v>0</v>
      </c>
    </row>
    <row r="292" spans="1:28" x14ac:dyDescent="0.2">
      <c r="A292">
        <v>546</v>
      </c>
      <c r="B292">
        <v>12</v>
      </c>
      <c r="C292">
        <v>15</v>
      </c>
      <c r="D292" t="s">
        <v>148</v>
      </c>
      <c r="E292">
        <v>8</v>
      </c>
      <c r="F292" t="s">
        <v>175</v>
      </c>
      <c r="G292" s="55">
        <v>46057.570138888892</v>
      </c>
      <c r="H292">
        <v>59</v>
      </c>
      <c r="I292" t="s">
        <v>508</v>
      </c>
      <c r="J292">
        <v>367</v>
      </c>
      <c r="K292" t="s">
        <v>235</v>
      </c>
      <c r="L292" t="s">
        <v>236</v>
      </c>
      <c r="M292" t="s">
        <v>140</v>
      </c>
      <c r="P292">
        <v>35</v>
      </c>
      <c r="Q292">
        <v>3799</v>
      </c>
      <c r="R292">
        <v>210</v>
      </c>
      <c r="S292">
        <v>799</v>
      </c>
      <c r="T292">
        <v>6300</v>
      </c>
      <c r="U292">
        <v>7099</v>
      </c>
      <c r="V292">
        <v>180</v>
      </c>
      <c r="W292">
        <v>0</v>
      </c>
      <c r="X292" t="s">
        <v>141</v>
      </c>
      <c r="Y292" s="55">
        <v>45983.75</v>
      </c>
      <c r="Z292">
        <v>799</v>
      </c>
      <c r="AA292">
        <v>799</v>
      </c>
      <c r="AB292">
        <v>0</v>
      </c>
    </row>
    <row r="293" spans="1:28" x14ac:dyDescent="0.2">
      <c r="A293">
        <v>547</v>
      </c>
      <c r="B293">
        <v>9</v>
      </c>
      <c r="C293">
        <v>12</v>
      </c>
      <c r="D293" t="s">
        <v>187</v>
      </c>
      <c r="E293">
        <v>8</v>
      </c>
      <c r="F293" t="s">
        <v>175</v>
      </c>
      <c r="G293" s="55">
        <v>46057.673611111109</v>
      </c>
      <c r="H293">
        <v>46</v>
      </c>
      <c r="I293" t="s">
        <v>509</v>
      </c>
      <c r="J293">
        <v>547</v>
      </c>
      <c r="K293" t="s">
        <v>138</v>
      </c>
      <c r="L293" t="s">
        <v>139</v>
      </c>
      <c r="M293" t="s">
        <v>140</v>
      </c>
      <c r="N293">
        <v>4</v>
      </c>
      <c r="O293">
        <v>128</v>
      </c>
      <c r="P293">
        <v>15</v>
      </c>
      <c r="Q293">
        <v>3999</v>
      </c>
      <c r="R293">
        <v>150</v>
      </c>
      <c r="S293">
        <v>799</v>
      </c>
      <c r="T293">
        <v>4800</v>
      </c>
      <c r="U293">
        <v>5599</v>
      </c>
      <c r="V293">
        <v>320</v>
      </c>
      <c r="W293">
        <v>0</v>
      </c>
      <c r="X293" t="s">
        <v>141</v>
      </c>
      <c r="Y293" s="55">
        <v>46065.775000000001</v>
      </c>
      <c r="Z293">
        <v>799</v>
      </c>
      <c r="AA293">
        <v>799</v>
      </c>
      <c r="AB293">
        <v>0</v>
      </c>
    </row>
    <row r="294" spans="1:28" x14ac:dyDescent="0.2">
      <c r="A294">
        <v>548</v>
      </c>
      <c r="B294">
        <v>8</v>
      </c>
      <c r="C294">
        <v>5</v>
      </c>
      <c r="D294" t="s">
        <v>164</v>
      </c>
      <c r="E294">
        <v>8</v>
      </c>
      <c r="F294" t="s">
        <v>175</v>
      </c>
      <c r="G294" s="55">
        <v>46057.674305555556</v>
      </c>
      <c r="H294">
        <v>36</v>
      </c>
      <c r="I294" t="s">
        <v>510</v>
      </c>
      <c r="J294">
        <v>541</v>
      </c>
      <c r="K294" t="s">
        <v>153</v>
      </c>
      <c r="L294" t="s">
        <v>183</v>
      </c>
      <c r="M294" t="s">
        <v>140</v>
      </c>
      <c r="N294">
        <v>3</v>
      </c>
      <c r="O294">
        <v>64</v>
      </c>
      <c r="P294">
        <v>15</v>
      </c>
      <c r="Q294">
        <v>3799</v>
      </c>
      <c r="R294">
        <v>150</v>
      </c>
      <c r="S294">
        <v>799</v>
      </c>
      <c r="T294">
        <v>4499.97</v>
      </c>
      <c r="U294">
        <v>5298.97</v>
      </c>
      <c r="V294">
        <v>300</v>
      </c>
      <c r="W294">
        <v>0</v>
      </c>
      <c r="X294" t="s">
        <v>141</v>
      </c>
      <c r="Y294" s="55">
        <v>46057.686805555553</v>
      </c>
      <c r="Z294">
        <v>799</v>
      </c>
      <c r="AA294">
        <v>799</v>
      </c>
      <c r="AB294">
        <v>0</v>
      </c>
    </row>
    <row r="295" spans="1:28" x14ac:dyDescent="0.2">
      <c r="A295">
        <v>550</v>
      </c>
      <c r="B295">
        <v>11</v>
      </c>
      <c r="C295">
        <v>18</v>
      </c>
      <c r="D295" t="s">
        <v>176</v>
      </c>
      <c r="E295">
        <v>8</v>
      </c>
      <c r="F295" t="s">
        <v>175</v>
      </c>
      <c r="G295" s="55">
        <v>46057.765972222223</v>
      </c>
      <c r="H295">
        <v>55</v>
      </c>
      <c r="I295" t="s">
        <v>511</v>
      </c>
      <c r="J295">
        <v>380</v>
      </c>
      <c r="K295" t="s">
        <v>153</v>
      </c>
      <c r="L295" t="s">
        <v>209</v>
      </c>
      <c r="M295" t="s">
        <v>140</v>
      </c>
      <c r="P295">
        <v>35</v>
      </c>
      <c r="Q295">
        <v>5999</v>
      </c>
      <c r="R295">
        <v>210</v>
      </c>
      <c r="S295">
        <v>1000</v>
      </c>
      <c r="T295">
        <v>10497.9</v>
      </c>
      <c r="U295">
        <v>11497.9</v>
      </c>
      <c r="V295">
        <v>299.94</v>
      </c>
      <c r="W295">
        <v>0</v>
      </c>
      <c r="X295" t="s">
        <v>141</v>
      </c>
      <c r="Y295" s="55">
        <v>45951.75</v>
      </c>
      <c r="Z295">
        <v>1000</v>
      </c>
      <c r="AA295">
        <v>1000</v>
      </c>
      <c r="AB295">
        <v>0</v>
      </c>
    </row>
    <row r="296" spans="1:28" x14ac:dyDescent="0.2">
      <c r="A296">
        <v>551</v>
      </c>
      <c r="B296">
        <v>12</v>
      </c>
      <c r="C296">
        <v>10002</v>
      </c>
      <c r="D296" t="s">
        <v>161</v>
      </c>
      <c r="E296">
        <v>8</v>
      </c>
      <c r="F296" t="s">
        <v>175</v>
      </c>
      <c r="G296" s="55">
        <v>46057.817361111112</v>
      </c>
      <c r="H296">
        <v>1</v>
      </c>
      <c r="I296" t="s">
        <v>421</v>
      </c>
      <c r="J296">
        <v>429</v>
      </c>
      <c r="K296" t="s">
        <v>138</v>
      </c>
      <c r="L296" t="s">
        <v>217</v>
      </c>
      <c r="M296" t="s">
        <v>140</v>
      </c>
      <c r="P296">
        <v>43</v>
      </c>
      <c r="Q296">
        <v>9199</v>
      </c>
      <c r="R296">
        <v>170</v>
      </c>
      <c r="S296">
        <v>1249</v>
      </c>
      <c r="T296">
        <v>13515</v>
      </c>
      <c r="U296">
        <v>14764</v>
      </c>
      <c r="V296">
        <v>314.3</v>
      </c>
      <c r="W296">
        <v>0</v>
      </c>
      <c r="X296" t="s">
        <v>141</v>
      </c>
      <c r="Y296" s="55">
        <v>45833.75</v>
      </c>
      <c r="Z296">
        <v>1249</v>
      </c>
      <c r="AA296">
        <v>1249</v>
      </c>
      <c r="AB296">
        <v>0</v>
      </c>
    </row>
    <row r="297" spans="1:28" x14ac:dyDescent="0.2">
      <c r="A297">
        <v>552</v>
      </c>
      <c r="B297">
        <v>5</v>
      </c>
      <c r="C297">
        <v>10</v>
      </c>
      <c r="D297" t="s">
        <v>215</v>
      </c>
      <c r="E297">
        <v>8</v>
      </c>
      <c r="F297" t="s">
        <v>175</v>
      </c>
      <c r="G297" s="55">
        <v>46057.898611111108</v>
      </c>
      <c r="H297">
        <v>10</v>
      </c>
      <c r="I297" t="s">
        <v>512</v>
      </c>
      <c r="J297">
        <v>268</v>
      </c>
      <c r="K297" t="s">
        <v>138</v>
      </c>
      <c r="L297" t="s">
        <v>339</v>
      </c>
      <c r="M297" t="s">
        <v>140</v>
      </c>
      <c r="P297">
        <v>43</v>
      </c>
      <c r="Q297">
        <v>3999</v>
      </c>
      <c r="R297">
        <v>230</v>
      </c>
      <c r="S297">
        <v>399.9</v>
      </c>
      <c r="T297">
        <v>8277.93</v>
      </c>
      <c r="U297">
        <v>8677.83</v>
      </c>
      <c r="V297">
        <v>192.51</v>
      </c>
      <c r="W297">
        <v>0</v>
      </c>
      <c r="X297" t="s">
        <v>141</v>
      </c>
      <c r="Y297" s="55">
        <v>45973.75</v>
      </c>
      <c r="Z297">
        <v>399.9</v>
      </c>
      <c r="AA297">
        <v>399.9</v>
      </c>
      <c r="AB297">
        <v>0</v>
      </c>
    </row>
    <row r="298" spans="1:28" x14ac:dyDescent="0.2">
      <c r="A298">
        <v>553</v>
      </c>
      <c r="B298">
        <v>5</v>
      </c>
      <c r="C298">
        <v>10002</v>
      </c>
      <c r="D298" t="s">
        <v>161</v>
      </c>
      <c r="E298">
        <v>8</v>
      </c>
      <c r="F298" t="s">
        <v>175</v>
      </c>
      <c r="G298" s="55">
        <v>46057.959027777775</v>
      </c>
      <c r="H298">
        <v>63</v>
      </c>
      <c r="I298" t="s">
        <v>513</v>
      </c>
      <c r="J298">
        <v>427</v>
      </c>
      <c r="K298" t="s">
        <v>153</v>
      </c>
      <c r="L298" t="s">
        <v>222</v>
      </c>
      <c r="M298" t="s">
        <v>140</v>
      </c>
      <c r="P298">
        <v>50</v>
      </c>
      <c r="Q298">
        <v>7738</v>
      </c>
      <c r="R298">
        <v>100</v>
      </c>
      <c r="S298">
        <v>0</v>
      </c>
      <c r="T298">
        <v>7738</v>
      </c>
      <c r="U298">
        <v>7738</v>
      </c>
      <c r="V298">
        <v>154.76</v>
      </c>
      <c r="W298">
        <v>0</v>
      </c>
      <c r="X298" t="s">
        <v>141</v>
      </c>
      <c r="Y298" s="55">
        <v>45980.75</v>
      </c>
      <c r="Z298">
        <v>0</v>
      </c>
      <c r="AA298">
        <v>0</v>
      </c>
      <c r="AB298">
        <v>0</v>
      </c>
    </row>
    <row r="299" spans="1:28" x14ac:dyDescent="0.2">
      <c r="A299">
        <v>554</v>
      </c>
      <c r="B299">
        <v>7</v>
      </c>
      <c r="C299">
        <v>21</v>
      </c>
      <c r="D299" t="s">
        <v>189</v>
      </c>
      <c r="E299">
        <v>8</v>
      </c>
      <c r="F299" t="s">
        <v>175</v>
      </c>
      <c r="G299" s="55">
        <v>46058.574999999997</v>
      </c>
      <c r="H299">
        <v>54</v>
      </c>
      <c r="I299" t="s">
        <v>514</v>
      </c>
      <c r="J299">
        <v>350</v>
      </c>
      <c r="K299" t="s">
        <v>153</v>
      </c>
      <c r="L299" t="s">
        <v>195</v>
      </c>
      <c r="M299" t="s">
        <v>196</v>
      </c>
      <c r="N299">
        <v>3</v>
      </c>
      <c r="O299">
        <v>64</v>
      </c>
      <c r="P299">
        <v>43</v>
      </c>
      <c r="Q299">
        <v>3799</v>
      </c>
      <c r="R299">
        <v>230</v>
      </c>
      <c r="S299">
        <v>799</v>
      </c>
      <c r="T299">
        <v>6900</v>
      </c>
      <c r="U299">
        <v>7699</v>
      </c>
      <c r="V299">
        <v>160</v>
      </c>
      <c r="W299">
        <v>0</v>
      </c>
      <c r="X299" t="s">
        <v>141</v>
      </c>
      <c r="Y299" s="55">
        <v>45927.75</v>
      </c>
      <c r="Z299">
        <v>799</v>
      </c>
      <c r="AA299">
        <v>799</v>
      </c>
      <c r="AB299">
        <v>0</v>
      </c>
    </row>
    <row r="300" spans="1:28" x14ac:dyDescent="0.2">
      <c r="A300">
        <v>555</v>
      </c>
      <c r="B300">
        <v>8</v>
      </c>
      <c r="C300">
        <v>5</v>
      </c>
      <c r="D300" t="s">
        <v>164</v>
      </c>
      <c r="E300">
        <v>8</v>
      </c>
      <c r="F300" t="s">
        <v>175</v>
      </c>
      <c r="G300" s="55">
        <v>46058.652777777781</v>
      </c>
      <c r="H300">
        <v>62</v>
      </c>
      <c r="I300" t="s">
        <v>515</v>
      </c>
      <c r="J300">
        <v>281</v>
      </c>
      <c r="K300" t="s">
        <v>153</v>
      </c>
      <c r="L300" t="s">
        <v>516</v>
      </c>
      <c r="M300" t="s">
        <v>140</v>
      </c>
      <c r="P300">
        <v>43</v>
      </c>
      <c r="Q300">
        <v>5999</v>
      </c>
      <c r="R300">
        <v>230</v>
      </c>
      <c r="S300">
        <v>599.9</v>
      </c>
      <c r="T300">
        <v>12417.93</v>
      </c>
      <c r="U300">
        <v>13017.83</v>
      </c>
      <c r="V300">
        <v>288.79000000000002</v>
      </c>
      <c r="W300">
        <v>0</v>
      </c>
      <c r="X300" t="s">
        <v>141</v>
      </c>
      <c r="Y300" s="55">
        <v>45976.75</v>
      </c>
      <c r="Z300">
        <v>599.9</v>
      </c>
      <c r="AA300">
        <v>599.9</v>
      </c>
      <c r="AB300">
        <v>0</v>
      </c>
    </row>
    <row r="301" spans="1:28" x14ac:dyDescent="0.2">
      <c r="A301">
        <v>556</v>
      </c>
      <c r="B301">
        <v>8</v>
      </c>
      <c r="C301">
        <v>5</v>
      </c>
      <c r="D301" t="s">
        <v>164</v>
      </c>
      <c r="E301">
        <v>8</v>
      </c>
      <c r="F301" t="s">
        <v>175</v>
      </c>
      <c r="G301" s="55">
        <v>46058.734027777777</v>
      </c>
      <c r="H301">
        <v>1</v>
      </c>
      <c r="I301" t="s">
        <v>517</v>
      </c>
      <c r="J301">
        <v>388</v>
      </c>
      <c r="K301" t="s">
        <v>138</v>
      </c>
      <c r="L301" t="s">
        <v>217</v>
      </c>
      <c r="M301" t="s">
        <v>140</v>
      </c>
      <c r="P301">
        <v>26</v>
      </c>
      <c r="Q301">
        <v>9099</v>
      </c>
      <c r="R301">
        <v>160</v>
      </c>
      <c r="S301">
        <v>1249.5</v>
      </c>
      <c r="T301">
        <v>12559.2</v>
      </c>
      <c r="U301">
        <v>13808.7</v>
      </c>
      <c r="V301">
        <v>483.05</v>
      </c>
      <c r="W301">
        <v>0</v>
      </c>
      <c r="X301" t="s">
        <v>141</v>
      </c>
      <c r="Y301" s="55">
        <v>45924.75</v>
      </c>
      <c r="Z301">
        <v>1249.5</v>
      </c>
      <c r="AA301">
        <v>1249.5</v>
      </c>
      <c r="AB301">
        <v>0</v>
      </c>
    </row>
    <row r="302" spans="1:28" x14ac:dyDescent="0.2">
      <c r="A302">
        <v>557</v>
      </c>
      <c r="B302">
        <v>7</v>
      </c>
      <c r="C302">
        <v>11</v>
      </c>
      <c r="D302" t="s">
        <v>230</v>
      </c>
      <c r="E302">
        <v>8</v>
      </c>
      <c r="F302" t="s">
        <v>175</v>
      </c>
      <c r="G302" s="55">
        <v>46058.756944444445</v>
      </c>
      <c r="H302">
        <v>54</v>
      </c>
      <c r="I302" t="s">
        <v>514</v>
      </c>
      <c r="J302">
        <v>350</v>
      </c>
      <c r="K302" t="s">
        <v>153</v>
      </c>
      <c r="L302" t="s">
        <v>195</v>
      </c>
      <c r="M302" t="s">
        <v>140</v>
      </c>
      <c r="P302">
        <v>26</v>
      </c>
      <c r="Q302">
        <v>3799</v>
      </c>
      <c r="R302">
        <v>190</v>
      </c>
      <c r="S302">
        <v>799</v>
      </c>
      <c r="T302">
        <v>5700</v>
      </c>
      <c r="U302">
        <v>6499</v>
      </c>
      <c r="V302">
        <v>219.23</v>
      </c>
      <c r="W302">
        <v>0</v>
      </c>
      <c r="X302" t="s">
        <v>141</v>
      </c>
      <c r="Y302" s="55">
        <v>45884.75</v>
      </c>
      <c r="Z302">
        <v>799</v>
      </c>
      <c r="AA302">
        <v>799</v>
      </c>
      <c r="AB302">
        <v>0</v>
      </c>
    </row>
    <row r="303" spans="1:28" x14ac:dyDescent="0.2">
      <c r="A303">
        <v>558</v>
      </c>
      <c r="B303">
        <v>3</v>
      </c>
      <c r="C303">
        <v>10002</v>
      </c>
      <c r="D303" t="s">
        <v>161</v>
      </c>
      <c r="E303">
        <v>8</v>
      </c>
      <c r="F303" t="s">
        <v>175</v>
      </c>
      <c r="G303" s="55">
        <v>46058.759722222225</v>
      </c>
      <c r="H303">
        <v>50</v>
      </c>
      <c r="I303" t="s">
        <v>518</v>
      </c>
      <c r="J303">
        <v>558</v>
      </c>
      <c r="K303" t="s">
        <v>158</v>
      </c>
      <c r="L303" t="s">
        <v>159</v>
      </c>
      <c r="M303" t="s">
        <v>150</v>
      </c>
      <c r="N303">
        <v>128</v>
      </c>
      <c r="O303">
        <v>4</v>
      </c>
      <c r="P303">
        <v>35</v>
      </c>
      <c r="Q303">
        <v>3999</v>
      </c>
      <c r="R303">
        <v>165</v>
      </c>
      <c r="S303">
        <v>0</v>
      </c>
      <c r="T303">
        <v>6598.35</v>
      </c>
      <c r="U303">
        <v>6598.35</v>
      </c>
      <c r="V303">
        <v>188.52</v>
      </c>
      <c r="W303">
        <v>1</v>
      </c>
      <c r="X303" t="s">
        <v>141</v>
      </c>
      <c r="Y303" s="55">
        <v>46077.914583333331</v>
      </c>
      <c r="Z303">
        <v>0</v>
      </c>
      <c r="AA303">
        <v>0</v>
      </c>
      <c r="AB303">
        <v>0</v>
      </c>
    </row>
    <row r="304" spans="1:28" x14ac:dyDescent="0.2">
      <c r="A304">
        <v>559</v>
      </c>
      <c r="B304">
        <v>7</v>
      </c>
      <c r="C304">
        <v>10002</v>
      </c>
      <c r="D304" t="s">
        <v>161</v>
      </c>
      <c r="E304">
        <v>8</v>
      </c>
      <c r="F304" t="s">
        <v>175</v>
      </c>
      <c r="G304" s="55">
        <v>46058.769444444442</v>
      </c>
      <c r="H304">
        <v>9</v>
      </c>
      <c r="I304" t="s">
        <v>189</v>
      </c>
      <c r="J304">
        <v>385</v>
      </c>
      <c r="K304" t="s">
        <v>138</v>
      </c>
      <c r="L304" t="s">
        <v>224</v>
      </c>
      <c r="M304" t="s">
        <v>140</v>
      </c>
      <c r="P304">
        <v>20</v>
      </c>
      <c r="Q304">
        <v>5899</v>
      </c>
      <c r="R304">
        <v>100</v>
      </c>
      <c r="S304">
        <v>0</v>
      </c>
      <c r="T304">
        <v>5899</v>
      </c>
      <c r="U304">
        <v>5899</v>
      </c>
      <c r="V304">
        <v>294.95</v>
      </c>
      <c r="W304">
        <v>0</v>
      </c>
      <c r="X304" t="s">
        <v>141</v>
      </c>
      <c r="Y304" s="55">
        <v>45930.75</v>
      </c>
      <c r="Z304">
        <v>0</v>
      </c>
      <c r="AA304">
        <v>0</v>
      </c>
      <c r="AB304">
        <v>0</v>
      </c>
    </row>
    <row r="305" spans="1:28" x14ac:dyDescent="0.2">
      <c r="A305">
        <v>560</v>
      </c>
      <c r="B305">
        <v>3</v>
      </c>
      <c r="C305">
        <v>10002</v>
      </c>
      <c r="D305" t="s">
        <v>161</v>
      </c>
      <c r="E305">
        <v>8</v>
      </c>
      <c r="F305" t="s">
        <v>175</v>
      </c>
      <c r="G305" s="55">
        <v>46058.929861111108</v>
      </c>
      <c r="H305">
        <v>1</v>
      </c>
      <c r="I305" t="s">
        <v>519</v>
      </c>
      <c r="J305">
        <v>267</v>
      </c>
      <c r="K305" t="s">
        <v>138</v>
      </c>
      <c r="L305" t="s">
        <v>217</v>
      </c>
      <c r="M305" t="s">
        <v>140</v>
      </c>
      <c r="P305">
        <v>20</v>
      </c>
      <c r="Q305">
        <v>9099</v>
      </c>
      <c r="R305">
        <v>100</v>
      </c>
      <c r="S305">
        <v>0</v>
      </c>
      <c r="T305">
        <v>9099</v>
      </c>
      <c r="U305">
        <v>9099</v>
      </c>
      <c r="V305">
        <v>454.95</v>
      </c>
      <c r="W305">
        <v>0</v>
      </c>
      <c r="X305" t="s">
        <v>141</v>
      </c>
      <c r="Y305" s="55">
        <v>45972.75</v>
      </c>
      <c r="Z305">
        <v>0</v>
      </c>
      <c r="AA305">
        <v>0</v>
      </c>
      <c r="AB305">
        <v>0</v>
      </c>
    </row>
    <row r="306" spans="1:28" x14ac:dyDescent="0.2">
      <c r="A306">
        <v>561</v>
      </c>
      <c r="B306">
        <v>7</v>
      </c>
      <c r="C306">
        <v>21</v>
      </c>
      <c r="D306" t="s">
        <v>189</v>
      </c>
      <c r="E306">
        <v>8</v>
      </c>
      <c r="F306" t="s">
        <v>175</v>
      </c>
      <c r="G306" s="55">
        <v>46059.55</v>
      </c>
      <c r="H306">
        <v>41</v>
      </c>
      <c r="I306" t="s">
        <v>520</v>
      </c>
      <c r="J306">
        <v>379</v>
      </c>
      <c r="K306" t="s">
        <v>204</v>
      </c>
      <c r="L306" t="s">
        <v>521</v>
      </c>
      <c r="M306" t="s">
        <v>140</v>
      </c>
      <c r="P306">
        <v>15</v>
      </c>
      <c r="Q306">
        <v>5799</v>
      </c>
      <c r="R306">
        <v>150</v>
      </c>
      <c r="S306">
        <v>999</v>
      </c>
      <c r="T306">
        <v>7200</v>
      </c>
      <c r="U306">
        <v>8199</v>
      </c>
      <c r="V306">
        <v>480</v>
      </c>
      <c r="W306">
        <v>0</v>
      </c>
      <c r="X306" t="s">
        <v>141</v>
      </c>
      <c r="Y306" s="55">
        <v>45941.75</v>
      </c>
      <c r="Z306">
        <v>999</v>
      </c>
      <c r="AA306">
        <v>999</v>
      </c>
      <c r="AB306">
        <v>0</v>
      </c>
    </row>
    <row r="307" spans="1:28" x14ac:dyDescent="0.2">
      <c r="A307">
        <v>562</v>
      </c>
      <c r="B307">
        <v>12</v>
      </c>
      <c r="C307">
        <v>31</v>
      </c>
      <c r="D307" t="s">
        <v>170</v>
      </c>
      <c r="E307">
        <v>8</v>
      </c>
      <c r="F307" t="s">
        <v>175</v>
      </c>
      <c r="G307" s="55">
        <v>46059.552083333336</v>
      </c>
      <c r="H307">
        <v>5</v>
      </c>
      <c r="I307" t="s">
        <v>522</v>
      </c>
      <c r="J307">
        <v>454</v>
      </c>
      <c r="K307" t="s">
        <v>138</v>
      </c>
      <c r="L307" t="s">
        <v>166</v>
      </c>
      <c r="M307" t="s">
        <v>140</v>
      </c>
      <c r="P307">
        <v>43</v>
      </c>
      <c r="Q307">
        <v>6399</v>
      </c>
      <c r="R307">
        <v>230</v>
      </c>
      <c r="S307">
        <v>639.9</v>
      </c>
      <c r="T307">
        <v>13245.93</v>
      </c>
      <c r="U307">
        <v>13885.83</v>
      </c>
      <c r="V307">
        <v>308.05</v>
      </c>
      <c r="W307">
        <v>0</v>
      </c>
      <c r="X307" t="s">
        <v>141</v>
      </c>
      <c r="Y307" s="55">
        <v>45981.75</v>
      </c>
      <c r="Z307">
        <v>639.9</v>
      </c>
      <c r="AA307">
        <v>639.9</v>
      </c>
      <c r="AB307">
        <v>0</v>
      </c>
    </row>
    <row r="308" spans="1:28" x14ac:dyDescent="0.2">
      <c r="A308">
        <v>563</v>
      </c>
      <c r="B308">
        <v>13</v>
      </c>
      <c r="C308">
        <v>31</v>
      </c>
      <c r="D308" t="s">
        <v>170</v>
      </c>
      <c r="E308">
        <v>8</v>
      </c>
      <c r="F308" t="s">
        <v>175</v>
      </c>
      <c r="G308" s="55">
        <v>46059.706944444442</v>
      </c>
      <c r="H308">
        <v>67</v>
      </c>
      <c r="I308" t="s">
        <v>523</v>
      </c>
      <c r="J308">
        <v>393</v>
      </c>
      <c r="K308" t="s">
        <v>158</v>
      </c>
      <c r="L308" t="s">
        <v>524</v>
      </c>
      <c r="M308" t="s">
        <v>140</v>
      </c>
      <c r="P308">
        <v>43</v>
      </c>
      <c r="Q308">
        <v>9499</v>
      </c>
      <c r="R308">
        <v>230</v>
      </c>
      <c r="S308">
        <v>2499</v>
      </c>
      <c r="T308">
        <v>16100</v>
      </c>
      <c r="U308">
        <v>18599</v>
      </c>
      <c r="V308">
        <v>374.42</v>
      </c>
      <c r="W308">
        <v>0</v>
      </c>
      <c r="X308" t="s">
        <v>141</v>
      </c>
      <c r="Y308" s="55">
        <v>45926.75</v>
      </c>
      <c r="Z308">
        <v>2499</v>
      </c>
      <c r="AA308">
        <v>2499</v>
      </c>
      <c r="AB308">
        <v>0</v>
      </c>
    </row>
    <row r="309" spans="1:28" x14ac:dyDescent="0.2">
      <c r="A309">
        <v>564</v>
      </c>
      <c r="B309">
        <v>12</v>
      </c>
      <c r="C309">
        <v>25</v>
      </c>
      <c r="D309" t="s">
        <v>151</v>
      </c>
      <c r="E309">
        <v>8</v>
      </c>
      <c r="F309" t="s">
        <v>175</v>
      </c>
      <c r="G309" s="55">
        <v>46059.709027777775</v>
      </c>
      <c r="H309">
        <v>55</v>
      </c>
      <c r="I309" t="s">
        <v>525</v>
      </c>
      <c r="J309">
        <v>256</v>
      </c>
      <c r="K309" t="s">
        <v>153</v>
      </c>
      <c r="L309" t="s">
        <v>209</v>
      </c>
      <c r="M309" t="s">
        <v>140</v>
      </c>
      <c r="P309">
        <v>35</v>
      </c>
      <c r="Q309">
        <v>5999</v>
      </c>
      <c r="R309">
        <v>210</v>
      </c>
      <c r="S309">
        <v>1249</v>
      </c>
      <c r="T309">
        <v>9975</v>
      </c>
      <c r="U309">
        <v>11224</v>
      </c>
      <c r="V309">
        <v>285</v>
      </c>
      <c r="W309">
        <v>0</v>
      </c>
      <c r="X309" t="s">
        <v>141</v>
      </c>
      <c r="Y309" s="55">
        <v>45953.75</v>
      </c>
      <c r="Z309">
        <v>1249</v>
      </c>
      <c r="AA309">
        <v>1249</v>
      </c>
      <c r="AB309">
        <v>0</v>
      </c>
    </row>
    <row r="310" spans="1:28" x14ac:dyDescent="0.2">
      <c r="A310">
        <v>565</v>
      </c>
      <c r="B310">
        <v>13</v>
      </c>
      <c r="C310">
        <v>31</v>
      </c>
      <c r="D310" t="s">
        <v>170</v>
      </c>
      <c r="E310">
        <v>8</v>
      </c>
      <c r="F310" t="s">
        <v>175</v>
      </c>
      <c r="G310" s="55">
        <v>46059.734027777777</v>
      </c>
      <c r="H310">
        <v>55</v>
      </c>
      <c r="I310" t="s">
        <v>526</v>
      </c>
      <c r="J310">
        <v>351</v>
      </c>
      <c r="K310" t="s">
        <v>153</v>
      </c>
      <c r="L310" t="s">
        <v>209</v>
      </c>
      <c r="M310" t="s">
        <v>196</v>
      </c>
      <c r="N310">
        <v>8</v>
      </c>
      <c r="O310">
        <v>256</v>
      </c>
      <c r="P310">
        <v>43</v>
      </c>
      <c r="Q310">
        <v>5999</v>
      </c>
      <c r="R310">
        <v>230</v>
      </c>
      <c r="S310">
        <v>599.9</v>
      </c>
      <c r="T310">
        <v>12417.93</v>
      </c>
      <c r="U310">
        <v>13017.83</v>
      </c>
      <c r="V310">
        <v>288.79000000000002</v>
      </c>
      <c r="W310">
        <v>0</v>
      </c>
      <c r="X310" t="s">
        <v>141</v>
      </c>
      <c r="Y310" s="55">
        <v>45976.75</v>
      </c>
      <c r="Z310">
        <v>599.9</v>
      </c>
      <c r="AA310">
        <v>599.9</v>
      </c>
      <c r="AB310">
        <v>0</v>
      </c>
    </row>
    <row r="311" spans="1:28" x14ac:dyDescent="0.2">
      <c r="A311">
        <v>566</v>
      </c>
      <c r="B311">
        <v>8</v>
      </c>
      <c r="C311">
        <v>5</v>
      </c>
      <c r="D311" t="s">
        <v>164</v>
      </c>
      <c r="E311">
        <v>8</v>
      </c>
      <c r="F311" t="s">
        <v>175</v>
      </c>
      <c r="G311" s="55">
        <v>46059.761111111111</v>
      </c>
      <c r="H311">
        <v>34</v>
      </c>
      <c r="I311" t="s">
        <v>527</v>
      </c>
      <c r="J311">
        <v>542</v>
      </c>
      <c r="K311" t="s">
        <v>153</v>
      </c>
      <c r="L311" t="s">
        <v>169</v>
      </c>
      <c r="M311" t="s">
        <v>198</v>
      </c>
      <c r="N311">
        <v>4</v>
      </c>
      <c r="O311">
        <v>128</v>
      </c>
      <c r="P311">
        <v>43</v>
      </c>
      <c r="Q311">
        <v>5299</v>
      </c>
      <c r="R311">
        <v>230</v>
      </c>
      <c r="S311">
        <v>999</v>
      </c>
      <c r="T311">
        <v>9890.02</v>
      </c>
      <c r="U311">
        <v>10889.02</v>
      </c>
      <c r="V311">
        <v>230</v>
      </c>
      <c r="W311">
        <v>0</v>
      </c>
      <c r="X311" t="s">
        <v>141</v>
      </c>
      <c r="Y311" s="55">
        <v>46059.775000000001</v>
      </c>
      <c r="Z311">
        <v>999</v>
      </c>
      <c r="AA311">
        <v>999</v>
      </c>
      <c r="AB311">
        <v>0</v>
      </c>
    </row>
    <row r="312" spans="1:28" x14ac:dyDescent="0.2">
      <c r="A312">
        <v>567</v>
      </c>
      <c r="B312">
        <v>4</v>
      </c>
      <c r="C312">
        <v>10002</v>
      </c>
      <c r="D312" t="s">
        <v>161</v>
      </c>
      <c r="E312">
        <v>8</v>
      </c>
      <c r="F312" t="s">
        <v>175</v>
      </c>
      <c r="G312" s="55">
        <v>46059.763194444444</v>
      </c>
      <c r="H312">
        <v>54</v>
      </c>
      <c r="I312" t="s">
        <v>528</v>
      </c>
      <c r="J312">
        <v>353</v>
      </c>
      <c r="K312" t="s">
        <v>153</v>
      </c>
      <c r="L312" t="s">
        <v>195</v>
      </c>
      <c r="M312" t="s">
        <v>196</v>
      </c>
      <c r="N312">
        <v>3</v>
      </c>
      <c r="O312">
        <v>64</v>
      </c>
      <c r="P312">
        <v>15</v>
      </c>
      <c r="Q312">
        <v>3799</v>
      </c>
      <c r="R312">
        <v>150</v>
      </c>
      <c r="S312">
        <v>799</v>
      </c>
      <c r="T312">
        <v>4500</v>
      </c>
      <c r="U312">
        <v>5299</v>
      </c>
      <c r="V312">
        <v>300</v>
      </c>
      <c r="W312">
        <v>0</v>
      </c>
      <c r="X312" t="s">
        <v>141</v>
      </c>
      <c r="Y312" s="55">
        <v>46023.75</v>
      </c>
      <c r="Z312">
        <v>799</v>
      </c>
      <c r="AA312">
        <v>799</v>
      </c>
      <c r="AB312">
        <v>0</v>
      </c>
    </row>
    <row r="313" spans="1:28" x14ac:dyDescent="0.2">
      <c r="A313">
        <v>568</v>
      </c>
      <c r="B313">
        <v>11</v>
      </c>
      <c r="C313">
        <v>13</v>
      </c>
      <c r="D313" t="s">
        <v>167</v>
      </c>
      <c r="E313">
        <v>8</v>
      </c>
      <c r="F313" t="s">
        <v>175</v>
      </c>
      <c r="G313" s="55">
        <v>46059.76458333333</v>
      </c>
      <c r="H313">
        <v>46</v>
      </c>
      <c r="I313" t="s">
        <v>529</v>
      </c>
      <c r="J313">
        <v>172</v>
      </c>
      <c r="K313" t="s">
        <v>138</v>
      </c>
      <c r="L313" t="s">
        <v>139</v>
      </c>
      <c r="M313" t="s">
        <v>140</v>
      </c>
      <c r="P313">
        <v>18</v>
      </c>
      <c r="Q313">
        <v>3799</v>
      </c>
      <c r="R313">
        <v>170</v>
      </c>
      <c r="S313">
        <v>799</v>
      </c>
      <c r="T313">
        <v>5100</v>
      </c>
      <c r="U313">
        <v>5899</v>
      </c>
      <c r="V313">
        <v>283.33</v>
      </c>
      <c r="W313">
        <v>0</v>
      </c>
      <c r="X313" t="s">
        <v>141</v>
      </c>
      <c r="Y313" s="55">
        <v>45863.75</v>
      </c>
      <c r="Z313">
        <v>799</v>
      </c>
      <c r="AA313">
        <v>799</v>
      </c>
      <c r="AB313">
        <v>0</v>
      </c>
    </row>
    <row r="314" spans="1:28" x14ac:dyDescent="0.2">
      <c r="A314">
        <v>569</v>
      </c>
      <c r="B314">
        <v>9</v>
      </c>
      <c r="C314">
        <v>10002</v>
      </c>
      <c r="D314" t="s">
        <v>161</v>
      </c>
      <c r="E314">
        <v>8</v>
      </c>
      <c r="F314" t="s">
        <v>175</v>
      </c>
      <c r="G314" s="55">
        <v>46059.780555555553</v>
      </c>
      <c r="H314">
        <v>4</v>
      </c>
      <c r="I314" t="s">
        <v>187</v>
      </c>
      <c r="J314">
        <v>347</v>
      </c>
      <c r="K314" t="s">
        <v>138</v>
      </c>
      <c r="L314" t="s">
        <v>530</v>
      </c>
      <c r="M314" t="s">
        <v>531</v>
      </c>
      <c r="N314">
        <v>8</v>
      </c>
      <c r="O314">
        <v>512</v>
      </c>
      <c r="P314">
        <v>20</v>
      </c>
      <c r="Q314">
        <v>8199</v>
      </c>
      <c r="R314">
        <v>100</v>
      </c>
      <c r="S314">
        <v>0</v>
      </c>
      <c r="T314">
        <v>8199</v>
      </c>
      <c r="U314">
        <v>8199</v>
      </c>
      <c r="V314">
        <v>409.95</v>
      </c>
      <c r="W314">
        <v>0</v>
      </c>
      <c r="X314" t="s">
        <v>141</v>
      </c>
      <c r="Y314" s="55">
        <v>45977.75</v>
      </c>
      <c r="Z314">
        <v>0</v>
      </c>
      <c r="AA314">
        <v>0</v>
      </c>
      <c r="AB314">
        <v>0</v>
      </c>
    </row>
    <row r="315" spans="1:28" x14ac:dyDescent="0.2">
      <c r="A315">
        <v>570</v>
      </c>
      <c r="B315">
        <v>8</v>
      </c>
      <c r="C315">
        <v>5</v>
      </c>
      <c r="D315" t="s">
        <v>164</v>
      </c>
      <c r="E315">
        <v>8</v>
      </c>
      <c r="F315" t="s">
        <v>175</v>
      </c>
      <c r="G315" s="55">
        <v>46059.802777777775</v>
      </c>
      <c r="H315">
        <v>54</v>
      </c>
      <c r="I315" t="s">
        <v>532</v>
      </c>
      <c r="J315">
        <v>188</v>
      </c>
      <c r="K315" t="s">
        <v>153</v>
      </c>
      <c r="L315" t="s">
        <v>195</v>
      </c>
      <c r="M315" t="s">
        <v>196</v>
      </c>
      <c r="N315">
        <v>3</v>
      </c>
      <c r="O315">
        <v>64</v>
      </c>
      <c r="P315">
        <v>35</v>
      </c>
      <c r="Q315">
        <v>3799</v>
      </c>
      <c r="R315">
        <v>210</v>
      </c>
      <c r="S315">
        <v>799</v>
      </c>
      <c r="T315">
        <v>6300</v>
      </c>
      <c r="U315">
        <v>7099</v>
      </c>
      <c r="V315">
        <v>180</v>
      </c>
      <c r="W315">
        <v>0</v>
      </c>
      <c r="X315" t="s">
        <v>141</v>
      </c>
      <c r="Y315" s="55">
        <v>45875.75</v>
      </c>
      <c r="Z315">
        <v>799</v>
      </c>
      <c r="AA315">
        <v>799</v>
      </c>
      <c r="AB315">
        <v>0</v>
      </c>
    </row>
    <row r="316" spans="1:28" x14ac:dyDescent="0.2">
      <c r="A316">
        <v>571</v>
      </c>
      <c r="B316">
        <v>7</v>
      </c>
      <c r="C316">
        <v>21</v>
      </c>
      <c r="D316" t="s">
        <v>189</v>
      </c>
      <c r="E316">
        <v>8</v>
      </c>
      <c r="F316" t="s">
        <v>175</v>
      </c>
      <c r="G316" s="55">
        <v>46059.828472222223</v>
      </c>
      <c r="H316">
        <v>55</v>
      </c>
      <c r="I316" t="s">
        <v>533</v>
      </c>
      <c r="J316">
        <v>467</v>
      </c>
      <c r="K316" t="s">
        <v>153</v>
      </c>
      <c r="L316" t="s">
        <v>209</v>
      </c>
      <c r="M316" t="s">
        <v>140</v>
      </c>
      <c r="P316">
        <v>43</v>
      </c>
      <c r="Q316">
        <v>5999</v>
      </c>
      <c r="R316">
        <v>230</v>
      </c>
      <c r="S316">
        <v>599.9</v>
      </c>
      <c r="T316">
        <v>12417.93</v>
      </c>
      <c r="U316">
        <v>13017.83</v>
      </c>
      <c r="V316">
        <v>288.79000000000002</v>
      </c>
      <c r="W316">
        <v>0</v>
      </c>
      <c r="X316" t="s">
        <v>141</v>
      </c>
      <c r="Y316" s="55">
        <v>45981.75</v>
      </c>
      <c r="Z316">
        <v>599.9</v>
      </c>
      <c r="AA316">
        <v>599.9</v>
      </c>
      <c r="AB316">
        <v>0</v>
      </c>
    </row>
    <row r="317" spans="1:28" x14ac:dyDescent="0.2">
      <c r="A317">
        <v>572</v>
      </c>
      <c r="B317">
        <v>10</v>
      </c>
      <c r="C317">
        <v>24</v>
      </c>
      <c r="D317" t="s">
        <v>207</v>
      </c>
      <c r="E317">
        <v>8</v>
      </c>
      <c r="F317" t="s">
        <v>175</v>
      </c>
      <c r="G317" s="55">
        <v>46059.840277777781</v>
      </c>
      <c r="H317">
        <v>64</v>
      </c>
      <c r="I317" t="s">
        <v>534</v>
      </c>
      <c r="J317">
        <v>244</v>
      </c>
      <c r="K317" t="s">
        <v>138</v>
      </c>
      <c r="L317" t="s">
        <v>407</v>
      </c>
      <c r="M317" t="s">
        <v>140</v>
      </c>
      <c r="P317">
        <v>15</v>
      </c>
      <c r="Q317">
        <v>4999</v>
      </c>
      <c r="R317">
        <v>150</v>
      </c>
      <c r="S317">
        <v>999</v>
      </c>
      <c r="T317">
        <v>6000</v>
      </c>
      <c r="U317">
        <v>6999</v>
      </c>
      <c r="V317">
        <v>400</v>
      </c>
      <c r="W317">
        <v>0</v>
      </c>
      <c r="X317" t="s">
        <v>141</v>
      </c>
      <c r="Y317" s="55">
        <v>45937.75</v>
      </c>
      <c r="Z317">
        <v>999</v>
      </c>
      <c r="AA317">
        <v>999</v>
      </c>
      <c r="AB317">
        <v>0</v>
      </c>
    </row>
    <row r="318" spans="1:28" x14ac:dyDescent="0.2">
      <c r="A318">
        <v>575</v>
      </c>
      <c r="B318">
        <v>10</v>
      </c>
      <c r="C318">
        <v>24</v>
      </c>
      <c r="D318" t="s">
        <v>207</v>
      </c>
      <c r="E318">
        <v>8</v>
      </c>
      <c r="F318" t="s">
        <v>175</v>
      </c>
      <c r="G318" s="55">
        <v>46060.440972222219</v>
      </c>
      <c r="H318">
        <v>54</v>
      </c>
      <c r="I318" t="s">
        <v>396</v>
      </c>
      <c r="J318">
        <v>12</v>
      </c>
      <c r="K318" t="s">
        <v>153</v>
      </c>
      <c r="L318" t="s">
        <v>195</v>
      </c>
      <c r="M318" t="s">
        <v>140</v>
      </c>
      <c r="P318">
        <v>26</v>
      </c>
      <c r="Q318">
        <v>3799</v>
      </c>
      <c r="R318">
        <v>160</v>
      </c>
      <c r="S318">
        <v>399.5</v>
      </c>
      <c r="T318">
        <v>5439.2</v>
      </c>
      <c r="U318">
        <v>5838.7</v>
      </c>
      <c r="V318">
        <v>209.2</v>
      </c>
      <c r="W318">
        <v>0</v>
      </c>
      <c r="X318" t="s">
        <v>141</v>
      </c>
      <c r="Y318" s="55">
        <v>45949.75</v>
      </c>
      <c r="Z318">
        <v>399.5</v>
      </c>
      <c r="AA318">
        <v>399.5</v>
      </c>
      <c r="AB318">
        <v>0</v>
      </c>
    </row>
    <row r="319" spans="1:28" x14ac:dyDescent="0.2">
      <c r="A319">
        <v>576</v>
      </c>
      <c r="B319">
        <v>12</v>
      </c>
      <c r="C319">
        <v>31</v>
      </c>
      <c r="D319" t="s">
        <v>170</v>
      </c>
      <c r="E319">
        <v>8</v>
      </c>
      <c r="F319" t="s">
        <v>175</v>
      </c>
      <c r="G319" s="55">
        <v>46060.637499999997</v>
      </c>
      <c r="H319">
        <v>54</v>
      </c>
      <c r="I319" t="s">
        <v>535</v>
      </c>
      <c r="J319">
        <v>292</v>
      </c>
      <c r="K319" t="s">
        <v>153</v>
      </c>
      <c r="L319" t="s">
        <v>195</v>
      </c>
      <c r="M319" t="s">
        <v>140</v>
      </c>
      <c r="P319">
        <v>26</v>
      </c>
      <c r="Q319">
        <v>3799</v>
      </c>
      <c r="R319">
        <v>190</v>
      </c>
      <c r="S319">
        <v>379.9</v>
      </c>
      <c r="T319">
        <v>6496.29</v>
      </c>
      <c r="U319">
        <v>6876.19</v>
      </c>
      <c r="V319">
        <v>249.86</v>
      </c>
      <c r="W319">
        <v>0</v>
      </c>
      <c r="X319" t="s">
        <v>141</v>
      </c>
      <c r="Y319" s="55">
        <v>45979.75</v>
      </c>
      <c r="Z319">
        <v>379.9</v>
      </c>
      <c r="AA319">
        <v>379.9</v>
      </c>
      <c r="AB319">
        <v>0</v>
      </c>
    </row>
    <row r="320" spans="1:28" x14ac:dyDescent="0.2">
      <c r="A320">
        <v>577</v>
      </c>
      <c r="B320">
        <v>12</v>
      </c>
      <c r="C320">
        <v>15</v>
      </c>
      <c r="D320" t="s">
        <v>148</v>
      </c>
      <c r="E320">
        <v>8</v>
      </c>
      <c r="F320" t="s">
        <v>175</v>
      </c>
      <c r="G320" s="55">
        <v>46060.681250000001</v>
      </c>
      <c r="H320">
        <v>33</v>
      </c>
      <c r="I320" t="s">
        <v>536</v>
      </c>
      <c r="J320">
        <v>305</v>
      </c>
      <c r="K320" t="s">
        <v>153</v>
      </c>
      <c r="L320" t="s">
        <v>154</v>
      </c>
      <c r="M320" t="s">
        <v>140</v>
      </c>
      <c r="P320">
        <v>15</v>
      </c>
      <c r="Q320">
        <v>6399</v>
      </c>
      <c r="R320">
        <v>149.9699</v>
      </c>
      <c r="S320">
        <v>1249</v>
      </c>
      <c r="T320">
        <v>7723.45</v>
      </c>
      <c r="U320">
        <v>8972.4500000000007</v>
      </c>
      <c r="V320">
        <v>514.9</v>
      </c>
      <c r="W320">
        <v>0</v>
      </c>
      <c r="X320" t="s">
        <v>141</v>
      </c>
      <c r="Y320" s="55">
        <v>45986.75</v>
      </c>
      <c r="Z320">
        <v>1249</v>
      </c>
      <c r="AA320">
        <v>1249</v>
      </c>
      <c r="AB320">
        <v>0</v>
      </c>
    </row>
    <row r="321" spans="1:28" x14ac:dyDescent="0.2">
      <c r="A321">
        <v>578</v>
      </c>
      <c r="B321">
        <v>5</v>
      </c>
      <c r="C321">
        <v>10</v>
      </c>
      <c r="D321" t="s">
        <v>215</v>
      </c>
      <c r="E321">
        <v>8</v>
      </c>
      <c r="F321" t="s">
        <v>175</v>
      </c>
      <c r="G321" s="55">
        <v>46060.684027777781</v>
      </c>
      <c r="H321">
        <v>1</v>
      </c>
      <c r="I321" t="s">
        <v>537</v>
      </c>
      <c r="J321">
        <v>381</v>
      </c>
      <c r="K321" t="s">
        <v>138</v>
      </c>
      <c r="L321" t="s">
        <v>217</v>
      </c>
      <c r="M321" t="s">
        <v>140</v>
      </c>
      <c r="P321">
        <v>26</v>
      </c>
      <c r="Q321">
        <v>9099</v>
      </c>
      <c r="R321">
        <v>190</v>
      </c>
      <c r="S321">
        <v>2000</v>
      </c>
      <c r="T321">
        <v>13488.1</v>
      </c>
      <c r="U321">
        <v>15488.1</v>
      </c>
      <c r="V321">
        <v>518.77</v>
      </c>
      <c r="W321">
        <v>0</v>
      </c>
      <c r="X321" t="s">
        <v>141</v>
      </c>
      <c r="Y321" s="55">
        <v>45933.75</v>
      </c>
      <c r="Z321">
        <v>2000</v>
      </c>
      <c r="AA321">
        <v>2000</v>
      </c>
      <c r="AB321">
        <v>0</v>
      </c>
    </row>
    <row r="322" spans="1:28" x14ac:dyDescent="0.2">
      <c r="A322">
        <v>579</v>
      </c>
      <c r="B322">
        <v>12</v>
      </c>
      <c r="C322">
        <v>25</v>
      </c>
      <c r="D322" t="s">
        <v>151</v>
      </c>
      <c r="E322">
        <v>8</v>
      </c>
      <c r="F322" t="s">
        <v>175</v>
      </c>
      <c r="G322" s="55">
        <v>46060.6875</v>
      </c>
      <c r="H322">
        <v>63</v>
      </c>
      <c r="I322" t="s">
        <v>538</v>
      </c>
      <c r="J322">
        <v>175</v>
      </c>
      <c r="K322" t="s">
        <v>153</v>
      </c>
      <c r="L322" t="s">
        <v>222</v>
      </c>
      <c r="M322" t="s">
        <v>140</v>
      </c>
      <c r="P322">
        <v>26</v>
      </c>
      <c r="Q322">
        <v>5299</v>
      </c>
      <c r="R322">
        <v>190</v>
      </c>
      <c r="S322">
        <v>999</v>
      </c>
      <c r="T322">
        <v>8170</v>
      </c>
      <c r="U322">
        <v>9169</v>
      </c>
      <c r="V322">
        <v>314.23</v>
      </c>
      <c r="W322">
        <v>0</v>
      </c>
      <c r="X322" t="s">
        <v>141</v>
      </c>
      <c r="Y322" s="55">
        <v>45866.75</v>
      </c>
      <c r="Z322">
        <v>999</v>
      </c>
      <c r="AA322">
        <v>999</v>
      </c>
      <c r="AB322">
        <v>0</v>
      </c>
    </row>
    <row r="323" spans="1:28" x14ac:dyDescent="0.2">
      <c r="A323">
        <v>580</v>
      </c>
      <c r="B323">
        <v>9</v>
      </c>
      <c r="C323">
        <v>10002</v>
      </c>
      <c r="D323" t="s">
        <v>161</v>
      </c>
      <c r="E323">
        <v>8</v>
      </c>
      <c r="F323" t="s">
        <v>175</v>
      </c>
      <c r="G323" s="55">
        <v>46060.708333333336</v>
      </c>
      <c r="H323">
        <v>9</v>
      </c>
      <c r="I323" t="s">
        <v>539</v>
      </c>
      <c r="J323">
        <v>378</v>
      </c>
      <c r="K323" t="s">
        <v>138</v>
      </c>
      <c r="L323" t="s">
        <v>224</v>
      </c>
      <c r="M323" t="s">
        <v>140</v>
      </c>
      <c r="P323">
        <v>20</v>
      </c>
      <c r="Q323">
        <v>5399</v>
      </c>
      <c r="R323">
        <v>100</v>
      </c>
      <c r="S323">
        <v>624.5</v>
      </c>
      <c r="T323">
        <v>4774.5</v>
      </c>
      <c r="U323">
        <v>5399</v>
      </c>
      <c r="V323">
        <v>238.73</v>
      </c>
      <c r="W323">
        <v>0</v>
      </c>
      <c r="X323" t="s">
        <v>141</v>
      </c>
      <c r="Y323" s="55">
        <v>45950.75</v>
      </c>
      <c r="Z323">
        <v>624.5</v>
      </c>
      <c r="AA323">
        <v>624.5</v>
      </c>
      <c r="AB323">
        <v>0</v>
      </c>
    </row>
    <row r="324" spans="1:28" x14ac:dyDescent="0.2">
      <c r="A324">
        <v>581</v>
      </c>
      <c r="B324">
        <v>4</v>
      </c>
      <c r="C324">
        <v>10002</v>
      </c>
      <c r="D324" t="s">
        <v>161</v>
      </c>
      <c r="E324">
        <v>8</v>
      </c>
      <c r="F324" t="s">
        <v>175</v>
      </c>
      <c r="G324" s="55">
        <v>46060.737500000003</v>
      </c>
      <c r="H324">
        <v>46</v>
      </c>
      <c r="I324" t="s">
        <v>540</v>
      </c>
      <c r="J324">
        <v>197</v>
      </c>
      <c r="K324" t="s">
        <v>138</v>
      </c>
      <c r="L324" t="s">
        <v>139</v>
      </c>
      <c r="M324" t="s">
        <v>140</v>
      </c>
      <c r="P324">
        <v>43</v>
      </c>
      <c r="Q324">
        <v>3799</v>
      </c>
      <c r="R324">
        <v>230</v>
      </c>
      <c r="S324">
        <v>799</v>
      </c>
      <c r="T324">
        <v>6900</v>
      </c>
      <c r="U324">
        <v>7699</v>
      </c>
      <c r="V324">
        <v>160.47</v>
      </c>
      <c r="W324">
        <v>0</v>
      </c>
      <c r="X324" t="s">
        <v>141</v>
      </c>
      <c r="Y324" s="55">
        <v>45884.75</v>
      </c>
      <c r="Z324">
        <v>799</v>
      </c>
      <c r="AA324">
        <v>799</v>
      </c>
      <c r="AB324">
        <v>0</v>
      </c>
    </row>
    <row r="325" spans="1:28" x14ac:dyDescent="0.2">
      <c r="A325">
        <v>582</v>
      </c>
      <c r="B325">
        <v>10</v>
      </c>
      <c r="C325">
        <v>24</v>
      </c>
      <c r="D325" t="s">
        <v>207</v>
      </c>
      <c r="E325">
        <v>8</v>
      </c>
      <c r="F325" t="s">
        <v>175</v>
      </c>
      <c r="G325" s="55">
        <v>46060.745833333334</v>
      </c>
      <c r="H325">
        <v>55</v>
      </c>
      <c r="I325" t="s">
        <v>541</v>
      </c>
      <c r="J325">
        <v>391</v>
      </c>
      <c r="K325" t="s">
        <v>153</v>
      </c>
      <c r="L325" t="s">
        <v>209</v>
      </c>
      <c r="M325" t="s">
        <v>140</v>
      </c>
      <c r="P325">
        <v>43</v>
      </c>
      <c r="Q325">
        <v>6499</v>
      </c>
      <c r="R325">
        <v>230</v>
      </c>
      <c r="S325">
        <v>1249.5</v>
      </c>
      <c r="T325">
        <v>12073.85</v>
      </c>
      <c r="U325">
        <v>13323.35</v>
      </c>
      <c r="V325">
        <v>280.79000000000002</v>
      </c>
      <c r="W325">
        <v>0</v>
      </c>
      <c r="X325" t="s">
        <v>141</v>
      </c>
      <c r="Y325" s="55">
        <v>45919.75</v>
      </c>
      <c r="Z325">
        <v>1249.5</v>
      </c>
      <c r="AA325">
        <v>1249.5</v>
      </c>
      <c r="AB325">
        <v>0</v>
      </c>
    </row>
    <row r="326" spans="1:28" x14ac:dyDescent="0.2">
      <c r="A326">
        <v>583</v>
      </c>
      <c r="B326">
        <v>5</v>
      </c>
      <c r="C326">
        <v>10</v>
      </c>
      <c r="D326" t="s">
        <v>215</v>
      </c>
      <c r="E326">
        <v>8</v>
      </c>
      <c r="F326" t="s">
        <v>175</v>
      </c>
      <c r="G326" s="55">
        <v>46060.755555555559</v>
      </c>
      <c r="H326">
        <v>55</v>
      </c>
      <c r="I326" t="s">
        <v>542</v>
      </c>
      <c r="J326">
        <v>284</v>
      </c>
      <c r="K326" t="s">
        <v>153</v>
      </c>
      <c r="L326" t="s">
        <v>209</v>
      </c>
      <c r="M326" t="s">
        <v>140</v>
      </c>
      <c r="P326">
        <v>43</v>
      </c>
      <c r="Q326">
        <v>5499</v>
      </c>
      <c r="R326">
        <v>230</v>
      </c>
      <c r="S326">
        <v>549.9</v>
      </c>
      <c r="T326">
        <v>11382.93</v>
      </c>
      <c r="U326">
        <v>11932.83</v>
      </c>
      <c r="V326">
        <v>264.72000000000003</v>
      </c>
      <c r="W326">
        <v>0</v>
      </c>
      <c r="X326" t="s">
        <v>141</v>
      </c>
      <c r="Y326" s="55">
        <v>45977.75</v>
      </c>
      <c r="Z326">
        <v>549.9</v>
      </c>
      <c r="AA326">
        <v>549.9</v>
      </c>
      <c r="AB326">
        <v>0</v>
      </c>
    </row>
    <row r="327" spans="1:28" x14ac:dyDescent="0.2">
      <c r="A327">
        <v>584</v>
      </c>
      <c r="B327">
        <v>7</v>
      </c>
      <c r="C327">
        <v>21</v>
      </c>
      <c r="D327" t="s">
        <v>189</v>
      </c>
      <c r="E327">
        <v>8</v>
      </c>
      <c r="F327" t="s">
        <v>175</v>
      </c>
      <c r="G327" s="55">
        <v>46060.758333333331</v>
      </c>
      <c r="H327">
        <v>55</v>
      </c>
      <c r="I327" t="s">
        <v>543</v>
      </c>
      <c r="J327">
        <v>452</v>
      </c>
      <c r="K327" t="s">
        <v>153</v>
      </c>
      <c r="L327" t="s">
        <v>209</v>
      </c>
      <c r="M327" t="s">
        <v>140</v>
      </c>
      <c r="P327">
        <v>43</v>
      </c>
      <c r="Q327">
        <v>5999</v>
      </c>
      <c r="R327">
        <v>230.00059999999999</v>
      </c>
      <c r="S327">
        <v>1249</v>
      </c>
      <c r="T327">
        <v>10925.03</v>
      </c>
      <c r="U327">
        <v>12174.03</v>
      </c>
      <c r="V327">
        <v>254.07</v>
      </c>
      <c r="W327">
        <v>0</v>
      </c>
      <c r="X327" t="s">
        <v>141</v>
      </c>
      <c r="Y327" s="55">
        <v>45989.75</v>
      </c>
      <c r="Z327">
        <v>1249</v>
      </c>
      <c r="AA327">
        <v>1249</v>
      </c>
      <c r="AB327">
        <v>0</v>
      </c>
    </row>
    <row r="328" spans="1:28" x14ac:dyDescent="0.2">
      <c r="A328">
        <v>585</v>
      </c>
      <c r="B328">
        <v>11</v>
      </c>
      <c r="C328">
        <v>18</v>
      </c>
      <c r="D328" t="s">
        <v>176</v>
      </c>
      <c r="E328">
        <v>8</v>
      </c>
      <c r="F328" t="s">
        <v>175</v>
      </c>
      <c r="G328" s="55">
        <v>46060.800000000003</v>
      </c>
      <c r="H328">
        <v>62</v>
      </c>
      <c r="I328" t="s">
        <v>544</v>
      </c>
      <c r="J328">
        <v>450</v>
      </c>
      <c r="K328" t="s">
        <v>153</v>
      </c>
      <c r="L328" t="s">
        <v>516</v>
      </c>
      <c r="M328" t="s">
        <v>140</v>
      </c>
      <c r="P328">
        <v>35</v>
      </c>
      <c r="Q328">
        <v>6099</v>
      </c>
      <c r="R328">
        <v>210.001</v>
      </c>
      <c r="S328">
        <v>1249</v>
      </c>
      <c r="T328">
        <v>10185.049999999999</v>
      </c>
      <c r="U328">
        <v>11434.05</v>
      </c>
      <c r="V328">
        <v>291</v>
      </c>
      <c r="W328">
        <v>0</v>
      </c>
      <c r="X328" t="s">
        <v>141</v>
      </c>
      <c r="Y328" s="55">
        <v>46010.75</v>
      </c>
      <c r="Z328">
        <v>1249</v>
      </c>
      <c r="AA328">
        <v>1249</v>
      </c>
      <c r="AB328">
        <v>0</v>
      </c>
    </row>
    <row r="329" spans="1:28" x14ac:dyDescent="0.2">
      <c r="A329">
        <v>586</v>
      </c>
      <c r="B329">
        <v>5</v>
      </c>
      <c r="C329">
        <v>10002</v>
      </c>
      <c r="D329" t="s">
        <v>161</v>
      </c>
      <c r="E329">
        <v>8</v>
      </c>
      <c r="F329" t="s">
        <v>175</v>
      </c>
      <c r="G329" s="55">
        <v>46060.835416666669</v>
      </c>
      <c r="H329">
        <v>63</v>
      </c>
      <c r="I329" t="s">
        <v>545</v>
      </c>
      <c r="J329">
        <v>142</v>
      </c>
      <c r="K329" t="s">
        <v>153</v>
      </c>
      <c r="L329" t="s">
        <v>222</v>
      </c>
      <c r="M329" t="s">
        <v>140</v>
      </c>
      <c r="P329">
        <v>43</v>
      </c>
      <c r="Q329">
        <v>5499</v>
      </c>
      <c r="R329">
        <v>230</v>
      </c>
      <c r="S329">
        <v>1249</v>
      </c>
      <c r="T329">
        <v>9775</v>
      </c>
      <c r="U329">
        <v>11024</v>
      </c>
      <c r="V329">
        <v>227.33</v>
      </c>
      <c r="W329">
        <v>0</v>
      </c>
      <c r="X329" t="s">
        <v>141</v>
      </c>
      <c r="Y329" s="55">
        <v>45818.75</v>
      </c>
      <c r="Z329">
        <v>1249</v>
      </c>
      <c r="AA329">
        <v>1249</v>
      </c>
      <c r="AB329">
        <v>0</v>
      </c>
    </row>
    <row r="330" spans="1:28" x14ac:dyDescent="0.2">
      <c r="A330">
        <v>587</v>
      </c>
      <c r="B330">
        <v>6</v>
      </c>
      <c r="C330">
        <v>10002</v>
      </c>
      <c r="D330" t="s">
        <v>161</v>
      </c>
      <c r="E330">
        <v>8</v>
      </c>
      <c r="F330" t="s">
        <v>175</v>
      </c>
      <c r="G330" s="55">
        <v>46060.859722222223</v>
      </c>
      <c r="H330">
        <v>7</v>
      </c>
      <c r="I330" t="s">
        <v>546</v>
      </c>
      <c r="J330">
        <v>201</v>
      </c>
      <c r="K330" t="s">
        <v>138</v>
      </c>
      <c r="L330" t="s">
        <v>382</v>
      </c>
      <c r="M330" t="s">
        <v>140</v>
      </c>
      <c r="P330">
        <v>20</v>
      </c>
      <c r="Q330">
        <v>6999</v>
      </c>
      <c r="R330">
        <v>100.0078</v>
      </c>
      <c r="S330">
        <v>624.5</v>
      </c>
      <c r="T330">
        <v>6375</v>
      </c>
      <c r="U330">
        <v>6999.5</v>
      </c>
      <c r="V330">
        <v>318.75</v>
      </c>
      <c r="W330">
        <v>0</v>
      </c>
      <c r="X330" t="s">
        <v>141</v>
      </c>
      <c r="Y330" s="55">
        <v>45887.75</v>
      </c>
      <c r="Z330">
        <v>624.5</v>
      </c>
      <c r="AA330">
        <v>624.5</v>
      </c>
      <c r="AB330">
        <v>0</v>
      </c>
    </row>
    <row r="331" spans="1:28" x14ac:dyDescent="0.2">
      <c r="A331">
        <v>588</v>
      </c>
      <c r="B331">
        <v>6</v>
      </c>
      <c r="C331">
        <v>10002</v>
      </c>
      <c r="D331" t="s">
        <v>161</v>
      </c>
      <c r="E331">
        <v>8</v>
      </c>
      <c r="F331" t="s">
        <v>175</v>
      </c>
      <c r="G331" s="55">
        <v>46060.908333333333</v>
      </c>
      <c r="H331">
        <v>63</v>
      </c>
      <c r="I331" t="s">
        <v>547</v>
      </c>
      <c r="J331">
        <v>490</v>
      </c>
      <c r="K331" t="s">
        <v>153</v>
      </c>
      <c r="L331" t="s">
        <v>222</v>
      </c>
      <c r="M331" t="s">
        <v>140</v>
      </c>
      <c r="P331">
        <v>43</v>
      </c>
      <c r="Q331">
        <v>5299</v>
      </c>
      <c r="R331">
        <v>230</v>
      </c>
      <c r="S331">
        <v>999</v>
      </c>
      <c r="T331">
        <v>9890</v>
      </c>
      <c r="U331">
        <v>10889</v>
      </c>
      <c r="V331">
        <v>230</v>
      </c>
      <c r="W331">
        <v>0</v>
      </c>
      <c r="X331" t="s">
        <v>141</v>
      </c>
      <c r="Y331" s="55">
        <v>45783.75</v>
      </c>
      <c r="Z331">
        <v>999</v>
      </c>
      <c r="AA331">
        <v>999</v>
      </c>
      <c r="AB331">
        <v>0</v>
      </c>
    </row>
    <row r="332" spans="1:28" x14ac:dyDescent="0.2">
      <c r="A332">
        <v>589</v>
      </c>
      <c r="B332">
        <v>11</v>
      </c>
      <c r="C332">
        <v>5</v>
      </c>
      <c r="D332" t="s">
        <v>164</v>
      </c>
      <c r="E332">
        <v>8</v>
      </c>
      <c r="F332" t="s">
        <v>175</v>
      </c>
      <c r="G332" s="55">
        <v>46060.958333333336</v>
      </c>
      <c r="H332">
        <v>89</v>
      </c>
      <c r="I332" t="s">
        <v>548</v>
      </c>
      <c r="J332">
        <v>515</v>
      </c>
      <c r="K332" t="s">
        <v>145</v>
      </c>
      <c r="L332" t="s">
        <v>386</v>
      </c>
      <c r="M332" t="s">
        <v>140</v>
      </c>
      <c r="P332">
        <v>43</v>
      </c>
      <c r="Q332">
        <v>29680</v>
      </c>
      <c r="R332">
        <v>100</v>
      </c>
      <c r="S332">
        <v>0</v>
      </c>
      <c r="T332">
        <v>29680</v>
      </c>
      <c r="U332">
        <v>29680</v>
      </c>
      <c r="V332">
        <v>690.23</v>
      </c>
      <c r="W332">
        <v>0</v>
      </c>
      <c r="X332" t="s">
        <v>141</v>
      </c>
      <c r="Y332" s="55">
        <v>45540.75</v>
      </c>
      <c r="Z332">
        <v>0</v>
      </c>
      <c r="AA332">
        <v>0</v>
      </c>
      <c r="AB332">
        <v>0</v>
      </c>
    </row>
    <row r="333" spans="1:28" x14ac:dyDescent="0.2">
      <c r="A333">
        <v>590</v>
      </c>
      <c r="B333">
        <v>12</v>
      </c>
      <c r="C333">
        <v>15</v>
      </c>
      <c r="D333" t="s">
        <v>148</v>
      </c>
      <c r="E333">
        <v>8</v>
      </c>
      <c r="F333" t="s">
        <v>175</v>
      </c>
      <c r="G333" s="55">
        <v>46060.984027777777</v>
      </c>
      <c r="H333">
        <v>25</v>
      </c>
      <c r="I333" t="s">
        <v>429</v>
      </c>
      <c r="J333">
        <v>506</v>
      </c>
      <c r="K333" t="s">
        <v>145</v>
      </c>
      <c r="L333" t="s">
        <v>312</v>
      </c>
      <c r="M333" t="s">
        <v>140</v>
      </c>
      <c r="P333">
        <v>43</v>
      </c>
      <c r="Q333">
        <v>9499</v>
      </c>
      <c r="R333">
        <v>170</v>
      </c>
      <c r="S333">
        <v>1499</v>
      </c>
      <c r="T333">
        <v>13600</v>
      </c>
      <c r="U333">
        <v>15099</v>
      </c>
      <c r="V333">
        <v>316.27999999999997</v>
      </c>
      <c r="W333">
        <v>0</v>
      </c>
      <c r="X333" t="s">
        <v>141</v>
      </c>
      <c r="Y333" s="55">
        <v>45617.75</v>
      </c>
      <c r="Z333">
        <v>1499</v>
      </c>
      <c r="AA333">
        <v>1499</v>
      </c>
      <c r="AB333">
        <v>0</v>
      </c>
    </row>
    <row r="334" spans="1:28" x14ac:dyDescent="0.2">
      <c r="A334">
        <v>591</v>
      </c>
      <c r="B334">
        <v>5</v>
      </c>
      <c r="C334">
        <v>10</v>
      </c>
      <c r="D334" t="s">
        <v>215</v>
      </c>
      <c r="E334">
        <v>8</v>
      </c>
      <c r="F334" t="s">
        <v>175</v>
      </c>
      <c r="G334" s="55">
        <v>46060.990277777775</v>
      </c>
      <c r="H334">
        <v>61</v>
      </c>
      <c r="I334" t="s">
        <v>371</v>
      </c>
      <c r="J334">
        <v>374</v>
      </c>
      <c r="K334" t="s">
        <v>204</v>
      </c>
      <c r="L334" t="s">
        <v>549</v>
      </c>
      <c r="M334" t="s">
        <v>140</v>
      </c>
      <c r="P334">
        <v>43</v>
      </c>
      <c r="Q334">
        <v>7029.7</v>
      </c>
      <c r="R334">
        <v>100</v>
      </c>
      <c r="S334">
        <v>0</v>
      </c>
      <c r="T334">
        <v>7029.7</v>
      </c>
      <c r="U334">
        <v>7029.7</v>
      </c>
      <c r="V334">
        <v>163.47999999999999</v>
      </c>
      <c r="W334">
        <v>0</v>
      </c>
      <c r="X334" t="s">
        <v>141</v>
      </c>
      <c r="Y334" s="55">
        <v>46010.75</v>
      </c>
      <c r="Z334">
        <v>0</v>
      </c>
      <c r="AA334">
        <v>0</v>
      </c>
      <c r="AB334">
        <v>0</v>
      </c>
    </row>
    <row r="335" spans="1:28" x14ac:dyDescent="0.2">
      <c r="A335">
        <v>592</v>
      </c>
      <c r="B335">
        <v>5</v>
      </c>
      <c r="C335">
        <v>10002</v>
      </c>
      <c r="D335" t="s">
        <v>161</v>
      </c>
      <c r="E335">
        <v>8</v>
      </c>
      <c r="F335" t="s">
        <v>175</v>
      </c>
      <c r="G335" s="55">
        <v>46060.994444444441</v>
      </c>
      <c r="H335">
        <v>69</v>
      </c>
      <c r="I335" t="s">
        <v>405</v>
      </c>
      <c r="J335">
        <v>39</v>
      </c>
      <c r="K335" t="s">
        <v>145</v>
      </c>
      <c r="L335" t="s">
        <v>550</v>
      </c>
      <c r="M335" t="s">
        <v>140</v>
      </c>
      <c r="P335">
        <v>80</v>
      </c>
      <c r="Q335">
        <v>42342</v>
      </c>
      <c r="R335">
        <v>100</v>
      </c>
      <c r="S335">
        <v>0</v>
      </c>
      <c r="T335">
        <v>42342</v>
      </c>
      <c r="U335">
        <v>42342</v>
      </c>
      <c r="V335">
        <v>529.28</v>
      </c>
      <c r="W335">
        <v>0</v>
      </c>
      <c r="X335" t="s">
        <v>141</v>
      </c>
      <c r="Y335" s="55">
        <v>45724.75</v>
      </c>
      <c r="Z335">
        <v>0</v>
      </c>
      <c r="AA335">
        <v>0</v>
      </c>
      <c r="AB335">
        <v>0</v>
      </c>
    </row>
    <row r="336" spans="1:28" x14ac:dyDescent="0.2">
      <c r="A336">
        <v>593</v>
      </c>
      <c r="B336">
        <v>11</v>
      </c>
      <c r="C336">
        <v>14</v>
      </c>
      <c r="D336" t="s">
        <v>135</v>
      </c>
      <c r="E336">
        <v>8</v>
      </c>
      <c r="F336" t="s">
        <v>175</v>
      </c>
      <c r="G336" s="55">
        <v>46061.558333333334</v>
      </c>
      <c r="H336">
        <v>54</v>
      </c>
      <c r="I336" t="s">
        <v>551</v>
      </c>
      <c r="J336">
        <v>459</v>
      </c>
      <c r="K336" t="s">
        <v>153</v>
      </c>
      <c r="L336" t="s">
        <v>195</v>
      </c>
      <c r="M336" t="s">
        <v>140</v>
      </c>
      <c r="P336">
        <v>43</v>
      </c>
      <c r="Q336">
        <v>3799</v>
      </c>
      <c r="R336">
        <v>230.00069999999999</v>
      </c>
      <c r="S336">
        <v>799</v>
      </c>
      <c r="T336">
        <v>6900.02</v>
      </c>
      <c r="U336">
        <v>7699.02</v>
      </c>
      <c r="V336">
        <v>160.47</v>
      </c>
      <c r="W336">
        <v>0</v>
      </c>
      <c r="X336" t="s">
        <v>141</v>
      </c>
      <c r="Y336" s="55">
        <v>46014.75</v>
      </c>
      <c r="Z336">
        <v>799</v>
      </c>
      <c r="AA336">
        <v>799</v>
      </c>
      <c r="AB336">
        <v>0</v>
      </c>
    </row>
    <row r="337" spans="1:28" x14ac:dyDescent="0.2">
      <c r="A337">
        <v>594</v>
      </c>
      <c r="B337">
        <v>7</v>
      </c>
      <c r="C337">
        <v>11</v>
      </c>
      <c r="D337" t="s">
        <v>230</v>
      </c>
      <c r="E337">
        <v>8</v>
      </c>
      <c r="F337" t="s">
        <v>175</v>
      </c>
      <c r="G337" s="55">
        <v>46061.573611111111</v>
      </c>
      <c r="H337">
        <v>4</v>
      </c>
      <c r="I337" t="s">
        <v>552</v>
      </c>
      <c r="J337">
        <v>463</v>
      </c>
      <c r="K337" t="s">
        <v>138</v>
      </c>
      <c r="L337" t="s">
        <v>530</v>
      </c>
      <c r="M337" t="s">
        <v>140</v>
      </c>
      <c r="P337">
        <v>43</v>
      </c>
      <c r="Q337">
        <v>8199</v>
      </c>
      <c r="R337">
        <v>230.02860000000001</v>
      </c>
      <c r="S337">
        <v>819.9</v>
      </c>
      <c r="T337">
        <v>16974.04</v>
      </c>
      <c r="U337">
        <v>17793.939999999999</v>
      </c>
      <c r="V337">
        <v>394.75</v>
      </c>
      <c r="W337">
        <v>0</v>
      </c>
      <c r="X337" t="s">
        <v>141</v>
      </c>
      <c r="Y337" s="55">
        <v>45978.75</v>
      </c>
      <c r="Z337">
        <v>819.9</v>
      </c>
      <c r="AA337">
        <v>819.9</v>
      </c>
      <c r="AB337">
        <v>0</v>
      </c>
    </row>
    <row r="338" spans="1:28" x14ac:dyDescent="0.2">
      <c r="A338">
        <v>595</v>
      </c>
      <c r="B338">
        <v>9</v>
      </c>
      <c r="C338">
        <v>10002</v>
      </c>
      <c r="D338" t="s">
        <v>161</v>
      </c>
      <c r="E338">
        <v>8</v>
      </c>
      <c r="F338" t="s">
        <v>175</v>
      </c>
      <c r="G338" s="55">
        <v>46061.577777777777</v>
      </c>
      <c r="H338">
        <v>46</v>
      </c>
      <c r="I338" t="s">
        <v>553</v>
      </c>
      <c r="J338">
        <v>152</v>
      </c>
      <c r="K338" t="s">
        <v>138</v>
      </c>
      <c r="L338" t="s">
        <v>139</v>
      </c>
      <c r="M338" t="s">
        <v>140</v>
      </c>
      <c r="P338">
        <v>43</v>
      </c>
      <c r="Q338">
        <v>3799</v>
      </c>
      <c r="R338">
        <v>230</v>
      </c>
      <c r="S338">
        <v>799</v>
      </c>
      <c r="T338">
        <v>6900</v>
      </c>
      <c r="U338">
        <v>7699</v>
      </c>
      <c r="V338">
        <v>160.47</v>
      </c>
      <c r="W338">
        <v>0</v>
      </c>
      <c r="X338" t="s">
        <v>141</v>
      </c>
      <c r="Y338" s="55">
        <v>45827.75</v>
      </c>
      <c r="Z338">
        <v>799</v>
      </c>
      <c r="AA338">
        <v>799</v>
      </c>
      <c r="AB338">
        <v>0</v>
      </c>
    </row>
    <row r="339" spans="1:28" x14ac:dyDescent="0.2">
      <c r="A339">
        <v>596</v>
      </c>
      <c r="B339">
        <v>8</v>
      </c>
      <c r="C339">
        <v>10002</v>
      </c>
      <c r="D339" t="s">
        <v>161</v>
      </c>
      <c r="E339">
        <v>8</v>
      </c>
      <c r="F339" t="s">
        <v>175</v>
      </c>
      <c r="G339" s="55">
        <v>46061.63958333333</v>
      </c>
      <c r="H339">
        <v>63</v>
      </c>
      <c r="I339" t="s">
        <v>554</v>
      </c>
      <c r="J339">
        <v>426</v>
      </c>
      <c r="K339" t="s">
        <v>153</v>
      </c>
      <c r="L339" t="s">
        <v>222</v>
      </c>
      <c r="M339" t="s">
        <v>140</v>
      </c>
      <c r="P339">
        <v>43</v>
      </c>
      <c r="Q339">
        <v>5499</v>
      </c>
      <c r="R339">
        <v>230.05410000000001</v>
      </c>
      <c r="S339">
        <v>1250</v>
      </c>
      <c r="T339">
        <v>9775</v>
      </c>
      <c r="U339">
        <v>11025</v>
      </c>
      <c r="V339">
        <v>227.33</v>
      </c>
      <c r="W339">
        <v>0</v>
      </c>
      <c r="X339" t="s">
        <v>141</v>
      </c>
      <c r="Y339" s="55">
        <v>45829.75</v>
      </c>
      <c r="Z339">
        <v>1250</v>
      </c>
      <c r="AA339">
        <v>1250</v>
      </c>
      <c r="AB339">
        <v>0</v>
      </c>
    </row>
    <row r="340" spans="1:28" x14ac:dyDescent="0.2">
      <c r="A340">
        <v>597</v>
      </c>
      <c r="B340">
        <v>8</v>
      </c>
      <c r="C340">
        <v>5</v>
      </c>
      <c r="D340" t="s">
        <v>164</v>
      </c>
      <c r="E340">
        <v>8</v>
      </c>
      <c r="F340" t="s">
        <v>175</v>
      </c>
      <c r="G340" s="55">
        <v>46061.643750000003</v>
      </c>
      <c r="H340">
        <v>46</v>
      </c>
      <c r="I340" t="s">
        <v>555</v>
      </c>
      <c r="J340">
        <v>125</v>
      </c>
      <c r="K340" t="s">
        <v>138</v>
      </c>
      <c r="L340" t="s">
        <v>139</v>
      </c>
      <c r="M340" t="s">
        <v>140</v>
      </c>
      <c r="P340">
        <v>43</v>
      </c>
      <c r="Q340">
        <v>3799</v>
      </c>
      <c r="R340">
        <v>230</v>
      </c>
      <c r="S340">
        <v>799</v>
      </c>
      <c r="T340">
        <v>6900</v>
      </c>
      <c r="U340">
        <v>7699</v>
      </c>
      <c r="V340">
        <v>160.47</v>
      </c>
      <c r="W340">
        <v>0</v>
      </c>
      <c r="X340" t="s">
        <v>141</v>
      </c>
      <c r="Y340" s="55">
        <v>45798.75</v>
      </c>
      <c r="Z340">
        <v>799</v>
      </c>
      <c r="AA340">
        <v>799</v>
      </c>
      <c r="AB340">
        <v>0</v>
      </c>
    </row>
    <row r="341" spans="1:28" x14ac:dyDescent="0.2">
      <c r="A341">
        <v>598</v>
      </c>
      <c r="B341">
        <v>13</v>
      </c>
      <c r="C341">
        <v>31</v>
      </c>
      <c r="D341" t="s">
        <v>170</v>
      </c>
      <c r="E341">
        <v>8</v>
      </c>
      <c r="F341" t="s">
        <v>175</v>
      </c>
      <c r="G341" s="55">
        <v>46061.645833333336</v>
      </c>
      <c r="H341">
        <v>55</v>
      </c>
      <c r="I341" t="s">
        <v>281</v>
      </c>
      <c r="J341">
        <v>163</v>
      </c>
      <c r="K341" t="s">
        <v>153</v>
      </c>
      <c r="L341" t="s">
        <v>209</v>
      </c>
      <c r="M341" t="s">
        <v>140</v>
      </c>
      <c r="P341">
        <v>26</v>
      </c>
      <c r="Q341">
        <v>5999</v>
      </c>
      <c r="R341">
        <v>160</v>
      </c>
      <c r="S341">
        <v>0</v>
      </c>
      <c r="T341">
        <v>9598.4</v>
      </c>
      <c r="U341">
        <v>9598.4</v>
      </c>
      <c r="V341">
        <v>369.17</v>
      </c>
      <c r="W341">
        <v>0</v>
      </c>
      <c r="X341" t="s">
        <v>141</v>
      </c>
      <c r="Y341" s="55">
        <v>45975.75</v>
      </c>
      <c r="Z341">
        <v>0</v>
      </c>
      <c r="AA341">
        <v>0</v>
      </c>
      <c r="AB341">
        <v>0</v>
      </c>
    </row>
    <row r="342" spans="1:28" x14ac:dyDescent="0.2">
      <c r="A342">
        <v>599</v>
      </c>
      <c r="B342">
        <v>13</v>
      </c>
      <c r="C342">
        <v>31</v>
      </c>
      <c r="D342" t="s">
        <v>170</v>
      </c>
      <c r="E342">
        <v>8</v>
      </c>
      <c r="F342" t="s">
        <v>175</v>
      </c>
      <c r="G342" s="55">
        <v>46061.706250000003</v>
      </c>
      <c r="H342">
        <v>10</v>
      </c>
      <c r="I342" t="s">
        <v>556</v>
      </c>
      <c r="J342">
        <v>470</v>
      </c>
      <c r="K342" t="s">
        <v>138</v>
      </c>
      <c r="L342" t="s">
        <v>339</v>
      </c>
      <c r="M342" t="s">
        <v>140</v>
      </c>
      <c r="P342">
        <v>35</v>
      </c>
      <c r="Q342">
        <v>3999</v>
      </c>
      <c r="R342">
        <v>210.60820000000001</v>
      </c>
      <c r="S342">
        <v>399.9</v>
      </c>
      <c r="T342">
        <v>7580</v>
      </c>
      <c r="U342">
        <v>7979.9</v>
      </c>
      <c r="V342">
        <v>216.57</v>
      </c>
      <c r="W342">
        <v>0</v>
      </c>
      <c r="X342" t="s">
        <v>141</v>
      </c>
      <c r="Y342" s="55">
        <v>45976.75</v>
      </c>
      <c r="Z342">
        <v>399.9</v>
      </c>
      <c r="AA342">
        <v>399.9</v>
      </c>
      <c r="AB342">
        <v>0</v>
      </c>
    </row>
    <row r="343" spans="1:28" x14ac:dyDescent="0.2">
      <c r="A343">
        <v>600</v>
      </c>
      <c r="B343">
        <v>5</v>
      </c>
      <c r="C343">
        <v>10</v>
      </c>
      <c r="D343" t="s">
        <v>215</v>
      </c>
      <c r="E343">
        <v>8</v>
      </c>
      <c r="F343" t="s">
        <v>175</v>
      </c>
      <c r="G343" s="55">
        <v>46061.713888888888</v>
      </c>
      <c r="H343">
        <v>57</v>
      </c>
      <c r="I343" t="s">
        <v>505</v>
      </c>
      <c r="J343">
        <v>394</v>
      </c>
      <c r="K343" t="s">
        <v>158</v>
      </c>
      <c r="L343" t="s">
        <v>220</v>
      </c>
      <c r="M343" t="s">
        <v>140</v>
      </c>
      <c r="P343">
        <v>26</v>
      </c>
      <c r="Q343">
        <v>4099</v>
      </c>
      <c r="R343">
        <v>190</v>
      </c>
      <c r="S343">
        <v>799</v>
      </c>
      <c r="T343">
        <v>6270</v>
      </c>
      <c r="U343">
        <v>7069</v>
      </c>
      <c r="V343">
        <v>241.15</v>
      </c>
      <c r="W343">
        <v>0</v>
      </c>
      <c r="X343" t="s">
        <v>141</v>
      </c>
      <c r="Y343" s="55">
        <v>45932.75</v>
      </c>
      <c r="Z343">
        <v>799</v>
      </c>
      <c r="AA343">
        <v>799</v>
      </c>
      <c r="AB343">
        <v>0</v>
      </c>
    </row>
    <row r="344" spans="1:28" x14ac:dyDescent="0.2">
      <c r="A344">
        <v>601</v>
      </c>
      <c r="B344">
        <v>5</v>
      </c>
      <c r="C344">
        <v>9</v>
      </c>
      <c r="D344" t="s">
        <v>181</v>
      </c>
      <c r="E344">
        <v>8</v>
      </c>
      <c r="F344" t="s">
        <v>175</v>
      </c>
      <c r="G344" s="55">
        <v>46061.716666666667</v>
      </c>
      <c r="H344">
        <v>55</v>
      </c>
      <c r="I344" t="s">
        <v>557</v>
      </c>
      <c r="J344">
        <v>390</v>
      </c>
      <c r="K344" t="s">
        <v>153</v>
      </c>
      <c r="L344" t="s">
        <v>209</v>
      </c>
      <c r="M344" t="s">
        <v>140</v>
      </c>
      <c r="P344">
        <v>43</v>
      </c>
      <c r="Q344">
        <v>6499</v>
      </c>
      <c r="R344">
        <v>230</v>
      </c>
      <c r="S344">
        <v>1250</v>
      </c>
      <c r="T344">
        <v>12072.7</v>
      </c>
      <c r="U344">
        <v>13322.7</v>
      </c>
      <c r="V344">
        <v>280.76</v>
      </c>
      <c r="W344">
        <v>0</v>
      </c>
      <c r="X344" t="s">
        <v>141</v>
      </c>
      <c r="Y344" s="55">
        <v>45921.75</v>
      </c>
      <c r="Z344">
        <v>1250</v>
      </c>
      <c r="AA344">
        <v>1250</v>
      </c>
      <c r="AB344">
        <v>0</v>
      </c>
    </row>
    <row r="345" spans="1:28" x14ac:dyDescent="0.2">
      <c r="A345">
        <v>602</v>
      </c>
      <c r="B345">
        <v>9</v>
      </c>
      <c r="C345">
        <v>12</v>
      </c>
      <c r="D345" t="s">
        <v>187</v>
      </c>
      <c r="E345">
        <v>8</v>
      </c>
      <c r="F345" t="s">
        <v>175</v>
      </c>
      <c r="G345" s="55">
        <v>46061.719444444447</v>
      </c>
      <c r="H345">
        <v>46</v>
      </c>
      <c r="I345" t="s">
        <v>558</v>
      </c>
      <c r="J345">
        <v>433</v>
      </c>
      <c r="K345" t="s">
        <v>138</v>
      </c>
      <c r="L345" t="s">
        <v>139</v>
      </c>
      <c r="M345" t="s">
        <v>140</v>
      </c>
      <c r="P345">
        <v>35</v>
      </c>
      <c r="Q345">
        <v>3799</v>
      </c>
      <c r="R345">
        <v>210</v>
      </c>
      <c r="S345">
        <v>799</v>
      </c>
      <c r="T345">
        <v>6300</v>
      </c>
      <c r="U345">
        <v>7099</v>
      </c>
      <c r="V345">
        <v>180</v>
      </c>
      <c r="W345">
        <v>0</v>
      </c>
      <c r="X345" t="s">
        <v>141</v>
      </c>
      <c r="Y345" s="55">
        <v>45808.75</v>
      </c>
      <c r="Z345">
        <v>799</v>
      </c>
      <c r="AA345">
        <v>799</v>
      </c>
      <c r="AB345">
        <v>0</v>
      </c>
    </row>
    <row r="346" spans="1:28" x14ac:dyDescent="0.2">
      <c r="A346">
        <v>603</v>
      </c>
      <c r="B346">
        <v>9</v>
      </c>
      <c r="C346">
        <v>12</v>
      </c>
      <c r="D346" t="s">
        <v>187</v>
      </c>
      <c r="E346">
        <v>8</v>
      </c>
      <c r="F346" t="s">
        <v>175</v>
      </c>
      <c r="G346" s="55">
        <v>46061.722222222219</v>
      </c>
      <c r="H346">
        <v>5</v>
      </c>
      <c r="I346" t="s">
        <v>418</v>
      </c>
      <c r="J346">
        <v>404</v>
      </c>
      <c r="K346" t="s">
        <v>138</v>
      </c>
      <c r="L346" t="s">
        <v>166</v>
      </c>
      <c r="M346" t="s">
        <v>140</v>
      </c>
      <c r="P346">
        <v>43</v>
      </c>
      <c r="Q346">
        <v>6899</v>
      </c>
      <c r="R346">
        <v>170</v>
      </c>
      <c r="S346">
        <v>624.5</v>
      </c>
      <c r="T346">
        <v>10666.65</v>
      </c>
      <c r="U346">
        <v>11291.15</v>
      </c>
      <c r="V346">
        <v>248.06</v>
      </c>
      <c r="W346">
        <v>0</v>
      </c>
      <c r="X346" t="s">
        <v>141</v>
      </c>
      <c r="Y346" s="55">
        <v>45897.75</v>
      </c>
      <c r="Z346">
        <v>624.5</v>
      </c>
      <c r="AA346">
        <v>624.5</v>
      </c>
      <c r="AB346">
        <v>0</v>
      </c>
    </row>
    <row r="347" spans="1:28" x14ac:dyDescent="0.2">
      <c r="A347">
        <v>604</v>
      </c>
      <c r="B347">
        <v>10</v>
      </c>
      <c r="C347">
        <v>13</v>
      </c>
      <c r="D347" t="s">
        <v>167</v>
      </c>
      <c r="E347">
        <v>8</v>
      </c>
      <c r="F347" t="s">
        <v>175</v>
      </c>
      <c r="G347" s="55">
        <v>46061.799305555556</v>
      </c>
      <c r="H347">
        <v>54</v>
      </c>
      <c r="I347" t="s">
        <v>559</v>
      </c>
      <c r="J347">
        <v>371</v>
      </c>
      <c r="K347" t="s">
        <v>153</v>
      </c>
      <c r="L347" t="s">
        <v>195</v>
      </c>
      <c r="M347" t="s">
        <v>140</v>
      </c>
      <c r="P347">
        <v>26</v>
      </c>
      <c r="Q347">
        <v>3799</v>
      </c>
      <c r="R347">
        <v>190</v>
      </c>
      <c r="S347">
        <v>799</v>
      </c>
      <c r="T347">
        <v>5700</v>
      </c>
      <c r="U347">
        <v>6499</v>
      </c>
      <c r="V347">
        <v>219.23</v>
      </c>
      <c r="W347">
        <v>0</v>
      </c>
      <c r="X347" t="s">
        <v>141</v>
      </c>
      <c r="Y347" s="55">
        <v>46001.75</v>
      </c>
      <c r="Z347">
        <v>799</v>
      </c>
      <c r="AA347">
        <v>799</v>
      </c>
      <c r="AB347">
        <v>0</v>
      </c>
    </row>
    <row r="348" spans="1:28" x14ac:dyDescent="0.2">
      <c r="A348">
        <v>605</v>
      </c>
      <c r="B348">
        <v>7</v>
      </c>
      <c r="C348">
        <v>21</v>
      </c>
      <c r="D348" t="s">
        <v>189</v>
      </c>
      <c r="E348">
        <v>8</v>
      </c>
      <c r="F348" t="s">
        <v>175</v>
      </c>
      <c r="G348" s="55">
        <v>46061.82708333333</v>
      </c>
      <c r="H348">
        <v>57</v>
      </c>
      <c r="I348" t="s">
        <v>560</v>
      </c>
      <c r="J348">
        <v>352</v>
      </c>
      <c r="K348" t="s">
        <v>158</v>
      </c>
      <c r="L348" t="s">
        <v>220</v>
      </c>
      <c r="M348" t="s">
        <v>196</v>
      </c>
      <c r="N348">
        <v>4</v>
      </c>
      <c r="O348">
        <v>128</v>
      </c>
      <c r="P348">
        <v>15</v>
      </c>
      <c r="Q348">
        <v>3999</v>
      </c>
      <c r="R348">
        <v>150</v>
      </c>
      <c r="S348">
        <v>799</v>
      </c>
      <c r="T348">
        <v>4800</v>
      </c>
      <c r="U348">
        <v>5599</v>
      </c>
      <c r="V348">
        <v>320</v>
      </c>
      <c r="W348">
        <v>0</v>
      </c>
      <c r="X348" t="s">
        <v>141</v>
      </c>
      <c r="Y348" s="55">
        <v>46023.75</v>
      </c>
      <c r="Z348">
        <v>799</v>
      </c>
      <c r="AA348">
        <v>799</v>
      </c>
      <c r="AB348">
        <v>0</v>
      </c>
    </row>
    <row r="349" spans="1:28" x14ac:dyDescent="0.2">
      <c r="A349">
        <v>606</v>
      </c>
      <c r="B349">
        <v>7</v>
      </c>
      <c r="C349">
        <v>11</v>
      </c>
      <c r="D349" t="s">
        <v>230</v>
      </c>
      <c r="E349">
        <v>8</v>
      </c>
      <c r="F349" t="s">
        <v>175</v>
      </c>
      <c r="G349" s="55">
        <v>46061.831250000003</v>
      </c>
      <c r="H349">
        <v>54</v>
      </c>
      <c r="I349" t="s">
        <v>561</v>
      </c>
      <c r="J349">
        <v>257</v>
      </c>
      <c r="K349" t="s">
        <v>153</v>
      </c>
      <c r="L349" t="s">
        <v>195</v>
      </c>
      <c r="M349" t="s">
        <v>140</v>
      </c>
      <c r="P349">
        <v>15</v>
      </c>
      <c r="Q349">
        <v>3799</v>
      </c>
      <c r="R349">
        <v>150</v>
      </c>
      <c r="S349">
        <v>1000</v>
      </c>
      <c r="T349">
        <v>4198.5</v>
      </c>
      <c r="U349">
        <v>5198.5</v>
      </c>
      <c r="V349">
        <v>279.89999999999998</v>
      </c>
      <c r="W349">
        <v>0</v>
      </c>
      <c r="X349" t="s">
        <v>141</v>
      </c>
      <c r="Y349" s="55">
        <v>45957.75</v>
      </c>
      <c r="Z349">
        <v>1000</v>
      </c>
      <c r="AA349">
        <v>1000</v>
      </c>
      <c r="AB349">
        <v>0</v>
      </c>
    </row>
    <row r="350" spans="1:28" x14ac:dyDescent="0.2">
      <c r="A350">
        <v>607</v>
      </c>
      <c r="B350">
        <v>7</v>
      </c>
      <c r="C350">
        <v>11</v>
      </c>
      <c r="D350" t="s">
        <v>230</v>
      </c>
      <c r="E350">
        <v>8</v>
      </c>
      <c r="F350" t="s">
        <v>175</v>
      </c>
      <c r="G350" s="55">
        <v>46061.833333333336</v>
      </c>
      <c r="H350">
        <v>58</v>
      </c>
      <c r="I350" t="s">
        <v>562</v>
      </c>
      <c r="J350">
        <v>299</v>
      </c>
      <c r="K350" t="s">
        <v>153</v>
      </c>
      <c r="L350" t="s">
        <v>201</v>
      </c>
      <c r="M350" t="s">
        <v>140</v>
      </c>
      <c r="P350">
        <v>26</v>
      </c>
      <c r="Q350">
        <v>8799</v>
      </c>
      <c r="R350">
        <v>190</v>
      </c>
      <c r="S350">
        <v>879.9</v>
      </c>
      <c r="T350">
        <v>15046.29</v>
      </c>
      <c r="U350">
        <v>15926.19</v>
      </c>
      <c r="V350">
        <v>578.70000000000005</v>
      </c>
      <c r="W350">
        <v>0</v>
      </c>
      <c r="X350" t="s">
        <v>141</v>
      </c>
      <c r="Y350" s="55">
        <v>45981.75</v>
      </c>
      <c r="Z350">
        <v>879.9</v>
      </c>
      <c r="AA350">
        <v>879.9</v>
      </c>
      <c r="AB350">
        <v>0</v>
      </c>
    </row>
    <row r="351" spans="1:28" x14ac:dyDescent="0.2">
      <c r="A351">
        <v>609</v>
      </c>
      <c r="B351">
        <v>12</v>
      </c>
      <c r="C351">
        <v>31</v>
      </c>
      <c r="D351" t="s">
        <v>170</v>
      </c>
      <c r="E351">
        <v>8</v>
      </c>
      <c r="F351" t="s">
        <v>175</v>
      </c>
      <c r="G351" s="55">
        <v>46062.115972222222</v>
      </c>
      <c r="H351">
        <v>55</v>
      </c>
      <c r="I351" t="s">
        <v>563</v>
      </c>
      <c r="J351">
        <v>263</v>
      </c>
      <c r="K351" t="s">
        <v>153</v>
      </c>
      <c r="L351" t="s">
        <v>209</v>
      </c>
      <c r="M351" t="s">
        <v>140</v>
      </c>
      <c r="P351">
        <v>43</v>
      </c>
      <c r="Q351">
        <v>5999</v>
      </c>
      <c r="R351">
        <v>170.00640000000001</v>
      </c>
      <c r="S351">
        <v>250</v>
      </c>
      <c r="T351">
        <v>9773.67</v>
      </c>
      <c r="U351">
        <v>10023.67</v>
      </c>
      <c r="V351">
        <v>227.29</v>
      </c>
      <c r="W351">
        <v>0</v>
      </c>
      <c r="X351" t="s">
        <v>141</v>
      </c>
      <c r="Y351" s="55">
        <v>45962.75</v>
      </c>
      <c r="Z351">
        <v>250</v>
      </c>
      <c r="AA351">
        <v>250</v>
      </c>
      <c r="AB351">
        <v>0</v>
      </c>
    </row>
    <row r="352" spans="1:28" x14ac:dyDescent="0.2">
      <c r="A352">
        <v>610</v>
      </c>
      <c r="B352">
        <v>8</v>
      </c>
      <c r="C352">
        <v>5</v>
      </c>
      <c r="D352" t="s">
        <v>164</v>
      </c>
      <c r="E352">
        <v>8</v>
      </c>
      <c r="F352" t="s">
        <v>175</v>
      </c>
      <c r="G352" s="55">
        <v>46062.4375</v>
      </c>
      <c r="H352">
        <v>54</v>
      </c>
      <c r="I352" t="s">
        <v>564</v>
      </c>
      <c r="J352">
        <v>278</v>
      </c>
      <c r="K352" t="s">
        <v>153</v>
      </c>
      <c r="L352" t="s">
        <v>195</v>
      </c>
      <c r="M352" t="s">
        <v>140</v>
      </c>
      <c r="P352">
        <v>43</v>
      </c>
      <c r="Q352">
        <v>3799</v>
      </c>
      <c r="R352">
        <v>229.93969999999999</v>
      </c>
      <c r="S352">
        <v>399</v>
      </c>
      <c r="T352">
        <v>7817.95</v>
      </c>
      <c r="U352">
        <v>8216.9500000000007</v>
      </c>
      <c r="V352">
        <v>181.81</v>
      </c>
      <c r="W352">
        <v>0</v>
      </c>
      <c r="X352" t="s">
        <v>141</v>
      </c>
      <c r="Y352" s="55">
        <v>45976.75</v>
      </c>
      <c r="Z352">
        <v>399</v>
      </c>
      <c r="AA352">
        <v>399</v>
      </c>
      <c r="AB352">
        <v>0</v>
      </c>
    </row>
    <row r="353" spans="1:28" x14ac:dyDescent="0.2">
      <c r="A353">
        <v>611</v>
      </c>
      <c r="B353">
        <v>4</v>
      </c>
      <c r="C353">
        <v>10002</v>
      </c>
      <c r="D353" t="s">
        <v>161</v>
      </c>
      <c r="E353">
        <v>8</v>
      </c>
      <c r="F353" t="s">
        <v>175</v>
      </c>
      <c r="G353" s="55">
        <v>46062.515972222223</v>
      </c>
      <c r="H353">
        <v>10</v>
      </c>
      <c r="I353" t="s">
        <v>565</v>
      </c>
      <c r="J353">
        <v>458</v>
      </c>
      <c r="K353" t="s">
        <v>138</v>
      </c>
      <c r="L353" t="s">
        <v>339</v>
      </c>
      <c r="M353" t="s">
        <v>140</v>
      </c>
      <c r="P353">
        <v>15</v>
      </c>
      <c r="Q353">
        <v>3999</v>
      </c>
      <c r="R353">
        <v>149.9991</v>
      </c>
      <c r="S353">
        <v>799</v>
      </c>
      <c r="T353">
        <v>4799.97</v>
      </c>
      <c r="U353">
        <v>5598.97</v>
      </c>
      <c r="V353">
        <v>320</v>
      </c>
      <c r="W353">
        <v>0</v>
      </c>
      <c r="X353" t="s">
        <v>141</v>
      </c>
      <c r="Y353" s="55">
        <v>46012.75</v>
      </c>
      <c r="Z353">
        <v>799</v>
      </c>
      <c r="AA353">
        <v>799</v>
      </c>
      <c r="AB353">
        <v>0</v>
      </c>
    </row>
    <row r="354" spans="1:28" x14ac:dyDescent="0.2">
      <c r="A354">
        <v>612</v>
      </c>
      <c r="B354">
        <v>7</v>
      </c>
      <c r="C354">
        <v>11</v>
      </c>
      <c r="D354" t="s">
        <v>230</v>
      </c>
      <c r="E354">
        <v>8</v>
      </c>
      <c r="F354" t="s">
        <v>175</v>
      </c>
      <c r="G354" s="55">
        <v>46062.570833333331</v>
      </c>
      <c r="H354">
        <v>10</v>
      </c>
      <c r="I354" t="s">
        <v>566</v>
      </c>
      <c r="J354">
        <v>363</v>
      </c>
      <c r="K354" t="s">
        <v>138</v>
      </c>
      <c r="L354" t="s">
        <v>339</v>
      </c>
      <c r="M354" t="s">
        <v>140</v>
      </c>
      <c r="P354">
        <v>26</v>
      </c>
      <c r="Q354">
        <v>3999</v>
      </c>
      <c r="R354">
        <v>190</v>
      </c>
      <c r="S354">
        <v>799</v>
      </c>
      <c r="T354">
        <v>6080</v>
      </c>
      <c r="U354">
        <v>6879</v>
      </c>
      <c r="V354">
        <v>233.85</v>
      </c>
      <c r="W354">
        <v>0</v>
      </c>
      <c r="X354" t="s">
        <v>141</v>
      </c>
      <c r="Y354" s="55">
        <v>46019.75</v>
      </c>
      <c r="Z354">
        <v>799</v>
      </c>
      <c r="AA354">
        <v>799</v>
      </c>
      <c r="AB354">
        <v>0</v>
      </c>
    </row>
    <row r="355" spans="1:28" x14ac:dyDescent="0.2">
      <c r="A355">
        <v>613</v>
      </c>
      <c r="B355">
        <v>9</v>
      </c>
      <c r="C355">
        <v>12</v>
      </c>
      <c r="D355" t="s">
        <v>187</v>
      </c>
      <c r="E355">
        <v>8</v>
      </c>
      <c r="F355" t="s">
        <v>175</v>
      </c>
      <c r="G355" s="55">
        <v>46062.574999999997</v>
      </c>
      <c r="H355">
        <v>54</v>
      </c>
      <c r="I355" t="s">
        <v>567</v>
      </c>
      <c r="J355">
        <v>190</v>
      </c>
      <c r="K355" t="s">
        <v>153</v>
      </c>
      <c r="L355" t="s">
        <v>195</v>
      </c>
      <c r="M355" t="s">
        <v>140</v>
      </c>
      <c r="P355">
        <v>35</v>
      </c>
      <c r="Q355">
        <v>3799</v>
      </c>
      <c r="R355">
        <v>165.8331</v>
      </c>
      <c r="S355">
        <v>0</v>
      </c>
      <c r="T355">
        <v>6300</v>
      </c>
      <c r="U355">
        <v>6300</v>
      </c>
      <c r="V355">
        <v>180</v>
      </c>
      <c r="W355">
        <v>0</v>
      </c>
      <c r="X355" t="s">
        <v>141</v>
      </c>
      <c r="Y355" s="55">
        <v>45875.75</v>
      </c>
      <c r="Z355">
        <v>0</v>
      </c>
      <c r="AA355">
        <v>0</v>
      </c>
      <c r="AB355">
        <v>0</v>
      </c>
    </row>
    <row r="356" spans="1:28" x14ac:dyDescent="0.2">
      <c r="A356">
        <v>614</v>
      </c>
      <c r="B356">
        <v>11</v>
      </c>
      <c r="C356">
        <v>14</v>
      </c>
      <c r="D356" t="s">
        <v>135</v>
      </c>
      <c r="E356">
        <v>8</v>
      </c>
      <c r="F356" t="s">
        <v>175</v>
      </c>
      <c r="G356" s="55">
        <v>46062.745833333334</v>
      </c>
      <c r="H356">
        <v>56</v>
      </c>
      <c r="I356" t="s">
        <v>568</v>
      </c>
      <c r="J356">
        <v>453</v>
      </c>
      <c r="K356" t="s">
        <v>138</v>
      </c>
      <c r="L356" t="s">
        <v>211</v>
      </c>
      <c r="M356" t="s">
        <v>140</v>
      </c>
      <c r="P356">
        <v>35</v>
      </c>
      <c r="Q356">
        <v>3999</v>
      </c>
      <c r="R356">
        <v>210.0009</v>
      </c>
      <c r="S356">
        <v>799</v>
      </c>
      <c r="T356">
        <v>6720.03</v>
      </c>
      <c r="U356">
        <v>7519.03</v>
      </c>
      <c r="V356">
        <v>192</v>
      </c>
      <c r="W356">
        <v>0</v>
      </c>
      <c r="X356" t="s">
        <v>141</v>
      </c>
      <c r="Y356" s="55">
        <v>46012.75</v>
      </c>
      <c r="Z356">
        <v>799</v>
      </c>
      <c r="AA356">
        <v>799</v>
      </c>
      <c r="AB356">
        <v>0</v>
      </c>
    </row>
    <row r="357" spans="1:28" x14ac:dyDescent="0.2">
      <c r="A357">
        <v>615</v>
      </c>
      <c r="B357">
        <v>13</v>
      </c>
      <c r="C357">
        <v>31</v>
      </c>
      <c r="D357" t="s">
        <v>170</v>
      </c>
      <c r="E357">
        <v>8</v>
      </c>
      <c r="F357" t="s">
        <v>175</v>
      </c>
      <c r="G357" s="55">
        <v>46062.768055555556</v>
      </c>
      <c r="H357">
        <v>24</v>
      </c>
      <c r="I357" t="s">
        <v>433</v>
      </c>
      <c r="J357">
        <v>5</v>
      </c>
      <c r="K357" t="s">
        <v>145</v>
      </c>
      <c r="L357" t="s">
        <v>146</v>
      </c>
      <c r="M357" t="s">
        <v>140</v>
      </c>
      <c r="P357">
        <v>26</v>
      </c>
      <c r="Q357">
        <v>10999</v>
      </c>
      <c r="R357">
        <v>160</v>
      </c>
      <c r="S357">
        <v>1249.5</v>
      </c>
      <c r="T357">
        <v>15599.2</v>
      </c>
      <c r="U357">
        <v>16848.7</v>
      </c>
      <c r="V357">
        <v>599.97</v>
      </c>
      <c r="W357">
        <v>0</v>
      </c>
      <c r="X357" t="s">
        <v>141</v>
      </c>
      <c r="Y357" s="55">
        <v>45966.75</v>
      </c>
      <c r="Z357">
        <v>1249.5</v>
      </c>
      <c r="AA357">
        <v>1249.5</v>
      </c>
      <c r="AB357">
        <v>0</v>
      </c>
    </row>
    <row r="358" spans="1:28" x14ac:dyDescent="0.2">
      <c r="A358">
        <v>617</v>
      </c>
      <c r="B358">
        <v>7</v>
      </c>
      <c r="C358">
        <v>11</v>
      </c>
      <c r="D358" t="s">
        <v>230</v>
      </c>
      <c r="E358">
        <v>8</v>
      </c>
      <c r="F358" t="s">
        <v>175</v>
      </c>
      <c r="G358" s="55">
        <v>46062.772916666669</v>
      </c>
      <c r="H358">
        <v>55</v>
      </c>
      <c r="I358" t="s">
        <v>569</v>
      </c>
      <c r="J358">
        <v>392</v>
      </c>
      <c r="K358" t="s">
        <v>153</v>
      </c>
      <c r="L358" t="s">
        <v>209</v>
      </c>
      <c r="M358" t="s">
        <v>140</v>
      </c>
      <c r="P358">
        <v>26</v>
      </c>
      <c r="Q358">
        <v>6499</v>
      </c>
      <c r="R358">
        <v>190</v>
      </c>
      <c r="S358">
        <v>1250</v>
      </c>
      <c r="T358">
        <v>9973.1</v>
      </c>
      <c r="U358">
        <v>11223.1</v>
      </c>
      <c r="V358">
        <v>383.58</v>
      </c>
      <c r="W358">
        <v>0</v>
      </c>
      <c r="X358" t="s">
        <v>141</v>
      </c>
      <c r="Y358" s="55">
        <v>45923.75</v>
      </c>
      <c r="Z358">
        <v>1250</v>
      </c>
      <c r="AA358">
        <v>1250</v>
      </c>
      <c r="AB358">
        <v>0</v>
      </c>
    </row>
    <row r="359" spans="1:28" x14ac:dyDescent="0.2">
      <c r="A359">
        <v>618</v>
      </c>
      <c r="B359">
        <v>12</v>
      </c>
      <c r="C359">
        <v>31</v>
      </c>
      <c r="D359" t="s">
        <v>170</v>
      </c>
      <c r="E359">
        <v>8</v>
      </c>
      <c r="F359" t="s">
        <v>175</v>
      </c>
      <c r="G359" s="55">
        <v>46062.808333333334</v>
      </c>
      <c r="H359">
        <v>58</v>
      </c>
      <c r="I359" t="s">
        <v>426</v>
      </c>
      <c r="J359">
        <v>9</v>
      </c>
      <c r="K359" t="s">
        <v>153</v>
      </c>
      <c r="L359" t="s">
        <v>201</v>
      </c>
      <c r="M359" t="s">
        <v>140</v>
      </c>
      <c r="P359">
        <v>35</v>
      </c>
      <c r="Q359">
        <v>8938</v>
      </c>
      <c r="R359">
        <v>165</v>
      </c>
      <c r="S359">
        <v>860</v>
      </c>
      <c r="T359">
        <v>13328.7</v>
      </c>
      <c r="U359">
        <v>14188.7</v>
      </c>
      <c r="V359">
        <v>380.82</v>
      </c>
      <c r="W359">
        <v>0</v>
      </c>
      <c r="X359" t="s">
        <v>141</v>
      </c>
      <c r="Y359" s="55">
        <v>45745.75</v>
      </c>
      <c r="Z359">
        <v>860</v>
      </c>
      <c r="AA359">
        <v>860</v>
      </c>
      <c r="AB359">
        <v>0</v>
      </c>
    </row>
    <row r="360" spans="1:28" x14ac:dyDescent="0.2">
      <c r="A360">
        <v>619</v>
      </c>
      <c r="B360">
        <v>3</v>
      </c>
      <c r="C360">
        <v>10002</v>
      </c>
      <c r="D360" t="s">
        <v>161</v>
      </c>
      <c r="E360">
        <v>8</v>
      </c>
      <c r="F360" t="s">
        <v>175</v>
      </c>
      <c r="G360" s="55">
        <v>46062.813888888886</v>
      </c>
      <c r="H360">
        <v>76</v>
      </c>
      <c r="I360" t="s">
        <v>570</v>
      </c>
      <c r="J360">
        <v>443</v>
      </c>
      <c r="K360" t="s">
        <v>138</v>
      </c>
      <c r="L360" t="s">
        <v>375</v>
      </c>
      <c r="M360" t="s">
        <v>140</v>
      </c>
      <c r="P360">
        <v>43</v>
      </c>
      <c r="Q360">
        <v>6299</v>
      </c>
      <c r="R360">
        <v>100</v>
      </c>
      <c r="S360">
        <v>0</v>
      </c>
      <c r="T360">
        <v>6299</v>
      </c>
      <c r="U360">
        <v>6299</v>
      </c>
      <c r="V360">
        <v>146.49</v>
      </c>
      <c r="W360">
        <v>0</v>
      </c>
      <c r="X360" t="s">
        <v>141</v>
      </c>
      <c r="Y360" s="55">
        <v>45759.75</v>
      </c>
      <c r="Z360">
        <v>0</v>
      </c>
      <c r="AA360">
        <v>0</v>
      </c>
      <c r="AB360">
        <v>0</v>
      </c>
    </row>
    <row r="361" spans="1:28" x14ac:dyDescent="0.2">
      <c r="A361">
        <v>620</v>
      </c>
      <c r="B361">
        <v>12</v>
      </c>
      <c r="C361">
        <v>10002</v>
      </c>
      <c r="D361" t="s">
        <v>161</v>
      </c>
      <c r="E361">
        <v>8</v>
      </c>
      <c r="F361" t="s">
        <v>175</v>
      </c>
      <c r="G361" s="55">
        <v>46062.82916666667</v>
      </c>
      <c r="H361">
        <v>10</v>
      </c>
      <c r="I361" t="s">
        <v>571</v>
      </c>
      <c r="J361">
        <v>301</v>
      </c>
      <c r="K361" t="s">
        <v>138</v>
      </c>
      <c r="L361" t="s">
        <v>339</v>
      </c>
      <c r="M361" t="s">
        <v>196</v>
      </c>
      <c r="N361">
        <v>4</v>
      </c>
      <c r="O361">
        <v>128</v>
      </c>
      <c r="P361">
        <v>43</v>
      </c>
      <c r="Q361">
        <v>3999</v>
      </c>
      <c r="R361">
        <v>230.00059999999999</v>
      </c>
      <c r="S361">
        <v>399.9</v>
      </c>
      <c r="T361">
        <v>8277.9500000000007</v>
      </c>
      <c r="U361">
        <v>8677.85</v>
      </c>
      <c r="V361">
        <v>192.51</v>
      </c>
      <c r="W361">
        <v>0</v>
      </c>
      <c r="X361" t="s">
        <v>141</v>
      </c>
      <c r="Y361" s="55">
        <v>45981.75</v>
      </c>
      <c r="Z361">
        <v>399.9</v>
      </c>
      <c r="AA361">
        <v>399.9</v>
      </c>
      <c r="AB361">
        <v>0</v>
      </c>
    </row>
    <row r="362" spans="1:28" x14ac:dyDescent="0.2">
      <c r="A362">
        <v>621</v>
      </c>
      <c r="B362">
        <v>13</v>
      </c>
      <c r="C362">
        <v>20</v>
      </c>
      <c r="D362" t="s">
        <v>572</v>
      </c>
      <c r="E362">
        <v>8</v>
      </c>
      <c r="F362" t="s">
        <v>175</v>
      </c>
      <c r="G362" s="55">
        <v>46062.834722222222</v>
      </c>
      <c r="H362">
        <v>54</v>
      </c>
      <c r="I362" t="s">
        <v>573</v>
      </c>
      <c r="J362">
        <v>295</v>
      </c>
      <c r="K362" t="s">
        <v>153</v>
      </c>
      <c r="L362" t="s">
        <v>195</v>
      </c>
      <c r="M362" t="s">
        <v>140</v>
      </c>
      <c r="P362">
        <v>35</v>
      </c>
      <c r="Q362">
        <v>3799</v>
      </c>
      <c r="R362">
        <v>210.0009</v>
      </c>
      <c r="S362">
        <v>379.9</v>
      </c>
      <c r="T362">
        <v>7180.14</v>
      </c>
      <c r="U362">
        <v>7560.04</v>
      </c>
      <c r="V362">
        <v>205.15</v>
      </c>
      <c r="W362">
        <v>0</v>
      </c>
      <c r="X362" t="s">
        <v>141</v>
      </c>
      <c r="Y362" s="55">
        <v>45980.75</v>
      </c>
      <c r="Z362">
        <v>379.9</v>
      </c>
      <c r="AA362">
        <v>379.9</v>
      </c>
      <c r="AB362">
        <v>0</v>
      </c>
    </row>
    <row r="363" spans="1:28" x14ac:dyDescent="0.2">
      <c r="A363">
        <v>622</v>
      </c>
      <c r="B363">
        <v>8</v>
      </c>
      <c r="C363">
        <v>28</v>
      </c>
      <c r="D363" t="s">
        <v>328</v>
      </c>
      <c r="E363">
        <v>8</v>
      </c>
      <c r="F363" t="s">
        <v>175</v>
      </c>
      <c r="G363" s="55">
        <v>46062.838888888888</v>
      </c>
      <c r="H363">
        <v>54</v>
      </c>
      <c r="I363" t="s">
        <v>574</v>
      </c>
      <c r="J363">
        <v>285</v>
      </c>
      <c r="K363" t="s">
        <v>153</v>
      </c>
      <c r="L363" t="s">
        <v>195</v>
      </c>
      <c r="M363" t="s">
        <v>140</v>
      </c>
      <c r="P363">
        <v>15</v>
      </c>
      <c r="Q363">
        <v>3799</v>
      </c>
      <c r="R363">
        <v>150.04320000000001</v>
      </c>
      <c r="S363">
        <v>400</v>
      </c>
      <c r="T363">
        <v>5099.97</v>
      </c>
      <c r="U363">
        <v>5499.97</v>
      </c>
      <c r="V363">
        <v>340</v>
      </c>
      <c r="W363">
        <v>0</v>
      </c>
      <c r="X363" t="s">
        <v>141</v>
      </c>
      <c r="Y363" s="55">
        <v>45977.75</v>
      </c>
      <c r="Z363">
        <v>400</v>
      </c>
      <c r="AA363">
        <v>400</v>
      </c>
      <c r="AB363">
        <v>0</v>
      </c>
    </row>
    <row r="364" spans="1:28" x14ac:dyDescent="0.2">
      <c r="A364">
        <v>623</v>
      </c>
      <c r="B364">
        <v>12</v>
      </c>
      <c r="C364">
        <v>31</v>
      </c>
      <c r="D364" t="s">
        <v>170</v>
      </c>
      <c r="E364">
        <v>8</v>
      </c>
      <c r="F364" t="s">
        <v>175</v>
      </c>
      <c r="G364" s="55">
        <v>46063.043749999997</v>
      </c>
      <c r="H364">
        <v>25</v>
      </c>
      <c r="I364" t="s">
        <v>433</v>
      </c>
      <c r="J364">
        <v>5</v>
      </c>
      <c r="K364" t="s">
        <v>145</v>
      </c>
      <c r="L364" t="s">
        <v>312</v>
      </c>
      <c r="M364" t="s">
        <v>140</v>
      </c>
      <c r="P364">
        <v>26</v>
      </c>
      <c r="Q364">
        <v>10499</v>
      </c>
      <c r="R364">
        <v>144.7757</v>
      </c>
      <c r="S364">
        <v>0</v>
      </c>
      <c r="T364">
        <v>15200</v>
      </c>
      <c r="U364">
        <v>15200</v>
      </c>
      <c r="V364">
        <v>584.62</v>
      </c>
      <c r="W364">
        <v>0</v>
      </c>
      <c r="X364" t="s">
        <v>141</v>
      </c>
      <c r="Y364" s="55">
        <v>45462.75</v>
      </c>
      <c r="Z364">
        <v>0</v>
      </c>
      <c r="AA364">
        <v>0</v>
      </c>
      <c r="AB364">
        <v>0</v>
      </c>
    </row>
    <row r="365" spans="1:28" x14ac:dyDescent="0.2">
      <c r="A365">
        <v>624</v>
      </c>
      <c r="B365">
        <v>12</v>
      </c>
      <c r="C365">
        <v>31</v>
      </c>
      <c r="D365" t="s">
        <v>170</v>
      </c>
      <c r="E365">
        <v>8</v>
      </c>
      <c r="F365" t="s">
        <v>175</v>
      </c>
      <c r="G365" s="55">
        <v>46063.04583333333</v>
      </c>
      <c r="H365">
        <v>82</v>
      </c>
      <c r="I365" t="s">
        <v>433</v>
      </c>
      <c r="J365">
        <v>5</v>
      </c>
      <c r="K365" t="s">
        <v>153</v>
      </c>
      <c r="L365" t="s">
        <v>479</v>
      </c>
      <c r="M365" t="s">
        <v>140</v>
      </c>
      <c r="P365">
        <v>26</v>
      </c>
      <c r="Q365">
        <v>8500</v>
      </c>
      <c r="R365">
        <v>160</v>
      </c>
      <c r="S365">
        <v>499</v>
      </c>
      <c r="T365">
        <v>12801.6</v>
      </c>
      <c r="U365">
        <v>13300.6</v>
      </c>
      <c r="V365">
        <v>492.37</v>
      </c>
      <c r="W365">
        <v>0</v>
      </c>
      <c r="X365" t="s">
        <v>141</v>
      </c>
      <c r="Y365" s="55">
        <v>45702.75</v>
      </c>
      <c r="Z365">
        <v>499</v>
      </c>
      <c r="AA365">
        <v>499</v>
      </c>
      <c r="AB365">
        <v>0</v>
      </c>
    </row>
    <row r="366" spans="1:28" x14ac:dyDescent="0.2">
      <c r="A366">
        <v>625</v>
      </c>
      <c r="B366">
        <v>9</v>
      </c>
      <c r="C366">
        <v>12</v>
      </c>
      <c r="D366" t="s">
        <v>187</v>
      </c>
      <c r="E366">
        <v>8</v>
      </c>
      <c r="F366" t="s">
        <v>175</v>
      </c>
      <c r="G366" s="55">
        <v>46063.429861111108</v>
      </c>
      <c r="H366">
        <v>55</v>
      </c>
      <c r="I366" t="s">
        <v>575</v>
      </c>
      <c r="J366">
        <v>364</v>
      </c>
      <c r="K366" t="s">
        <v>153</v>
      </c>
      <c r="L366" t="s">
        <v>209</v>
      </c>
      <c r="M366" t="s">
        <v>140</v>
      </c>
      <c r="P366">
        <v>43</v>
      </c>
      <c r="Q366">
        <v>5499</v>
      </c>
      <c r="R366">
        <v>230.00069999999999</v>
      </c>
      <c r="S366">
        <v>999</v>
      </c>
      <c r="T366">
        <v>10350.030000000001</v>
      </c>
      <c r="U366">
        <v>11349.03</v>
      </c>
      <c r="V366">
        <v>240.7</v>
      </c>
      <c r="W366">
        <v>0</v>
      </c>
      <c r="X366" t="s">
        <v>141</v>
      </c>
      <c r="Y366" s="55">
        <v>46018.75</v>
      </c>
      <c r="Z366">
        <v>999</v>
      </c>
      <c r="AA366">
        <v>999</v>
      </c>
      <c r="AB366">
        <v>0</v>
      </c>
    </row>
    <row r="367" spans="1:28" x14ac:dyDescent="0.2">
      <c r="A367">
        <v>626</v>
      </c>
      <c r="B367">
        <v>9</v>
      </c>
      <c r="C367">
        <v>12</v>
      </c>
      <c r="D367" t="s">
        <v>187</v>
      </c>
      <c r="E367">
        <v>8</v>
      </c>
      <c r="F367" t="s">
        <v>175</v>
      </c>
      <c r="G367" s="55">
        <v>46063.431944444441</v>
      </c>
      <c r="H367">
        <v>55</v>
      </c>
      <c r="I367" t="s">
        <v>576</v>
      </c>
      <c r="J367">
        <v>461</v>
      </c>
      <c r="K367" t="s">
        <v>153</v>
      </c>
      <c r="L367" t="s">
        <v>209</v>
      </c>
      <c r="M367" t="s">
        <v>140</v>
      </c>
      <c r="P367">
        <v>43</v>
      </c>
      <c r="Q367">
        <v>5499</v>
      </c>
      <c r="R367">
        <v>230.00069999999999</v>
      </c>
      <c r="S367">
        <v>999</v>
      </c>
      <c r="T367">
        <v>10350.030000000001</v>
      </c>
      <c r="U367">
        <v>11349.03</v>
      </c>
      <c r="V367">
        <v>240.7</v>
      </c>
      <c r="W367">
        <v>0</v>
      </c>
      <c r="X367" t="s">
        <v>141</v>
      </c>
      <c r="Y367" s="55">
        <v>46018.75</v>
      </c>
      <c r="Z367">
        <v>999</v>
      </c>
      <c r="AA367">
        <v>999</v>
      </c>
      <c r="AB367">
        <v>0</v>
      </c>
    </row>
    <row r="368" spans="1:28" x14ac:dyDescent="0.2">
      <c r="A368">
        <v>627</v>
      </c>
      <c r="B368">
        <v>5</v>
      </c>
      <c r="C368">
        <v>10002</v>
      </c>
      <c r="D368" t="s">
        <v>161</v>
      </c>
      <c r="E368">
        <v>8</v>
      </c>
      <c r="F368" t="s">
        <v>175</v>
      </c>
      <c r="G368" s="55">
        <v>46063.561111111114</v>
      </c>
      <c r="H368">
        <v>46</v>
      </c>
      <c r="I368" t="s">
        <v>577</v>
      </c>
      <c r="J368">
        <v>442</v>
      </c>
      <c r="K368" t="s">
        <v>138</v>
      </c>
      <c r="L368" t="s">
        <v>139</v>
      </c>
      <c r="M368" t="s">
        <v>140</v>
      </c>
      <c r="P368">
        <v>43</v>
      </c>
      <c r="Q368">
        <v>3799</v>
      </c>
      <c r="R368">
        <v>192.67420000000001</v>
      </c>
      <c r="S368">
        <v>800</v>
      </c>
      <c r="T368">
        <v>5778.3</v>
      </c>
      <c r="U368">
        <v>6578.3</v>
      </c>
      <c r="V368">
        <v>134.38</v>
      </c>
      <c r="W368">
        <v>0</v>
      </c>
      <c r="X368" t="s">
        <v>141</v>
      </c>
      <c r="Y368" s="55">
        <v>45768.75</v>
      </c>
      <c r="Z368">
        <v>800</v>
      </c>
      <c r="AA368">
        <v>800</v>
      </c>
      <c r="AB368">
        <v>0</v>
      </c>
    </row>
    <row r="369" spans="1:28" x14ac:dyDescent="0.2">
      <c r="A369">
        <v>628</v>
      </c>
      <c r="B369">
        <v>13</v>
      </c>
      <c r="C369">
        <v>31</v>
      </c>
      <c r="D369" t="s">
        <v>170</v>
      </c>
      <c r="E369">
        <v>8</v>
      </c>
      <c r="F369" t="s">
        <v>175</v>
      </c>
      <c r="G369" s="55">
        <v>46063.565972222219</v>
      </c>
      <c r="H369">
        <v>54</v>
      </c>
      <c r="I369" t="s">
        <v>578</v>
      </c>
      <c r="J369">
        <v>269</v>
      </c>
      <c r="K369" t="s">
        <v>153</v>
      </c>
      <c r="L369" t="s">
        <v>195</v>
      </c>
      <c r="M369" t="s">
        <v>196</v>
      </c>
      <c r="N369">
        <v>3</v>
      </c>
      <c r="O369">
        <v>64</v>
      </c>
      <c r="P369">
        <v>43</v>
      </c>
      <c r="Q369">
        <v>3799</v>
      </c>
      <c r="R369">
        <v>230.00059999999999</v>
      </c>
      <c r="S369">
        <v>380</v>
      </c>
      <c r="T369">
        <v>7863.72</v>
      </c>
      <c r="U369">
        <v>8243.7199999999993</v>
      </c>
      <c r="V369">
        <v>183</v>
      </c>
      <c r="W369">
        <v>0</v>
      </c>
      <c r="X369" t="s">
        <v>141</v>
      </c>
      <c r="Y369" s="55">
        <v>45975.75</v>
      </c>
      <c r="Z369">
        <v>380</v>
      </c>
      <c r="AA369">
        <v>380</v>
      </c>
      <c r="AB369">
        <v>0</v>
      </c>
    </row>
    <row r="370" spans="1:28" x14ac:dyDescent="0.2">
      <c r="A370">
        <v>629</v>
      </c>
      <c r="B370">
        <v>12</v>
      </c>
      <c r="C370">
        <v>15</v>
      </c>
      <c r="D370" t="s">
        <v>148</v>
      </c>
      <c r="E370">
        <v>8</v>
      </c>
      <c r="F370" t="s">
        <v>175</v>
      </c>
      <c r="G370" s="55">
        <v>46063.768750000003</v>
      </c>
      <c r="H370">
        <v>54</v>
      </c>
      <c r="I370" t="s">
        <v>579</v>
      </c>
      <c r="J370">
        <v>192</v>
      </c>
      <c r="K370" t="s">
        <v>153</v>
      </c>
      <c r="L370" t="s">
        <v>195</v>
      </c>
      <c r="M370" t="s">
        <v>140</v>
      </c>
      <c r="P370">
        <v>43</v>
      </c>
      <c r="Q370">
        <v>3799</v>
      </c>
      <c r="R370">
        <v>230</v>
      </c>
      <c r="S370">
        <v>799</v>
      </c>
      <c r="T370">
        <v>6900</v>
      </c>
      <c r="U370">
        <v>7699</v>
      </c>
      <c r="V370">
        <v>160.47</v>
      </c>
      <c r="W370">
        <v>0</v>
      </c>
      <c r="X370" t="s">
        <v>141</v>
      </c>
      <c r="Y370" s="55">
        <v>45879.75</v>
      </c>
      <c r="Z370">
        <v>799</v>
      </c>
      <c r="AA370">
        <v>799</v>
      </c>
      <c r="AB370">
        <v>0</v>
      </c>
    </row>
    <row r="371" spans="1:28" x14ac:dyDescent="0.2">
      <c r="A371">
        <v>630</v>
      </c>
      <c r="B371">
        <v>5</v>
      </c>
      <c r="C371">
        <v>5</v>
      </c>
      <c r="D371" t="s">
        <v>164</v>
      </c>
      <c r="E371">
        <v>8</v>
      </c>
      <c r="F371" t="s">
        <v>175</v>
      </c>
      <c r="G371" s="55">
        <v>46063.988888888889</v>
      </c>
      <c r="H371">
        <v>84</v>
      </c>
      <c r="I371" t="s">
        <v>580</v>
      </c>
      <c r="J371">
        <v>88</v>
      </c>
      <c r="K371" t="s">
        <v>138</v>
      </c>
      <c r="L371" t="s">
        <v>377</v>
      </c>
      <c r="M371" t="s">
        <v>140</v>
      </c>
      <c r="P371">
        <v>43</v>
      </c>
      <c r="Q371">
        <v>8699</v>
      </c>
      <c r="R371">
        <v>230</v>
      </c>
      <c r="S371">
        <v>1499</v>
      </c>
      <c r="T371">
        <v>16560</v>
      </c>
      <c r="U371">
        <v>18059</v>
      </c>
      <c r="V371">
        <v>385.12</v>
      </c>
      <c r="W371">
        <v>0</v>
      </c>
      <c r="X371" t="s">
        <v>141</v>
      </c>
      <c r="Y371" s="55">
        <v>45743.75</v>
      </c>
      <c r="Z371">
        <v>1499</v>
      </c>
      <c r="AA371">
        <v>1499</v>
      </c>
      <c r="AB371">
        <v>0</v>
      </c>
    </row>
    <row r="372" spans="1:28" x14ac:dyDescent="0.2">
      <c r="A372">
        <v>632</v>
      </c>
      <c r="B372">
        <v>6</v>
      </c>
      <c r="C372">
        <v>10002</v>
      </c>
      <c r="D372" t="s">
        <v>161</v>
      </c>
      <c r="E372">
        <v>8</v>
      </c>
      <c r="F372" t="s">
        <v>175</v>
      </c>
      <c r="G372" s="55">
        <v>46063.998611111114</v>
      </c>
      <c r="H372">
        <v>73</v>
      </c>
      <c r="I372" t="s">
        <v>581</v>
      </c>
      <c r="J372">
        <v>439</v>
      </c>
      <c r="K372" t="s">
        <v>295</v>
      </c>
      <c r="L372" t="s">
        <v>296</v>
      </c>
      <c r="M372" t="s">
        <v>140</v>
      </c>
      <c r="P372">
        <v>26</v>
      </c>
      <c r="Q372">
        <v>3799</v>
      </c>
      <c r="R372">
        <v>190</v>
      </c>
      <c r="S372">
        <v>799</v>
      </c>
      <c r="T372">
        <v>5700</v>
      </c>
      <c r="U372">
        <v>6499</v>
      </c>
      <c r="V372">
        <v>219.23</v>
      </c>
      <c r="W372">
        <v>0</v>
      </c>
      <c r="X372" t="s">
        <v>141</v>
      </c>
      <c r="Y372" s="55">
        <v>45814.75</v>
      </c>
      <c r="Z372">
        <v>799</v>
      </c>
      <c r="AA372">
        <v>799</v>
      </c>
      <c r="AB372">
        <v>0</v>
      </c>
    </row>
    <row r="373" spans="1:28" x14ac:dyDescent="0.2">
      <c r="A373">
        <v>633</v>
      </c>
      <c r="B373">
        <v>9</v>
      </c>
      <c r="C373">
        <v>12</v>
      </c>
      <c r="D373" t="s">
        <v>187</v>
      </c>
      <c r="E373">
        <v>8</v>
      </c>
      <c r="F373" t="s">
        <v>175</v>
      </c>
      <c r="G373" s="55">
        <v>46064.000694444447</v>
      </c>
      <c r="H373">
        <v>30</v>
      </c>
      <c r="I373" t="s">
        <v>582</v>
      </c>
      <c r="J373">
        <v>366</v>
      </c>
      <c r="K373" t="s">
        <v>145</v>
      </c>
      <c r="L373" t="s">
        <v>331</v>
      </c>
      <c r="M373" t="s">
        <v>140</v>
      </c>
      <c r="P373">
        <v>15</v>
      </c>
      <c r="Q373">
        <v>3999</v>
      </c>
      <c r="R373">
        <v>150</v>
      </c>
      <c r="S373">
        <v>799</v>
      </c>
      <c r="T373">
        <v>4800</v>
      </c>
      <c r="U373">
        <v>5599</v>
      </c>
      <c r="V373">
        <v>320</v>
      </c>
      <c r="W373">
        <v>0</v>
      </c>
      <c r="X373" t="s">
        <v>141</v>
      </c>
      <c r="Y373" s="55">
        <v>46019.75</v>
      </c>
      <c r="Z373">
        <v>799</v>
      </c>
      <c r="AA373">
        <v>799</v>
      </c>
      <c r="AB373">
        <v>0</v>
      </c>
    </row>
    <row r="374" spans="1:28" x14ac:dyDescent="0.2">
      <c r="A374">
        <v>634</v>
      </c>
      <c r="B374">
        <v>4</v>
      </c>
      <c r="C374">
        <v>10002</v>
      </c>
      <c r="D374" t="s">
        <v>161</v>
      </c>
      <c r="E374">
        <v>8</v>
      </c>
      <c r="F374" t="s">
        <v>175</v>
      </c>
      <c r="G374" s="55">
        <v>46064.003472222219</v>
      </c>
      <c r="H374">
        <v>54</v>
      </c>
      <c r="I374" t="s">
        <v>583</v>
      </c>
      <c r="J374">
        <v>196</v>
      </c>
      <c r="K374" t="s">
        <v>153</v>
      </c>
      <c r="L374" t="s">
        <v>195</v>
      </c>
      <c r="M374" t="s">
        <v>140</v>
      </c>
      <c r="P374">
        <v>15</v>
      </c>
      <c r="Q374">
        <v>3799</v>
      </c>
      <c r="R374">
        <v>150</v>
      </c>
      <c r="S374">
        <v>799</v>
      </c>
      <c r="T374">
        <v>4500</v>
      </c>
      <c r="U374">
        <v>5299</v>
      </c>
      <c r="V374">
        <v>300</v>
      </c>
      <c r="W374">
        <v>0</v>
      </c>
      <c r="X374" t="s">
        <v>141</v>
      </c>
      <c r="Y374" s="55">
        <v>45884.75</v>
      </c>
      <c r="Z374">
        <v>799</v>
      </c>
      <c r="AA374">
        <v>799</v>
      </c>
      <c r="AB374">
        <v>0</v>
      </c>
    </row>
    <row r="375" spans="1:28" x14ac:dyDescent="0.2">
      <c r="A375">
        <v>635</v>
      </c>
      <c r="B375">
        <v>12</v>
      </c>
      <c r="C375">
        <v>25</v>
      </c>
      <c r="D375" t="s">
        <v>151</v>
      </c>
      <c r="E375">
        <v>8</v>
      </c>
      <c r="F375" t="s">
        <v>175</v>
      </c>
      <c r="G375" s="55">
        <v>46064.005555555559</v>
      </c>
      <c r="H375">
        <v>54</v>
      </c>
      <c r="I375" t="s">
        <v>584</v>
      </c>
      <c r="J375">
        <v>195</v>
      </c>
      <c r="K375" t="s">
        <v>153</v>
      </c>
      <c r="L375" t="s">
        <v>195</v>
      </c>
      <c r="M375" t="s">
        <v>140</v>
      </c>
      <c r="P375">
        <v>43</v>
      </c>
      <c r="Q375">
        <v>3799</v>
      </c>
      <c r="R375">
        <v>230</v>
      </c>
      <c r="S375">
        <v>799</v>
      </c>
      <c r="T375">
        <v>6900</v>
      </c>
      <c r="U375">
        <v>7699</v>
      </c>
      <c r="V375">
        <v>160.47</v>
      </c>
      <c r="W375">
        <v>0</v>
      </c>
      <c r="X375" t="s">
        <v>141</v>
      </c>
      <c r="Y375" s="55">
        <v>45884.75</v>
      </c>
      <c r="Z375">
        <v>799</v>
      </c>
      <c r="AA375">
        <v>799</v>
      </c>
      <c r="AB375">
        <v>0</v>
      </c>
    </row>
    <row r="376" spans="1:28" x14ac:dyDescent="0.2">
      <c r="A376">
        <v>636</v>
      </c>
      <c r="B376">
        <v>5</v>
      </c>
      <c r="C376">
        <v>14</v>
      </c>
      <c r="D376" t="s">
        <v>135</v>
      </c>
      <c r="E376">
        <v>8</v>
      </c>
      <c r="F376" t="s">
        <v>175</v>
      </c>
      <c r="G376" s="55">
        <v>46064.009027777778</v>
      </c>
      <c r="H376">
        <v>5</v>
      </c>
      <c r="I376" t="s">
        <v>585</v>
      </c>
      <c r="J376">
        <v>544</v>
      </c>
      <c r="K376" t="s">
        <v>138</v>
      </c>
      <c r="L376" t="s">
        <v>166</v>
      </c>
      <c r="M376" t="s">
        <v>140</v>
      </c>
      <c r="P376">
        <v>43</v>
      </c>
      <c r="Q376">
        <v>7523.5</v>
      </c>
      <c r="R376">
        <v>170</v>
      </c>
      <c r="S376">
        <v>0</v>
      </c>
      <c r="T376">
        <v>12789.95</v>
      </c>
      <c r="U376">
        <v>12789.95</v>
      </c>
      <c r="V376">
        <v>297.44</v>
      </c>
      <c r="W376">
        <v>0</v>
      </c>
      <c r="X376" t="s">
        <v>141</v>
      </c>
      <c r="Y376" s="55">
        <v>45904.75</v>
      </c>
      <c r="Z376">
        <v>0</v>
      </c>
      <c r="AA376">
        <v>0</v>
      </c>
      <c r="AB376">
        <v>0</v>
      </c>
    </row>
    <row r="377" spans="1:28" x14ac:dyDescent="0.2">
      <c r="A377">
        <v>637</v>
      </c>
      <c r="B377">
        <v>4</v>
      </c>
      <c r="C377">
        <v>10002</v>
      </c>
      <c r="D377" t="s">
        <v>161</v>
      </c>
      <c r="E377">
        <v>8</v>
      </c>
      <c r="F377" t="s">
        <v>175</v>
      </c>
      <c r="G377" s="55">
        <v>46064.839583333334</v>
      </c>
      <c r="H377">
        <v>56</v>
      </c>
      <c r="I377" t="s">
        <v>586</v>
      </c>
      <c r="J377">
        <v>309</v>
      </c>
      <c r="K377" t="s">
        <v>138</v>
      </c>
      <c r="L377" t="s">
        <v>211</v>
      </c>
      <c r="M377" t="s">
        <v>196</v>
      </c>
      <c r="N377">
        <v>4</v>
      </c>
      <c r="O377">
        <v>256</v>
      </c>
      <c r="P377">
        <v>15</v>
      </c>
      <c r="Q377">
        <v>3999</v>
      </c>
      <c r="R377">
        <v>149.9991</v>
      </c>
      <c r="S377">
        <v>799</v>
      </c>
      <c r="T377">
        <v>4799.97</v>
      </c>
      <c r="U377">
        <v>5598.97</v>
      </c>
      <c r="V377">
        <v>320</v>
      </c>
      <c r="W377">
        <v>0</v>
      </c>
      <c r="X377" t="s">
        <v>141</v>
      </c>
      <c r="Y377" s="55">
        <v>45993.75</v>
      </c>
      <c r="Z377">
        <v>799</v>
      </c>
      <c r="AA377">
        <v>799</v>
      </c>
      <c r="AB377">
        <v>0</v>
      </c>
    </row>
    <row r="378" spans="1:28" x14ac:dyDescent="0.2">
      <c r="A378">
        <v>638</v>
      </c>
      <c r="B378">
        <v>9</v>
      </c>
      <c r="C378">
        <v>12</v>
      </c>
      <c r="D378" t="s">
        <v>187</v>
      </c>
      <c r="E378">
        <v>8</v>
      </c>
      <c r="F378" t="s">
        <v>175</v>
      </c>
      <c r="G378" s="55">
        <v>46065.518055555556</v>
      </c>
      <c r="H378">
        <v>9</v>
      </c>
      <c r="I378" t="s">
        <v>587</v>
      </c>
      <c r="J378">
        <v>240</v>
      </c>
      <c r="K378" t="s">
        <v>138</v>
      </c>
      <c r="L378" t="s">
        <v>224</v>
      </c>
      <c r="M378" t="s">
        <v>140</v>
      </c>
      <c r="P378">
        <v>35</v>
      </c>
      <c r="Q378">
        <v>5399</v>
      </c>
      <c r="R378">
        <v>210</v>
      </c>
      <c r="S378">
        <v>999</v>
      </c>
      <c r="T378">
        <v>9240</v>
      </c>
      <c r="U378">
        <v>10239</v>
      </c>
      <c r="V378">
        <v>264</v>
      </c>
      <c r="W378">
        <v>0</v>
      </c>
      <c r="X378" t="s">
        <v>141</v>
      </c>
      <c r="Y378" s="55">
        <v>45935.75</v>
      </c>
      <c r="Z378">
        <v>999</v>
      </c>
      <c r="AA378">
        <v>999</v>
      </c>
      <c r="AB378">
        <v>0</v>
      </c>
    </row>
    <row r="379" spans="1:28" x14ac:dyDescent="0.2">
      <c r="A379">
        <v>639</v>
      </c>
      <c r="B379">
        <v>13</v>
      </c>
      <c r="C379">
        <v>31</v>
      </c>
      <c r="D379" t="s">
        <v>170</v>
      </c>
      <c r="E379">
        <v>8</v>
      </c>
      <c r="F379" t="s">
        <v>175</v>
      </c>
      <c r="G379" s="55">
        <v>46065.768055555556</v>
      </c>
      <c r="H379">
        <v>54</v>
      </c>
      <c r="I379" t="s">
        <v>588</v>
      </c>
      <c r="J379">
        <v>212</v>
      </c>
      <c r="K379" t="s">
        <v>153</v>
      </c>
      <c r="L379" t="s">
        <v>195</v>
      </c>
      <c r="M379" t="s">
        <v>140</v>
      </c>
      <c r="P379">
        <v>43</v>
      </c>
      <c r="Q379">
        <v>3799</v>
      </c>
      <c r="R379">
        <v>230</v>
      </c>
      <c r="S379">
        <v>799</v>
      </c>
      <c r="T379">
        <v>6900</v>
      </c>
      <c r="U379">
        <v>7699</v>
      </c>
      <c r="V379">
        <v>160.47</v>
      </c>
      <c r="W379">
        <v>0</v>
      </c>
      <c r="X379" t="s">
        <v>141</v>
      </c>
      <c r="Y379" s="55">
        <v>45914.75</v>
      </c>
      <c r="Z379">
        <v>799</v>
      </c>
      <c r="AA379">
        <v>799</v>
      </c>
      <c r="AB379">
        <v>0</v>
      </c>
    </row>
    <row r="380" spans="1:28" x14ac:dyDescent="0.2">
      <c r="A380">
        <v>641</v>
      </c>
      <c r="B380">
        <v>13</v>
      </c>
      <c r="C380">
        <v>31</v>
      </c>
      <c r="D380" t="s">
        <v>170</v>
      </c>
      <c r="E380">
        <v>8</v>
      </c>
      <c r="F380" t="s">
        <v>175</v>
      </c>
      <c r="G380" s="55">
        <v>46066.455555555556</v>
      </c>
      <c r="H380">
        <v>68</v>
      </c>
      <c r="I380" t="s">
        <v>589</v>
      </c>
      <c r="J380">
        <v>213</v>
      </c>
      <c r="K380" t="s">
        <v>240</v>
      </c>
      <c r="L380" t="s">
        <v>471</v>
      </c>
      <c r="M380" t="s">
        <v>140</v>
      </c>
      <c r="P380">
        <v>15</v>
      </c>
      <c r="Q380">
        <v>6199</v>
      </c>
      <c r="R380">
        <v>150</v>
      </c>
      <c r="S380">
        <v>1249</v>
      </c>
      <c r="T380">
        <v>7425</v>
      </c>
      <c r="U380">
        <v>8674</v>
      </c>
      <c r="V380">
        <v>495</v>
      </c>
      <c r="W380">
        <v>0</v>
      </c>
      <c r="X380" t="s">
        <v>141</v>
      </c>
      <c r="Y380" s="55">
        <v>45914.75</v>
      </c>
      <c r="Z380">
        <v>1249</v>
      </c>
      <c r="AA380">
        <v>1249</v>
      </c>
      <c r="AB380">
        <v>0</v>
      </c>
    </row>
    <row r="381" spans="1:28" x14ac:dyDescent="0.2">
      <c r="A381">
        <v>642</v>
      </c>
      <c r="B381">
        <v>12</v>
      </c>
      <c r="C381">
        <v>31</v>
      </c>
      <c r="D381" t="s">
        <v>170</v>
      </c>
      <c r="E381">
        <v>8</v>
      </c>
      <c r="F381" t="s">
        <v>175</v>
      </c>
      <c r="G381" s="55">
        <v>46066.545138888891</v>
      </c>
      <c r="H381">
        <v>28</v>
      </c>
      <c r="I381" t="s">
        <v>392</v>
      </c>
      <c r="J381">
        <v>386</v>
      </c>
      <c r="K381" t="s">
        <v>145</v>
      </c>
      <c r="L381" t="s">
        <v>309</v>
      </c>
      <c r="M381" t="s">
        <v>140</v>
      </c>
      <c r="P381">
        <v>43</v>
      </c>
      <c r="Q381">
        <v>6599</v>
      </c>
      <c r="R381">
        <v>170</v>
      </c>
      <c r="S381">
        <v>300</v>
      </c>
      <c r="T381">
        <v>10708.3</v>
      </c>
      <c r="U381">
        <v>11008.3</v>
      </c>
      <c r="V381">
        <v>249.03</v>
      </c>
      <c r="W381">
        <v>0</v>
      </c>
      <c r="X381" t="s">
        <v>141</v>
      </c>
      <c r="Y381" s="55">
        <v>45918.75</v>
      </c>
      <c r="Z381">
        <v>300</v>
      </c>
      <c r="AA381">
        <v>300</v>
      </c>
      <c r="AB381">
        <v>0</v>
      </c>
    </row>
    <row r="382" spans="1:28" x14ac:dyDescent="0.2">
      <c r="A382">
        <v>643</v>
      </c>
      <c r="B382">
        <v>7</v>
      </c>
      <c r="C382">
        <v>11</v>
      </c>
      <c r="D382" t="s">
        <v>230</v>
      </c>
      <c r="E382">
        <v>8</v>
      </c>
      <c r="F382" t="s">
        <v>175</v>
      </c>
      <c r="G382" s="55">
        <v>46066.819444444445</v>
      </c>
      <c r="H382">
        <v>73</v>
      </c>
      <c r="I382" t="s">
        <v>590</v>
      </c>
      <c r="J382">
        <v>146</v>
      </c>
      <c r="K382" t="s">
        <v>295</v>
      </c>
      <c r="L382" t="s">
        <v>296</v>
      </c>
      <c r="M382" t="s">
        <v>140</v>
      </c>
      <c r="P382">
        <v>43</v>
      </c>
      <c r="Q382">
        <v>3799</v>
      </c>
      <c r="R382">
        <v>230</v>
      </c>
      <c r="S382">
        <v>799</v>
      </c>
      <c r="T382">
        <v>6900</v>
      </c>
      <c r="U382">
        <v>7699</v>
      </c>
      <c r="V382">
        <v>160.47</v>
      </c>
      <c r="W382">
        <v>0</v>
      </c>
      <c r="X382" t="s">
        <v>141</v>
      </c>
      <c r="Y382" s="55">
        <v>45822.75</v>
      </c>
      <c r="Z382">
        <v>799</v>
      </c>
      <c r="AA382">
        <v>799</v>
      </c>
      <c r="AB382">
        <v>0</v>
      </c>
    </row>
    <row r="383" spans="1:28" x14ac:dyDescent="0.2">
      <c r="A383">
        <v>644</v>
      </c>
      <c r="B383">
        <v>11</v>
      </c>
      <c r="C383">
        <v>13</v>
      </c>
      <c r="D383" t="s">
        <v>167</v>
      </c>
      <c r="E383">
        <v>8</v>
      </c>
      <c r="F383" t="s">
        <v>175</v>
      </c>
      <c r="G383" s="55">
        <v>46066.85</v>
      </c>
      <c r="H383">
        <v>9</v>
      </c>
      <c r="I383" t="s">
        <v>410</v>
      </c>
      <c r="J383">
        <v>46</v>
      </c>
      <c r="K383" t="s">
        <v>138</v>
      </c>
      <c r="L383" t="s">
        <v>224</v>
      </c>
      <c r="M383" t="s">
        <v>140</v>
      </c>
      <c r="P383">
        <v>43</v>
      </c>
      <c r="Q383">
        <v>5899</v>
      </c>
      <c r="R383">
        <v>170</v>
      </c>
      <c r="S383">
        <v>624.5</v>
      </c>
      <c r="T383">
        <v>8966.65</v>
      </c>
      <c r="U383">
        <v>9591.15</v>
      </c>
      <c r="V383">
        <v>208.53</v>
      </c>
      <c r="W383">
        <v>0</v>
      </c>
      <c r="X383" t="s">
        <v>141</v>
      </c>
      <c r="Y383" s="55">
        <v>45900.75</v>
      </c>
      <c r="Z383">
        <v>624.5</v>
      </c>
      <c r="AA383">
        <v>624.5</v>
      </c>
      <c r="AB383">
        <v>0</v>
      </c>
    </row>
    <row r="384" spans="1:28" x14ac:dyDescent="0.2">
      <c r="A384">
        <v>645</v>
      </c>
      <c r="B384">
        <v>8</v>
      </c>
      <c r="C384">
        <v>5</v>
      </c>
      <c r="D384" t="s">
        <v>164</v>
      </c>
      <c r="E384">
        <v>8</v>
      </c>
      <c r="F384" t="s">
        <v>175</v>
      </c>
      <c r="G384" s="55">
        <v>46067.640277777777</v>
      </c>
      <c r="H384">
        <v>72</v>
      </c>
      <c r="I384" t="s">
        <v>591</v>
      </c>
      <c r="J384">
        <v>447</v>
      </c>
      <c r="K384" t="s">
        <v>285</v>
      </c>
      <c r="L384" t="s">
        <v>286</v>
      </c>
      <c r="M384" t="s">
        <v>140</v>
      </c>
      <c r="P384">
        <v>35</v>
      </c>
      <c r="Q384">
        <v>3799</v>
      </c>
      <c r="R384">
        <v>210</v>
      </c>
      <c r="S384">
        <v>799</v>
      </c>
      <c r="T384">
        <v>6300</v>
      </c>
      <c r="U384">
        <v>7099</v>
      </c>
      <c r="V384">
        <v>180</v>
      </c>
      <c r="W384">
        <v>0</v>
      </c>
      <c r="X384" t="s">
        <v>141</v>
      </c>
      <c r="Y384" s="55">
        <v>45794.75</v>
      </c>
      <c r="Z384">
        <v>799</v>
      </c>
      <c r="AA384">
        <v>799</v>
      </c>
      <c r="AB384">
        <v>0</v>
      </c>
    </row>
    <row r="385" spans="1:28" x14ac:dyDescent="0.2">
      <c r="A385">
        <v>646</v>
      </c>
      <c r="B385">
        <v>8</v>
      </c>
      <c r="C385">
        <v>5</v>
      </c>
      <c r="D385" t="s">
        <v>164</v>
      </c>
      <c r="E385">
        <v>8</v>
      </c>
      <c r="F385" t="s">
        <v>175</v>
      </c>
      <c r="G385" s="55">
        <v>46068.029861111114</v>
      </c>
      <c r="H385">
        <v>54</v>
      </c>
      <c r="I385" t="s">
        <v>592</v>
      </c>
      <c r="J385">
        <v>407</v>
      </c>
      <c r="K385" t="s">
        <v>153</v>
      </c>
      <c r="L385" t="s">
        <v>195</v>
      </c>
      <c r="M385" t="s">
        <v>140</v>
      </c>
      <c r="P385">
        <v>43</v>
      </c>
      <c r="Q385">
        <v>3799</v>
      </c>
      <c r="R385">
        <v>230</v>
      </c>
      <c r="S385">
        <v>799</v>
      </c>
      <c r="T385">
        <v>6900</v>
      </c>
      <c r="U385">
        <v>7699</v>
      </c>
      <c r="V385">
        <v>160.47</v>
      </c>
      <c r="W385">
        <v>0</v>
      </c>
      <c r="X385" t="s">
        <v>141</v>
      </c>
      <c r="Y385" s="55">
        <v>45872.75</v>
      </c>
      <c r="Z385">
        <v>799</v>
      </c>
      <c r="AA385">
        <v>799</v>
      </c>
      <c r="AB385">
        <v>0</v>
      </c>
    </row>
    <row r="386" spans="1:28" x14ac:dyDescent="0.2">
      <c r="A386">
        <v>647</v>
      </c>
      <c r="B386">
        <v>3</v>
      </c>
      <c r="C386">
        <v>10002</v>
      </c>
      <c r="D386" t="s">
        <v>161</v>
      </c>
      <c r="E386">
        <v>8</v>
      </c>
      <c r="F386" t="s">
        <v>175</v>
      </c>
      <c r="G386" s="55">
        <v>46068.717361111114</v>
      </c>
      <c r="H386">
        <v>58</v>
      </c>
      <c r="I386" t="s">
        <v>387</v>
      </c>
      <c r="J386">
        <v>491</v>
      </c>
      <c r="K386" t="s">
        <v>153</v>
      </c>
      <c r="L386" t="s">
        <v>201</v>
      </c>
      <c r="M386" t="s">
        <v>140</v>
      </c>
      <c r="P386">
        <v>43</v>
      </c>
      <c r="Q386">
        <v>8910</v>
      </c>
      <c r="R386">
        <v>99.988299999999995</v>
      </c>
      <c r="S386">
        <v>1248.0999999999999</v>
      </c>
      <c r="T386">
        <v>7661</v>
      </c>
      <c r="U386">
        <v>8909.1</v>
      </c>
      <c r="V386">
        <v>178.16</v>
      </c>
      <c r="W386">
        <v>0</v>
      </c>
      <c r="X386" t="s">
        <v>141</v>
      </c>
      <c r="Y386" s="55">
        <v>45794.75</v>
      </c>
      <c r="Z386">
        <v>1248.0999999999999</v>
      </c>
      <c r="AA386">
        <v>1248.0999999999999</v>
      </c>
      <c r="AB386">
        <v>0</v>
      </c>
    </row>
    <row r="387" spans="1:28" x14ac:dyDescent="0.2">
      <c r="A387">
        <v>648</v>
      </c>
      <c r="B387">
        <v>14</v>
      </c>
      <c r="C387">
        <v>12</v>
      </c>
      <c r="D387" t="s">
        <v>187</v>
      </c>
      <c r="E387">
        <v>8</v>
      </c>
      <c r="F387" t="s">
        <v>175</v>
      </c>
      <c r="G387" s="55">
        <v>46069.78402777778</v>
      </c>
      <c r="H387">
        <v>36</v>
      </c>
      <c r="I387" t="s">
        <v>593</v>
      </c>
      <c r="J387">
        <v>550</v>
      </c>
      <c r="K387" t="s">
        <v>153</v>
      </c>
      <c r="L387" t="s">
        <v>183</v>
      </c>
      <c r="M387" t="s">
        <v>140</v>
      </c>
      <c r="N387">
        <v>3</v>
      </c>
      <c r="O387">
        <v>64</v>
      </c>
      <c r="P387">
        <v>43</v>
      </c>
      <c r="Q387">
        <v>3799</v>
      </c>
      <c r="R387">
        <v>230</v>
      </c>
      <c r="S387">
        <v>799</v>
      </c>
      <c r="T387">
        <v>6900.02</v>
      </c>
      <c r="U387">
        <v>7699.02</v>
      </c>
      <c r="V387">
        <v>160.47</v>
      </c>
      <c r="W387">
        <v>0</v>
      </c>
      <c r="X387" t="s">
        <v>141</v>
      </c>
      <c r="Y387" s="55">
        <v>46069.822916666664</v>
      </c>
      <c r="Z387">
        <v>799</v>
      </c>
      <c r="AA387">
        <v>799</v>
      </c>
      <c r="AB387">
        <v>0</v>
      </c>
    </row>
    <row r="388" spans="1:28" x14ac:dyDescent="0.2">
      <c r="A388">
        <v>649</v>
      </c>
      <c r="B388">
        <v>9</v>
      </c>
      <c r="C388">
        <v>10002</v>
      </c>
      <c r="D388" t="s">
        <v>161</v>
      </c>
      <c r="E388">
        <v>8</v>
      </c>
      <c r="F388" t="s">
        <v>175</v>
      </c>
      <c r="G388" s="55">
        <v>46069.790972222225</v>
      </c>
      <c r="H388">
        <v>46</v>
      </c>
      <c r="I388" t="s">
        <v>594</v>
      </c>
      <c r="J388">
        <v>127</v>
      </c>
      <c r="K388" t="s">
        <v>138</v>
      </c>
      <c r="L388" t="s">
        <v>139</v>
      </c>
      <c r="M388" t="s">
        <v>140</v>
      </c>
      <c r="P388">
        <v>43</v>
      </c>
      <c r="Q388">
        <v>3799</v>
      </c>
      <c r="R388">
        <v>230</v>
      </c>
      <c r="S388">
        <v>799</v>
      </c>
      <c r="T388">
        <v>6900</v>
      </c>
      <c r="U388">
        <v>7699</v>
      </c>
      <c r="V388">
        <v>160.47</v>
      </c>
      <c r="W388">
        <v>0</v>
      </c>
      <c r="X388" t="s">
        <v>141</v>
      </c>
      <c r="Y388" s="55">
        <v>45803.75</v>
      </c>
      <c r="Z388">
        <v>799</v>
      </c>
      <c r="AA388">
        <v>799</v>
      </c>
      <c r="AB388">
        <v>0</v>
      </c>
    </row>
    <row r="389" spans="1:28" x14ac:dyDescent="0.2">
      <c r="A389">
        <v>650</v>
      </c>
      <c r="B389">
        <v>10</v>
      </c>
      <c r="C389">
        <v>24</v>
      </c>
      <c r="D389" t="s">
        <v>207</v>
      </c>
      <c r="E389">
        <v>8</v>
      </c>
      <c r="F389" t="s">
        <v>175</v>
      </c>
      <c r="G389" s="55">
        <v>46070.448611111111</v>
      </c>
      <c r="H389">
        <v>54</v>
      </c>
      <c r="I389" t="s">
        <v>595</v>
      </c>
      <c r="J389">
        <v>395</v>
      </c>
      <c r="K389" t="s">
        <v>153</v>
      </c>
      <c r="L389" t="s">
        <v>195</v>
      </c>
      <c r="M389" t="s">
        <v>140</v>
      </c>
      <c r="P389">
        <v>15</v>
      </c>
      <c r="Q389">
        <v>3799</v>
      </c>
      <c r="R389">
        <v>150</v>
      </c>
      <c r="S389">
        <v>799</v>
      </c>
      <c r="T389">
        <v>4500</v>
      </c>
      <c r="U389">
        <v>5299</v>
      </c>
      <c r="V389">
        <v>300</v>
      </c>
      <c r="W389">
        <v>0</v>
      </c>
      <c r="X389" t="s">
        <v>141</v>
      </c>
      <c r="Y389" s="55">
        <v>45928.75</v>
      </c>
      <c r="Z389">
        <v>799</v>
      </c>
      <c r="AA389">
        <v>799</v>
      </c>
      <c r="AB389">
        <v>0</v>
      </c>
    </row>
    <row r="390" spans="1:28" x14ac:dyDescent="0.2">
      <c r="A390">
        <v>651</v>
      </c>
      <c r="B390">
        <v>15</v>
      </c>
      <c r="C390">
        <v>10002</v>
      </c>
      <c r="D390" t="s">
        <v>161</v>
      </c>
      <c r="E390">
        <v>8</v>
      </c>
      <c r="F390" t="s">
        <v>175</v>
      </c>
      <c r="G390" s="55">
        <v>46070.64166666667</v>
      </c>
      <c r="H390">
        <v>63</v>
      </c>
      <c r="I390" t="s">
        <v>300</v>
      </c>
      <c r="J390">
        <v>145</v>
      </c>
      <c r="K390" t="s">
        <v>153</v>
      </c>
      <c r="L390" t="s">
        <v>222</v>
      </c>
      <c r="M390" t="s">
        <v>140</v>
      </c>
      <c r="P390">
        <v>43</v>
      </c>
      <c r="Q390">
        <v>9778</v>
      </c>
      <c r="R390">
        <v>100</v>
      </c>
      <c r="S390">
        <v>0</v>
      </c>
      <c r="T390">
        <v>9778</v>
      </c>
      <c r="U390">
        <v>9778</v>
      </c>
      <c r="V390">
        <v>227.4</v>
      </c>
      <c r="W390">
        <v>0</v>
      </c>
      <c r="X390" t="s">
        <v>141</v>
      </c>
      <c r="Y390" s="55">
        <v>45825.75</v>
      </c>
      <c r="Z390">
        <v>0</v>
      </c>
      <c r="AA390">
        <v>0</v>
      </c>
      <c r="AB390">
        <v>0</v>
      </c>
    </row>
    <row r="391" spans="1:28" x14ac:dyDescent="0.2">
      <c r="A391">
        <v>652</v>
      </c>
      <c r="B391">
        <v>7</v>
      </c>
      <c r="C391">
        <v>11</v>
      </c>
      <c r="D391" t="s">
        <v>230</v>
      </c>
      <c r="E391">
        <v>8</v>
      </c>
      <c r="F391" t="s">
        <v>175</v>
      </c>
      <c r="G391" s="55">
        <v>46070.71597222222</v>
      </c>
      <c r="H391">
        <v>57</v>
      </c>
      <c r="I391" t="s">
        <v>596</v>
      </c>
      <c r="J391">
        <v>238</v>
      </c>
      <c r="K391" t="s">
        <v>158</v>
      </c>
      <c r="L391" t="s">
        <v>220</v>
      </c>
      <c r="M391" t="s">
        <v>140</v>
      </c>
      <c r="P391">
        <v>35</v>
      </c>
      <c r="Q391">
        <v>3999</v>
      </c>
      <c r="R391">
        <v>210</v>
      </c>
      <c r="S391">
        <v>799</v>
      </c>
      <c r="T391">
        <v>6720</v>
      </c>
      <c r="U391">
        <v>7519</v>
      </c>
      <c r="V391">
        <v>192</v>
      </c>
      <c r="W391">
        <v>0</v>
      </c>
      <c r="X391" t="s">
        <v>141</v>
      </c>
      <c r="Y391" s="55">
        <v>45933.75</v>
      </c>
      <c r="Z391">
        <v>799</v>
      </c>
      <c r="AA391">
        <v>799</v>
      </c>
      <c r="AB391">
        <v>0</v>
      </c>
    </row>
    <row r="392" spans="1:28" x14ac:dyDescent="0.2">
      <c r="A392">
        <v>653</v>
      </c>
      <c r="B392">
        <v>9</v>
      </c>
      <c r="C392">
        <v>12</v>
      </c>
      <c r="D392" t="s">
        <v>187</v>
      </c>
      <c r="E392">
        <v>8</v>
      </c>
      <c r="F392" t="s">
        <v>175</v>
      </c>
      <c r="G392" s="55">
        <v>46070.720138888886</v>
      </c>
      <c r="H392">
        <v>55</v>
      </c>
      <c r="I392" t="s">
        <v>597</v>
      </c>
      <c r="J392">
        <v>271</v>
      </c>
      <c r="K392" t="s">
        <v>153</v>
      </c>
      <c r="L392" t="s">
        <v>209</v>
      </c>
      <c r="M392" t="s">
        <v>140</v>
      </c>
      <c r="P392">
        <v>15</v>
      </c>
      <c r="Q392">
        <v>5499</v>
      </c>
      <c r="R392">
        <v>149.999</v>
      </c>
      <c r="S392">
        <v>549.9</v>
      </c>
      <c r="T392">
        <v>7423.6</v>
      </c>
      <c r="U392">
        <v>7973.5</v>
      </c>
      <c r="V392">
        <v>494.91</v>
      </c>
      <c r="W392">
        <v>0</v>
      </c>
      <c r="X392" t="s">
        <v>141</v>
      </c>
      <c r="Y392" s="55">
        <v>45976.75</v>
      </c>
      <c r="Z392">
        <v>549.9</v>
      </c>
      <c r="AA392">
        <v>549.9</v>
      </c>
      <c r="AB392">
        <v>0</v>
      </c>
    </row>
    <row r="393" spans="1:28" x14ac:dyDescent="0.2">
      <c r="A393">
        <v>654</v>
      </c>
      <c r="B393">
        <v>4</v>
      </c>
      <c r="C393">
        <v>10002</v>
      </c>
      <c r="D393" t="s">
        <v>161</v>
      </c>
      <c r="E393">
        <v>8</v>
      </c>
      <c r="F393" t="s">
        <v>175</v>
      </c>
      <c r="G393" s="55">
        <v>46070.722222222219</v>
      </c>
      <c r="H393">
        <v>64</v>
      </c>
      <c r="I393" t="s">
        <v>265</v>
      </c>
      <c r="J393">
        <v>500</v>
      </c>
      <c r="K393" t="s">
        <v>138</v>
      </c>
      <c r="L393" t="s">
        <v>407</v>
      </c>
      <c r="M393" t="s">
        <v>140</v>
      </c>
      <c r="P393">
        <v>15</v>
      </c>
      <c r="Q393">
        <v>5599</v>
      </c>
      <c r="R393">
        <v>150</v>
      </c>
      <c r="S393">
        <v>1250</v>
      </c>
      <c r="T393">
        <v>6523.5</v>
      </c>
      <c r="U393">
        <v>7773.5</v>
      </c>
      <c r="V393">
        <v>434.9</v>
      </c>
      <c r="W393">
        <v>0</v>
      </c>
      <c r="X393" t="s">
        <v>141</v>
      </c>
      <c r="Y393" s="55">
        <v>45659.75</v>
      </c>
      <c r="Z393">
        <v>1250</v>
      </c>
      <c r="AA393">
        <v>1250</v>
      </c>
      <c r="AB393">
        <v>0</v>
      </c>
    </row>
    <row r="394" spans="1:28" x14ac:dyDescent="0.2">
      <c r="A394">
        <v>655</v>
      </c>
      <c r="B394">
        <v>12</v>
      </c>
      <c r="C394">
        <v>15</v>
      </c>
      <c r="D394" t="s">
        <v>148</v>
      </c>
      <c r="E394">
        <v>8</v>
      </c>
      <c r="F394" t="s">
        <v>175</v>
      </c>
      <c r="G394" s="55">
        <v>46070.725694444445</v>
      </c>
      <c r="H394">
        <v>59</v>
      </c>
      <c r="I394" t="s">
        <v>598</v>
      </c>
      <c r="J394">
        <v>428</v>
      </c>
      <c r="K394" t="s">
        <v>235</v>
      </c>
      <c r="L394" t="s">
        <v>236</v>
      </c>
      <c r="M394" t="s">
        <v>140</v>
      </c>
      <c r="P394">
        <v>26</v>
      </c>
      <c r="Q394">
        <v>3799</v>
      </c>
      <c r="R394">
        <v>190</v>
      </c>
      <c r="S394">
        <v>799</v>
      </c>
      <c r="T394">
        <v>5700</v>
      </c>
      <c r="U394">
        <v>6499</v>
      </c>
      <c r="V394">
        <v>219.23</v>
      </c>
      <c r="W394">
        <v>0</v>
      </c>
      <c r="X394" t="s">
        <v>141</v>
      </c>
      <c r="Y394" s="55">
        <v>45833.75</v>
      </c>
      <c r="Z394">
        <v>799</v>
      </c>
      <c r="AA394">
        <v>799</v>
      </c>
      <c r="AB394">
        <v>0</v>
      </c>
    </row>
    <row r="395" spans="1:28" x14ac:dyDescent="0.2">
      <c r="A395">
        <v>656</v>
      </c>
      <c r="B395">
        <v>13</v>
      </c>
      <c r="C395">
        <v>31</v>
      </c>
      <c r="D395" t="s">
        <v>170</v>
      </c>
      <c r="E395">
        <v>2</v>
      </c>
      <c r="F395" t="s">
        <v>188</v>
      </c>
      <c r="G395" s="55">
        <v>46071.696527777778</v>
      </c>
      <c r="I395" t="s">
        <v>140</v>
      </c>
      <c r="K395" t="s">
        <v>140</v>
      </c>
      <c r="L395" t="s">
        <v>140</v>
      </c>
      <c r="M395" t="s">
        <v>140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 t="s">
        <v>140</v>
      </c>
      <c r="Y395" s="55"/>
      <c r="Z395">
        <v>0</v>
      </c>
      <c r="AA395">
        <v>0</v>
      </c>
      <c r="AB395">
        <v>0</v>
      </c>
    </row>
    <row r="396" spans="1:28" x14ac:dyDescent="0.2">
      <c r="A396">
        <v>657</v>
      </c>
      <c r="B396">
        <v>13</v>
      </c>
      <c r="C396">
        <v>31</v>
      </c>
      <c r="D396" t="s">
        <v>170</v>
      </c>
      <c r="E396">
        <v>8</v>
      </c>
      <c r="F396" t="s">
        <v>175</v>
      </c>
      <c r="G396" s="55">
        <v>46071.724999999999</v>
      </c>
      <c r="H396">
        <v>104</v>
      </c>
      <c r="I396" t="s">
        <v>429</v>
      </c>
      <c r="J396">
        <v>551</v>
      </c>
      <c r="K396" t="s">
        <v>158</v>
      </c>
      <c r="L396" t="s">
        <v>599</v>
      </c>
      <c r="M396" t="s">
        <v>150</v>
      </c>
      <c r="N396">
        <v>8</v>
      </c>
      <c r="O396">
        <v>256</v>
      </c>
      <c r="P396">
        <v>26</v>
      </c>
      <c r="Q396">
        <v>8499</v>
      </c>
      <c r="R396">
        <v>160</v>
      </c>
      <c r="S396">
        <v>0</v>
      </c>
      <c r="T396">
        <v>13598.4</v>
      </c>
      <c r="U396">
        <v>13598.4</v>
      </c>
      <c r="V396">
        <v>523.02</v>
      </c>
      <c r="W396">
        <v>1</v>
      </c>
      <c r="X396" t="s">
        <v>141</v>
      </c>
      <c r="Y396" s="55">
        <v>46071.879861111112</v>
      </c>
      <c r="Z396">
        <v>0</v>
      </c>
      <c r="AA396">
        <v>0</v>
      </c>
      <c r="AB396">
        <v>0</v>
      </c>
    </row>
    <row r="397" spans="1:28" x14ac:dyDescent="0.2">
      <c r="A397">
        <v>659</v>
      </c>
      <c r="B397">
        <v>11</v>
      </c>
      <c r="C397">
        <v>18</v>
      </c>
      <c r="D397" t="s">
        <v>176</v>
      </c>
      <c r="E397">
        <v>8</v>
      </c>
      <c r="F397" t="s">
        <v>175</v>
      </c>
      <c r="G397" s="55">
        <v>46074.82708333333</v>
      </c>
      <c r="H397">
        <v>54</v>
      </c>
      <c r="I397" t="s">
        <v>600</v>
      </c>
      <c r="J397">
        <v>251</v>
      </c>
      <c r="K397" t="s">
        <v>153</v>
      </c>
      <c r="L397" t="s">
        <v>195</v>
      </c>
      <c r="M397" t="s">
        <v>140</v>
      </c>
      <c r="P397">
        <v>35</v>
      </c>
      <c r="Q397">
        <v>3799</v>
      </c>
      <c r="R397">
        <v>210</v>
      </c>
      <c r="S397">
        <v>799</v>
      </c>
      <c r="T397">
        <v>6300</v>
      </c>
      <c r="U397">
        <v>7099</v>
      </c>
      <c r="V397">
        <v>180</v>
      </c>
      <c r="W397">
        <v>0</v>
      </c>
      <c r="X397" t="s">
        <v>141</v>
      </c>
      <c r="Y397" s="55">
        <v>45944.75</v>
      </c>
      <c r="Z397">
        <v>799</v>
      </c>
      <c r="AA397">
        <v>799</v>
      </c>
      <c r="AB397">
        <v>0</v>
      </c>
    </row>
    <row r="398" spans="1:28" x14ac:dyDescent="0.2">
      <c r="A398">
        <v>660</v>
      </c>
      <c r="B398">
        <v>6</v>
      </c>
      <c r="C398">
        <v>9</v>
      </c>
      <c r="D398" t="s">
        <v>181</v>
      </c>
      <c r="E398">
        <v>8</v>
      </c>
      <c r="F398" t="s">
        <v>175</v>
      </c>
      <c r="G398" s="55">
        <v>46076.561111111114</v>
      </c>
      <c r="H398">
        <v>54</v>
      </c>
      <c r="I398" t="s">
        <v>601</v>
      </c>
      <c r="J398">
        <v>475</v>
      </c>
      <c r="K398" t="s">
        <v>153</v>
      </c>
      <c r="L398" t="s">
        <v>195</v>
      </c>
      <c r="M398" t="s">
        <v>140</v>
      </c>
      <c r="P398">
        <v>35</v>
      </c>
      <c r="Q398">
        <v>3799</v>
      </c>
      <c r="R398">
        <v>210.61330000000001</v>
      </c>
      <c r="S398">
        <v>379.9</v>
      </c>
      <c r="T398">
        <v>7201.08</v>
      </c>
      <c r="U398">
        <v>7580.98</v>
      </c>
      <c r="V398">
        <v>205.75</v>
      </c>
      <c r="W398">
        <v>0</v>
      </c>
      <c r="X398" t="s">
        <v>141</v>
      </c>
      <c r="Y398" s="55">
        <v>45976.75</v>
      </c>
      <c r="Z398">
        <v>379.9</v>
      </c>
      <c r="AA398">
        <v>379.9</v>
      </c>
      <c r="AB398">
        <v>0</v>
      </c>
    </row>
    <row r="399" spans="1:28" x14ac:dyDescent="0.2">
      <c r="A399">
        <v>663</v>
      </c>
      <c r="B399">
        <v>11</v>
      </c>
      <c r="C399">
        <v>13</v>
      </c>
      <c r="D399" t="s">
        <v>167</v>
      </c>
      <c r="E399">
        <v>8</v>
      </c>
      <c r="F399" t="s">
        <v>175</v>
      </c>
      <c r="G399" s="55">
        <v>46078.793055555558</v>
      </c>
      <c r="H399">
        <v>54</v>
      </c>
      <c r="I399" t="s">
        <v>602</v>
      </c>
      <c r="J399">
        <v>178</v>
      </c>
      <c r="K399" t="s">
        <v>153</v>
      </c>
      <c r="L399" t="s">
        <v>195</v>
      </c>
      <c r="M399" t="s">
        <v>140</v>
      </c>
      <c r="P399">
        <v>15</v>
      </c>
      <c r="Q399">
        <v>3799</v>
      </c>
      <c r="R399">
        <v>150</v>
      </c>
      <c r="S399">
        <v>799</v>
      </c>
      <c r="T399">
        <v>4500</v>
      </c>
      <c r="U399">
        <v>5299</v>
      </c>
      <c r="V399">
        <v>300</v>
      </c>
      <c r="W399">
        <v>0</v>
      </c>
      <c r="X399" t="s">
        <v>141</v>
      </c>
      <c r="Y399" s="55">
        <v>45868.75</v>
      </c>
      <c r="Z399">
        <v>799</v>
      </c>
      <c r="AA399">
        <v>799</v>
      </c>
      <c r="AB399">
        <v>0</v>
      </c>
    </row>
    <row r="400" spans="1:28" x14ac:dyDescent="0.2">
      <c r="A400">
        <v>664</v>
      </c>
      <c r="B400">
        <v>14</v>
      </c>
      <c r="C400">
        <v>12</v>
      </c>
      <c r="D400" t="s">
        <v>187</v>
      </c>
      <c r="E400">
        <v>8</v>
      </c>
      <c r="F400" t="s">
        <v>175</v>
      </c>
      <c r="G400" s="55">
        <v>46079.736111111109</v>
      </c>
      <c r="H400">
        <v>36</v>
      </c>
      <c r="I400" t="s">
        <v>603</v>
      </c>
      <c r="J400">
        <v>559</v>
      </c>
      <c r="K400" t="s">
        <v>153</v>
      </c>
      <c r="L400" t="s">
        <v>183</v>
      </c>
      <c r="M400" t="s">
        <v>140</v>
      </c>
      <c r="N400">
        <v>3</v>
      </c>
      <c r="O400">
        <v>64</v>
      </c>
      <c r="P400">
        <v>43</v>
      </c>
      <c r="Q400">
        <v>3799</v>
      </c>
      <c r="R400">
        <v>230</v>
      </c>
      <c r="S400">
        <v>799</v>
      </c>
      <c r="T400">
        <v>6900.02</v>
      </c>
      <c r="U400">
        <v>7699.02</v>
      </c>
      <c r="V400">
        <v>160.47</v>
      </c>
      <c r="W400">
        <v>0</v>
      </c>
      <c r="X400" t="s">
        <v>141</v>
      </c>
      <c r="Y400" s="55">
        <v>46079.761111111111</v>
      </c>
      <c r="Z400">
        <v>799</v>
      </c>
      <c r="AA400">
        <v>799</v>
      </c>
      <c r="AB400">
        <v>0</v>
      </c>
    </row>
    <row r="401" spans="1:28" x14ac:dyDescent="0.2">
      <c r="A401">
        <v>665</v>
      </c>
      <c r="B401">
        <v>3</v>
      </c>
      <c r="C401">
        <v>10002</v>
      </c>
      <c r="D401" t="s">
        <v>161</v>
      </c>
      <c r="E401">
        <v>8</v>
      </c>
      <c r="F401" t="s">
        <v>175</v>
      </c>
      <c r="G401" s="55">
        <v>46079.872916666667</v>
      </c>
      <c r="H401">
        <v>84</v>
      </c>
      <c r="I401" t="s">
        <v>230</v>
      </c>
      <c r="J401">
        <v>499</v>
      </c>
      <c r="K401" t="s">
        <v>138</v>
      </c>
      <c r="L401" t="s">
        <v>377</v>
      </c>
      <c r="M401" t="s">
        <v>140</v>
      </c>
      <c r="P401">
        <v>24</v>
      </c>
      <c r="Q401">
        <v>6000</v>
      </c>
      <c r="R401">
        <v>100</v>
      </c>
      <c r="S401">
        <v>0</v>
      </c>
      <c r="T401">
        <v>6000</v>
      </c>
      <c r="U401">
        <v>6000</v>
      </c>
      <c r="V401">
        <v>250</v>
      </c>
      <c r="W401">
        <v>0</v>
      </c>
      <c r="X401" t="s">
        <v>141</v>
      </c>
      <c r="Y401" s="55">
        <v>45700.75</v>
      </c>
      <c r="Z401">
        <v>0</v>
      </c>
      <c r="AA401">
        <v>0</v>
      </c>
      <c r="AB401">
        <v>0</v>
      </c>
    </row>
    <row r="402" spans="1:28" x14ac:dyDescent="0.2">
      <c r="A402">
        <v>669</v>
      </c>
      <c r="B402">
        <v>13</v>
      </c>
      <c r="C402">
        <v>31</v>
      </c>
      <c r="D402" t="s">
        <v>170</v>
      </c>
      <c r="E402">
        <v>8</v>
      </c>
      <c r="F402" t="s">
        <v>175</v>
      </c>
      <c r="G402" s="55">
        <v>46080.68472222222</v>
      </c>
      <c r="H402">
        <v>52</v>
      </c>
      <c r="I402" t="s">
        <v>604</v>
      </c>
      <c r="J402">
        <v>560</v>
      </c>
      <c r="K402" t="s">
        <v>138</v>
      </c>
      <c r="L402" t="s">
        <v>173</v>
      </c>
      <c r="M402" t="s">
        <v>605</v>
      </c>
      <c r="N402">
        <v>8</v>
      </c>
      <c r="O402">
        <v>256</v>
      </c>
      <c r="P402">
        <v>43</v>
      </c>
      <c r="Q402">
        <v>8299</v>
      </c>
      <c r="R402">
        <v>180.54</v>
      </c>
      <c r="S402">
        <v>0</v>
      </c>
      <c r="T402">
        <v>14983.25</v>
      </c>
      <c r="U402">
        <v>14983.25</v>
      </c>
      <c r="V402">
        <v>348.45</v>
      </c>
      <c r="W402">
        <v>1</v>
      </c>
      <c r="X402" t="s">
        <v>141</v>
      </c>
      <c r="Y402" s="55">
        <v>46080.953472222223</v>
      </c>
      <c r="Z402">
        <v>0</v>
      </c>
      <c r="AA402">
        <v>0</v>
      </c>
      <c r="AB402">
        <v>0</v>
      </c>
    </row>
    <row r="403" spans="1:28" x14ac:dyDescent="0.2">
      <c r="A403">
        <v>670</v>
      </c>
      <c r="B403">
        <v>13</v>
      </c>
      <c r="C403">
        <v>31</v>
      </c>
      <c r="D403" t="s">
        <v>170</v>
      </c>
      <c r="E403">
        <v>8</v>
      </c>
      <c r="F403" t="s">
        <v>175</v>
      </c>
      <c r="G403" s="55">
        <v>46080.688194444447</v>
      </c>
      <c r="H403">
        <v>55</v>
      </c>
      <c r="I403" t="s">
        <v>604</v>
      </c>
      <c r="J403">
        <v>560</v>
      </c>
      <c r="K403" t="s">
        <v>153</v>
      </c>
      <c r="L403" t="s">
        <v>209</v>
      </c>
      <c r="M403" t="s">
        <v>140</v>
      </c>
      <c r="P403">
        <v>15</v>
      </c>
      <c r="Q403">
        <v>5999</v>
      </c>
      <c r="R403">
        <v>131.5789</v>
      </c>
      <c r="S403">
        <v>1249</v>
      </c>
      <c r="T403">
        <v>6250</v>
      </c>
      <c r="U403">
        <v>7499</v>
      </c>
      <c r="V403">
        <v>475</v>
      </c>
      <c r="W403">
        <v>0</v>
      </c>
      <c r="X403" t="s">
        <v>141</v>
      </c>
      <c r="Y403" s="55">
        <v>45967.75</v>
      </c>
      <c r="Z403">
        <v>1249</v>
      </c>
      <c r="AA403">
        <v>1249</v>
      </c>
      <c r="AB403">
        <v>0</v>
      </c>
    </row>
    <row r="404" spans="1:28" x14ac:dyDescent="0.2">
      <c r="A404">
        <v>671</v>
      </c>
      <c r="B404">
        <v>12</v>
      </c>
      <c r="C404">
        <v>15</v>
      </c>
      <c r="D404" t="s">
        <v>148</v>
      </c>
      <c r="E404">
        <v>8</v>
      </c>
      <c r="F404" t="s">
        <v>175</v>
      </c>
      <c r="G404" s="55">
        <v>46082.768055555556</v>
      </c>
      <c r="H404">
        <v>54</v>
      </c>
      <c r="I404" t="s">
        <v>372</v>
      </c>
      <c r="J404">
        <v>96</v>
      </c>
      <c r="K404" t="s">
        <v>153</v>
      </c>
      <c r="L404" t="s">
        <v>195</v>
      </c>
      <c r="M404" t="s">
        <v>140</v>
      </c>
      <c r="P404">
        <v>26</v>
      </c>
      <c r="Q404">
        <v>3799</v>
      </c>
      <c r="R404">
        <v>160</v>
      </c>
      <c r="S404">
        <v>399</v>
      </c>
      <c r="T404">
        <v>5440</v>
      </c>
      <c r="U404">
        <v>5839</v>
      </c>
      <c r="V404">
        <v>209.23</v>
      </c>
      <c r="W404">
        <v>0</v>
      </c>
      <c r="X404" t="s">
        <v>141</v>
      </c>
      <c r="Y404" s="55">
        <v>45870.75</v>
      </c>
      <c r="Z404">
        <v>399</v>
      </c>
      <c r="AA404">
        <v>399</v>
      </c>
      <c r="AB404">
        <v>0</v>
      </c>
    </row>
    <row r="405" spans="1:28" x14ac:dyDescent="0.2">
      <c r="A405">
        <v>672</v>
      </c>
      <c r="B405">
        <v>7</v>
      </c>
      <c r="C405">
        <v>11</v>
      </c>
      <c r="D405" t="s">
        <v>230</v>
      </c>
      <c r="E405">
        <v>8</v>
      </c>
      <c r="F405" t="s">
        <v>175</v>
      </c>
      <c r="G405" s="55">
        <v>46083.62222222222</v>
      </c>
      <c r="H405">
        <v>33</v>
      </c>
      <c r="I405" t="s">
        <v>606</v>
      </c>
      <c r="J405">
        <v>557</v>
      </c>
      <c r="K405" t="s">
        <v>153</v>
      </c>
      <c r="L405" t="s">
        <v>154</v>
      </c>
      <c r="M405" t="s">
        <v>607</v>
      </c>
      <c r="N405">
        <v>6</v>
      </c>
      <c r="O405">
        <v>128</v>
      </c>
      <c r="P405">
        <v>15</v>
      </c>
      <c r="Q405">
        <v>5899</v>
      </c>
      <c r="R405">
        <v>150</v>
      </c>
      <c r="S405">
        <v>1249</v>
      </c>
      <c r="T405">
        <v>6975</v>
      </c>
      <c r="U405">
        <v>8224</v>
      </c>
      <c r="V405">
        <v>515</v>
      </c>
      <c r="W405">
        <v>0</v>
      </c>
      <c r="X405" t="s">
        <v>141</v>
      </c>
      <c r="Y405" s="55">
        <v>46078.75</v>
      </c>
      <c r="Z405">
        <v>1249</v>
      </c>
      <c r="AA405">
        <v>1249</v>
      </c>
      <c r="AB405">
        <v>0</v>
      </c>
    </row>
    <row r="406" spans="1:28" x14ac:dyDescent="0.2">
      <c r="A406">
        <v>673</v>
      </c>
      <c r="B406">
        <v>4</v>
      </c>
      <c r="C406">
        <v>10002</v>
      </c>
      <c r="D406" t="s">
        <v>161</v>
      </c>
      <c r="E406">
        <v>8</v>
      </c>
      <c r="F406" t="s">
        <v>175</v>
      </c>
      <c r="G406" s="55">
        <v>46083.625694444447</v>
      </c>
      <c r="H406">
        <v>54</v>
      </c>
      <c r="I406" t="s">
        <v>608</v>
      </c>
      <c r="J406">
        <v>214</v>
      </c>
      <c r="K406" t="s">
        <v>153</v>
      </c>
      <c r="L406" t="s">
        <v>195</v>
      </c>
      <c r="M406" t="s">
        <v>140</v>
      </c>
      <c r="P406">
        <v>15</v>
      </c>
      <c r="Q406">
        <v>3799</v>
      </c>
      <c r="R406">
        <v>150</v>
      </c>
      <c r="S406">
        <v>799</v>
      </c>
      <c r="T406">
        <v>4500</v>
      </c>
      <c r="U406">
        <v>5299</v>
      </c>
      <c r="V406">
        <v>300</v>
      </c>
      <c r="W406">
        <v>0</v>
      </c>
      <c r="X406" t="s">
        <v>141</v>
      </c>
      <c r="Y406" s="55">
        <v>45915.75</v>
      </c>
      <c r="Z406">
        <v>799</v>
      </c>
      <c r="AA406">
        <v>799</v>
      </c>
      <c r="AB406">
        <v>0</v>
      </c>
    </row>
    <row r="407" spans="1:28" x14ac:dyDescent="0.2">
      <c r="A407">
        <v>674</v>
      </c>
      <c r="B407">
        <v>3</v>
      </c>
      <c r="C407">
        <v>10001</v>
      </c>
      <c r="D407" t="s">
        <v>609</v>
      </c>
      <c r="E407">
        <v>303</v>
      </c>
      <c r="F407" t="s">
        <v>610</v>
      </c>
      <c r="G407" s="55">
        <v>46084.381249999999</v>
      </c>
      <c r="H407">
        <v>53</v>
      </c>
      <c r="I407" t="s">
        <v>181</v>
      </c>
      <c r="J407">
        <v>561</v>
      </c>
      <c r="K407" t="s">
        <v>191</v>
      </c>
      <c r="L407" t="s">
        <v>192</v>
      </c>
      <c r="M407" t="s">
        <v>193</v>
      </c>
      <c r="N407">
        <v>8</v>
      </c>
      <c r="O407">
        <v>128</v>
      </c>
      <c r="P407">
        <v>18</v>
      </c>
      <c r="Q407">
        <v>3999</v>
      </c>
      <c r="R407">
        <v>170</v>
      </c>
      <c r="S407">
        <v>799</v>
      </c>
      <c r="T407">
        <v>5440</v>
      </c>
      <c r="U407">
        <v>6239</v>
      </c>
      <c r="V407">
        <v>302.22000000000003</v>
      </c>
      <c r="W407">
        <v>0</v>
      </c>
      <c r="X407" t="s">
        <v>140</v>
      </c>
      <c r="Y407" s="55"/>
      <c r="Z407">
        <v>0</v>
      </c>
      <c r="AA407">
        <v>0</v>
      </c>
      <c r="AB407">
        <v>0</v>
      </c>
    </row>
    <row r="408" spans="1:28" x14ac:dyDescent="0.2">
      <c r="A408">
        <v>675</v>
      </c>
      <c r="B408">
        <v>13</v>
      </c>
      <c r="C408">
        <v>20</v>
      </c>
      <c r="D408" t="s">
        <v>572</v>
      </c>
      <c r="E408">
        <v>8</v>
      </c>
      <c r="F408" t="s">
        <v>175</v>
      </c>
      <c r="G408" s="55">
        <v>46084.496527777781</v>
      </c>
      <c r="H408">
        <v>9</v>
      </c>
      <c r="I408" t="s">
        <v>611</v>
      </c>
      <c r="J408">
        <v>282</v>
      </c>
      <c r="K408" t="s">
        <v>138</v>
      </c>
      <c r="L408" t="s">
        <v>224</v>
      </c>
      <c r="M408" t="s">
        <v>140</v>
      </c>
      <c r="P408">
        <v>43</v>
      </c>
      <c r="Q408">
        <v>5799</v>
      </c>
      <c r="R408">
        <v>230.00059999999999</v>
      </c>
      <c r="S408">
        <v>579.9</v>
      </c>
      <c r="T408">
        <v>12003.96</v>
      </c>
      <c r="U408">
        <v>12583.86</v>
      </c>
      <c r="V408">
        <v>279.16000000000003</v>
      </c>
      <c r="W408">
        <v>0</v>
      </c>
      <c r="X408" t="s">
        <v>141</v>
      </c>
      <c r="Y408" s="55">
        <v>45976.75</v>
      </c>
      <c r="Z408">
        <v>579.9</v>
      </c>
      <c r="AA408">
        <v>579.9</v>
      </c>
      <c r="AB408">
        <v>0</v>
      </c>
    </row>
    <row r="409" spans="1:28" x14ac:dyDescent="0.2">
      <c r="A409">
        <v>677</v>
      </c>
      <c r="B409">
        <v>11</v>
      </c>
      <c r="C409">
        <v>18</v>
      </c>
      <c r="D409" t="s">
        <v>176</v>
      </c>
      <c r="E409">
        <v>8</v>
      </c>
      <c r="F409" t="s">
        <v>175</v>
      </c>
      <c r="G409" s="55">
        <v>46085.640277777777</v>
      </c>
      <c r="H409">
        <v>30</v>
      </c>
      <c r="I409" t="s">
        <v>612</v>
      </c>
      <c r="J409">
        <v>562</v>
      </c>
      <c r="K409" t="s">
        <v>145</v>
      </c>
      <c r="L409" t="s">
        <v>331</v>
      </c>
      <c r="M409" t="s">
        <v>140</v>
      </c>
      <c r="N409">
        <v>4</v>
      </c>
      <c r="O409">
        <v>64</v>
      </c>
      <c r="P409">
        <v>43</v>
      </c>
      <c r="Q409">
        <v>3999</v>
      </c>
      <c r="R409">
        <v>230</v>
      </c>
      <c r="S409">
        <v>799</v>
      </c>
      <c r="T409">
        <v>7360.02</v>
      </c>
      <c r="U409">
        <v>8159.02</v>
      </c>
      <c r="V409">
        <v>171.16</v>
      </c>
      <c r="W409">
        <v>0</v>
      </c>
      <c r="X409" t="s">
        <v>141</v>
      </c>
      <c r="Y409" s="55">
        <v>46085.700694444444</v>
      </c>
      <c r="Z409">
        <v>799</v>
      </c>
      <c r="AA409">
        <v>799</v>
      </c>
      <c r="AB409">
        <v>0</v>
      </c>
    </row>
    <row r="410" spans="1:28" x14ac:dyDescent="0.2">
      <c r="A410">
        <v>680</v>
      </c>
      <c r="B410">
        <v>10</v>
      </c>
      <c r="C410">
        <v>13</v>
      </c>
      <c r="D410" t="s">
        <v>167</v>
      </c>
      <c r="E410">
        <v>8</v>
      </c>
      <c r="F410" t="s">
        <v>175</v>
      </c>
      <c r="G410" s="55">
        <v>46086.622916666667</v>
      </c>
      <c r="H410">
        <v>105</v>
      </c>
      <c r="I410" t="s">
        <v>595</v>
      </c>
      <c r="J410">
        <v>577</v>
      </c>
      <c r="K410" t="s">
        <v>138</v>
      </c>
      <c r="L410" t="s">
        <v>613</v>
      </c>
      <c r="M410" t="s">
        <v>150</v>
      </c>
      <c r="P410">
        <v>35</v>
      </c>
      <c r="Q410">
        <v>8299</v>
      </c>
      <c r="R410">
        <v>165</v>
      </c>
      <c r="S410">
        <v>0</v>
      </c>
      <c r="T410">
        <v>13693.35</v>
      </c>
      <c r="U410">
        <v>13693.35</v>
      </c>
      <c r="V410">
        <v>391.24</v>
      </c>
      <c r="W410">
        <v>1</v>
      </c>
      <c r="X410" t="s">
        <v>141</v>
      </c>
      <c r="Y410" s="55">
        <v>46106.79791666667</v>
      </c>
      <c r="Z410">
        <v>0</v>
      </c>
      <c r="AA410">
        <v>0</v>
      </c>
      <c r="AB410">
        <v>0</v>
      </c>
    </row>
    <row r="411" spans="1:28" x14ac:dyDescent="0.2">
      <c r="A411">
        <v>683</v>
      </c>
      <c r="B411">
        <v>10</v>
      </c>
      <c r="C411">
        <v>13</v>
      </c>
      <c r="D411" t="s">
        <v>167</v>
      </c>
      <c r="E411">
        <v>8</v>
      </c>
      <c r="F411" t="s">
        <v>175</v>
      </c>
      <c r="G411" s="55">
        <v>46086.638888888891</v>
      </c>
      <c r="H411">
        <v>8</v>
      </c>
      <c r="I411" t="s">
        <v>614</v>
      </c>
      <c r="J411">
        <v>563</v>
      </c>
      <c r="K411" t="s">
        <v>138</v>
      </c>
      <c r="L411" t="s">
        <v>178</v>
      </c>
      <c r="M411" t="s">
        <v>615</v>
      </c>
      <c r="N411">
        <v>6</v>
      </c>
      <c r="O411">
        <v>128</v>
      </c>
      <c r="P411">
        <v>43</v>
      </c>
      <c r="Q411">
        <v>5699</v>
      </c>
      <c r="R411">
        <v>100</v>
      </c>
      <c r="S411">
        <v>0</v>
      </c>
      <c r="T411">
        <v>5699</v>
      </c>
      <c r="U411">
        <v>5699</v>
      </c>
      <c r="V411">
        <v>132.53</v>
      </c>
      <c r="W411">
        <v>0</v>
      </c>
      <c r="X411" t="s">
        <v>141</v>
      </c>
      <c r="Y411" s="55">
        <v>46086.697222222225</v>
      </c>
      <c r="Z411">
        <v>0</v>
      </c>
      <c r="AA411">
        <v>0</v>
      </c>
      <c r="AB411">
        <v>0</v>
      </c>
    </row>
    <row r="412" spans="1:28" x14ac:dyDescent="0.2">
      <c r="A412">
        <v>688</v>
      </c>
      <c r="B412">
        <v>14</v>
      </c>
      <c r="C412">
        <v>12</v>
      </c>
      <c r="D412" t="s">
        <v>187</v>
      </c>
      <c r="E412">
        <v>8</v>
      </c>
      <c r="F412" t="s">
        <v>175</v>
      </c>
      <c r="G412" s="55">
        <v>46087.75277777778</v>
      </c>
      <c r="H412">
        <v>30</v>
      </c>
      <c r="I412" t="s">
        <v>616</v>
      </c>
      <c r="J412">
        <v>565</v>
      </c>
      <c r="K412" t="s">
        <v>145</v>
      </c>
      <c r="L412" t="s">
        <v>331</v>
      </c>
      <c r="M412" t="s">
        <v>140</v>
      </c>
      <c r="N412">
        <v>4</v>
      </c>
      <c r="O412">
        <v>64</v>
      </c>
      <c r="P412">
        <v>43</v>
      </c>
      <c r="Q412">
        <v>3999</v>
      </c>
      <c r="R412">
        <v>230</v>
      </c>
      <c r="S412">
        <v>799</v>
      </c>
      <c r="T412">
        <v>7360.02</v>
      </c>
      <c r="U412">
        <v>8159.02</v>
      </c>
      <c r="V412">
        <v>171.16</v>
      </c>
      <c r="W412">
        <v>0</v>
      </c>
      <c r="X412" t="s">
        <v>141</v>
      </c>
      <c r="Y412" s="55">
        <v>46087.842361111114</v>
      </c>
      <c r="Z412">
        <v>799</v>
      </c>
      <c r="AA412">
        <v>799</v>
      </c>
      <c r="AB412">
        <v>0</v>
      </c>
    </row>
    <row r="413" spans="1:28" x14ac:dyDescent="0.2">
      <c r="A413">
        <v>692</v>
      </c>
      <c r="B413">
        <v>8</v>
      </c>
      <c r="C413">
        <v>5</v>
      </c>
      <c r="D413" t="s">
        <v>164</v>
      </c>
      <c r="E413">
        <v>201</v>
      </c>
      <c r="F413" t="s">
        <v>171</v>
      </c>
      <c r="G413" s="55">
        <v>46087.828472222223</v>
      </c>
      <c r="I413" t="s">
        <v>140</v>
      </c>
      <c r="K413" t="s">
        <v>140</v>
      </c>
      <c r="L413" t="s">
        <v>140</v>
      </c>
      <c r="M413" t="s">
        <v>140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 t="s">
        <v>140</v>
      </c>
      <c r="Y413" s="55"/>
      <c r="Z413">
        <v>0</v>
      </c>
      <c r="AA413">
        <v>0</v>
      </c>
      <c r="AB413">
        <v>0</v>
      </c>
    </row>
    <row r="414" spans="1:28" x14ac:dyDescent="0.2">
      <c r="A414">
        <v>694</v>
      </c>
      <c r="B414">
        <v>8</v>
      </c>
      <c r="C414">
        <v>5</v>
      </c>
      <c r="D414" t="s">
        <v>164</v>
      </c>
      <c r="E414">
        <v>8</v>
      </c>
      <c r="F414" t="s">
        <v>175</v>
      </c>
      <c r="G414" s="55">
        <v>46087.84375</v>
      </c>
      <c r="H414">
        <v>18</v>
      </c>
      <c r="I414" t="s">
        <v>510</v>
      </c>
      <c r="J414">
        <v>541</v>
      </c>
      <c r="K414" t="s">
        <v>158</v>
      </c>
      <c r="L414" t="s">
        <v>617</v>
      </c>
      <c r="M414" t="s">
        <v>150</v>
      </c>
      <c r="N414">
        <v>8</v>
      </c>
      <c r="O414">
        <v>256</v>
      </c>
      <c r="P414">
        <v>15</v>
      </c>
      <c r="Q414">
        <v>4999</v>
      </c>
      <c r="R414">
        <v>150</v>
      </c>
      <c r="S414">
        <v>0</v>
      </c>
      <c r="T414">
        <v>7498.5</v>
      </c>
      <c r="U414">
        <v>7498.5</v>
      </c>
      <c r="V414">
        <v>499.9</v>
      </c>
      <c r="W414">
        <v>1</v>
      </c>
      <c r="X414" t="s">
        <v>141</v>
      </c>
      <c r="Y414" s="55">
        <v>46087.863194444442</v>
      </c>
      <c r="Z414">
        <v>0</v>
      </c>
      <c r="AA414">
        <v>0</v>
      </c>
      <c r="AB414">
        <v>0</v>
      </c>
    </row>
    <row r="415" spans="1:28" x14ac:dyDescent="0.2">
      <c r="A415">
        <v>695</v>
      </c>
      <c r="B415">
        <v>13</v>
      </c>
      <c r="C415">
        <v>31</v>
      </c>
      <c r="D415" t="s">
        <v>170</v>
      </c>
      <c r="E415">
        <v>8</v>
      </c>
      <c r="F415" t="s">
        <v>175</v>
      </c>
      <c r="G415" s="55">
        <v>46088.540277777778</v>
      </c>
      <c r="H415">
        <v>54</v>
      </c>
      <c r="I415" t="s">
        <v>618</v>
      </c>
      <c r="J415">
        <v>476</v>
      </c>
      <c r="K415" t="s">
        <v>153</v>
      </c>
      <c r="L415" t="s">
        <v>195</v>
      </c>
      <c r="M415" t="s">
        <v>140</v>
      </c>
      <c r="P415">
        <v>15</v>
      </c>
      <c r="Q415">
        <v>3799</v>
      </c>
      <c r="R415">
        <v>149.9991</v>
      </c>
      <c r="S415">
        <v>380</v>
      </c>
      <c r="T415">
        <v>5128.47</v>
      </c>
      <c r="U415">
        <v>5508.47</v>
      </c>
      <c r="V415">
        <v>341.9</v>
      </c>
      <c r="W415">
        <v>0</v>
      </c>
      <c r="X415" t="s">
        <v>141</v>
      </c>
      <c r="Y415" s="55">
        <v>45975.75</v>
      </c>
      <c r="Z415">
        <v>380</v>
      </c>
      <c r="AA415">
        <v>380</v>
      </c>
      <c r="AB415">
        <v>0</v>
      </c>
    </row>
    <row r="416" spans="1:28" x14ac:dyDescent="0.2">
      <c r="A416">
        <v>697</v>
      </c>
      <c r="B416">
        <v>8</v>
      </c>
      <c r="C416">
        <v>5</v>
      </c>
      <c r="D416" t="s">
        <v>164</v>
      </c>
      <c r="E416">
        <v>8</v>
      </c>
      <c r="F416" t="s">
        <v>175</v>
      </c>
      <c r="G416" s="55">
        <v>46088.681944444441</v>
      </c>
      <c r="H416">
        <v>53</v>
      </c>
      <c r="I416" t="s">
        <v>210</v>
      </c>
      <c r="J416">
        <v>566</v>
      </c>
      <c r="K416" t="s">
        <v>191</v>
      </c>
      <c r="L416" t="s">
        <v>192</v>
      </c>
      <c r="M416" t="s">
        <v>193</v>
      </c>
      <c r="N416">
        <v>8</v>
      </c>
      <c r="O416">
        <v>128</v>
      </c>
      <c r="P416">
        <v>15</v>
      </c>
      <c r="Q416">
        <v>3999</v>
      </c>
      <c r="R416">
        <v>150</v>
      </c>
      <c r="S416">
        <v>799</v>
      </c>
      <c r="T416">
        <v>4800</v>
      </c>
      <c r="U416">
        <v>5599</v>
      </c>
      <c r="V416">
        <v>320</v>
      </c>
      <c r="W416">
        <v>0</v>
      </c>
      <c r="X416" t="s">
        <v>141</v>
      </c>
      <c r="Y416" s="55">
        <v>46088.699305555558</v>
      </c>
      <c r="Z416">
        <v>799</v>
      </c>
      <c r="AA416">
        <v>799</v>
      </c>
      <c r="AB416">
        <v>0</v>
      </c>
    </row>
    <row r="417" spans="1:28" x14ac:dyDescent="0.2">
      <c r="A417">
        <v>698</v>
      </c>
      <c r="B417">
        <v>14</v>
      </c>
      <c r="C417">
        <v>12</v>
      </c>
      <c r="D417" t="s">
        <v>187</v>
      </c>
      <c r="E417">
        <v>8</v>
      </c>
      <c r="F417" t="s">
        <v>175</v>
      </c>
      <c r="G417" s="55">
        <v>46090.791666666664</v>
      </c>
      <c r="H417">
        <v>107</v>
      </c>
      <c r="I417" t="s">
        <v>619</v>
      </c>
      <c r="J417">
        <v>567</v>
      </c>
      <c r="K417" t="s">
        <v>153</v>
      </c>
      <c r="L417" t="s">
        <v>516</v>
      </c>
      <c r="M417" t="s">
        <v>620</v>
      </c>
      <c r="N417">
        <v>8</v>
      </c>
      <c r="O417">
        <v>256</v>
      </c>
      <c r="P417">
        <v>43</v>
      </c>
      <c r="Q417">
        <v>6399</v>
      </c>
      <c r="R417">
        <v>100</v>
      </c>
      <c r="S417">
        <v>624.5</v>
      </c>
      <c r="T417">
        <v>5774.5</v>
      </c>
      <c r="U417">
        <v>6399</v>
      </c>
      <c r="V417">
        <v>134.29</v>
      </c>
      <c r="W417">
        <v>0</v>
      </c>
      <c r="X417" t="s">
        <v>141</v>
      </c>
      <c r="Y417" s="55">
        <v>46091.779166666667</v>
      </c>
      <c r="Z417">
        <v>624.5</v>
      </c>
      <c r="AA417">
        <v>624.5</v>
      </c>
      <c r="AB417">
        <v>0</v>
      </c>
    </row>
    <row r="418" spans="1:28" x14ac:dyDescent="0.2">
      <c r="A418">
        <v>702</v>
      </c>
      <c r="B418">
        <v>12</v>
      </c>
      <c r="C418">
        <v>10002</v>
      </c>
      <c r="D418" t="s">
        <v>161</v>
      </c>
      <c r="E418">
        <v>8</v>
      </c>
      <c r="F418" t="s">
        <v>175</v>
      </c>
      <c r="G418" s="55">
        <v>46094.775000000001</v>
      </c>
      <c r="H418">
        <v>63</v>
      </c>
      <c r="I418" t="s">
        <v>621</v>
      </c>
      <c r="J418">
        <v>117</v>
      </c>
      <c r="K418" t="s">
        <v>153</v>
      </c>
      <c r="L418" t="s">
        <v>222</v>
      </c>
      <c r="M418" t="s">
        <v>140</v>
      </c>
      <c r="P418">
        <v>43</v>
      </c>
      <c r="Q418">
        <v>5299</v>
      </c>
      <c r="R418">
        <v>230</v>
      </c>
      <c r="S418">
        <v>999</v>
      </c>
      <c r="T418">
        <v>9890</v>
      </c>
      <c r="U418">
        <v>10889</v>
      </c>
      <c r="V418">
        <v>230</v>
      </c>
      <c r="W418">
        <v>0</v>
      </c>
      <c r="X418" t="s">
        <v>141</v>
      </c>
      <c r="Y418" s="55">
        <v>45780.75</v>
      </c>
      <c r="Z418">
        <v>999</v>
      </c>
      <c r="AA418">
        <v>999</v>
      </c>
      <c r="AB418">
        <v>0</v>
      </c>
    </row>
    <row r="419" spans="1:28" x14ac:dyDescent="0.2">
      <c r="A419">
        <v>703</v>
      </c>
      <c r="B419">
        <v>5</v>
      </c>
      <c r="C419">
        <v>10</v>
      </c>
      <c r="D419" t="s">
        <v>215</v>
      </c>
      <c r="E419">
        <v>8</v>
      </c>
      <c r="F419" t="s">
        <v>175</v>
      </c>
      <c r="G419" s="55">
        <v>46094.866666666669</v>
      </c>
      <c r="H419">
        <v>41</v>
      </c>
      <c r="I419" t="s">
        <v>585</v>
      </c>
      <c r="J419">
        <v>568</v>
      </c>
      <c r="K419" t="s">
        <v>204</v>
      </c>
      <c r="L419" t="s">
        <v>521</v>
      </c>
      <c r="M419" t="s">
        <v>622</v>
      </c>
      <c r="N419">
        <v>8</v>
      </c>
      <c r="O419">
        <v>256</v>
      </c>
      <c r="P419">
        <v>41</v>
      </c>
      <c r="Q419">
        <v>5999</v>
      </c>
      <c r="R419">
        <v>169.79499999999999</v>
      </c>
      <c r="S419">
        <v>0</v>
      </c>
      <c r="T419">
        <v>10186</v>
      </c>
      <c r="U419">
        <v>10186</v>
      </c>
      <c r="V419">
        <v>248.44</v>
      </c>
      <c r="W419">
        <v>0</v>
      </c>
      <c r="X419" t="s">
        <v>141</v>
      </c>
      <c r="Y419" s="55">
        <v>46094.75</v>
      </c>
      <c r="Z419">
        <v>0</v>
      </c>
      <c r="AA419">
        <v>0</v>
      </c>
      <c r="AB419">
        <v>0</v>
      </c>
    </row>
    <row r="420" spans="1:28" x14ac:dyDescent="0.2">
      <c r="A420">
        <v>704</v>
      </c>
      <c r="B420">
        <v>7</v>
      </c>
      <c r="C420">
        <v>21</v>
      </c>
      <c r="D420" t="s">
        <v>189</v>
      </c>
      <c r="E420">
        <v>8</v>
      </c>
      <c r="F420" t="s">
        <v>175</v>
      </c>
      <c r="G420" s="55">
        <v>46097.633333333331</v>
      </c>
      <c r="H420">
        <v>53</v>
      </c>
      <c r="I420" t="s">
        <v>623</v>
      </c>
      <c r="J420">
        <v>569</v>
      </c>
      <c r="K420" t="s">
        <v>191</v>
      </c>
      <c r="L420" t="s">
        <v>192</v>
      </c>
      <c r="M420" t="s">
        <v>193</v>
      </c>
      <c r="N420">
        <v>8</v>
      </c>
      <c r="O420">
        <v>128</v>
      </c>
      <c r="P420">
        <v>15</v>
      </c>
      <c r="Q420">
        <v>3999</v>
      </c>
      <c r="R420">
        <v>150</v>
      </c>
      <c r="S420">
        <v>799</v>
      </c>
      <c r="T420">
        <v>4800</v>
      </c>
      <c r="U420">
        <v>5599</v>
      </c>
      <c r="V420">
        <v>320</v>
      </c>
      <c r="W420">
        <v>0</v>
      </c>
      <c r="X420" t="s">
        <v>141</v>
      </c>
      <c r="Y420" s="55">
        <v>46097.676388888889</v>
      </c>
      <c r="Z420">
        <v>799</v>
      </c>
      <c r="AA420">
        <v>799</v>
      </c>
      <c r="AB420">
        <v>0</v>
      </c>
    </row>
    <row r="421" spans="1:28" x14ac:dyDescent="0.2">
      <c r="A421">
        <v>707</v>
      </c>
      <c r="B421">
        <v>5</v>
      </c>
      <c r="C421">
        <v>10</v>
      </c>
      <c r="D421" t="s">
        <v>215</v>
      </c>
      <c r="E421">
        <v>8</v>
      </c>
      <c r="F421" t="s">
        <v>175</v>
      </c>
      <c r="G421" s="55">
        <v>46104.706250000003</v>
      </c>
      <c r="H421">
        <v>109</v>
      </c>
      <c r="I421" t="s">
        <v>387</v>
      </c>
      <c r="J421">
        <v>572</v>
      </c>
      <c r="K421" t="s">
        <v>153</v>
      </c>
      <c r="L421" t="s">
        <v>624</v>
      </c>
      <c r="M421" t="s">
        <v>625</v>
      </c>
      <c r="N421">
        <v>8</v>
      </c>
      <c r="O421">
        <v>256</v>
      </c>
      <c r="P421">
        <v>43</v>
      </c>
      <c r="Q421">
        <v>9299</v>
      </c>
      <c r="R421">
        <v>100</v>
      </c>
      <c r="S421">
        <v>0</v>
      </c>
      <c r="T421">
        <v>9299</v>
      </c>
      <c r="U421">
        <v>9299</v>
      </c>
      <c r="V421">
        <v>216.26</v>
      </c>
      <c r="W421">
        <v>1</v>
      </c>
      <c r="X421" t="s">
        <v>141</v>
      </c>
      <c r="Y421" s="55">
        <v>46106.851388888892</v>
      </c>
      <c r="Z421">
        <v>0</v>
      </c>
      <c r="AA421">
        <v>0</v>
      </c>
      <c r="AB421">
        <v>0</v>
      </c>
    </row>
    <row r="422" spans="1:28" x14ac:dyDescent="0.2">
      <c r="A422">
        <v>708</v>
      </c>
      <c r="B422">
        <v>5</v>
      </c>
      <c r="C422">
        <v>10002</v>
      </c>
      <c r="D422" t="s">
        <v>161</v>
      </c>
      <c r="E422">
        <v>8</v>
      </c>
      <c r="F422" t="s">
        <v>175</v>
      </c>
      <c r="G422" s="55">
        <v>46104.711111111108</v>
      </c>
      <c r="H422">
        <v>7</v>
      </c>
      <c r="I422" t="s">
        <v>164</v>
      </c>
      <c r="J422">
        <v>73</v>
      </c>
      <c r="K422" t="s">
        <v>138</v>
      </c>
      <c r="L422" t="s">
        <v>382</v>
      </c>
      <c r="M422" t="s">
        <v>140</v>
      </c>
      <c r="P422">
        <v>20</v>
      </c>
      <c r="Q422">
        <v>6299</v>
      </c>
      <c r="R422">
        <v>100</v>
      </c>
      <c r="S422">
        <v>0</v>
      </c>
      <c r="T422">
        <v>6299</v>
      </c>
      <c r="U422">
        <v>6299</v>
      </c>
      <c r="V422">
        <v>314.95</v>
      </c>
      <c r="W422">
        <v>0</v>
      </c>
      <c r="X422" t="s">
        <v>141</v>
      </c>
      <c r="Y422" s="55">
        <v>45649.75</v>
      </c>
      <c r="Z422">
        <v>0</v>
      </c>
      <c r="AA422">
        <v>0</v>
      </c>
      <c r="AB422">
        <v>0</v>
      </c>
    </row>
    <row r="423" spans="1:28" x14ac:dyDescent="0.2">
      <c r="A423">
        <v>711</v>
      </c>
      <c r="B423">
        <v>13</v>
      </c>
      <c r="C423">
        <v>31</v>
      </c>
      <c r="D423" t="s">
        <v>170</v>
      </c>
      <c r="E423">
        <v>8</v>
      </c>
      <c r="F423" t="s">
        <v>175</v>
      </c>
      <c r="G423" s="55">
        <v>46104.782638888886</v>
      </c>
      <c r="H423">
        <v>105</v>
      </c>
      <c r="I423" t="s">
        <v>376</v>
      </c>
      <c r="J423">
        <v>527</v>
      </c>
      <c r="K423" t="s">
        <v>138</v>
      </c>
      <c r="L423" t="s">
        <v>613</v>
      </c>
      <c r="M423" t="s">
        <v>150</v>
      </c>
      <c r="P423">
        <v>35</v>
      </c>
      <c r="Q423">
        <v>8299</v>
      </c>
      <c r="R423">
        <v>165</v>
      </c>
      <c r="S423">
        <v>0</v>
      </c>
      <c r="T423">
        <v>13693.35</v>
      </c>
      <c r="U423">
        <v>13693.35</v>
      </c>
      <c r="V423">
        <v>391.24</v>
      </c>
      <c r="W423">
        <v>1</v>
      </c>
      <c r="X423" t="s">
        <v>141</v>
      </c>
      <c r="Y423" s="55">
        <v>46105.499305555553</v>
      </c>
      <c r="Z423">
        <v>0</v>
      </c>
      <c r="AA423">
        <v>0</v>
      </c>
      <c r="AB423">
        <v>0</v>
      </c>
    </row>
    <row r="424" spans="1:28" x14ac:dyDescent="0.2">
      <c r="A424">
        <v>712</v>
      </c>
      <c r="B424">
        <v>6</v>
      </c>
      <c r="C424">
        <v>10002</v>
      </c>
      <c r="D424" t="s">
        <v>161</v>
      </c>
      <c r="E424">
        <v>8</v>
      </c>
      <c r="F424" t="s">
        <v>175</v>
      </c>
      <c r="G424" s="55">
        <v>46105.53125</v>
      </c>
      <c r="H424">
        <v>107</v>
      </c>
      <c r="I424" t="s">
        <v>626</v>
      </c>
      <c r="J424">
        <v>377</v>
      </c>
      <c r="K424" t="s">
        <v>153</v>
      </c>
      <c r="L424" t="s">
        <v>516</v>
      </c>
      <c r="M424" t="s">
        <v>140</v>
      </c>
      <c r="P424">
        <v>20</v>
      </c>
      <c r="Q424">
        <v>6099</v>
      </c>
      <c r="R424">
        <v>100</v>
      </c>
      <c r="S424">
        <v>1099</v>
      </c>
      <c r="T424">
        <v>5000</v>
      </c>
      <c r="U424">
        <v>6099</v>
      </c>
      <c r="V424">
        <v>250</v>
      </c>
      <c r="W424">
        <v>0</v>
      </c>
      <c r="X424" t="s">
        <v>141</v>
      </c>
      <c r="Y424" s="55">
        <v>45979.75</v>
      </c>
      <c r="Z424">
        <v>1099</v>
      </c>
      <c r="AA424">
        <v>1099</v>
      </c>
      <c r="AB424">
        <v>0</v>
      </c>
    </row>
    <row r="425" spans="1:28" x14ac:dyDescent="0.2">
      <c r="A425">
        <v>713</v>
      </c>
      <c r="B425">
        <v>7</v>
      </c>
      <c r="C425">
        <v>11</v>
      </c>
      <c r="D425" t="s">
        <v>230</v>
      </c>
      <c r="E425">
        <v>8</v>
      </c>
      <c r="F425" t="s">
        <v>175</v>
      </c>
      <c r="G425" s="55">
        <v>46106.670138888891</v>
      </c>
      <c r="H425">
        <v>108</v>
      </c>
      <c r="I425" t="s">
        <v>379</v>
      </c>
      <c r="J425">
        <v>576</v>
      </c>
      <c r="K425" t="s">
        <v>138</v>
      </c>
      <c r="L425" t="s">
        <v>627</v>
      </c>
      <c r="M425" t="s">
        <v>150</v>
      </c>
      <c r="N425">
        <v>8</v>
      </c>
      <c r="O425">
        <v>256</v>
      </c>
      <c r="P425">
        <v>43</v>
      </c>
      <c r="Q425">
        <v>8999</v>
      </c>
      <c r="R425">
        <v>170</v>
      </c>
      <c r="S425">
        <v>0</v>
      </c>
      <c r="T425">
        <v>15298.3</v>
      </c>
      <c r="U425">
        <v>15298.3</v>
      </c>
      <c r="V425">
        <v>355.77</v>
      </c>
      <c r="W425">
        <v>1</v>
      </c>
      <c r="X425" t="s">
        <v>141</v>
      </c>
      <c r="Y425" s="55">
        <v>46107.793055555558</v>
      </c>
      <c r="Z425">
        <v>0</v>
      </c>
      <c r="AA425">
        <v>0</v>
      </c>
      <c r="AB425">
        <v>0</v>
      </c>
    </row>
    <row r="426" spans="1:28" x14ac:dyDescent="0.2">
      <c r="A426">
        <v>714</v>
      </c>
      <c r="B426">
        <v>7</v>
      </c>
      <c r="C426">
        <v>11</v>
      </c>
      <c r="D426" t="s">
        <v>230</v>
      </c>
      <c r="E426">
        <v>8</v>
      </c>
      <c r="F426" t="s">
        <v>175</v>
      </c>
      <c r="G426" s="55">
        <v>46106.743055555555</v>
      </c>
      <c r="H426">
        <v>109</v>
      </c>
      <c r="I426" t="s">
        <v>189</v>
      </c>
      <c r="J426">
        <v>578</v>
      </c>
      <c r="K426" t="s">
        <v>153</v>
      </c>
      <c r="L426" t="s">
        <v>624</v>
      </c>
      <c r="M426" t="s">
        <v>625</v>
      </c>
      <c r="N426">
        <v>8</v>
      </c>
      <c r="O426">
        <v>256</v>
      </c>
      <c r="P426">
        <v>43</v>
      </c>
      <c r="Q426">
        <v>9299</v>
      </c>
      <c r="R426">
        <v>100</v>
      </c>
      <c r="S426">
        <v>0</v>
      </c>
      <c r="T426">
        <v>9299</v>
      </c>
      <c r="U426">
        <v>9299</v>
      </c>
      <c r="V426">
        <v>216.26</v>
      </c>
      <c r="W426">
        <v>1</v>
      </c>
      <c r="X426" t="s">
        <v>141</v>
      </c>
      <c r="Y426" s="55">
        <v>46106.809027777781</v>
      </c>
      <c r="Z426">
        <v>0</v>
      </c>
      <c r="AA426">
        <v>0</v>
      </c>
      <c r="AB426">
        <v>0</v>
      </c>
    </row>
    <row r="427" spans="1:28" x14ac:dyDescent="0.2">
      <c r="A427">
        <v>716</v>
      </c>
      <c r="B427">
        <v>12</v>
      </c>
      <c r="C427">
        <v>15</v>
      </c>
      <c r="D427" t="s">
        <v>148</v>
      </c>
      <c r="E427">
        <v>8</v>
      </c>
      <c r="F427" t="s">
        <v>175</v>
      </c>
      <c r="G427" s="55">
        <v>46108.808333333334</v>
      </c>
      <c r="H427">
        <v>34</v>
      </c>
      <c r="I427" t="s">
        <v>536</v>
      </c>
      <c r="J427">
        <v>305</v>
      </c>
      <c r="K427" t="s">
        <v>153</v>
      </c>
      <c r="L427" t="s">
        <v>169</v>
      </c>
      <c r="M427" t="s">
        <v>150</v>
      </c>
      <c r="N427">
        <v>4</v>
      </c>
      <c r="O427">
        <v>128</v>
      </c>
      <c r="P427">
        <v>15</v>
      </c>
      <c r="Q427">
        <v>5499</v>
      </c>
      <c r="R427">
        <v>150</v>
      </c>
      <c r="S427">
        <v>0</v>
      </c>
      <c r="T427">
        <v>8248.5</v>
      </c>
      <c r="U427">
        <v>8248.5</v>
      </c>
      <c r="V427">
        <v>549.9</v>
      </c>
      <c r="W427">
        <v>1</v>
      </c>
      <c r="X427" t="s">
        <v>141</v>
      </c>
      <c r="Y427" s="55">
        <v>46108.853472222225</v>
      </c>
      <c r="Z427">
        <v>0</v>
      </c>
      <c r="AA427">
        <v>0</v>
      </c>
      <c r="AB427">
        <v>0</v>
      </c>
    </row>
    <row r="428" spans="1:28" x14ac:dyDescent="0.2">
      <c r="A428">
        <v>717</v>
      </c>
      <c r="B428">
        <v>5</v>
      </c>
      <c r="C428">
        <v>14</v>
      </c>
      <c r="D428" t="s">
        <v>135</v>
      </c>
      <c r="E428">
        <v>8</v>
      </c>
      <c r="F428" t="s">
        <v>175</v>
      </c>
      <c r="G428" s="55">
        <v>46111.784722222219</v>
      </c>
      <c r="H428">
        <v>41</v>
      </c>
      <c r="I428" t="s">
        <v>585</v>
      </c>
      <c r="J428">
        <v>568</v>
      </c>
      <c r="K428" t="s">
        <v>204</v>
      </c>
      <c r="L428" t="s">
        <v>521</v>
      </c>
      <c r="M428" t="s">
        <v>140</v>
      </c>
      <c r="P428">
        <v>43</v>
      </c>
      <c r="Q428">
        <v>0.43</v>
      </c>
      <c r="R428">
        <v>100</v>
      </c>
      <c r="S428">
        <v>0</v>
      </c>
      <c r="T428">
        <v>0.43</v>
      </c>
      <c r="U428">
        <v>0.43</v>
      </c>
      <c r="V428">
        <v>0.01</v>
      </c>
      <c r="W428">
        <v>0</v>
      </c>
      <c r="X428" t="s">
        <v>141</v>
      </c>
      <c r="Y428" s="55">
        <v>46059.75</v>
      </c>
      <c r="Z428">
        <v>0</v>
      </c>
      <c r="AA428">
        <v>0</v>
      </c>
      <c r="AB428">
        <v>0</v>
      </c>
    </row>
    <row r="429" spans="1:28" x14ac:dyDescent="0.2">
      <c r="A429">
        <v>720</v>
      </c>
      <c r="B429">
        <v>10</v>
      </c>
      <c r="C429">
        <v>13</v>
      </c>
      <c r="D429" t="s">
        <v>167</v>
      </c>
      <c r="E429">
        <v>8</v>
      </c>
      <c r="F429" t="s">
        <v>175</v>
      </c>
      <c r="G429" s="55">
        <v>46111.806250000001</v>
      </c>
      <c r="H429">
        <v>105</v>
      </c>
      <c r="I429" t="s">
        <v>504</v>
      </c>
      <c r="J429">
        <v>582</v>
      </c>
      <c r="K429" t="s">
        <v>138</v>
      </c>
      <c r="L429" t="s">
        <v>613</v>
      </c>
      <c r="M429" t="s">
        <v>150</v>
      </c>
      <c r="P429">
        <v>35</v>
      </c>
      <c r="Q429">
        <v>8299</v>
      </c>
      <c r="R429">
        <v>165</v>
      </c>
      <c r="S429">
        <v>0</v>
      </c>
      <c r="T429">
        <v>13693.35</v>
      </c>
      <c r="U429">
        <v>13693.35</v>
      </c>
      <c r="V429">
        <v>391.24</v>
      </c>
      <c r="W429">
        <v>1</v>
      </c>
      <c r="X429" t="s">
        <v>141</v>
      </c>
      <c r="Y429" s="55">
        <v>46111.838888888888</v>
      </c>
      <c r="Z429">
        <v>0</v>
      </c>
      <c r="AA429">
        <v>0</v>
      </c>
      <c r="AB429">
        <v>0</v>
      </c>
    </row>
    <row r="430" spans="1:28" x14ac:dyDescent="0.2">
      <c r="A430">
        <v>722</v>
      </c>
      <c r="B430">
        <v>9</v>
      </c>
      <c r="C430">
        <v>10002</v>
      </c>
      <c r="D430" t="s">
        <v>161</v>
      </c>
      <c r="E430">
        <v>8</v>
      </c>
      <c r="F430" t="s">
        <v>175</v>
      </c>
      <c r="G430" s="55">
        <v>46113.519444444442</v>
      </c>
      <c r="H430">
        <v>92</v>
      </c>
      <c r="I430" t="s">
        <v>628</v>
      </c>
      <c r="J430">
        <v>520</v>
      </c>
      <c r="K430" t="s">
        <v>403</v>
      </c>
      <c r="L430" t="s">
        <v>404</v>
      </c>
      <c r="M430" t="s">
        <v>140</v>
      </c>
      <c r="P430">
        <v>43</v>
      </c>
      <c r="Q430">
        <v>7199</v>
      </c>
      <c r="R430">
        <v>230</v>
      </c>
      <c r="S430">
        <v>700</v>
      </c>
      <c r="T430">
        <v>14947.7</v>
      </c>
      <c r="U430">
        <v>15647.7</v>
      </c>
      <c r="V430">
        <v>347.62</v>
      </c>
      <c r="W430">
        <v>0</v>
      </c>
      <c r="X430" t="s">
        <v>141</v>
      </c>
      <c r="Y430" s="55">
        <v>45498.75</v>
      </c>
      <c r="Z430">
        <v>700</v>
      </c>
      <c r="AA430">
        <v>700</v>
      </c>
      <c r="AB430">
        <v>0</v>
      </c>
    </row>
    <row r="431" spans="1:28" x14ac:dyDescent="0.2">
      <c r="A431">
        <v>723</v>
      </c>
      <c r="B431">
        <v>14</v>
      </c>
      <c r="C431">
        <v>12</v>
      </c>
      <c r="D431" t="s">
        <v>187</v>
      </c>
      <c r="E431">
        <v>8</v>
      </c>
      <c r="F431" t="s">
        <v>175</v>
      </c>
      <c r="G431" s="55">
        <v>46113.628472222219</v>
      </c>
      <c r="H431">
        <v>105</v>
      </c>
      <c r="I431" t="s">
        <v>628</v>
      </c>
      <c r="J431">
        <v>520</v>
      </c>
      <c r="K431" t="s">
        <v>138</v>
      </c>
      <c r="L431" t="s">
        <v>613</v>
      </c>
      <c r="M431" t="s">
        <v>150</v>
      </c>
      <c r="P431">
        <v>43</v>
      </c>
      <c r="Q431">
        <v>8299</v>
      </c>
      <c r="R431">
        <v>170</v>
      </c>
      <c r="S431">
        <v>0</v>
      </c>
      <c r="T431">
        <v>14108.3</v>
      </c>
      <c r="U431">
        <v>14108.3</v>
      </c>
      <c r="V431">
        <v>328.1</v>
      </c>
      <c r="W431">
        <v>1</v>
      </c>
      <c r="X431" t="s">
        <v>141</v>
      </c>
      <c r="Y431" s="55">
        <v>46113.688888888886</v>
      </c>
      <c r="Z431">
        <v>0</v>
      </c>
      <c r="AA431">
        <v>0</v>
      </c>
      <c r="AB431">
        <v>0</v>
      </c>
    </row>
    <row r="432" spans="1:28" x14ac:dyDescent="0.2">
      <c r="A432">
        <v>724</v>
      </c>
      <c r="B432">
        <v>14</v>
      </c>
      <c r="C432">
        <v>12</v>
      </c>
      <c r="D432" t="s">
        <v>187</v>
      </c>
      <c r="E432">
        <v>8</v>
      </c>
      <c r="F432" t="s">
        <v>175</v>
      </c>
      <c r="G432" s="55">
        <v>46114.847222222219</v>
      </c>
      <c r="H432">
        <v>34</v>
      </c>
      <c r="I432" t="s">
        <v>629</v>
      </c>
      <c r="J432">
        <v>588</v>
      </c>
      <c r="K432" t="s">
        <v>153</v>
      </c>
      <c r="L432" t="s">
        <v>169</v>
      </c>
      <c r="M432" t="s">
        <v>198</v>
      </c>
      <c r="N432">
        <v>4</v>
      </c>
      <c r="O432">
        <v>128</v>
      </c>
      <c r="P432">
        <v>43</v>
      </c>
      <c r="Q432">
        <v>5299</v>
      </c>
      <c r="R432">
        <v>230</v>
      </c>
      <c r="S432">
        <v>999</v>
      </c>
      <c r="T432">
        <v>9890.02</v>
      </c>
      <c r="U432">
        <v>10889.02</v>
      </c>
      <c r="V432">
        <v>230</v>
      </c>
      <c r="W432">
        <v>0</v>
      </c>
      <c r="X432" t="s">
        <v>141</v>
      </c>
      <c r="Y432" s="55">
        <v>46114.881249999999</v>
      </c>
      <c r="Z432">
        <v>999</v>
      </c>
      <c r="AA432">
        <v>999</v>
      </c>
      <c r="AB432">
        <v>0</v>
      </c>
    </row>
    <row r="433" spans="1:28" x14ac:dyDescent="0.2">
      <c r="A433">
        <v>726</v>
      </c>
      <c r="B433">
        <v>8</v>
      </c>
      <c r="C433">
        <v>5</v>
      </c>
      <c r="D433" t="s">
        <v>164</v>
      </c>
      <c r="E433">
        <v>1</v>
      </c>
      <c r="F433" t="s">
        <v>630</v>
      </c>
      <c r="G433" s="55">
        <v>46122.800694444442</v>
      </c>
      <c r="I433" t="s">
        <v>140</v>
      </c>
      <c r="K433" t="s">
        <v>140</v>
      </c>
      <c r="L433" t="s">
        <v>140</v>
      </c>
      <c r="M433" t="s">
        <v>140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 t="s">
        <v>140</v>
      </c>
      <c r="Y433" s="55"/>
      <c r="Z433">
        <v>0</v>
      </c>
      <c r="AA433">
        <v>0</v>
      </c>
      <c r="AB433">
        <v>0</v>
      </c>
    </row>
    <row r="434" spans="1:28" x14ac:dyDescent="0.2">
      <c r="A434">
        <v>727</v>
      </c>
      <c r="B434">
        <v>8</v>
      </c>
      <c r="C434">
        <v>5</v>
      </c>
      <c r="D434" t="s">
        <v>164</v>
      </c>
      <c r="E434">
        <v>8</v>
      </c>
      <c r="F434" t="s">
        <v>175</v>
      </c>
      <c r="G434" s="55">
        <v>46122.800694444442</v>
      </c>
      <c r="H434">
        <v>41</v>
      </c>
      <c r="I434" t="s">
        <v>555</v>
      </c>
      <c r="J434">
        <v>125</v>
      </c>
      <c r="K434" t="s">
        <v>204</v>
      </c>
      <c r="L434" t="s">
        <v>521</v>
      </c>
      <c r="M434" t="s">
        <v>631</v>
      </c>
      <c r="N434">
        <v>8</v>
      </c>
      <c r="O434">
        <v>256</v>
      </c>
      <c r="P434">
        <v>43</v>
      </c>
      <c r="Q434">
        <v>5499</v>
      </c>
      <c r="R434">
        <v>170</v>
      </c>
      <c r="S434">
        <v>0</v>
      </c>
      <c r="T434">
        <v>9348.2999999999993</v>
      </c>
      <c r="U434">
        <v>9348.2999999999993</v>
      </c>
      <c r="V434">
        <v>217.4</v>
      </c>
      <c r="W434">
        <v>1</v>
      </c>
      <c r="X434" t="s">
        <v>141</v>
      </c>
      <c r="Y434" s="55">
        <v>46122.823611111111</v>
      </c>
      <c r="Z434">
        <v>0</v>
      </c>
      <c r="AA434">
        <v>0</v>
      </c>
      <c r="AB434">
        <v>0</v>
      </c>
    </row>
    <row r="435" spans="1:28" x14ac:dyDescent="0.2">
      <c r="A435">
        <v>728</v>
      </c>
      <c r="B435">
        <v>14</v>
      </c>
      <c r="C435">
        <v>12</v>
      </c>
      <c r="D435" t="s">
        <v>187</v>
      </c>
      <c r="E435">
        <v>1</v>
      </c>
      <c r="F435" t="s">
        <v>630</v>
      </c>
      <c r="G435" s="55">
        <v>46124.561111111114</v>
      </c>
      <c r="I435" t="s">
        <v>140</v>
      </c>
      <c r="K435" t="s">
        <v>140</v>
      </c>
      <c r="L435" t="s">
        <v>140</v>
      </c>
      <c r="M435" t="s">
        <v>140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 t="s">
        <v>140</v>
      </c>
      <c r="Y435" s="55"/>
      <c r="Z435">
        <v>0</v>
      </c>
      <c r="AA435">
        <v>0</v>
      </c>
      <c r="AB435">
        <v>0</v>
      </c>
    </row>
    <row r="436" spans="1:28" x14ac:dyDescent="0.2">
      <c r="A436">
        <v>729</v>
      </c>
      <c r="B436">
        <v>14</v>
      </c>
      <c r="C436">
        <v>12</v>
      </c>
      <c r="D436" t="s">
        <v>187</v>
      </c>
      <c r="E436">
        <v>201</v>
      </c>
      <c r="F436" t="s">
        <v>171</v>
      </c>
      <c r="G436" s="55">
        <v>46124.581250000003</v>
      </c>
      <c r="I436" t="s">
        <v>140</v>
      </c>
      <c r="K436" t="s">
        <v>140</v>
      </c>
      <c r="L436" t="s">
        <v>140</v>
      </c>
      <c r="M436" t="s">
        <v>140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 t="s">
        <v>140</v>
      </c>
      <c r="Y436" s="55"/>
      <c r="Z436">
        <v>0</v>
      </c>
      <c r="AA436">
        <v>0</v>
      </c>
      <c r="AB436">
        <v>0</v>
      </c>
    </row>
    <row r="437" spans="1:28" x14ac:dyDescent="0.2">
      <c r="A437">
        <v>730</v>
      </c>
      <c r="B437">
        <v>14</v>
      </c>
      <c r="C437">
        <v>12</v>
      </c>
      <c r="D437" t="s">
        <v>187</v>
      </c>
      <c r="E437">
        <v>8</v>
      </c>
      <c r="F437" t="s">
        <v>175</v>
      </c>
      <c r="G437" s="55">
        <v>46124.62777777778</v>
      </c>
      <c r="H437">
        <v>111</v>
      </c>
      <c r="I437" t="s">
        <v>632</v>
      </c>
      <c r="J437">
        <v>271</v>
      </c>
      <c r="K437" t="s">
        <v>153</v>
      </c>
      <c r="L437" t="s">
        <v>633</v>
      </c>
      <c r="M437" t="s">
        <v>198</v>
      </c>
      <c r="N437">
        <v>8</v>
      </c>
      <c r="O437">
        <v>256</v>
      </c>
      <c r="P437">
        <v>15</v>
      </c>
      <c r="Q437">
        <v>8799</v>
      </c>
      <c r="R437">
        <v>150</v>
      </c>
      <c r="S437">
        <v>0</v>
      </c>
      <c r="T437">
        <v>13198.5</v>
      </c>
      <c r="U437">
        <v>13198.5</v>
      </c>
      <c r="V437">
        <v>879.9</v>
      </c>
      <c r="W437">
        <v>1</v>
      </c>
      <c r="X437" t="s">
        <v>141</v>
      </c>
      <c r="Y437" s="55">
        <v>46124.645138888889</v>
      </c>
      <c r="Z437">
        <v>0</v>
      </c>
      <c r="AA437">
        <v>0</v>
      </c>
      <c r="AB437">
        <v>0</v>
      </c>
    </row>
    <row r="438" spans="1:28" x14ac:dyDescent="0.2">
      <c r="A438">
        <v>731</v>
      </c>
      <c r="B438">
        <v>10</v>
      </c>
      <c r="C438">
        <v>13</v>
      </c>
      <c r="D438" t="s">
        <v>167</v>
      </c>
      <c r="E438">
        <v>2</v>
      </c>
      <c r="F438" t="s">
        <v>188</v>
      </c>
      <c r="G438" s="55">
        <v>46125.755555555559</v>
      </c>
      <c r="I438" t="s">
        <v>140</v>
      </c>
      <c r="K438" t="s">
        <v>140</v>
      </c>
      <c r="L438" t="s">
        <v>140</v>
      </c>
      <c r="M438" t="s">
        <v>140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 t="s">
        <v>140</v>
      </c>
      <c r="Y438" s="55"/>
      <c r="Z438">
        <v>0</v>
      </c>
      <c r="AA438">
        <v>0</v>
      </c>
      <c r="AB438">
        <v>0</v>
      </c>
    </row>
    <row r="439" spans="1:28" x14ac:dyDescent="0.2">
      <c r="A439">
        <v>732</v>
      </c>
      <c r="B439">
        <v>10</v>
      </c>
      <c r="C439">
        <v>13</v>
      </c>
      <c r="D439" t="s">
        <v>167</v>
      </c>
      <c r="E439">
        <v>8</v>
      </c>
      <c r="F439" t="s">
        <v>175</v>
      </c>
      <c r="G439" s="55">
        <v>46125.809027777781</v>
      </c>
      <c r="H439">
        <v>24</v>
      </c>
      <c r="I439" t="s">
        <v>167</v>
      </c>
      <c r="J439">
        <v>590</v>
      </c>
      <c r="K439" t="s">
        <v>145</v>
      </c>
      <c r="L439" t="s">
        <v>146</v>
      </c>
      <c r="M439" t="s">
        <v>620</v>
      </c>
      <c r="N439">
        <v>8</v>
      </c>
      <c r="O439">
        <v>256</v>
      </c>
      <c r="P439">
        <v>43</v>
      </c>
      <c r="Q439">
        <v>10999</v>
      </c>
      <c r="R439">
        <v>100</v>
      </c>
      <c r="S439">
        <v>0</v>
      </c>
      <c r="T439">
        <v>10999</v>
      </c>
      <c r="U439">
        <v>10999</v>
      </c>
      <c r="V439">
        <v>255.79</v>
      </c>
      <c r="W439">
        <v>0</v>
      </c>
      <c r="X439" t="s">
        <v>141</v>
      </c>
      <c r="Y439" s="55">
        <v>46125.850694444445</v>
      </c>
      <c r="Z439">
        <v>0</v>
      </c>
      <c r="AA439">
        <v>0</v>
      </c>
      <c r="AB439">
        <v>0</v>
      </c>
    </row>
    <row r="440" spans="1:28" x14ac:dyDescent="0.2">
      <c r="A440">
        <v>733</v>
      </c>
      <c r="B440">
        <v>13</v>
      </c>
      <c r="C440">
        <v>31</v>
      </c>
      <c r="D440" t="s">
        <v>170</v>
      </c>
      <c r="E440">
        <v>8</v>
      </c>
      <c r="F440" t="s">
        <v>175</v>
      </c>
      <c r="G440" s="55">
        <v>46127.541666666664</v>
      </c>
      <c r="H440">
        <v>65</v>
      </c>
      <c r="I440" t="s">
        <v>433</v>
      </c>
      <c r="J440">
        <v>5</v>
      </c>
      <c r="K440" t="s">
        <v>153</v>
      </c>
      <c r="L440" t="s">
        <v>634</v>
      </c>
      <c r="M440" t="s">
        <v>140</v>
      </c>
      <c r="P440">
        <v>26</v>
      </c>
      <c r="Q440">
        <v>6399</v>
      </c>
      <c r="R440">
        <v>160</v>
      </c>
      <c r="S440">
        <v>624.5</v>
      </c>
      <c r="T440">
        <v>9239.2000000000007</v>
      </c>
      <c r="U440">
        <v>9863.7000000000007</v>
      </c>
      <c r="V440">
        <v>355.35</v>
      </c>
      <c r="W440">
        <v>0</v>
      </c>
      <c r="X440" t="s">
        <v>141</v>
      </c>
      <c r="Y440" s="55">
        <v>45966.75</v>
      </c>
      <c r="Z440">
        <v>624.5</v>
      </c>
      <c r="AA440">
        <v>624.5</v>
      </c>
      <c r="AB440">
        <v>0</v>
      </c>
    </row>
    <row r="441" spans="1:28" x14ac:dyDescent="0.2">
      <c r="A441">
        <v>734</v>
      </c>
      <c r="B441">
        <v>13</v>
      </c>
      <c r="C441">
        <v>31</v>
      </c>
      <c r="D441" t="s">
        <v>170</v>
      </c>
      <c r="E441">
        <v>8</v>
      </c>
      <c r="F441" t="s">
        <v>175</v>
      </c>
      <c r="G441" s="55">
        <v>46127.657638888886</v>
      </c>
      <c r="H441">
        <v>112</v>
      </c>
      <c r="I441" t="s">
        <v>635</v>
      </c>
      <c r="J441">
        <v>591</v>
      </c>
      <c r="K441" t="s">
        <v>138</v>
      </c>
      <c r="L441" t="s">
        <v>636</v>
      </c>
      <c r="M441" t="s">
        <v>607</v>
      </c>
      <c r="N441">
        <v>4</v>
      </c>
      <c r="O441">
        <v>256</v>
      </c>
      <c r="P441">
        <v>43</v>
      </c>
      <c r="Q441">
        <v>5499</v>
      </c>
      <c r="R441">
        <v>230</v>
      </c>
      <c r="S441">
        <v>1249</v>
      </c>
      <c r="T441">
        <v>9775</v>
      </c>
      <c r="U441">
        <v>11024</v>
      </c>
      <c r="V441">
        <v>227.33</v>
      </c>
      <c r="W441">
        <v>0</v>
      </c>
      <c r="X441" t="s">
        <v>141</v>
      </c>
      <c r="Y441" s="55">
        <v>46127.696527777778</v>
      </c>
      <c r="Z441">
        <v>1249</v>
      </c>
      <c r="AA441">
        <v>1249</v>
      </c>
      <c r="AB441">
        <v>0</v>
      </c>
    </row>
    <row r="442" spans="1:28" x14ac:dyDescent="0.2">
      <c r="A442">
        <v>735</v>
      </c>
      <c r="B442">
        <v>13</v>
      </c>
      <c r="C442">
        <v>31</v>
      </c>
      <c r="D442" t="s">
        <v>170</v>
      </c>
      <c r="E442">
        <v>1</v>
      </c>
      <c r="F442" t="s">
        <v>630</v>
      </c>
      <c r="G442" s="55">
        <v>46127.675694444442</v>
      </c>
      <c r="I442" t="s">
        <v>140</v>
      </c>
      <c r="K442" t="s">
        <v>140</v>
      </c>
      <c r="L442" t="s">
        <v>140</v>
      </c>
      <c r="M442" t="s">
        <v>140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 t="s">
        <v>140</v>
      </c>
      <c r="Y442" s="55"/>
      <c r="Z442">
        <v>0</v>
      </c>
      <c r="AA442">
        <v>0</v>
      </c>
      <c r="AB442">
        <v>0</v>
      </c>
    </row>
    <row r="443" spans="1:28" x14ac:dyDescent="0.2">
      <c r="A443">
        <v>739</v>
      </c>
      <c r="B443">
        <v>14</v>
      </c>
      <c r="C443">
        <v>12</v>
      </c>
      <c r="D443" t="s">
        <v>187</v>
      </c>
      <c r="E443">
        <v>1</v>
      </c>
      <c r="F443" t="s">
        <v>630</v>
      </c>
      <c r="G443" s="55">
        <v>46131.813888888886</v>
      </c>
      <c r="I443" t="s">
        <v>140</v>
      </c>
      <c r="K443" t="s">
        <v>140</v>
      </c>
      <c r="L443" t="s">
        <v>140</v>
      </c>
      <c r="M443" t="s">
        <v>140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 t="s">
        <v>140</v>
      </c>
      <c r="Y443" s="55"/>
      <c r="Z443">
        <v>0</v>
      </c>
      <c r="AA443">
        <v>0</v>
      </c>
      <c r="AB443">
        <v>0</v>
      </c>
    </row>
    <row r="444" spans="1:28" x14ac:dyDescent="0.2">
      <c r="A444">
        <v>740</v>
      </c>
      <c r="B444">
        <v>7</v>
      </c>
      <c r="C444">
        <v>21</v>
      </c>
      <c r="D444" t="s">
        <v>189</v>
      </c>
      <c r="E444">
        <v>8</v>
      </c>
      <c r="F444" t="s">
        <v>175</v>
      </c>
      <c r="G444" s="55">
        <v>46132.838888888888</v>
      </c>
      <c r="H444">
        <v>33</v>
      </c>
      <c r="I444" t="s">
        <v>520</v>
      </c>
      <c r="J444">
        <v>594</v>
      </c>
      <c r="K444" t="s">
        <v>153</v>
      </c>
      <c r="L444" t="s">
        <v>154</v>
      </c>
      <c r="M444" t="s">
        <v>637</v>
      </c>
      <c r="N444">
        <v>6</v>
      </c>
      <c r="O444">
        <v>256</v>
      </c>
      <c r="P444">
        <v>15</v>
      </c>
      <c r="Q444">
        <v>6399</v>
      </c>
      <c r="R444">
        <v>150</v>
      </c>
      <c r="S444">
        <v>0</v>
      </c>
      <c r="T444">
        <v>9598.5</v>
      </c>
      <c r="U444">
        <v>9598.5</v>
      </c>
      <c r="V444">
        <v>639.9</v>
      </c>
      <c r="W444">
        <v>1</v>
      </c>
      <c r="X444" t="s">
        <v>141</v>
      </c>
      <c r="Y444" s="55">
        <v>46132.865277777775</v>
      </c>
      <c r="Z444">
        <v>0</v>
      </c>
      <c r="AA444">
        <v>0</v>
      </c>
      <c r="AB444">
        <v>0</v>
      </c>
    </row>
    <row r="445" spans="1:28" x14ac:dyDescent="0.2">
      <c r="A445">
        <v>742</v>
      </c>
      <c r="B445">
        <v>10</v>
      </c>
      <c r="C445">
        <v>13</v>
      </c>
      <c r="D445" t="s">
        <v>167</v>
      </c>
      <c r="E445">
        <v>1</v>
      </c>
      <c r="F445" t="s">
        <v>630</v>
      </c>
      <c r="G445" s="55">
        <v>46137.548611111109</v>
      </c>
      <c r="I445" t="s">
        <v>140</v>
      </c>
      <c r="K445" t="s">
        <v>140</v>
      </c>
      <c r="L445" t="s">
        <v>140</v>
      </c>
      <c r="M445" t="s">
        <v>140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 t="s">
        <v>140</v>
      </c>
      <c r="Y445" s="55"/>
      <c r="Z445">
        <v>0</v>
      </c>
      <c r="AA445">
        <v>0</v>
      </c>
      <c r="AB445">
        <v>0</v>
      </c>
    </row>
    <row r="446" spans="1:28" x14ac:dyDescent="0.2">
      <c r="A446">
        <v>743</v>
      </c>
      <c r="B446">
        <v>14</v>
      </c>
      <c r="C446">
        <v>12</v>
      </c>
      <c r="D446" t="s">
        <v>187</v>
      </c>
      <c r="E446">
        <v>1</v>
      </c>
      <c r="F446" t="s">
        <v>630</v>
      </c>
      <c r="G446" s="55">
        <v>46137.564583333333</v>
      </c>
      <c r="I446" t="s">
        <v>140</v>
      </c>
      <c r="K446" t="s">
        <v>140</v>
      </c>
      <c r="L446" t="s">
        <v>140</v>
      </c>
      <c r="M446" t="s">
        <v>140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 t="s">
        <v>140</v>
      </c>
      <c r="Y446" s="55"/>
      <c r="Z446">
        <v>0</v>
      </c>
      <c r="AA446">
        <v>0</v>
      </c>
      <c r="AB446">
        <v>0</v>
      </c>
    </row>
    <row r="447" spans="1:28" x14ac:dyDescent="0.2">
      <c r="A447">
        <v>744</v>
      </c>
      <c r="B447">
        <v>14</v>
      </c>
      <c r="C447">
        <v>12</v>
      </c>
      <c r="D447" t="s">
        <v>187</v>
      </c>
      <c r="E447">
        <v>1</v>
      </c>
      <c r="F447" t="s">
        <v>630</v>
      </c>
      <c r="G447" s="55">
        <v>46137.615277777775</v>
      </c>
      <c r="I447" t="s">
        <v>140</v>
      </c>
      <c r="K447" t="s">
        <v>140</v>
      </c>
      <c r="L447" t="s">
        <v>140</v>
      </c>
      <c r="M447" t="s">
        <v>140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 t="s">
        <v>140</v>
      </c>
      <c r="Y447" s="55"/>
      <c r="Z447">
        <v>0</v>
      </c>
      <c r="AA447">
        <v>0</v>
      </c>
      <c r="AB447">
        <v>0</v>
      </c>
    </row>
    <row r="448" spans="1:28" x14ac:dyDescent="0.2">
      <c r="A448">
        <v>745</v>
      </c>
      <c r="B448">
        <v>6</v>
      </c>
      <c r="C448">
        <v>7</v>
      </c>
      <c r="D448" t="s">
        <v>226</v>
      </c>
      <c r="E448">
        <v>303</v>
      </c>
      <c r="F448" t="s">
        <v>610</v>
      </c>
      <c r="G448" s="55">
        <v>46137.626388888886</v>
      </c>
      <c r="H448">
        <v>110</v>
      </c>
      <c r="I448" t="s">
        <v>187</v>
      </c>
      <c r="J448">
        <v>347</v>
      </c>
      <c r="K448" t="s">
        <v>145</v>
      </c>
      <c r="L448" t="s">
        <v>638</v>
      </c>
      <c r="M448" t="s">
        <v>639</v>
      </c>
      <c r="N448">
        <v>8</v>
      </c>
      <c r="O448">
        <v>256</v>
      </c>
      <c r="P448">
        <v>43</v>
      </c>
      <c r="Q448">
        <v>9099</v>
      </c>
      <c r="R448">
        <v>100</v>
      </c>
      <c r="S448">
        <v>1250</v>
      </c>
      <c r="T448">
        <v>7849</v>
      </c>
      <c r="U448">
        <v>9099</v>
      </c>
      <c r="V448">
        <v>182.53</v>
      </c>
      <c r="W448">
        <v>1</v>
      </c>
      <c r="X448" t="s">
        <v>140</v>
      </c>
      <c r="Y448" s="55"/>
      <c r="Z448">
        <v>0</v>
      </c>
      <c r="AA448">
        <v>0</v>
      </c>
      <c r="AB448">
        <v>0</v>
      </c>
    </row>
    <row r="449" spans="1:28" x14ac:dyDescent="0.2">
      <c r="A449">
        <v>746</v>
      </c>
      <c r="B449">
        <v>5</v>
      </c>
      <c r="C449">
        <v>10</v>
      </c>
      <c r="D449" t="s">
        <v>215</v>
      </c>
      <c r="E449">
        <v>8</v>
      </c>
      <c r="F449" t="s">
        <v>175</v>
      </c>
      <c r="G449" s="55">
        <v>46138.966666666667</v>
      </c>
      <c r="H449">
        <v>41</v>
      </c>
      <c r="I449" t="s">
        <v>640</v>
      </c>
      <c r="J449">
        <v>589</v>
      </c>
      <c r="K449" t="s">
        <v>204</v>
      </c>
      <c r="L449" t="s">
        <v>521</v>
      </c>
      <c r="M449" t="s">
        <v>641</v>
      </c>
      <c r="N449">
        <v>8</v>
      </c>
      <c r="O449">
        <v>256</v>
      </c>
      <c r="P449">
        <v>39</v>
      </c>
      <c r="Q449">
        <v>5999</v>
      </c>
      <c r="R449">
        <v>206.46019999999999</v>
      </c>
      <c r="S449">
        <v>0</v>
      </c>
      <c r="T449">
        <v>12385.55</v>
      </c>
      <c r="U449">
        <v>12385.55</v>
      </c>
      <c r="V449">
        <v>317.58</v>
      </c>
      <c r="W449">
        <v>0</v>
      </c>
      <c r="X449" t="s">
        <v>141</v>
      </c>
      <c r="Y449" s="55">
        <v>46137.75</v>
      </c>
      <c r="Z449">
        <v>0</v>
      </c>
      <c r="AA449">
        <v>0</v>
      </c>
      <c r="AB449">
        <v>0</v>
      </c>
    </row>
    <row r="450" spans="1:28" x14ac:dyDescent="0.2">
      <c r="A450">
        <v>747</v>
      </c>
      <c r="B450">
        <v>11</v>
      </c>
      <c r="C450">
        <v>14</v>
      </c>
      <c r="D450" t="s">
        <v>135</v>
      </c>
      <c r="E450">
        <v>8</v>
      </c>
      <c r="F450" t="s">
        <v>175</v>
      </c>
      <c r="G450" s="55">
        <v>46141.822916666664</v>
      </c>
      <c r="H450">
        <v>108</v>
      </c>
      <c r="I450" t="s">
        <v>580</v>
      </c>
      <c r="J450">
        <v>596</v>
      </c>
      <c r="K450" t="s">
        <v>138</v>
      </c>
      <c r="L450" t="s">
        <v>627</v>
      </c>
      <c r="M450" t="s">
        <v>150</v>
      </c>
      <c r="N450">
        <v>8</v>
      </c>
      <c r="O450">
        <v>256</v>
      </c>
      <c r="P450">
        <v>43</v>
      </c>
      <c r="Q450">
        <v>8999</v>
      </c>
      <c r="R450">
        <v>170</v>
      </c>
      <c r="S450">
        <v>0</v>
      </c>
      <c r="T450">
        <v>15298.3</v>
      </c>
      <c r="U450">
        <v>15298.3</v>
      </c>
      <c r="V450">
        <v>355.77</v>
      </c>
      <c r="W450">
        <v>1</v>
      </c>
      <c r="X450" t="s">
        <v>141</v>
      </c>
      <c r="Y450" s="55">
        <v>46141.874305555553</v>
      </c>
      <c r="Z450">
        <v>0</v>
      </c>
      <c r="AA450">
        <v>0</v>
      </c>
      <c r="AB450">
        <v>0</v>
      </c>
    </row>
    <row r="451" spans="1:28" x14ac:dyDescent="0.2">
      <c r="A451">
        <v>748</v>
      </c>
      <c r="B451">
        <v>12</v>
      </c>
      <c r="C451">
        <v>11</v>
      </c>
      <c r="D451" t="s">
        <v>230</v>
      </c>
      <c r="E451">
        <v>8</v>
      </c>
      <c r="F451" t="s">
        <v>175</v>
      </c>
      <c r="G451" s="55">
        <v>46142.50277777778</v>
      </c>
      <c r="H451">
        <v>50</v>
      </c>
      <c r="I451" t="s">
        <v>642</v>
      </c>
      <c r="J451">
        <v>597</v>
      </c>
      <c r="K451" t="s">
        <v>158</v>
      </c>
      <c r="L451" t="s">
        <v>159</v>
      </c>
      <c r="M451" t="s">
        <v>160</v>
      </c>
      <c r="N451">
        <v>4</v>
      </c>
      <c r="O451">
        <v>128</v>
      </c>
      <c r="P451">
        <v>15</v>
      </c>
      <c r="Q451">
        <v>3999</v>
      </c>
      <c r="R451">
        <v>150</v>
      </c>
      <c r="S451">
        <v>799</v>
      </c>
      <c r="T451">
        <v>4800</v>
      </c>
      <c r="U451">
        <v>5599</v>
      </c>
      <c r="V451">
        <v>320</v>
      </c>
      <c r="W451">
        <v>0</v>
      </c>
      <c r="X451" t="s">
        <v>141</v>
      </c>
      <c r="Y451" s="55">
        <v>46142.554861111108</v>
      </c>
      <c r="Z451">
        <v>799</v>
      </c>
      <c r="AA451">
        <v>799</v>
      </c>
      <c r="AB451">
        <v>0</v>
      </c>
    </row>
    <row r="452" spans="1:28" x14ac:dyDescent="0.2">
      <c r="A452">
        <v>749</v>
      </c>
      <c r="B452">
        <v>14</v>
      </c>
      <c r="C452">
        <v>12</v>
      </c>
      <c r="D452" t="s">
        <v>187</v>
      </c>
      <c r="E452">
        <v>8</v>
      </c>
      <c r="F452" t="s">
        <v>175</v>
      </c>
      <c r="G452" s="55">
        <v>46143.462500000001</v>
      </c>
      <c r="H452">
        <v>114</v>
      </c>
      <c r="I452" t="s">
        <v>187</v>
      </c>
      <c r="J452">
        <v>347</v>
      </c>
      <c r="K452" t="s">
        <v>153</v>
      </c>
      <c r="L452" t="s">
        <v>643</v>
      </c>
      <c r="M452" t="s">
        <v>620</v>
      </c>
      <c r="N452">
        <v>6</v>
      </c>
      <c r="O452">
        <v>128</v>
      </c>
      <c r="P452">
        <v>43</v>
      </c>
      <c r="Q452">
        <v>6999</v>
      </c>
      <c r="R452">
        <v>100</v>
      </c>
      <c r="S452">
        <v>1249</v>
      </c>
      <c r="T452">
        <v>5750</v>
      </c>
      <c r="U452">
        <v>6999</v>
      </c>
      <c r="V452">
        <v>133.72</v>
      </c>
      <c r="W452">
        <v>1</v>
      </c>
      <c r="X452" t="s">
        <v>141</v>
      </c>
      <c r="Y452" s="55">
        <v>46143.564583333333</v>
      </c>
      <c r="Z452">
        <v>1249</v>
      </c>
      <c r="AA452">
        <v>1249</v>
      </c>
      <c r="AB452">
        <v>0</v>
      </c>
    </row>
    <row r="453" spans="1:28" x14ac:dyDescent="0.2">
      <c r="A453">
        <v>750</v>
      </c>
      <c r="B453">
        <v>10</v>
      </c>
      <c r="C453">
        <v>13</v>
      </c>
      <c r="D453" t="s">
        <v>167</v>
      </c>
      <c r="E453">
        <v>1</v>
      </c>
      <c r="F453" t="s">
        <v>644</v>
      </c>
      <c r="G453" s="55">
        <v>46143.92291666667</v>
      </c>
      <c r="H453">
        <v>1</v>
      </c>
      <c r="I453" t="s">
        <v>645</v>
      </c>
      <c r="J453">
        <v>600</v>
      </c>
      <c r="K453" t="s">
        <v>138</v>
      </c>
      <c r="L453" t="s">
        <v>217</v>
      </c>
      <c r="M453" t="s">
        <v>140</v>
      </c>
      <c r="N453">
        <v>8</v>
      </c>
      <c r="O453">
        <v>256</v>
      </c>
      <c r="P453">
        <v>18</v>
      </c>
      <c r="Q453">
        <v>9099</v>
      </c>
      <c r="R453">
        <v>170</v>
      </c>
      <c r="S453">
        <v>2499</v>
      </c>
      <c r="T453">
        <v>11219.95</v>
      </c>
      <c r="U453">
        <v>13718.95</v>
      </c>
      <c r="V453">
        <v>623.33000000000004</v>
      </c>
      <c r="W453">
        <v>0</v>
      </c>
      <c r="X453" t="s">
        <v>141</v>
      </c>
      <c r="Y453" s="55">
        <v>46143.92291666667</v>
      </c>
      <c r="Z453">
        <v>0</v>
      </c>
      <c r="AA453">
        <v>0</v>
      </c>
      <c r="AB453">
        <v>0</v>
      </c>
    </row>
    <row r="454" spans="1:28" x14ac:dyDescent="0.2">
      <c r="A454">
        <v>751</v>
      </c>
      <c r="B454">
        <v>8</v>
      </c>
      <c r="C454">
        <v>5</v>
      </c>
      <c r="D454" t="s">
        <v>164</v>
      </c>
      <c r="E454">
        <v>8</v>
      </c>
      <c r="F454" t="s">
        <v>175</v>
      </c>
      <c r="G454" s="55">
        <v>46145.688194444447</v>
      </c>
      <c r="H454">
        <v>108</v>
      </c>
      <c r="I454" t="s">
        <v>532</v>
      </c>
      <c r="J454">
        <v>188</v>
      </c>
      <c r="K454" t="s">
        <v>138</v>
      </c>
      <c r="L454" t="s">
        <v>627</v>
      </c>
      <c r="M454" t="s">
        <v>150</v>
      </c>
      <c r="N454">
        <v>8</v>
      </c>
      <c r="O454">
        <v>256</v>
      </c>
      <c r="P454">
        <v>43</v>
      </c>
      <c r="Q454">
        <v>8999</v>
      </c>
      <c r="R454">
        <v>170</v>
      </c>
      <c r="S454">
        <v>0</v>
      </c>
      <c r="T454">
        <v>15298.3</v>
      </c>
      <c r="U454">
        <v>15298.3</v>
      </c>
      <c r="V454">
        <v>355.77</v>
      </c>
      <c r="W454">
        <v>1</v>
      </c>
      <c r="X454" t="s">
        <v>141</v>
      </c>
      <c r="Y454" s="55">
        <v>46145.70416666667</v>
      </c>
      <c r="Z454">
        <v>0</v>
      </c>
      <c r="AA454">
        <v>0</v>
      </c>
      <c r="AB454">
        <v>0</v>
      </c>
    </row>
    <row r="455" spans="1:28" x14ac:dyDescent="0.2">
      <c r="A455">
        <v>752</v>
      </c>
      <c r="B455">
        <v>12</v>
      </c>
      <c r="C455">
        <v>11</v>
      </c>
      <c r="D455" t="s">
        <v>230</v>
      </c>
      <c r="E455">
        <v>8</v>
      </c>
      <c r="F455" t="s">
        <v>175</v>
      </c>
      <c r="G455" s="55">
        <v>46147.500694444447</v>
      </c>
      <c r="H455">
        <v>105</v>
      </c>
      <c r="I455" t="s">
        <v>621</v>
      </c>
      <c r="J455">
        <v>117</v>
      </c>
      <c r="K455" t="s">
        <v>138</v>
      </c>
      <c r="L455" t="s">
        <v>613</v>
      </c>
      <c r="M455" t="s">
        <v>150</v>
      </c>
      <c r="P455">
        <v>43</v>
      </c>
      <c r="Q455">
        <v>8299</v>
      </c>
      <c r="R455">
        <v>170</v>
      </c>
      <c r="S455">
        <v>0</v>
      </c>
      <c r="T455">
        <v>14108.3</v>
      </c>
      <c r="U455">
        <v>14108.3</v>
      </c>
      <c r="V455">
        <v>328.1</v>
      </c>
      <c r="W455">
        <v>1</v>
      </c>
      <c r="X455" t="s">
        <v>141</v>
      </c>
      <c r="Y455" s="55">
        <v>46148.468055555553</v>
      </c>
      <c r="Z455">
        <v>0</v>
      </c>
      <c r="AA455">
        <v>0</v>
      </c>
      <c r="AB455">
        <v>0</v>
      </c>
    </row>
    <row r="456" spans="1:28" x14ac:dyDescent="0.2">
      <c r="A456">
        <v>753</v>
      </c>
      <c r="B456">
        <v>14</v>
      </c>
      <c r="C456">
        <v>12</v>
      </c>
      <c r="D456" t="s">
        <v>187</v>
      </c>
      <c r="E456">
        <v>8</v>
      </c>
      <c r="F456" t="s">
        <v>175</v>
      </c>
      <c r="G456" s="55">
        <v>46147.740972222222</v>
      </c>
      <c r="H456">
        <v>34</v>
      </c>
      <c r="I456" t="s">
        <v>646</v>
      </c>
      <c r="J456">
        <v>602</v>
      </c>
      <c r="K456" t="s">
        <v>153</v>
      </c>
      <c r="L456" t="s">
        <v>169</v>
      </c>
      <c r="M456" t="s">
        <v>198</v>
      </c>
      <c r="N456">
        <v>4</v>
      </c>
      <c r="O456">
        <v>128</v>
      </c>
      <c r="P456">
        <v>35</v>
      </c>
      <c r="Q456">
        <v>5299</v>
      </c>
      <c r="R456">
        <v>210</v>
      </c>
      <c r="S456">
        <v>999</v>
      </c>
      <c r="T456">
        <v>9030.0400000000009</v>
      </c>
      <c r="U456">
        <v>10029.040000000001</v>
      </c>
      <c r="V456">
        <v>258</v>
      </c>
      <c r="W456">
        <v>0</v>
      </c>
      <c r="X456" t="s">
        <v>141</v>
      </c>
      <c r="Y456" s="55">
        <v>46148.468055555553</v>
      </c>
      <c r="Z456">
        <v>999</v>
      </c>
      <c r="AA456">
        <v>999</v>
      </c>
      <c r="AB456">
        <v>0</v>
      </c>
    </row>
    <row r="457" spans="1:28" x14ac:dyDescent="0.2">
      <c r="A457">
        <v>757</v>
      </c>
      <c r="B457">
        <v>6</v>
      </c>
      <c r="C457">
        <v>9</v>
      </c>
      <c r="D457" t="s">
        <v>181</v>
      </c>
      <c r="E457">
        <v>201</v>
      </c>
      <c r="F457" t="s">
        <v>171</v>
      </c>
      <c r="G457" s="55">
        <v>46148.620138888888</v>
      </c>
      <c r="H457">
        <v>110</v>
      </c>
      <c r="I457" t="s">
        <v>493</v>
      </c>
      <c r="J457">
        <v>599</v>
      </c>
      <c r="K457" t="s">
        <v>145</v>
      </c>
      <c r="L457" t="s">
        <v>638</v>
      </c>
      <c r="M457" t="s">
        <v>639</v>
      </c>
      <c r="N457">
        <v>8</v>
      </c>
      <c r="O457">
        <v>256</v>
      </c>
      <c r="P457">
        <v>43</v>
      </c>
      <c r="Q457">
        <v>9099</v>
      </c>
      <c r="R457">
        <v>100</v>
      </c>
      <c r="S457">
        <v>1250</v>
      </c>
      <c r="T457">
        <v>7849</v>
      </c>
      <c r="U457">
        <v>9099</v>
      </c>
      <c r="V457">
        <v>182.53</v>
      </c>
      <c r="W457">
        <v>0</v>
      </c>
      <c r="X457" t="s">
        <v>141</v>
      </c>
      <c r="Y457" s="55">
        <v>46148.620138888888</v>
      </c>
      <c r="Z457">
        <v>0</v>
      </c>
      <c r="AA457">
        <v>0</v>
      </c>
      <c r="AB457">
        <v>0</v>
      </c>
    </row>
    <row r="458" spans="1:28" x14ac:dyDescent="0.2">
      <c r="A458">
        <v>760</v>
      </c>
      <c r="B458">
        <v>10</v>
      </c>
      <c r="C458">
        <v>9</v>
      </c>
      <c r="D458" t="s">
        <v>181</v>
      </c>
      <c r="E458">
        <v>1</v>
      </c>
      <c r="F458" t="s">
        <v>644</v>
      </c>
      <c r="G458" s="55">
        <v>46148.816666666666</v>
      </c>
      <c r="H458">
        <v>12</v>
      </c>
      <c r="I458" t="s">
        <v>647</v>
      </c>
      <c r="J458">
        <v>607</v>
      </c>
      <c r="K458" t="s">
        <v>158</v>
      </c>
      <c r="L458" t="s">
        <v>180</v>
      </c>
      <c r="M458" t="s">
        <v>140</v>
      </c>
      <c r="N458">
        <v>8</v>
      </c>
      <c r="O458">
        <v>256</v>
      </c>
      <c r="P458">
        <v>18</v>
      </c>
      <c r="Q458">
        <v>9899</v>
      </c>
      <c r="R458">
        <v>170</v>
      </c>
      <c r="S458">
        <v>2499</v>
      </c>
      <c r="T458">
        <v>12579.94</v>
      </c>
      <c r="U458">
        <v>15078.94</v>
      </c>
      <c r="V458">
        <v>698.89</v>
      </c>
      <c r="W458">
        <v>0</v>
      </c>
      <c r="X458" t="s">
        <v>141</v>
      </c>
      <c r="Y458" s="55">
        <v>46148.816666666666</v>
      </c>
      <c r="Z458">
        <v>0</v>
      </c>
      <c r="AA458">
        <v>0</v>
      </c>
      <c r="AB458">
        <v>0</v>
      </c>
    </row>
    <row r="459" spans="1:28" x14ac:dyDescent="0.2">
      <c r="A459">
        <v>761</v>
      </c>
      <c r="B459">
        <v>6</v>
      </c>
      <c r="C459">
        <v>9</v>
      </c>
      <c r="D459" t="s">
        <v>181</v>
      </c>
      <c r="E459">
        <v>6</v>
      </c>
      <c r="F459" t="s">
        <v>648</v>
      </c>
      <c r="G459" s="55">
        <v>46149.584722222222</v>
      </c>
      <c r="H459">
        <v>3</v>
      </c>
      <c r="I459" t="s">
        <v>649</v>
      </c>
      <c r="J459">
        <v>608</v>
      </c>
      <c r="K459" t="s">
        <v>138</v>
      </c>
      <c r="L459" t="s">
        <v>650</v>
      </c>
      <c r="M459" t="s">
        <v>651</v>
      </c>
      <c r="N459">
        <v>8</v>
      </c>
      <c r="O459">
        <v>256</v>
      </c>
      <c r="P459">
        <v>15</v>
      </c>
      <c r="Q459">
        <v>6899</v>
      </c>
      <c r="R459">
        <v>150</v>
      </c>
      <c r="S459">
        <v>1249</v>
      </c>
      <c r="T459">
        <v>8474.9500000000007</v>
      </c>
      <c r="U459">
        <v>9723.9500000000007</v>
      </c>
      <c r="V459">
        <v>565</v>
      </c>
      <c r="W459">
        <v>0</v>
      </c>
      <c r="X459" t="s">
        <v>140</v>
      </c>
      <c r="Y459" s="55"/>
      <c r="Z459">
        <v>0</v>
      </c>
      <c r="AA459">
        <v>0</v>
      </c>
      <c r="AB459">
        <v>0</v>
      </c>
    </row>
    <row r="460" spans="1:28" x14ac:dyDescent="0.2">
      <c r="A460">
        <v>762</v>
      </c>
      <c r="B460">
        <v>6</v>
      </c>
      <c r="C460">
        <v>9</v>
      </c>
      <c r="D460" t="s">
        <v>181</v>
      </c>
      <c r="E460">
        <v>8</v>
      </c>
      <c r="F460" t="s">
        <v>175</v>
      </c>
      <c r="G460" s="55">
        <v>46149.594444444447</v>
      </c>
      <c r="H460">
        <v>34</v>
      </c>
      <c r="I460" t="s">
        <v>493</v>
      </c>
      <c r="J460">
        <v>599</v>
      </c>
      <c r="K460" t="s">
        <v>153</v>
      </c>
      <c r="L460" t="s">
        <v>169</v>
      </c>
      <c r="M460" t="s">
        <v>198</v>
      </c>
      <c r="N460">
        <v>4</v>
      </c>
      <c r="O460">
        <v>128</v>
      </c>
      <c r="P460">
        <v>15</v>
      </c>
      <c r="Q460">
        <v>5299</v>
      </c>
      <c r="R460">
        <v>150</v>
      </c>
      <c r="S460">
        <v>999</v>
      </c>
      <c r="T460">
        <v>6449.96</v>
      </c>
      <c r="U460">
        <v>7448.96</v>
      </c>
      <c r="V460">
        <v>430</v>
      </c>
      <c r="W460">
        <v>0</v>
      </c>
      <c r="X460" t="s">
        <v>141</v>
      </c>
      <c r="Y460" s="55">
        <v>46149.618750000001</v>
      </c>
      <c r="Z460">
        <v>999</v>
      </c>
      <c r="AA460">
        <v>999</v>
      </c>
      <c r="AB460">
        <v>0</v>
      </c>
    </row>
    <row r="461" spans="1:28" x14ac:dyDescent="0.2">
      <c r="A461">
        <v>763</v>
      </c>
      <c r="B461">
        <v>5</v>
      </c>
      <c r="C461">
        <v>10</v>
      </c>
      <c r="D461" t="s">
        <v>215</v>
      </c>
      <c r="E461">
        <v>8</v>
      </c>
      <c r="F461" t="s">
        <v>175</v>
      </c>
      <c r="G461" s="55">
        <v>46150.63958333333</v>
      </c>
      <c r="H461">
        <v>108</v>
      </c>
      <c r="I461" t="s">
        <v>652</v>
      </c>
      <c r="J461">
        <v>609</v>
      </c>
      <c r="K461" t="s">
        <v>138</v>
      </c>
      <c r="L461" t="s">
        <v>627</v>
      </c>
      <c r="M461" t="s">
        <v>653</v>
      </c>
      <c r="N461">
        <v>8</v>
      </c>
      <c r="O461">
        <v>256</v>
      </c>
      <c r="P461">
        <v>43</v>
      </c>
      <c r="Q461">
        <v>9499</v>
      </c>
      <c r="R461">
        <v>100</v>
      </c>
      <c r="S461">
        <v>0</v>
      </c>
      <c r="T461">
        <v>9499</v>
      </c>
      <c r="U461">
        <v>9499</v>
      </c>
      <c r="V461">
        <v>220.91</v>
      </c>
      <c r="W461">
        <v>0</v>
      </c>
      <c r="X461" t="s">
        <v>141</v>
      </c>
      <c r="Y461" s="55">
        <v>46150.719444444447</v>
      </c>
      <c r="Z461">
        <v>0</v>
      </c>
      <c r="AA461">
        <v>0</v>
      </c>
      <c r="AB461">
        <v>0</v>
      </c>
    </row>
    <row r="462" spans="1:28" x14ac:dyDescent="0.2">
      <c r="A462">
        <v>764</v>
      </c>
      <c r="B462">
        <v>3</v>
      </c>
      <c r="C462">
        <v>10001</v>
      </c>
      <c r="D462" t="s">
        <v>609</v>
      </c>
      <c r="E462">
        <v>8</v>
      </c>
      <c r="F462" t="s">
        <v>175</v>
      </c>
      <c r="G462" s="55">
        <v>46150.856249999997</v>
      </c>
      <c r="H462">
        <v>108</v>
      </c>
      <c r="I462" t="s">
        <v>654</v>
      </c>
      <c r="J462">
        <v>610</v>
      </c>
      <c r="K462" t="s">
        <v>138</v>
      </c>
      <c r="L462" t="s">
        <v>627</v>
      </c>
      <c r="M462" t="s">
        <v>653</v>
      </c>
      <c r="N462">
        <v>8</v>
      </c>
      <c r="O462">
        <v>256</v>
      </c>
      <c r="P462">
        <v>43</v>
      </c>
      <c r="Q462">
        <v>8999</v>
      </c>
      <c r="R462">
        <v>100</v>
      </c>
      <c r="S462">
        <v>0</v>
      </c>
      <c r="T462">
        <v>8999</v>
      </c>
      <c r="U462">
        <v>8999</v>
      </c>
      <c r="V462">
        <v>209.28</v>
      </c>
      <c r="W462">
        <v>1</v>
      </c>
      <c r="X462" t="s">
        <v>141</v>
      </c>
      <c r="Y462" s="55">
        <v>46150.883333333331</v>
      </c>
      <c r="Z462">
        <v>0</v>
      </c>
      <c r="AA462">
        <v>0</v>
      </c>
      <c r="AB462">
        <v>0</v>
      </c>
    </row>
    <row r="463" spans="1:28" x14ac:dyDescent="0.2">
      <c r="A463">
        <v>765</v>
      </c>
      <c r="B463">
        <v>12</v>
      </c>
      <c r="C463">
        <v>11</v>
      </c>
      <c r="D463" t="s">
        <v>230</v>
      </c>
      <c r="E463">
        <v>8</v>
      </c>
      <c r="F463" t="s">
        <v>175</v>
      </c>
      <c r="G463" s="55">
        <v>46151.551388888889</v>
      </c>
      <c r="H463">
        <v>8</v>
      </c>
      <c r="I463" t="s">
        <v>219</v>
      </c>
      <c r="J463">
        <v>598</v>
      </c>
      <c r="K463" t="s">
        <v>138</v>
      </c>
      <c r="L463" t="s">
        <v>178</v>
      </c>
      <c r="M463" t="s">
        <v>150</v>
      </c>
      <c r="N463">
        <v>6</v>
      </c>
      <c r="O463">
        <v>128</v>
      </c>
      <c r="P463">
        <v>26</v>
      </c>
      <c r="Q463">
        <v>5799</v>
      </c>
      <c r="R463">
        <v>160</v>
      </c>
      <c r="S463">
        <v>0</v>
      </c>
      <c r="T463">
        <v>9278.4</v>
      </c>
      <c r="U463">
        <v>9278.4</v>
      </c>
      <c r="V463">
        <v>356.86</v>
      </c>
      <c r="W463">
        <v>1</v>
      </c>
      <c r="X463" t="s">
        <v>141</v>
      </c>
      <c r="Y463" s="55">
        <v>46157.760416666664</v>
      </c>
      <c r="Z463">
        <v>0</v>
      </c>
      <c r="AA463">
        <v>0</v>
      </c>
      <c r="AB463">
        <v>0</v>
      </c>
    </row>
    <row r="464" spans="1:28" x14ac:dyDescent="0.2">
      <c r="A464">
        <v>766</v>
      </c>
      <c r="B464">
        <v>13</v>
      </c>
      <c r="C464">
        <v>31</v>
      </c>
      <c r="D464" t="s">
        <v>170</v>
      </c>
      <c r="E464">
        <v>8</v>
      </c>
      <c r="F464" t="s">
        <v>175</v>
      </c>
      <c r="G464" s="55">
        <v>46152.589583333334</v>
      </c>
      <c r="H464">
        <v>116</v>
      </c>
      <c r="I464" t="s">
        <v>199</v>
      </c>
      <c r="J464">
        <v>611</v>
      </c>
      <c r="K464" t="s">
        <v>158</v>
      </c>
      <c r="L464" t="s">
        <v>655</v>
      </c>
      <c r="M464" t="s">
        <v>656</v>
      </c>
      <c r="N464">
        <v>12</v>
      </c>
      <c r="O464">
        <v>512</v>
      </c>
      <c r="P464">
        <v>15</v>
      </c>
      <c r="Q464">
        <v>9499</v>
      </c>
      <c r="R464">
        <v>150</v>
      </c>
      <c r="S464">
        <v>0</v>
      </c>
      <c r="T464">
        <v>14248.5</v>
      </c>
      <c r="U464">
        <v>14248.5</v>
      </c>
      <c r="V464">
        <v>949.9</v>
      </c>
      <c r="W464">
        <v>1</v>
      </c>
      <c r="X464" t="s">
        <v>141</v>
      </c>
      <c r="Y464" s="55">
        <v>46152.618750000001</v>
      </c>
      <c r="Z464">
        <v>0</v>
      </c>
      <c r="AA464">
        <v>0</v>
      </c>
      <c r="AB464">
        <v>0</v>
      </c>
    </row>
    <row r="465" spans="1:28" x14ac:dyDescent="0.2">
      <c r="A465">
        <v>767</v>
      </c>
      <c r="B465">
        <v>5</v>
      </c>
      <c r="C465">
        <v>10</v>
      </c>
      <c r="D465" t="s">
        <v>215</v>
      </c>
      <c r="E465">
        <v>8</v>
      </c>
      <c r="F465" t="s">
        <v>175</v>
      </c>
      <c r="G465" s="55">
        <v>46152.709722222222</v>
      </c>
      <c r="H465">
        <v>113</v>
      </c>
      <c r="I465" t="s">
        <v>505</v>
      </c>
      <c r="J465">
        <v>612</v>
      </c>
      <c r="K465" t="s">
        <v>138</v>
      </c>
      <c r="L465" t="s">
        <v>657</v>
      </c>
      <c r="M465" t="s">
        <v>658</v>
      </c>
      <c r="N465">
        <v>8</v>
      </c>
      <c r="O465">
        <v>256</v>
      </c>
      <c r="P465">
        <v>26</v>
      </c>
      <c r="Q465">
        <v>6699</v>
      </c>
      <c r="R465">
        <v>160</v>
      </c>
      <c r="S465">
        <v>749.5</v>
      </c>
      <c r="T465">
        <v>9519.2000000000007</v>
      </c>
      <c r="U465">
        <v>10268.700000000001</v>
      </c>
      <c r="V465">
        <v>366.12</v>
      </c>
      <c r="W465">
        <v>1</v>
      </c>
      <c r="X465" t="s">
        <v>141</v>
      </c>
      <c r="Y465" s="55">
        <v>46152.774305555555</v>
      </c>
      <c r="Z465">
        <v>749.5</v>
      </c>
      <c r="AA465">
        <v>749.5</v>
      </c>
      <c r="AB465">
        <v>0</v>
      </c>
    </row>
    <row r="466" spans="1:28" x14ac:dyDescent="0.2">
      <c r="A466">
        <v>769</v>
      </c>
      <c r="B466">
        <v>4</v>
      </c>
      <c r="C466">
        <v>4</v>
      </c>
      <c r="D466" t="s">
        <v>659</v>
      </c>
      <c r="E466">
        <v>8</v>
      </c>
      <c r="F466" t="s">
        <v>175</v>
      </c>
      <c r="G466" s="55">
        <v>46154.488194444442</v>
      </c>
      <c r="H466">
        <v>116</v>
      </c>
      <c r="I466" t="s">
        <v>497</v>
      </c>
      <c r="J466">
        <v>227</v>
      </c>
      <c r="K466" t="s">
        <v>158</v>
      </c>
      <c r="L466" t="s">
        <v>655</v>
      </c>
      <c r="M466" t="s">
        <v>656</v>
      </c>
      <c r="N466">
        <v>12</v>
      </c>
      <c r="O466">
        <v>512</v>
      </c>
      <c r="P466">
        <v>43</v>
      </c>
      <c r="Q466">
        <v>9499</v>
      </c>
      <c r="R466">
        <v>170</v>
      </c>
      <c r="S466">
        <v>0</v>
      </c>
      <c r="T466">
        <v>16148.3</v>
      </c>
      <c r="U466">
        <v>16148.3</v>
      </c>
      <c r="V466">
        <v>375.54</v>
      </c>
      <c r="W466">
        <v>1</v>
      </c>
      <c r="X466" t="s">
        <v>141</v>
      </c>
      <c r="Y466" s="55">
        <v>46154.73541666667</v>
      </c>
      <c r="Z466">
        <v>0</v>
      </c>
      <c r="AA466">
        <v>0</v>
      </c>
      <c r="AB466">
        <v>0</v>
      </c>
    </row>
    <row r="467" spans="1:28" x14ac:dyDescent="0.2">
      <c r="A467">
        <v>770</v>
      </c>
      <c r="B467">
        <v>14</v>
      </c>
      <c r="C467">
        <v>12</v>
      </c>
      <c r="D467" t="s">
        <v>187</v>
      </c>
      <c r="E467">
        <v>201</v>
      </c>
      <c r="F467" t="s">
        <v>171</v>
      </c>
      <c r="G467" s="55">
        <v>46154.731944444444</v>
      </c>
      <c r="I467" t="s">
        <v>140</v>
      </c>
      <c r="K467" t="s">
        <v>140</v>
      </c>
      <c r="L467" t="s">
        <v>140</v>
      </c>
      <c r="M467" t="s">
        <v>140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 t="s">
        <v>140</v>
      </c>
      <c r="Y467" s="55"/>
      <c r="Z467">
        <v>0</v>
      </c>
      <c r="AA467">
        <v>0</v>
      </c>
      <c r="AB467">
        <v>0</v>
      </c>
    </row>
    <row r="468" spans="1:28" x14ac:dyDescent="0.2">
      <c r="A468">
        <v>771</v>
      </c>
      <c r="B468">
        <v>14</v>
      </c>
      <c r="C468">
        <v>12</v>
      </c>
      <c r="D468" t="s">
        <v>187</v>
      </c>
      <c r="E468">
        <v>303</v>
      </c>
      <c r="F468" t="s">
        <v>610</v>
      </c>
      <c r="G468" s="55">
        <v>46154.748611111114</v>
      </c>
      <c r="H468">
        <v>30</v>
      </c>
      <c r="I468" t="s">
        <v>660</v>
      </c>
      <c r="J468">
        <v>614</v>
      </c>
      <c r="K468" t="s">
        <v>145</v>
      </c>
      <c r="L468" t="s">
        <v>331</v>
      </c>
      <c r="M468" t="s">
        <v>140</v>
      </c>
      <c r="N468">
        <v>4</v>
      </c>
      <c r="O468">
        <v>64</v>
      </c>
      <c r="P468">
        <v>43</v>
      </c>
      <c r="Q468">
        <v>3999</v>
      </c>
      <c r="R468">
        <v>230</v>
      </c>
      <c r="S468">
        <v>799</v>
      </c>
      <c r="T468">
        <v>7360.02</v>
      </c>
      <c r="U468">
        <v>8159.02</v>
      </c>
      <c r="V468">
        <v>171.16</v>
      </c>
      <c r="W468">
        <v>0</v>
      </c>
      <c r="X468" t="s">
        <v>140</v>
      </c>
      <c r="Y468" s="55"/>
      <c r="Z468">
        <v>0</v>
      </c>
      <c r="AA468">
        <v>0</v>
      </c>
      <c r="AB468">
        <v>0</v>
      </c>
    </row>
    <row r="469" spans="1:28" x14ac:dyDescent="0.2">
      <c r="A469">
        <v>772</v>
      </c>
      <c r="B469">
        <v>14</v>
      </c>
      <c r="C469">
        <v>12</v>
      </c>
      <c r="D469" t="s">
        <v>187</v>
      </c>
      <c r="E469">
        <v>8</v>
      </c>
      <c r="F469" t="s">
        <v>175</v>
      </c>
      <c r="G469" s="55">
        <v>46155.609722222223</v>
      </c>
      <c r="H469">
        <v>117</v>
      </c>
      <c r="I469" t="s">
        <v>661</v>
      </c>
      <c r="J469">
        <v>615</v>
      </c>
      <c r="K469" t="s">
        <v>191</v>
      </c>
      <c r="L469" t="s">
        <v>662</v>
      </c>
      <c r="M469" t="s">
        <v>193</v>
      </c>
      <c r="N469">
        <v>4</v>
      </c>
      <c r="O469">
        <v>128</v>
      </c>
      <c r="P469">
        <v>26</v>
      </c>
      <c r="Q469">
        <v>3999</v>
      </c>
      <c r="R469">
        <v>190</v>
      </c>
      <c r="S469">
        <v>799</v>
      </c>
      <c r="T469">
        <v>6080</v>
      </c>
      <c r="U469">
        <v>6879</v>
      </c>
      <c r="V469">
        <v>233.85</v>
      </c>
      <c r="W469">
        <v>0</v>
      </c>
      <c r="X469" t="s">
        <v>141</v>
      </c>
      <c r="Y469" s="55">
        <v>46155.672222222223</v>
      </c>
      <c r="Z469">
        <v>799</v>
      </c>
      <c r="AA469">
        <v>799</v>
      </c>
      <c r="AB469">
        <v>0</v>
      </c>
    </row>
    <row r="470" spans="1:28" x14ac:dyDescent="0.2">
      <c r="A470">
        <v>779</v>
      </c>
      <c r="B470">
        <v>14</v>
      </c>
      <c r="C470">
        <v>12</v>
      </c>
      <c r="D470" t="s">
        <v>187</v>
      </c>
      <c r="E470">
        <v>8</v>
      </c>
      <c r="F470" t="s">
        <v>175</v>
      </c>
      <c r="G470" s="55">
        <v>46159.745833333334</v>
      </c>
      <c r="H470">
        <v>34</v>
      </c>
      <c r="I470" t="s">
        <v>663</v>
      </c>
      <c r="J470">
        <v>617</v>
      </c>
      <c r="K470" t="s">
        <v>153</v>
      </c>
      <c r="L470" t="s">
        <v>169</v>
      </c>
      <c r="M470" t="s">
        <v>198</v>
      </c>
      <c r="N470">
        <v>4</v>
      </c>
      <c r="O470">
        <v>128</v>
      </c>
      <c r="P470">
        <v>43</v>
      </c>
      <c r="Q470">
        <v>5299</v>
      </c>
      <c r="R470">
        <v>230</v>
      </c>
      <c r="S470">
        <v>999</v>
      </c>
      <c r="T470">
        <v>9890.02</v>
      </c>
      <c r="U470">
        <v>10889.02</v>
      </c>
      <c r="V470">
        <v>230</v>
      </c>
      <c r="W470">
        <v>0</v>
      </c>
      <c r="X470" t="s">
        <v>141</v>
      </c>
      <c r="Y470" s="55">
        <v>46159.771527777775</v>
      </c>
      <c r="Z470">
        <v>999</v>
      </c>
      <c r="AA470">
        <v>999</v>
      </c>
      <c r="AB470">
        <v>0</v>
      </c>
    </row>
    <row r="471" spans="1:28" x14ac:dyDescent="0.2">
      <c r="A471">
        <v>781</v>
      </c>
      <c r="B471">
        <v>11</v>
      </c>
      <c r="C471">
        <v>14</v>
      </c>
      <c r="D471" t="s">
        <v>135</v>
      </c>
      <c r="E471">
        <v>8</v>
      </c>
      <c r="F471" t="s">
        <v>175</v>
      </c>
      <c r="G471" s="55">
        <v>46161.80972222222</v>
      </c>
      <c r="H471">
        <v>114</v>
      </c>
      <c r="I471" t="s">
        <v>137</v>
      </c>
      <c r="J471">
        <v>619</v>
      </c>
      <c r="K471" t="s">
        <v>153</v>
      </c>
      <c r="L471" t="s">
        <v>643</v>
      </c>
      <c r="M471" t="s">
        <v>150</v>
      </c>
      <c r="N471">
        <v>6</v>
      </c>
      <c r="O471">
        <v>128</v>
      </c>
      <c r="P471">
        <v>26</v>
      </c>
      <c r="Q471">
        <v>6499</v>
      </c>
      <c r="R471">
        <v>160</v>
      </c>
      <c r="S471">
        <v>0</v>
      </c>
      <c r="T471">
        <v>10398.4</v>
      </c>
      <c r="U471">
        <v>10398.4</v>
      </c>
      <c r="V471">
        <v>399.94</v>
      </c>
      <c r="W471">
        <v>1</v>
      </c>
      <c r="X471" t="s">
        <v>141</v>
      </c>
      <c r="Y471" s="55">
        <v>46161.869444444441</v>
      </c>
      <c r="Z471">
        <v>0</v>
      </c>
      <c r="AA471">
        <v>0</v>
      </c>
      <c r="AB471">
        <v>0</v>
      </c>
    </row>
    <row r="472" spans="1:28" x14ac:dyDescent="0.2">
      <c r="A472">
        <v>784</v>
      </c>
      <c r="B472">
        <v>4</v>
      </c>
      <c r="C472">
        <v>4</v>
      </c>
      <c r="D472" t="s">
        <v>659</v>
      </c>
      <c r="E472">
        <v>8</v>
      </c>
      <c r="F472" t="s">
        <v>175</v>
      </c>
      <c r="G472" s="55">
        <v>46162.48333333333</v>
      </c>
      <c r="H472">
        <v>113</v>
      </c>
      <c r="I472" t="s">
        <v>300</v>
      </c>
      <c r="J472">
        <v>145</v>
      </c>
      <c r="K472" t="s">
        <v>138</v>
      </c>
      <c r="L472" t="s">
        <v>657</v>
      </c>
      <c r="M472" t="s">
        <v>150</v>
      </c>
      <c r="N472">
        <v>8</v>
      </c>
      <c r="O472">
        <v>256</v>
      </c>
      <c r="P472">
        <v>43</v>
      </c>
      <c r="Q472">
        <v>6699</v>
      </c>
      <c r="R472">
        <v>170</v>
      </c>
      <c r="S472">
        <v>0</v>
      </c>
      <c r="T472">
        <v>11388.3</v>
      </c>
      <c r="U472">
        <v>11388.3</v>
      </c>
      <c r="V472">
        <v>264.83999999999997</v>
      </c>
      <c r="W472">
        <v>1</v>
      </c>
      <c r="X472" t="s">
        <v>141</v>
      </c>
      <c r="Y472" s="55">
        <v>46162.834027777775</v>
      </c>
      <c r="Z472">
        <v>0</v>
      </c>
      <c r="AA472">
        <v>0</v>
      </c>
      <c r="AB472">
        <v>0</v>
      </c>
    </row>
    <row r="473" spans="1:28" x14ac:dyDescent="0.2">
      <c r="A473">
        <v>791</v>
      </c>
      <c r="B473">
        <v>3</v>
      </c>
      <c r="C473">
        <v>10001</v>
      </c>
      <c r="D473" t="s">
        <v>609</v>
      </c>
      <c r="E473">
        <v>8</v>
      </c>
      <c r="F473" t="s">
        <v>175</v>
      </c>
      <c r="G473" s="55">
        <v>46167.772916666669</v>
      </c>
      <c r="H473">
        <v>117</v>
      </c>
      <c r="I473" t="s">
        <v>664</v>
      </c>
      <c r="J473">
        <v>623</v>
      </c>
      <c r="K473" t="s">
        <v>191</v>
      </c>
      <c r="L473" t="s">
        <v>662</v>
      </c>
      <c r="M473" t="s">
        <v>193</v>
      </c>
      <c r="N473">
        <v>4</v>
      </c>
      <c r="O473">
        <v>128</v>
      </c>
      <c r="P473">
        <v>26</v>
      </c>
      <c r="Q473">
        <v>3999</v>
      </c>
      <c r="R473">
        <v>190</v>
      </c>
      <c r="S473">
        <v>799</v>
      </c>
      <c r="T473">
        <v>6080</v>
      </c>
      <c r="U473">
        <v>6879</v>
      </c>
      <c r="V473">
        <v>233.85</v>
      </c>
      <c r="W473">
        <v>0</v>
      </c>
      <c r="X473" t="s">
        <v>141</v>
      </c>
      <c r="Y473" s="55">
        <v>46167.800694444442</v>
      </c>
      <c r="Z473">
        <v>799</v>
      </c>
      <c r="AA473">
        <v>799</v>
      </c>
      <c r="AB47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94D3-7E07-5240-BEA8-1CD5A815B8BE}">
  <dimension ref="B3:Q63"/>
  <sheetViews>
    <sheetView zoomScale="150" workbookViewId="0">
      <selection activeCell="F44" sqref="F44"/>
    </sheetView>
  </sheetViews>
  <sheetFormatPr baseColWidth="10" defaultRowHeight="16" x14ac:dyDescent="0.2"/>
  <cols>
    <col min="12" max="12" width="19.33203125" customWidth="1"/>
    <col min="13" max="13" width="17.5" customWidth="1"/>
    <col min="14" max="14" width="18.6640625" customWidth="1"/>
    <col min="17" max="17" width="22.1640625" customWidth="1"/>
  </cols>
  <sheetData>
    <row r="3" spans="2:17" x14ac:dyDescent="0.2">
      <c r="B3" t="s">
        <v>0</v>
      </c>
      <c r="E3" t="s">
        <v>1</v>
      </c>
    </row>
    <row r="5" spans="2:17" x14ac:dyDescent="0.2">
      <c r="B5" t="s">
        <v>13</v>
      </c>
    </row>
    <row r="6" spans="2:17" x14ac:dyDescent="0.2">
      <c r="D6" t="s">
        <v>2</v>
      </c>
      <c r="G6" t="s">
        <v>3</v>
      </c>
      <c r="L6" t="s">
        <v>12</v>
      </c>
      <c r="M6" s="4">
        <v>5245345345</v>
      </c>
    </row>
    <row r="7" spans="2:17" x14ac:dyDescent="0.2">
      <c r="B7" t="s">
        <v>14</v>
      </c>
    </row>
    <row r="8" spans="2:17" x14ac:dyDescent="0.2">
      <c r="E8" t="s">
        <v>4</v>
      </c>
    </row>
    <row r="9" spans="2:17" x14ac:dyDescent="0.2">
      <c r="L9" s="1" t="s">
        <v>6</v>
      </c>
    </row>
    <row r="10" spans="2:17" x14ac:dyDescent="0.2">
      <c r="N10" t="s">
        <v>7</v>
      </c>
      <c r="O10" t="s">
        <v>8</v>
      </c>
      <c r="P10" t="s">
        <v>9</v>
      </c>
      <c r="Q10" t="s">
        <v>10</v>
      </c>
    </row>
    <row r="11" spans="2:17" x14ac:dyDescent="0.2">
      <c r="L11" s="1">
        <v>5245345345</v>
      </c>
      <c r="N11" t="s">
        <v>11</v>
      </c>
      <c r="O11" s="2">
        <v>89000</v>
      </c>
      <c r="P11" s="2">
        <v>75000</v>
      </c>
      <c r="Q11" s="2">
        <f>O11-P11</f>
        <v>14000</v>
      </c>
    </row>
    <row r="12" spans="2:17" x14ac:dyDescent="0.2">
      <c r="L12" s="1"/>
      <c r="Q12" s="2"/>
    </row>
    <row r="13" spans="2:17" x14ac:dyDescent="0.2">
      <c r="O13" t="s">
        <v>15</v>
      </c>
      <c r="Q13" s="2">
        <v>114</v>
      </c>
    </row>
    <row r="14" spans="2:17" x14ac:dyDescent="0.2">
      <c r="L14" s="1"/>
      <c r="O14" s="2" t="s">
        <v>16</v>
      </c>
      <c r="P14" s="3">
        <v>45292</v>
      </c>
      <c r="Q14" s="3">
        <v>46190</v>
      </c>
    </row>
    <row r="15" spans="2:17" x14ac:dyDescent="0.2">
      <c r="L15" s="1"/>
      <c r="Q15" s="2"/>
    </row>
    <row r="16" spans="2:17" x14ac:dyDescent="0.2">
      <c r="Q16" s="2"/>
    </row>
    <row r="17" spans="4:17" x14ac:dyDescent="0.2">
      <c r="D17" t="s">
        <v>17</v>
      </c>
      <c r="G17" t="s">
        <v>19</v>
      </c>
      <c r="L17" s="1" t="s">
        <v>21</v>
      </c>
      <c r="M17" t="s">
        <v>22</v>
      </c>
      <c r="O17" s="2" t="s">
        <v>27</v>
      </c>
      <c r="P17" s="2"/>
      <c r="Q17" s="2" t="s">
        <v>7</v>
      </c>
    </row>
    <row r="18" spans="4:17" x14ac:dyDescent="0.2">
      <c r="L18" s="1"/>
      <c r="Q18" s="2"/>
    </row>
    <row r="19" spans="4:17" x14ac:dyDescent="0.2">
      <c r="E19" t="s">
        <v>20</v>
      </c>
      <c r="L19" s="1">
        <v>2023</v>
      </c>
      <c r="M19" s="104">
        <v>2023</v>
      </c>
      <c r="N19" t="s">
        <v>23</v>
      </c>
      <c r="O19" s="104">
        <v>2023</v>
      </c>
      <c r="P19" t="s">
        <v>28</v>
      </c>
      <c r="Q19" s="2" t="s">
        <v>40</v>
      </c>
    </row>
    <row r="20" spans="4:17" x14ac:dyDescent="0.2">
      <c r="L20" s="1">
        <v>2024</v>
      </c>
      <c r="M20" s="104"/>
      <c r="N20" t="s">
        <v>24</v>
      </c>
      <c r="O20" s="104"/>
      <c r="P20" s="2" t="s">
        <v>29</v>
      </c>
      <c r="Q20" s="2" t="s">
        <v>41</v>
      </c>
    </row>
    <row r="21" spans="4:17" x14ac:dyDescent="0.2">
      <c r="L21" s="1">
        <v>2025</v>
      </c>
      <c r="M21" s="104"/>
      <c r="N21" t="s">
        <v>25</v>
      </c>
      <c r="O21" s="104"/>
      <c r="P21" t="s">
        <v>30</v>
      </c>
      <c r="Q21" s="2" t="s">
        <v>42</v>
      </c>
    </row>
    <row r="22" spans="4:17" ht="17" thickBot="1" x14ac:dyDescent="0.25">
      <c r="L22" s="9">
        <v>2026</v>
      </c>
      <c r="M22" s="105"/>
      <c r="N22" s="5" t="s">
        <v>26</v>
      </c>
      <c r="O22" s="104"/>
      <c r="P22" s="2" t="s">
        <v>31</v>
      </c>
      <c r="Q22" s="2" t="s">
        <v>43</v>
      </c>
    </row>
    <row r="23" spans="4:17" x14ac:dyDescent="0.2">
      <c r="O23" s="104"/>
      <c r="P23" t="s">
        <v>32</v>
      </c>
      <c r="Q23" s="2" t="s">
        <v>44</v>
      </c>
    </row>
    <row r="24" spans="4:17" x14ac:dyDescent="0.2">
      <c r="O24" s="104"/>
      <c r="P24" s="2" t="s">
        <v>33</v>
      </c>
      <c r="Q24" s="2" t="s">
        <v>45</v>
      </c>
    </row>
    <row r="25" spans="4:17" ht="17" thickBot="1" x14ac:dyDescent="0.25">
      <c r="M25" s="104">
        <v>2024</v>
      </c>
      <c r="N25" t="s">
        <v>23</v>
      </c>
      <c r="O25" s="104"/>
      <c r="P25" t="s">
        <v>34</v>
      </c>
      <c r="Q25" s="6" t="s">
        <v>46</v>
      </c>
    </row>
    <row r="26" spans="4:17" x14ac:dyDescent="0.2">
      <c r="M26" s="104"/>
      <c r="N26" t="s">
        <v>24</v>
      </c>
      <c r="O26" s="104"/>
      <c r="P26" s="2" t="s">
        <v>35</v>
      </c>
    </row>
    <row r="27" spans="4:17" x14ac:dyDescent="0.2">
      <c r="M27" s="104"/>
      <c r="N27" t="s">
        <v>25</v>
      </c>
      <c r="O27" s="104"/>
      <c r="P27" t="s">
        <v>36</v>
      </c>
    </row>
    <row r="28" spans="4:17" ht="17" thickBot="1" x14ac:dyDescent="0.25">
      <c r="M28" s="105"/>
      <c r="N28" s="5" t="s">
        <v>26</v>
      </c>
      <c r="O28" s="104"/>
      <c r="P28" s="2" t="s">
        <v>37</v>
      </c>
    </row>
    <row r="29" spans="4:17" x14ac:dyDescent="0.2">
      <c r="D29" t="s">
        <v>47</v>
      </c>
      <c r="G29" t="s">
        <v>48</v>
      </c>
      <c r="O29" s="104"/>
      <c r="P29" t="s">
        <v>38</v>
      </c>
    </row>
    <row r="30" spans="4:17" ht="17" thickBot="1" x14ac:dyDescent="0.25">
      <c r="O30" s="105"/>
      <c r="P30" s="6" t="s">
        <v>39</v>
      </c>
    </row>
    <row r="31" spans="4:17" x14ac:dyDescent="0.2">
      <c r="E31" t="s">
        <v>64</v>
      </c>
      <c r="H31" t="s">
        <v>67</v>
      </c>
      <c r="M31" s="104">
        <v>2025</v>
      </c>
      <c r="N31" t="s">
        <v>23</v>
      </c>
    </row>
    <row r="32" spans="4:17" x14ac:dyDescent="0.2">
      <c r="E32" t="s">
        <v>65</v>
      </c>
      <c r="H32" t="s">
        <v>68</v>
      </c>
      <c r="M32" s="104"/>
      <c r="N32" t="s">
        <v>24</v>
      </c>
    </row>
    <row r="33" spans="4:17" x14ac:dyDescent="0.2">
      <c r="E33" t="s">
        <v>66</v>
      </c>
      <c r="H33" t="s">
        <v>69</v>
      </c>
      <c r="M33" s="104"/>
      <c r="N33" t="s">
        <v>25</v>
      </c>
      <c r="O33" s="104">
        <v>2024</v>
      </c>
      <c r="P33" t="s">
        <v>28</v>
      </c>
    </row>
    <row r="34" spans="4:17" ht="17" thickBot="1" x14ac:dyDescent="0.25">
      <c r="M34" s="105"/>
      <c r="N34" s="5" t="s">
        <v>26</v>
      </c>
      <c r="O34" s="104"/>
      <c r="P34" s="2" t="s">
        <v>29</v>
      </c>
    </row>
    <row r="35" spans="4:17" x14ac:dyDescent="0.2">
      <c r="O35" s="104"/>
      <c r="P35" t="s">
        <v>30</v>
      </c>
    </row>
    <row r="36" spans="4:17" x14ac:dyDescent="0.2">
      <c r="O36" s="104"/>
      <c r="P36" s="2" t="s">
        <v>31</v>
      </c>
    </row>
    <row r="37" spans="4:17" x14ac:dyDescent="0.2">
      <c r="D37" t="s">
        <v>70</v>
      </c>
      <c r="G37" t="s">
        <v>71</v>
      </c>
      <c r="M37" s="106">
        <v>2026</v>
      </c>
      <c r="N37" s="7" t="s">
        <v>23</v>
      </c>
      <c r="O37" s="104"/>
      <c r="P37" t="s">
        <v>32</v>
      </c>
    </row>
    <row r="38" spans="4:17" x14ac:dyDescent="0.2">
      <c r="M38" s="106"/>
      <c r="N38" s="7" t="s">
        <v>24</v>
      </c>
      <c r="O38" s="104"/>
      <c r="P38" s="2" t="s">
        <v>33</v>
      </c>
    </row>
    <row r="39" spans="4:17" x14ac:dyDescent="0.2">
      <c r="E39" t="s">
        <v>72</v>
      </c>
      <c r="M39" s="106"/>
      <c r="N39" s="7" t="s">
        <v>25</v>
      </c>
      <c r="O39" s="104"/>
      <c r="P39" t="s">
        <v>34</v>
      </c>
    </row>
    <row r="40" spans="4:17" ht="17" thickBot="1" x14ac:dyDescent="0.25">
      <c r="M40" s="107"/>
      <c r="N40" s="8" t="s">
        <v>26</v>
      </c>
      <c r="O40" s="104"/>
      <c r="P40" s="2" t="s">
        <v>35</v>
      </c>
    </row>
    <row r="41" spans="4:17" x14ac:dyDescent="0.2">
      <c r="F41" t="s">
        <v>73</v>
      </c>
      <c r="O41" s="104"/>
      <c r="P41" t="s">
        <v>36</v>
      </c>
    </row>
    <row r="42" spans="4:17" x14ac:dyDescent="0.2">
      <c r="F42" t="s">
        <v>74</v>
      </c>
      <c r="O42" s="104"/>
      <c r="P42" s="2" t="s">
        <v>37</v>
      </c>
    </row>
    <row r="43" spans="4:17" x14ac:dyDescent="0.2">
      <c r="F43" t="s">
        <v>75</v>
      </c>
      <c r="O43" s="104"/>
      <c r="P43" t="s">
        <v>38</v>
      </c>
    </row>
    <row r="44" spans="4:17" ht="17" thickBot="1" x14ac:dyDescent="0.25">
      <c r="O44" s="105"/>
      <c r="P44" s="6" t="s">
        <v>39</v>
      </c>
    </row>
    <row r="47" spans="4:17" x14ac:dyDescent="0.2">
      <c r="L47" t="s">
        <v>49</v>
      </c>
      <c r="M47" t="s">
        <v>50</v>
      </c>
      <c r="N47" t="s">
        <v>51</v>
      </c>
      <c r="P47" t="s">
        <v>58</v>
      </c>
    </row>
    <row r="48" spans="4:17" x14ac:dyDescent="0.2">
      <c r="L48" t="s">
        <v>52</v>
      </c>
      <c r="M48" t="s">
        <v>53</v>
      </c>
      <c r="N48" t="s">
        <v>54</v>
      </c>
      <c r="P48">
        <v>1</v>
      </c>
      <c r="Q48" t="s">
        <v>59</v>
      </c>
    </row>
    <row r="49" spans="12:17" x14ac:dyDescent="0.2">
      <c r="L49" t="s">
        <v>55</v>
      </c>
      <c r="M49" t="s">
        <v>56</v>
      </c>
      <c r="N49" t="s">
        <v>57</v>
      </c>
      <c r="P49">
        <v>2</v>
      </c>
      <c r="Q49" t="s">
        <v>60</v>
      </c>
    </row>
    <row r="50" spans="12:17" x14ac:dyDescent="0.2">
      <c r="P50">
        <v>3</v>
      </c>
      <c r="Q50" t="s">
        <v>61</v>
      </c>
    </row>
    <row r="51" spans="12:17" x14ac:dyDescent="0.2">
      <c r="P51">
        <v>4</v>
      </c>
      <c r="Q51" t="s">
        <v>62</v>
      </c>
    </row>
    <row r="52" spans="12:17" x14ac:dyDescent="0.2">
      <c r="P52">
        <v>5</v>
      </c>
    </row>
    <row r="53" spans="12:17" x14ac:dyDescent="0.2">
      <c r="P53">
        <v>6</v>
      </c>
    </row>
    <row r="54" spans="12:17" x14ac:dyDescent="0.2">
      <c r="P54">
        <v>7</v>
      </c>
    </row>
    <row r="55" spans="12:17" x14ac:dyDescent="0.2">
      <c r="P55">
        <v>8</v>
      </c>
    </row>
    <row r="59" spans="12:17" x14ac:dyDescent="0.2">
      <c r="L59" t="s">
        <v>63</v>
      </c>
    </row>
    <row r="60" spans="12:17" x14ac:dyDescent="0.2">
      <c r="M60" t="s">
        <v>50</v>
      </c>
    </row>
    <row r="61" spans="12:17" x14ac:dyDescent="0.2">
      <c r="L61" t="s">
        <v>49</v>
      </c>
      <c r="M61" t="s">
        <v>53</v>
      </c>
      <c r="N61" t="s">
        <v>56</v>
      </c>
    </row>
    <row r="62" spans="12:17" x14ac:dyDescent="0.2">
      <c r="L62" t="s">
        <v>52</v>
      </c>
      <c r="M62" s="10"/>
      <c r="N62" s="10"/>
    </row>
    <row r="63" spans="12:17" x14ac:dyDescent="0.2">
      <c r="L63" t="s">
        <v>55</v>
      </c>
      <c r="M63" s="10"/>
      <c r="N63" s="10"/>
    </row>
  </sheetData>
  <mergeCells count="6">
    <mergeCell ref="M19:M22"/>
    <mergeCell ref="M25:M28"/>
    <mergeCell ref="M31:M34"/>
    <mergeCell ref="M37:M40"/>
    <mergeCell ref="O19:O30"/>
    <mergeCell ref="O33:O44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0E8EC-EA0A-C44E-AD54-F346EFDA39B5}">
  <dimension ref="B2:X32"/>
  <sheetViews>
    <sheetView zoomScale="118" workbookViewId="0">
      <selection activeCell="E2" sqref="E2:L32"/>
    </sheetView>
  </sheetViews>
  <sheetFormatPr baseColWidth="10" defaultRowHeight="16" x14ac:dyDescent="0.2"/>
  <cols>
    <col min="7" max="7" width="23" customWidth="1"/>
    <col min="11" max="12" width="12.5" bestFit="1" customWidth="1"/>
    <col min="16" max="16" width="13.1640625" customWidth="1"/>
  </cols>
  <sheetData>
    <row r="2" spans="2:17" x14ac:dyDescent="0.2">
      <c r="B2" t="s">
        <v>85</v>
      </c>
      <c r="E2" s="98" t="s">
        <v>86</v>
      </c>
      <c r="F2" s="98"/>
      <c r="G2" s="98"/>
      <c r="H2" s="33"/>
      <c r="I2" s="33"/>
      <c r="J2" s="33"/>
      <c r="K2" s="33"/>
      <c r="L2" s="33"/>
    </row>
    <row r="3" spans="2:17" x14ac:dyDescent="0.2">
      <c r="E3" s="98"/>
      <c r="F3" s="98"/>
      <c r="G3" s="98"/>
      <c r="H3" s="33"/>
      <c r="I3" s="34"/>
      <c r="J3" s="34" t="s">
        <v>104</v>
      </c>
      <c r="K3" s="34" t="s">
        <v>105</v>
      </c>
      <c r="L3" s="33"/>
    </row>
    <row r="4" spans="2:17" x14ac:dyDescent="0.2">
      <c r="E4" s="98"/>
      <c r="F4" s="98"/>
      <c r="G4" s="98"/>
      <c r="H4" s="33"/>
      <c r="I4" s="34" t="s">
        <v>78</v>
      </c>
      <c r="J4" s="14">
        <v>46054</v>
      </c>
      <c r="K4" s="14">
        <v>46127</v>
      </c>
      <c r="L4" s="33"/>
    </row>
    <row r="5" spans="2:17" x14ac:dyDescent="0.2">
      <c r="E5" s="98"/>
      <c r="F5" s="98"/>
      <c r="G5" s="98"/>
      <c r="H5" s="33"/>
      <c r="I5" s="33"/>
      <c r="J5" s="33"/>
      <c r="K5" s="33"/>
      <c r="L5" s="33"/>
      <c r="O5" t="s">
        <v>89</v>
      </c>
      <c r="P5" t="s">
        <v>5</v>
      </c>
      <c r="Q5">
        <v>9</v>
      </c>
    </row>
    <row r="6" spans="2:17" x14ac:dyDescent="0.2">
      <c r="E6" s="15"/>
      <c r="F6" s="15"/>
      <c r="G6" s="20"/>
      <c r="H6" s="16"/>
      <c r="I6" s="16"/>
      <c r="J6" s="99" t="s">
        <v>81</v>
      </c>
      <c r="K6" s="99"/>
      <c r="L6" s="99"/>
      <c r="P6" t="s">
        <v>18</v>
      </c>
      <c r="Q6" s="3">
        <v>46027</v>
      </c>
    </row>
    <row r="7" spans="2:17" x14ac:dyDescent="0.2">
      <c r="E7" s="15"/>
      <c r="F7" s="15"/>
      <c r="G7" s="20"/>
      <c r="H7" s="20" t="s">
        <v>79</v>
      </c>
      <c r="I7" s="20" t="s">
        <v>80</v>
      </c>
      <c r="J7" s="22" t="s">
        <v>82</v>
      </c>
      <c r="K7" s="22" t="s">
        <v>83</v>
      </c>
      <c r="L7" s="22" t="s">
        <v>84</v>
      </c>
      <c r="P7" t="s">
        <v>97</v>
      </c>
      <c r="Q7">
        <v>18</v>
      </c>
    </row>
    <row r="8" spans="2:17" x14ac:dyDescent="0.2">
      <c r="E8" s="15"/>
      <c r="F8" s="15"/>
      <c r="G8" s="20" t="s">
        <v>78</v>
      </c>
      <c r="H8" s="21">
        <f>J4</f>
        <v>46054</v>
      </c>
      <c r="I8" s="21">
        <v>46127</v>
      </c>
      <c r="J8" s="26">
        <f>ROUNDUP(YEARFRAC(H8,I8), 1)</f>
        <v>0.30000000000000004</v>
      </c>
      <c r="K8" s="27">
        <f>ROUNDUP(YEARFRAC(H8,I8) * 12, 1)</f>
        <v>2.5</v>
      </c>
      <c r="L8" s="26">
        <f>I8-H8</f>
        <v>73</v>
      </c>
      <c r="P8" t="s">
        <v>90</v>
      </c>
      <c r="Q8" s="12">
        <v>3999</v>
      </c>
    </row>
    <row r="9" spans="2:17" x14ac:dyDescent="0.2">
      <c r="E9" s="15"/>
      <c r="F9" s="15"/>
      <c r="G9" s="19"/>
      <c r="H9" s="15"/>
      <c r="I9" s="15"/>
      <c r="J9" s="15"/>
      <c r="K9" s="15"/>
      <c r="L9" s="15"/>
      <c r="P9" t="s">
        <v>91</v>
      </c>
      <c r="Q9" s="12">
        <v>599</v>
      </c>
    </row>
    <row r="10" spans="2:17" x14ac:dyDescent="0.2">
      <c r="D10" s="1"/>
      <c r="E10" s="17" t="s">
        <v>76</v>
      </c>
      <c r="F10" s="15"/>
      <c r="G10" s="19"/>
      <c r="H10" s="15"/>
      <c r="I10" s="15"/>
      <c r="J10" s="15"/>
      <c r="K10" s="15"/>
      <c r="L10" s="15"/>
      <c r="P10" t="s">
        <v>92</v>
      </c>
      <c r="Q10" s="13">
        <f>Q8-Q9</f>
        <v>3400</v>
      </c>
    </row>
    <row r="11" spans="2:17" x14ac:dyDescent="0.2">
      <c r="D11" s="1"/>
      <c r="E11" s="16"/>
      <c r="F11" s="15"/>
      <c r="G11" s="19"/>
      <c r="H11" s="102" t="s">
        <v>87</v>
      </c>
      <c r="I11" s="102"/>
      <c r="J11" s="102"/>
      <c r="K11" s="23" t="s">
        <v>84</v>
      </c>
      <c r="L11" s="25">
        <v>34</v>
      </c>
      <c r="P11" t="s">
        <v>93</v>
      </c>
      <c r="Q11" s="11">
        <v>1.6</v>
      </c>
    </row>
    <row r="12" spans="2:17" x14ac:dyDescent="0.2">
      <c r="E12" s="16" t="s">
        <v>77</v>
      </c>
      <c r="F12" s="18">
        <v>121</v>
      </c>
      <c r="G12" s="19"/>
      <c r="H12" s="102"/>
      <c r="I12" s="102"/>
      <c r="J12" s="102"/>
      <c r="K12" s="23" t="s">
        <v>88</v>
      </c>
      <c r="L12" s="24">
        <f>L11/L8</f>
        <v>0.46575342465753422</v>
      </c>
      <c r="P12" t="s">
        <v>94</v>
      </c>
      <c r="Q12" s="13">
        <f>Q10*Q11</f>
        <v>5440</v>
      </c>
    </row>
    <row r="13" spans="2:17" x14ac:dyDescent="0.2">
      <c r="E13" s="15"/>
      <c r="F13" s="15"/>
      <c r="G13" s="19"/>
      <c r="H13" s="15"/>
      <c r="I13" s="15"/>
      <c r="J13" s="15"/>
      <c r="K13" s="15"/>
      <c r="L13" s="15"/>
      <c r="P13" t="s">
        <v>77</v>
      </c>
      <c r="Q13" s="13">
        <f>Q12+Q9</f>
        <v>6039</v>
      </c>
    </row>
    <row r="14" spans="2:17" x14ac:dyDescent="0.2">
      <c r="E14" s="15"/>
      <c r="F14" s="15"/>
      <c r="G14" s="19" t="s">
        <v>98</v>
      </c>
      <c r="H14" s="15"/>
      <c r="I14" s="15"/>
      <c r="J14" s="15"/>
      <c r="K14" s="100">
        <f>K17-K18</f>
        <v>456000</v>
      </c>
      <c r="L14" s="100"/>
      <c r="P14" t="s">
        <v>96</v>
      </c>
      <c r="Q14" s="13">
        <f>Q12/Q7</f>
        <v>302.22222222222223</v>
      </c>
    </row>
    <row r="15" spans="2:17" x14ac:dyDescent="0.2">
      <c r="E15" s="15"/>
      <c r="F15" s="15"/>
      <c r="G15" s="19"/>
      <c r="H15" s="15"/>
      <c r="I15" s="15"/>
      <c r="J15" s="15"/>
      <c r="K15" s="15"/>
      <c r="L15" s="15"/>
    </row>
    <row r="16" spans="2:17" x14ac:dyDescent="0.2">
      <c r="E16" s="15"/>
      <c r="F16" s="15"/>
      <c r="G16" s="19"/>
      <c r="H16" s="15"/>
      <c r="I16" s="15"/>
      <c r="J16" s="15"/>
      <c r="K16" s="29" t="s">
        <v>99</v>
      </c>
      <c r="L16" s="29" t="s">
        <v>100</v>
      </c>
    </row>
    <row r="17" spans="5:24" x14ac:dyDescent="0.2">
      <c r="E17" s="15"/>
      <c r="F17" s="15"/>
      <c r="G17" s="19"/>
      <c r="H17" s="15"/>
      <c r="I17" s="28" t="s">
        <v>90</v>
      </c>
      <c r="J17" s="15"/>
      <c r="K17" s="30">
        <v>545000</v>
      </c>
      <c r="L17" s="30">
        <f>K17/F12</f>
        <v>4504.1322314049585</v>
      </c>
      <c r="O17" t="s">
        <v>5</v>
      </c>
      <c r="P17" t="s">
        <v>18</v>
      </c>
      <c r="Q17" t="s">
        <v>97</v>
      </c>
      <c r="R17" t="s">
        <v>90</v>
      </c>
      <c r="S17" t="s">
        <v>91</v>
      </c>
      <c r="T17" t="s">
        <v>92</v>
      </c>
      <c r="U17" t="s">
        <v>93</v>
      </c>
      <c r="V17" t="s">
        <v>94</v>
      </c>
      <c r="W17" t="s">
        <v>77</v>
      </c>
      <c r="X17" t="s">
        <v>96</v>
      </c>
    </row>
    <row r="18" spans="5:24" x14ac:dyDescent="0.2">
      <c r="E18" s="15"/>
      <c r="F18" s="15"/>
      <c r="G18" s="19"/>
      <c r="H18" s="15"/>
      <c r="I18" s="28" t="s">
        <v>91</v>
      </c>
      <c r="J18" s="15"/>
      <c r="K18" s="30">
        <v>89000</v>
      </c>
      <c r="L18" s="30">
        <f>K18/F12</f>
        <v>735.53719008264466</v>
      </c>
      <c r="O18">
        <v>9</v>
      </c>
      <c r="P18" s="3">
        <v>46027</v>
      </c>
      <c r="Q18">
        <v>18</v>
      </c>
      <c r="R18" s="12">
        <v>3999</v>
      </c>
      <c r="S18" s="12">
        <v>599</v>
      </c>
      <c r="T18" s="13">
        <f>R18-S18</f>
        <v>3400</v>
      </c>
      <c r="U18" s="11">
        <v>1.6</v>
      </c>
      <c r="V18" s="13">
        <f>T18*U18</f>
        <v>5440</v>
      </c>
      <c r="W18" s="13">
        <f>V18+S18</f>
        <v>6039</v>
      </c>
      <c r="X18" s="13">
        <f>V18/Q18</f>
        <v>302.22222222222223</v>
      </c>
    </row>
    <row r="19" spans="5:24" x14ac:dyDescent="0.2">
      <c r="E19" s="15"/>
      <c r="F19" s="15"/>
      <c r="G19" s="19"/>
      <c r="H19" s="15"/>
      <c r="I19" s="28"/>
      <c r="J19" s="15"/>
      <c r="K19" s="16"/>
      <c r="L19" s="16"/>
      <c r="O19">
        <v>10</v>
      </c>
      <c r="P19" s="3">
        <v>46028</v>
      </c>
      <c r="Q19">
        <v>18</v>
      </c>
      <c r="R19" s="12">
        <v>3999</v>
      </c>
      <c r="S19" s="12">
        <v>599</v>
      </c>
      <c r="T19" s="13">
        <f>R19-S19</f>
        <v>3400</v>
      </c>
      <c r="U19" s="11">
        <v>2.6</v>
      </c>
      <c r="V19" s="13">
        <f>T19*U19</f>
        <v>8840</v>
      </c>
      <c r="W19" s="13">
        <f>V19+S19</f>
        <v>9439</v>
      </c>
      <c r="X19" s="13">
        <f>V19/Q19</f>
        <v>491.11111111111109</v>
      </c>
    </row>
    <row r="20" spans="5:24" x14ac:dyDescent="0.2">
      <c r="E20" s="15"/>
      <c r="F20" s="15"/>
      <c r="G20" s="19" t="s">
        <v>101</v>
      </c>
      <c r="H20" s="15"/>
      <c r="I20" s="28"/>
      <c r="J20" s="15"/>
      <c r="K20" s="101">
        <f>K26-K14</f>
        <v>394520</v>
      </c>
      <c r="L20" s="101"/>
    </row>
    <row r="21" spans="5:24" x14ac:dyDescent="0.2">
      <c r="E21" s="15"/>
      <c r="F21" s="15"/>
      <c r="G21" s="19"/>
      <c r="H21" s="15"/>
      <c r="I21" s="28"/>
      <c r="J21" s="15"/>
      <c r="K21" s="16"/>
      <c r="L21" s="16"/>
    </row>
    <row r="22" spans="5:24" x14ac:dyDescent="0.2">
      <c r="E22" s="15"/>
      <c r="F22" s="15"/>
      <c r="G22" s="19"/>
      <c r="H22" s="15"/>
      <c r="I22" s="28"/>
      <c r="J22" s="15"/>
      <c r="K22" s="29" t="s">
        <v>99</v>
      </c>
      <c r="L22" s="29" t="s">
        <v>100</v>
      </c>
    </row>
    <row r="23" spans="5:24" x14ac:dyDescent="0.2">
      <c r="E23" s="15"/>
      <c r="F23" s="15"/>
      <c r="G23" s="19"/>
      <c r="H23" s="15"/>
      <c r="I23" s="28" t="s">
        <v>92</v>
      </c>
      <c r="J23" s="15"/>
      <c r="K23" s="31">
        <f>K14</f>
        <v>456000</v>
      </c>
      <c r="L23" s="31">
        <f>K23/F12</f>
        <v>3768.595041322314</v>
      </c>
    </row>
    <row r="24" spans="5:24" x14ac:dyDescent="0.2">
      <c r="E24" s="15"/>
      <c r="F24" s="15"/>
      <c r="G24" s="19"/>
      <c r="H24" s="15"/>
      <c r="I24" s="28" t="s">
        <v>93</v>
      </c>
      <c r="J24" s="15"/>
      <c r="K24" s="16"/>
      <c r="L24" s="32">
        <v>1.67</v>
      </c>
    </row>
    <row r="25" spans="5:24" x14ac:dyDescent="0.2">
      <c r="E25" s="15"/>
      <c r="F25" s="15"/>
      <c r="G25" s="19"/>
      <c r="H25" s="15"/>
      <c r="I25" s="28" t="s">
        <v>94</v>
      </c>
      <c r="J25" s="15"/>
      <c r="K25" s="31">
        <f>K14*1.67</f>
        <v>761520</v>
      </c>
      <c r="L25" s="31">
        <f>K25/F12</f>
        <v>6293.5537190082641</v>
      </c>
    </row>
    <row r="26" spans="5:24" x14ac:dyDescent="0.2">
      <c r="E26" s="15"/>
      <c r="F26" s="15"/>
      <c r="G26" s="19"/>
      <c r="H26" s="15"/>
      <c r="I26" s="28" t="s">
        <v>77</v>
      </c>
      <c r="J26" s="15"/>
      <c r="K26" s="31">
        <f>K25+K18</f>
        <v>850520</v>
      </c>
      <c r="L26" s="31">
        <f>K26/F12</f>
        <v>7029.090909090909</v>
      </c>
    </row>
    <row r="27" spans="5:24" x14ac:dyDescent="0.2">
      <c r="E27" s="15"/>
      <c r="F27" s="15"/>
      <c r="G27" s="19"/>
      <c r="H27" s="15"/>
      <c r="I27" s="28"/>
      <c r="J27" s="15"/>
      <c r="K27" s="16"/>
      <c r="L27" s="16"/>
    </row>
    <row r="28" spans="5:24" x14ac:dyDescent="0.2">
      <c r="E28" s="15"/>
      <c r="F28" s="15"/>
      <c r="G28" s="19" t="s">
        <v>103</v>
      </c>
      <c r="H28" s="15"/>
      <c r="I28" s="28"/>
      <c r="J28" s="15"/>
      <c r="K28" s="100">
        <f>K32/L31</f>
        <v>1812.0642474717429</v>
      </c>
      <c r="L28" s="100"/>
    </row>
    <row r="29" spans="5:24" x14ac:dyDescent="0.2">
      <c r="E29" s="15"/>
      <c r="F29" s="15"/>
      <c r="G29" s="19"/>
      <c r="H29" s="15"/>
      <c r="I29" s="28"/>
      <c r="J29" s="15"/>
      <c r="K29" s="16"/>
      <c r="L29" s="16"/>
    </row>
    <row r="30" spans="5:24" x14ac:dyDescent="0.2">
      <c r="E30" s="15"/>
      <c r="F30" s="15"/>
      <c r="G30" s="19"/>
      <c r="H30" s="15"/>
      <c r="I30" s="28"/>
      <c r="J30" s="15"/>
      <c r="K30" s="29" t="s">
        <v>99</v>
      </c>
      <c r="L30" s="29" t="s">
        <v>100</v>
      </c>
    </row>
    <row r="31" spans="5:24" x14ac:dyDescent="0.2">
      <c r="E31" s="15"/>
      <c r="F31" s="15"/>
      <c r="G31" s="19"/>
      <c r="H31" s="15"/>
      <c r="I31" s="28" t="s">
        <v>102</v>
      </c>
      <c r="J31" s="15"/>
      <c r="K31" s="16"/>
      <c r="L31" s="16">
        <v>20.5</v>
      </c>
    </row>
    <row r="32" spans="5:24" x14ac:dyDescent="0.2">
      <c r="E32" s="15"/>
      <c r="F32" s="15"/>
      <c r="G32" s="19"/>
      <c r="H32" s="15"/>
      <c r="I32" s="28" t="s">
        <v>96</v>
      </c>
      <c r="J32" s="15"/>
      <c r="K32" s="31">
        <f>K25/L31</f>
        <v>37147.317073170729</v>
      </c>
      <c r="L32" s="31">
        <f>K32/F12</f>
        <v>307.00262043942752</v>
      </c>
    </row>
  </sheetData>
  <mergeCells count="6">
    <mergeCell ref="K28:L28"/>
    <mergeCell ref="E2:G5"/>
    <mergeCell ref="J6:L6"/>
    <mergeCell ref="H11:J12"/>
    <mergeCell ref="K20:L20"/>
    <mergeCell ref="K14:L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1CB3D-A34B-844F-B600-4E34416727B1}">
  <dimension ref="B3:W108"/>
  <sheetViews>
    <sheetView tabSelected="1" zoomScale="69" workbookViewId="0">
      <selection activeCell="L2" sqref="L2"/>
    </sheetView>
  </sheetViews>
  <sheetFormatPr baseColWidth="10" defaultRowHeight="16" x14ac:dyDescent="0.2"/>
  <cols>
    <col min="2" max="2" width="17.1640625" customWidth="1"/>
    <col min="4" max="4" width="22.5" customWidth="1"/>
    <col min="8" max="8" width="18.1640625" customWidth="1"/>
    <col min="9" max="9" width="16.83203125" customWidth="1"/>
    <col min="16" max="16" width="19.1640625" customWidth="1"/>
    <col min="17" max="17" width="17" customWidth="1"/>
    <col min="18" max="18" width="18.1640625" customWidth="1"/>
    <col min="19" max="19" width="14.83203125" customWidth="1"/>
    <col min="20" max="20" width="12.5" customWidth="1"/>
    <col min="22" max="22" width="13" customWidth="1"/>
  </cols>
  <sheetData>
    <row r="3" spans="2:23" x14ac:dyDescent="0.2">
      <c r="B3" s="98" t="s">
        <v>86</v>
      </c>
      <c r="C3" s="98"/>
      <c r="D3" s="98"/>
      <c r="E3" s="45"/>
      <c r="F3" s="45"/>
      <c r="G3" s="45"/>
      <c r="H3" s="45"/>
      <c r="I3" s="45"/>
    </row>
    <row r="4" spans="2:23" x14ac:dyDescent="0.2">
      <c r="B4" s="98"/>
      <c r="C4" s="98"/>
      <c r="D4" s="98"/>
      <c r="E4" s="45"/>
      <c r="F4" s="93"/>
      <c r="G4" s="93" t="s">
        <v>104</v>
      </c>
      <c r="H4" s="93" t="s">
        <v>105</v>
      </c>
      <c r="I4" s="45"/>
    </row>
    <row r="5" spans="2:23" x14ac:dyDescent="0.2">
      <c r="B5" s="98"/>
      <c r="C5" s="98"/>
      <c r="D5" s="98"/>
      <c r="E5" s="45"/>
      <c r="F5" s="93" t="s">
        <v>78</v>
      </c>
      <c r="G5" s="14">
        <v>45658</v>
      </c>
      <c r="H5" s="14">
        <v>45748</v>
      </c>
      <c r="I5" s="45"/>
    </row>
    <row r="6" spans="2:23" x14ac:dyDescent="0.2">
      <c r="B6" s="98"/>
      <c r="C6" s="98"/>
      <c r="D6" s="98"/>
      <c r="E6" s="45"/>
      <c r="F6" s="45"/>
      <c r="G6" s="45"/>
      <c r="H6" s="45"/>
      <c r="I6" s="45"/>
      <c r="L6" s="15"/>
      <c r="M6" s="15"/>
      <c r="N6" s="103" t="s">
        <v>87</v>
      </c>
      <c r="O6" s="103"/>
      <c r="P6" s="15"/>
      <c r="Q6" s="15"/>
      <c r="R6" s="103" t="s">
        <v>106</v>
      </c>
      <c r="S6" s="103"/>
      <c r="T6" s="103"/>
    </row>
    <row r="7" spans="2:23" x14ac:dyDescent="0.2">
      <c r="B7" s="15"/>
      <c r="C7" s="15"/>
      <c r="D7" s="20"/>
      <c r="E7" s="16"/>
      <c r="F7" s="16"/>
      <c r="G7" s="99" t="s">
        <v>81</v>
      </c>
      <c r="H7" s="99"/>
      <c r="I7" s="99"/>
      <c r="L7" s="15"/>
      <c r="M7" s="44" t="s">
        <v>77</v>
      </c>
      <c r="N7" s="44" t="s">
        <v>84</v>
      </c>
      <c r="O7" s="44" t="s">
        <v>88</v>
      </c>
      <c r="P7" s="44" t="s">
        <v>98</v>
      </c>
      <c r="Q7" s="44" t="s">
        <v>101</v>
      </c>
      <c r="R7" s="44" t="s">
        <v>102</v>
      </c>
      <c r="S7" s="44" t="s">
        <v>99</v>
      </c>
      <c r="T7" s="44" t="s">
        <v>100</v>
      </c>
    </row>
    <row r="8" spans="2:23" x14ac:dyDescent="0.2">
      <c r="B8" s="15"/>
      <c r="C8" s="15"/>
      <c r="D8" s="20"/>
      <c r="E8" s="20" t="s">
        <v>79</v>
      </c>
      <c r="F8" s="20" t="s">
        <v>80</v>
      </c>
      <c r="G8" s="22" t="s">
        <v>82</v>
      </c>
      <c r="H8" s="22" t="s">
        <v>83</v>
      </c>
      <c r="I8" s="22" t="s">
        <v>84</v>
      </c>
      <c r="L8" s="15"/>
      <c r="M8" s="15"/>
      <c r="N8" s="15"/>
      <c r="O8" s="15"/>
      <c r="P8" s="15"/>
      <c r="Q8" s="15"/>
      <c r="R8" s="15"/>
      <c r="S8" s="15"/>
      <c r="T8" s="15"/>
    </row>
    <row r="9" spans="2:23" x14ac:dyDescent="0.2">
      <c r="B9" s="15"/>
      <c r="C9" s="15"/>
      <c r="D9" s="20" t="s">
        <v>78</v>
      </c>
      <c r="E9" s="21">
        <f>G5</f>
        <v>45658</v>
      </c>
      <c r="F9" s="21">
        <f>H5</f>
        <v>45748</v>
      </c>
      <c r="G9" s="26">
        <f>ROUNDUP(YEARFRAC(E9,F9), 1)</f>
        <v>0.30000000000000004</v>
      </c>
      <c r="H9" s="27">
        <f>ROUNDUP(YEARFRAC(E9,F9) * 12, 1)</f>
        <v>3</v>
      </c>
      <c r="I9" s="26">
        <f>F9-E9</f>
        <v>90</v>
      </c>
      <c r="L9" s="20">
        <v>2023</v>
      </c>
      <c r="M9" s="15" cm="1">
        <f t="array" ref="M9">COUNT(_xlfn._xlws.FILTER(factVentas[folio], (factVentas[fecha] &gt;= DATE(L9, 1, 1)) * (factVentas[fecha] &lt; DATE(L9+1, 1, 1))))</f>
        <v>2</v>
      </c>
      <c r="N9" s="15" cm="1">
        <f t="array" ref="N9">COUNT(_xlfn.UNIQUE(_xlfn._xlws.FILTER(factVentas[fecha], (factVentas[fecha] &gt;= DATE(L9, 1, 1)) * (factVentas[fecha] &lt; DATE(L9+1, 1, 1)))))</f>
        <v>2</v>
      </c>
      <c r="O9" s="58">
        <f>N9/365</f>
        <v>5.4794520547945206E-3</v>
      </c>
      <c r="P9" s="37" cm="1">
        <f t="array" ref="P9">SUM(_xlfn._xlws.FILTER(factVentas[precio], (factVentas[fecha] &gt;= DATE(L9, 1, 1)) * (factVentas[fecha] &lt; DATE(L9+1, 1, 1)))) - SUM(_xlfn._xlws.FILTER(factVentas[anticipo], (factVentas[fecha] &gt;= DATE(L9, 1, 1)) * (factVentas[fecha] &lt; DATE(L9+1, 1, 1))))</f>
        <v>14998</v>
      </c>
      <c r="Q9" s="38" cm="1">
        <f t="array" ref="Q9">SUM(_xlfn._xlws.FILTER(factVentas[total], (factVentas[fecha] &gt;= DATE(L9, 1, 1)) * (factVentas[fecha] &lt; DATE(L9+1, 1, 1)))) - P9</f>
        <v>8317.0800000000017</v>
      </c>
      <c r="R9" s="57" cm="1">
        <f t="array" ref="R9">AVERAGE(_xlfn._xlws.FILTER(factVentas[plazos], (factVentas[fecha] &gt;= DATE(L9, 1, 1)) * (factVentas[fecha] &lt; DATE(L9+1, 1, 1))))</f>
        <v>26</v>
      </c>
      <c r="S9" s="38" cm="1">
        <f t="array" ref="S9">SUM(_xlfn._xlws.FILTER(factVentas[semanal], (factVentas[fecha] &gt;= DATE(L9, 1, 1)) * (factVentas[fecha] &lt; DATE(L9+1, 1, 1))))</f>
        <v>839.04</v>
      </c>
      <c r="T9" s="38">
        <f>S9/M9</f>
        <v>419.52</v>
      </c>
    </row>
    <row r="10" spans="2:23" x14ac:dyDescent="0.2">
      <c r="B10" s="15"/>
      <c r="C10" s="15"/>
      <c r="D10" s="19"/>
      <c r="E10" s="15"/>
      <c r="F10" s="15"/>
      <c r="G10" s="15"/>
      <c r="H10" s="15"/>
      <c r="I10" s="15"/>
      <c r="L10" s="59">
        <v>2024</v>
      </c>
      <c r="M10" s="45" cm="1">
        <f t="array" ref="M10">COUNT(_xlfn._xlws.FILTER(factVentas[folio], (factVentas[fecha] &gt;= DATE(L10, 1, 1)) * (factVentas[fecha] &lt; DATE(L10+1, 1, 1))))</f>
        <v>74</v>
      </c>
      <c r="N10" s="45" cm="1">
        <f t="array" ref="N10">COUNT(_xlfn.UNIQUE(_xlfn._xlws.FILTER(factVentas[fecha], (factVentas[fecha] &gt;= DATE(L10, 1, 1)) * (factVentas[fecha] &lt; DATE(L10+1, 1, 1)))))</f>
        <v>58</v>
      </c>
      <c r="O10" s="60">
        <f t="shared" ref="O10:O12" si="0">N10/365</f>
        <v>0.15890410958904111</v>
      </c>
      <c r="P10" s="46" cm="1">
        <f t="array" ref="P10">SUM(_xlfn._xlws.FILTER(factVentas[precio], (factVentas[fecha] &gt;= DATE(L10, 1, 1)) * (factVentas[fecha] &lt; DATE(L10+1, 1, 1)))) - SUM(_xlfn._xlws.FILTER(factVentas[anticipo], (factVentas[fecha] &gt;= DATE(L10, 1, 1)) * (factVentas[fecha] &lt; DATE(L10+1, 1, 1))))</f>
        <v>432982</v>
      </c>
      <c r="Q10" s="63" cm="1">
        <f t="array" ref="Q10">SUM(_xlfn._xlws.FILTER(factVentas[total], (factVentas[fecha] &gt;= DATE(L10, 1, 1)) * (factVentas[fecha] &lt; DATE(L10+1, 1, 1)))) - P10</f>
        <v>308790.19999999995</v>
      </c>
      <c r="R10" s="64" cm="1">
        <f t="array" ref="R10">AVERAGE(_xlfn._xlws.FILTER(factVentas[plazos], (factVentas[fecha] &gt;= DATE(L10, 1, 1)) * (factVentas[fecha] &lt; DATE(L10+1, 1, 1))))</f>
        <v>27.135135135135137</v>
      </c>
      <c r="S10" s="63" cm="1">
        <f t="array" ref="S10">SUM(_xlfn._xlws.FILTER(factVentas[semanal], (factVentas[fecha] &gt;= DATE(L10, 1, 1)) * (factVentas[fecha] &lt; DATE(L10+1, 1, 1))))</f>
        <v>26372.780000000006</v>
      </c>
      <c r="T10" s="63">
        <f t="shared" ref="T10:T12" si="1">S10/M10</f>
        <v>356.38891891891899</v>
      </c>
    </row>
    <row r="11" spans="2:23" x14ac:dyDescent="0.2">
      <c r="B11" s="17" t="s">
        <v>76</v>
      </c>
      <c r="C11" s="15"/>
      <c r="D11" s="19"/>
      <c r="E11" s="15"/>
      <c r="F11" s="15"/>
      <c r="G11" s="15"/>
      <c r="H11" s="15"/>
      <c r="I11" s="15"/>
      <c r="L11" s="20">
        <v>2025</v>
      </c>
      <c r="M11" s="15" cm="1">
        <f t="array" ref="M11">COUNT(_xlfn._xlws.FILTER(factVentas[folio], (factVentas[fecha] &gt;= DATE(L11, 1, 1)) * (factVentas[fecha] &lt; DATE(L11+1, 1, 1))))</f>
        <v>296</v>
      </c>
      <c r="N11" s="15" cm="1">
        <f t="array" ref="N11">COUNT(_xlfn.UNIQUE(_xlfn._xlws.FILTER(factVentas[fecha], (factVentas[fecha] &gt;= DATE(L11, 1, 1)) * (factVentas[fecha] &lt; DATE(L11+1, 1, 1)))))</f>
        <v>172</v>
      </c>
      <c r="O11" s="58">
        <f t="shared" si="0"/>
        <v>0.47123287671232877</v>
      </c>
      <c r="P11" s="37" cm="1">
        <f t="array" ref="P11">SUM(_xlfn._xlws.FILTER(factVentas[precio], (factVentas[fecha] &gt;= DATE(L11, 1, 1)) * (factVentas[fecha] &lt; DATE(L11+1, 1, 1)))) - SUM(_xlfn._xlws.FILTER(factVentas[anticipo], (factVentas[fecha] &gt;= DATE(L11, 1, 1)) * (factVentas[fecha] &lt; DATE(L11+1, 1, 1))))</f>
        <v>1380014.8</v>
      </c>
      <c r="Q11" s="38" cm="1">
        <f t="array" ref="Q11">SUM(_xlfn._xlws.FILTER(factVentas[total], (factVentas[fecha] &gt;= DATE(L11, 1, 1)) * (factVentas[fecha] &lt; DATE(L11+1, 1, 1)))) - P11</f>
        <v>1272270.7599999991</v>
      </c>
      <c r="R11" s="57" cm="1">
        <f t="array" ref="R11">AVERAGE(_xlfn._xlws.FILTER(factVentas[plazos], (factVentas[fecha] &gt;= DATE(L11, 1, 1)) * (factVentas[fecha] &lt; DATE(L11+1, 1, 1))))</f>
        <v>30.719594594594593</v>
      </c>
      <c r="S11" s="38" cm="1">
        <f t="array" ref="S11">SUM(_xlfn._xlws.FILTER(factVentas[semanal], (factVentas[fecha] &gt;= DATE(L11, 1, 1)) * (factVentas[fecha] &lt; DATE(L11+1, 1, 1))))</f>
        <v>83958.330000000031</v>
      </c>
      <c r="T11" s="38">
        <f t="shared" si="1"/>
        <v>283.64300675675685</v>
      </c>
    </row>
    <row r="12" spans="2:23" ht="17" thickBot="1" x14ac:dyDescent="0.25">
      <c r="B12" s="16"/>
      <c r="C12" s="15"/>
      <c r="D12" s="102" t="s">
        <v>87</v>
      </c>
      <c r="E12" s="102"/>
      <c r="F12" s="102"/>
      <c r="G12" s="23" t="s">
        <v>84</v>
      </c>
      <c r="H12" s="25" cm="1">
        <f t="array" ref="H12">COUNT(_xlfn.UNIQUE(_xlfn._xlws.FILTER(factVentas[fecha],(factVentas[fecha]&gt;=E9)*(factVentas[fecha]&lt;F9))))</f>
        <v>18</v>
      </c>
      <c r="I12" s="16" t="s">
        <v>95</v>
      </c>
      <c r="L12" s="53">
        <v>2026</v>
      </c>
      <c r="M12" s="47" cm="1">
        <f t="array" ref="M12">COUNT(_xlfn._xlws.FILTER(factVentas[folio], (factVentas[fecha] &gt;= DATE(L12, 1, 1)) * (factVentas[fecha] &lt; DATE(L12+1, 1, 1))))</f>
        <v>77</v>
      </c>
      <c r="N12" s="47" cm="1">
        <f t="array" ref="N12">COUNT(_xlfn.UNIQUE(_xlfn._xlws.FILTER(factVentas[fecha], (factVentas[fecha] &gt;= DATE(L12, 1, 1)) * (factVentas[fecha] &lt; DATE(L12+1, 1, 1)))))</f>
        <v>58</v>
      </c>
      <c r="O12" s="51">
        <f t="shared" si="0"/>
        <v>0.15890410958904111</v>
      </c>
      <c r="P12" s="48" cm="1">
        <f t="array" ref="P12">SUM(_xlfn._xlws.FILTER(factVentas[precio], (factVentas[fecha] &gt;= DATE(L12, 1, 1)) * (factVentas[fecha] &lt; DATE(L12+1, 1, 1)))) - SUM(_xlfn._xlws.FILTER(factVentas[anticipo], (factVentas[fecha] &gt;= DATE(L12, 1, 1)) * (factVentas[fecha] &lt; DATE(L12+1, 1, 1))))</f>
        <v>442366.43</v>
      </c>
      <c r="Q12" s="49" cm="1">
        <f t="array" ref="Q12">SUM(_xlfn._xlws.FILTER(factVentas[total], (factVentas[fecha] &gt;= DATE(L12, 1, 1)) * (factVentas[fecha] &lt; DATE(L12+1, 1, 1)))) - P12</f>
        <v>317044.8800000003</v>
      </c>
      <c r="R12" s="62" cm="1">
        <f t="array" ref="R12">AVERAGE(_xlfn._xlws.FILTER(factVentas[plazos], (factVentas[fecha] &gt;= DATE(L12, 1, 1)) * (factVentas[fecha] &lt; DATE(L12+1, 1, 1))))</f>
        <v>32.311688311688314</v>
      </c>
      <c r="S12" s="49" cm="1">
        <f t="array" ref="S12">SUM(_xlfn._xlws.FILTER(factVentas[semanal], (factVentas[fecha] &gt;= DATE(L12, 1, 1)) * (factVentas[fecha] &lt; DATE(L12+1, 1, 1))))</f>
        <v>25359.480000000007</v>
      </c>
      <c r="T12" s="49">
        <f t="shared" si="1"/>
        <v>329.34389610389621</v>
      </c>
    </row>
    <row r="13" spans="2:23" x14ac:dyDescent="0.2">
      <c r="B13" s="16" t="s">
        <v>77</v>
      </c>
      <c r="C13" s="15"/>
      <c r="D13" s="102"/>
      <c r="E13" s="102"/>
      <c r="F13" s="102"/>
      <c r="G13" s="23" t="s">
        <v>88</v>
      </c>
      <c r="H13" s="36">
        <f>H12/I9</f>
        <v>0.2</v>
      </c>
      <c r="I13" s="27">
        <f>H13*7</f>
        <v>1.4000000000000001</v>
      </c>
      <c r="L13" s="15"/>
      <c r="M13" s="19">
        <f>SUM(M9:M12)</f>
        <v>449</v>
      </c>
      <c r="N13" s="19">
        <f>AVERAGE(N9:N12)</f>
        <v>72.5</v>
      </c>
      <c r="O13" s="42">
        <f>AVERAGE(O9:O12)</f>
        <v>0.19863013698630139</v>
      </c>
      <c r="P13" s="43">
        <f>SUM(P9:P12)</f>
        <v>2270361.23</v>
      </c>
      <c r="Q13" s="43">
        <f>SUM(Q9:Q12)</f>
        <v>1906422.9199999995</v>
      </c>
      <c r="R13" s="65">
        <f>AVERAGE(R9:R12)</f>
        <v>29.04160451035451</v>
      </c>
      <c r="S13" s="43">
        <f>AVERAGE(S9:S12)</f>
        <v>34132.407500000008</v>
      </c>
      <c r="T13" s="43">
        <f>AVERAGE(T9:T12)</f>
        <v>347.22395544489302</v>
      </c>
    </row>
    <row r="14" spans="2:23" x14ac:dyDescent="0.2">
      <c r="B14" s="35" cm="1">
        <f t="array" ref="B14">COUNT(_xlfn._xlws.FILTER(factVentas[folio], (factVentas[fecha] &gt;= E9) * (factVentas[fecha] &lt; F9)))</f>
        <v>25</v>
      </c>
      <c r="C14" s="15"/>
      <c r="D14" s="19"/>
      <c r="E14" s="15"/>
      <c r="F14" s="15"/>
      <c r="G14" s="15"/>
      <c r="H14" s="15"/>
      <c r="I14" s="15"/>
    </row>
    <row r="15" spans="2:23" x14ac:dyDescent="0.2">
      <c r="B15" s="15"/>
      <c r="C15" s="15"/>
      <c r="D15" s="19" t="s">
        <v>98</v>
      </c>
      <c r="E15" s="15"/>
      <c r="F15" s="15"/>
      <c r="G15" s="15"/>
      <c r="H15" s="100">
        <f>H18-H19</f>
        <v>171360</v>
      </c>
      <c r="I15" s="100"/>
    </row>
    <row r="16" spans="2:23" x14ac:dyDescent="0.2">
      <c r="B16" s="15"/>
      <c r="C16" s="15"/>
      <c r="D16" s="19"/>
      <c r="E16" s="15"/>
      <c r="F16" s="15"/>
      <c r="G16" s="15"/>
      <c r="H16" s="15"/>
      <c r="I16" s="15"/>
      <c r="K16" s="15"/>
      <c r="L16" s="15"/>
      <c r="M16" s="15"/>
      <c r="N16" s="103" t="s">
        <v>87</v>
      </c>
      <c r="O16" s="103"/>
      <c r="P16" s="15"/>
      <c r="Q16" s="15"/>
      <c r="R16" s="103" t="s">
        <v>106</v>
      </c>
      <c r="S16" s="103"/>
      <c r="T16" s="103"/>
      <c r="U16" s="45"/>
      <c r="V16" s="45"/>
      <c r="W16" s="45"/>
    </row>
    <row r="17" spans="2:23" x14ac:dyDescent="0.2">
      <c r="B17" s="15"/>
      <c r="C17" s="15"/>
      <c r="D17" s="19"/>
      <c r="E17" s="15"/>
      <c r="F17" s="15"/>
      <c r="G17" s="15"/>
      <c r="H17" s="29" t="s">
        <v>99</v>
      </c>
      <c r="I17" s="29" t="s">
        <v>100</v>
      </c>
      <c r="K17" s="15"/>
      <c r="L17" s="15"/>
      <c r="M17" s="44" t="s">
        <v>77</v>
      </c>
      <c r="N17" s="44" t="s">
        <v>84</v>
      </c>
      <c r="O17" s="44" t="s">
        <v>88</v>
      </c>
      <c r="P17" s="44" t="s">
        <v>98</v>
      </c>
      <c r="Q17" s="44" t="s">
        <v>101</v>
      </c>
      <c r="R17" s="44" t="s">
        <v>102</v>
      </c>
      <c r="S17" s="44" t="s">
        <v>99</v>
      </c>
      <c r="T17" s="44" t="s">
        <v>100</v>
      </c>
      <c r="U17" s="45"/>
      <c r="V17" s="95" t="s">
        <v>675</v>
      </c>
      <c r="W17" s="45"/>
    </row>
    <row r="18" spans="2:23" x14ac:dyDescent="0.2">
      <c r="B18" s="15"/>
      <c r="C18" s="15"/>
      <c r="D18" s="19"/>
      <c r="E18" s="15"/>
      <c r="F18" s="28" t="s">
        <v>90</v>
      </c>
      <c r="G18" s="15"/>
      <c r="H18" s="30" cm="1">
        <f t="array" ref="H18">SUM(_xlfn._xlws.FILTER(factVentas[precio], (factVentas[fecha] &gt;= E9) * (factVentas[fecha] &lt; F9)))</f>
        <v>194859</v>
      </c>
      <c r="I18" s="30">
        <f>H18/B14</f>
        <v>7794.36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45"/>
      <c r="V18" s="94" t="s">
        <v>28</v>
      </c>
      <c r="W18" s="45"/>
    </row>
    <row r="19" spans="2:23" ht="17" thickBot="1" x14ac:dyDescent="0.25">
      <c r="B19" s="15"/>
      <c r="C19" s="15"/>
      <c r="D19" s="19"/>
      <c r="E19" s="15"/>
      <c r="F19" s="28" t="s">
        <v>91</v>
      </c>
      <c r="G19" s="15"/>
      <c r="H19" s="30" cm="1">
        <f t="array" ref="H19">SUM(_xlfn._xlws.FILTER(factVentas[anticipo], (factVentas[fecha] &gt;= E9) * (factVentas[fecha] &lt; F9)))</f>
        <v>23499</v>
      </c>
      <c r="I19" s="30">
        <f>H19/B14</f>
        <v>939.96</v>
      </c>
      <c r="K19" s="54">
        <v>2023</v>
      </c>
      <c r="L19" s="39" t="s">
        <v>39</v>
      </c>
      <c r="M19" s="39" cm="1">
        <f t="array" ref="M19">COUNT(_xlfn._xlws.FILTER(factVentas[folio], (factVentas[fecha]&gt;=DATE($K$19,MATCH(L19,$V$18:$V$29,0),1))*(factVentas[fecha]&lt;DATE($K$19,MATCH(L19,$V$18:$V$29,0) + 1,1))))</f>
        <v>2</v>
      </c>
      <c r="N19" s="66" cm="1">
        <f t="array" ref="N19">COUNT(_xlfn.UNIQUE(_xlfn._xlws.FILTER(factVentas[fecha], (factVentas[fecha]&gt;=DATE($K$19,MATCH(L19,$V$18:$V$29,0),1))*(factVentas[fecha]&lt;DATE($K$19,MATCH(L19,$V$18:$V$29,0) + 1,1)))))</f>
        <v>2</v>
      </c>
      <c r="O19" s="68">
        <f>N19/(DATE($K$19,MATCH(L19,$V$18:$V$29,0) + 1,1)-DATE($K$19,MATCH(L19,$V$18:$V$29,0),1))</f>
        <v>6.4516129032258063E-2</v>
      </c>
      <c r="P19" s="41" cm="1">
        <f t="array" ref="P19">SUM(_xlfn._xlws.FILTER(factVentas[precio], (factVentas[fecha] &gt;= DATE($K$19,MATCH(L19,$V$18:$V$29,0),1)) * (factVentas[fecha] &lt; DATE($K$19,MATCH(L19,$V$18:$V$29,0) + 1,1)))) - SUM(_xlfn._xlws.FILTER(factVentas[anticipo], (factVentas[fecha] &gt;= DATE($K$19,MATCH(L19,$V$18:$V$29,0),1)) * (factVentas[fecha] &lt; DATE($K$19,MATCH(L19,$V$18:$V$29,0) + 1,1))))</f>
        <v>14998</v>
      </c>
      <c r="Q19" s="40" cm="1">
        <f t="array" ref="Q19">SUM(_xlfn._xlws.FILTER(factVentas[total], (factVentas[fecha] &gt;= DATE($K$19,MATCH(L19,$V$18:$V$29,0),1)) * (factVentas[fecha] &lt; DATE($K$19,MATCH(L19,$V$18:$V$29,0) + 1,1)))) - P19</f>
        <v>8317.0800000000017</v>
      </c>
      <c r="R19" s="61" cm="1">
        <f t="array" ref="R19">AVERAGE(_xlfn._xlws.FILTER(factVentas[plazos], (factVentas[fecha] &gt;= DATE($K$19,MATCH(L19,$V$18:$V$29,0),1)) * (factVentas[fecha] &lt; DATE($K$19,MATCH(L19,$V$18:$V$29,0) + 1,1))))</f>
        <v>26</v>
      </c>
      <c r="S19" s="41" cm="1">
        <f t="array" ref="S19">SUM(_xlfn._xlws.FILTER(factVentas[semanal], (factVentas[fecha] &gt;= DATE($K$19,MATCH(L19,$V$18:$V$29,0),1)) * (factVentas[fecha] &lt; DATE($K$19,MATCH(L19,$V$18:$V$29,0) + 1,1))))</f>
        <v>839.04</v>
      </c>
      <c r="T19" s="70">
        <f>S19 / M19</f>
        <v>419.52</v>
      </c>
      <c r="U19" s="45"/>
      <c r="V19" s="94" t="s">
        <v>29</v>
      </c>
      <c r="W19" s="45"/>
    </row>
    <row r="20" spans="2:23" x14ac:dyDescent="0.2">
      <c r="B20" s="15"/>
      <c r="C20" s="15"/>
      <c r="D20" s="19"/>
      <c r="E20" s="15"/>
      <c r="F20" s="28"/>
      <c r="G20" s="15"/>
      <c r="H20" s="16"/>
      <c r="I20" s="16"/>
      <c r="K20" s="19"/>
      <c r="L20" s="15"/>
      <c r="M20" s="87">
        <f>SUM(M19)</f>
        <v>2</v>
      </c>
      <c r="N20" s="85">
        <f>AVERAGE(N19)</f>
        <v>2</v>
      </c>
      <c r="O20" s="84">
        <f>AVERAGE(O19)</f>
        <v>6.4516129032258063E-2</v>
      </c>
      <c r="P20" s="43">
        <f>SUM(P19)</f>
        <v>14998</v>
      </c>
      <c r="Q20" s="86">
        <f>SUM(Q19)</f>
        <v>8317.0800000000017</v>
      </c>
      <c r="R20" s="65">
        <f>AVERAGE(R19)</f>
        <v>26</v>
      </c>
      <c r="S20" s="43">
        <f>AVERAGE(S19)</f>
        <v>839.04</v>
      </c>
      <c r="T20" s="50">
        <f>AVERAGE(T19)</f>
        <v>419.52</v>
      </c>
      <c r="U20" s="45"/>
      <c r="V20" s="94" t="s">
        <v>30</v>
      </c>
      <c r="W20" s="45"/>
    </row>
    <row r="21" spans="2:23" x14ac:dyDescent="0.2">
      <c r="B21" s="15"/>
      <c r="C21" s="15"/>
      <c r="D21" s="19" t="s">
        <v>101</v>
      </c>
      <c r="E21" s="15"/>
      <c r="F21" s="28"/>
      <c r="G21" s="15"/>
      <c r="H21" s="101">
        <f>H27-H15</f>
        <v>109828.80000000005</v>
      </c>
      <c r="I21" s="101"/>
      <c r="K21" s="19"/>
      <c r="L21" s="15"/>
      <c r="M21" s="15"/>
      <c r="N21" s="67"/>
      <c r="O21" s="69"/>
      <c r="P21" s="38"/>
      <c r="Q21" s="79"/>
      <c r="R21" s="57"/>
      <c r="S21" s="38"/>
      <c r="T21" s="71"/>
      <c r="U21" s="45"/>
      <c r="V21" s="94" t="s">
        <v>31</v>
      </c>
      <c r="W21" s="45"/>
    </row>
    <row r="22" spans="2:23" x14ac:dyDescent="0.2">
      <c r="B22" s="15"/>
      <c r="C22" s="15"/>
      <c r="D22" s="19"/>
      <c r="E22" s="15"/>
      <c r="F22" s="28"/>
      <c r="G22" s="15"/>
      <c r="H22" s="16"/>
      <c r="I22" s="16"/>
      <c r="K22" s="96">
        <v>2024</v>
      </c>
      <c r="L22" s="15" t="s">
        <v>28</v>
      </c>
      <c r="M22" s="15" cm="1">
        <f t="array" ref="M22">COUNT(_xlfn._xlws.FILTER(factVentas[folio], (factVentas[fecha]&gt;=DATE($K$22,MATCH(L22,$V$18:$V$29,0),1))*(factVentas[fecha]&lt;DATE($K$22,MATCH(L22,$V$18:$V$29,0) + 1,1))))</f>
        <v>0</v>
      </c>
      <c r="N22" s="67" cm="1">
        <f t="array" ref="N22">COUNT(_xlfn.UNIQUE(_xlfn._xlws.FILTER(factVentas[fecha], (factVentas[fecha]&gt;=DATE($K$22,MATCH(L22,$V$18:$V$29,0),1))*(factVentas[fecha]&lt;DATE($K$22,MATCH(L22,$V$18:$V$29,0) + 1,1)))))</f>
        <v>0</v>
      </c>
      <c r="O22" s="69">
        <f t="shared" ref="O22:O33" si="2">N22/(DATE($K$22,MATCH(L22,$V$18:$V$29,0) + 1,1)-DATE($K$22,MATCH(L22,$V$18:$V$29,0),1))</f>
        <v>0</v>
      </c>
      <c r="P22" s="38" t="str" cm="1">
        <f t="array" ref="P22">IFERROR(SUM(_xlfn._xlws.FILTER(factVentas[precio], (factVentas[fecha] &gt;= DATE($K$22,MATCH(L22,$V$18:$V$29,0),1)) * (factVentas[fecha] &lt; DATE($K$22,MATCH(L22,$V$18:$V$29,0) + 1,1)))) - SUM(_xlfn._xlws.FILTER(factVentas[anticipo], (factVentas[fecha] &gt;= DATE($K$22,MATCH(L22,$V$18:$V$29,0),1)) * (factVentas[fecha] &lt; DATE($K$22,MATCH(L22,$V$18:$V$29,0) + 1,1)))),"")</f>
        <v/>
      </c>
      <c r="Q22" s="37" t="str" cm="1">
        <f t="array" ref="Q22">IFERROR(SUM(_xlfn._xlws.FILTER(factVentas[total], (factVentas[fecha] &gt;= DATE($K$22,MATCH(L22,$V$18:$V$29,0),1)) * (factVentas[fecha] &lt; DATE($K$22,MATCH(L22,$V$18:$V$29,0) + 1,1)))) - P22,"")</f>
        <v/>
      </c>
      <c r="R22" s="57" t="str" cm="1">
        <f t="array" ref="R22">IFERROR(AVERAGE(_xlfn._xlws.FILTER(factVentas[plazos], (factVentas[fecha] &gt;= DATE($K$22,MATCH(L22,$V$18:$V$29,0),1)) * (factVentas[fecha] &lt; DATE($K$22,MATCH(L22,$V$18:$V$29,0) + 1,1)))),"")</f>
        <v/>
      </c>
      <c r="S22" s="37" t="str" cm="1">
        <f t="array" ref="S22">IFERROR(SUM(_xlfn._xlws.FILTER(factVentas[semanal], (factVentas[fecha] &gt;= DATE($K$22,MATCH(L22,$V$18:$V$29,0),1)) * (factVentas[fecha] &lt; DATE($K$22,MATCH(L22,$V$18:$V$29,0) + 1,1)))),"")</f>
        <v/>
      </c>
      <c r="T22" s="71" t="str">
        <f>IFERROR(S22 / M22,"")</f>
        <v/>
      </c>
      <c r="U22" s="45"/>
      <c r="V22" s="94" t="s">
        <v>32</v>
      </c>
      <c r="W22" s="45"/>
    </row>
    <row r="23" spans="2:23" x14ac:dyDescent="0.2">
      <c r="B23" s="15"/>
      <c r="C23" s="15"/>
      <c r="D23" s="19"/>
      <c r="E23" s="15"/>
      <c r="F23" s="28"/>
      <c r="G23" s="15"/>
      <c r="H23" s="29" t="s">
        <v>99</v>
      </c>
      <c r="I23" s="29" t="s">
        <v>100</v>
      </c>
      <c r="K23" s="96"/>
      <c r="L23" s="45" t="s">
        <v>29</v>
      </c>
      <c r="M23" s="45" cm="1">
        <f t="array" ref="M23">COUNT(_xlfn._xlws.FILTER(factVentas[folio], (factVentas[fecha]&gt;=DATE($K$22,MATCH(L23,$V$18:$V$29,0),1))*(factVentas[fecha]&lt;DATE($K$22,MATCH(L23,$V$18:$V$29,0) + 1,1))))</f>
        <v>5</v>
      </c>
      <c r="N23" s="80" cm="1">
        <f t="array" ref="N23">COUNT(_xlfn.UNIQUE(_xlfn._xlws.FILTER(factVentas[fecha], (factVentas[fecha]&gt;=DATE($K$22,MATCH(L23,$V$18:$V$29,0),1))*(factVentas[fecha]&lt;DATE($K$22,MATCH(L23,$V$18:$V$29,0) + 1,1)))))</f>
        <v>5</v>
      </c>
      <c r="O23" s="76">
        <f t="shared" si="2"/>
        <v>0.17241379310344829</v>
      </c>
      <c r="P23" s="63" cm="1">
        <f t="array" ref="P23">IFERROR(SUM(_xlfn._xlws.FILTER(factVentas[precio], (factVentas[fecha] &gt;= DATE($K$22,MATCH(L23,$V$18:$V$29,0),1)) * (factVentas[fecha] &lt; DATE($K$22,MATCH(L23,$V$18:$V$29,0) + 1,1)))) - SUM(_xlfn._xlws.FILTER(factVentas[anticipo], (factVentas[fecha] &gt;= DATE($K$22,MATCH(L23,$V$18:$V$29,0),1)) * (factVentas[fecha] &lt; DATE($K$22,MATCH(L23,$V$18:$V$29,0) + 1,1)))),"")</f>
        <v>26449</v>
      </c>
      <c r="Q23" s="46" cm="1">
        <f t="array" ref="Q23">IFERROR(SUM(_xlfn._xlws.FILTER(factVentas[total], (factVentas[fecha] &gt;= DATE($K$22,MATCH(L23,$V$18:$V$29,0),1)) * (factVentas[fecha] &lt; DATE($K$22,MATCH(L23,$V$18:$V$29,0) + 1,1)))) - P23,"")</f>
        <v>15845.5</v>
      </c>
      <c r="R23" s="64" cm="1">
        <f t="array" ref="R23">IFERROR(AVERAGE(_xlfn._xlws.FILTER(factVentas[plazos], (factVentas[fecha] &gt;= DATE($K$22,MATCH(L23,$V$18:$V$29,0),1)) * (factVentas[fecha] &lt; DATE($K$22,MATCH(L23,$V$18:$V$29,0) + 1,1)))),"")</f>
        <v>22.2</v>
      </c>
      <c r="S23" s="46" cm="1">
        <f t="array" ref="S23">IFERROR(SUM(_xlfn._xlws.FILTER(factVentas[semanal], (factVentas[fecha] &gt;= DATE($K$22,MATCH(L23,$V$18:$V$29,0),1)) * (factVentas[fecha] &lt; DATE($K$22,MATCH(L23,$V$18:$V$29,0) + 1,1)))),"")</f>
        <v>1909.38</v>
      </c>
      <c r="T23" s="72">
        <f t="shared" ref="T23:T33" si="3">IFERROR(S23 / M23,"")</f>
        <v>381.87600000000003</v>
      </c>
      <c r="U23" s="45"/>
      <c r="V23" s="94" t="s">
        <v>33</v>
      </c>
      <c r="W23" s="45"/>
    </row>
    <row r="24" spans="2:23" x14ac:dyDescent="0.2">
      <c r="B24" s="15"/>
      <c r="C24" s="15"/>
      <c r="D24" s="19"/>
      <c r="E24" s="15"/>
      <c r="F24" s="28" t="s">
        <v>92</v>
      </c>
      <c r="G24" s="15"/>
      <c r="H24" s="31" cm="1">
        <f t="array" ref="H24">SUM(_xlfn._xlws.FILTER(factVentas[monto], (factVentas[fecha] &gt;= E9) * (factVentas[fecha] &lt; F9)))</f>
        <v>171360</v>
      </c>
      <c r="I24" s="31">
        <f>H24/B14</f>
        <v>6854.4</v>
      </c>
      <c r="K24" s="96"/>
      <c r="L24" s="15" t="s">
        <v>30</v>
      </c>
      <c r="M24" s="15" cm="1">
        <f t="array" ref="M24">COUNT(_xlfn._xlws.FILTER(factVentas[folio], (factVentas[fecha]&gt;=DATE($K$22,MATCH(L24,$V$18:$V$29,0),1))*(factVentas[fecha]&lt;DATE($K$22,MATCH(L24,$V$18:$V$29,0) + 1,1))))</f>
        <v>4</v>
      </c>
      <c r="N24" s="67" cm="1">
        <f t="array" ref="N24">COUNT(_xlfn.UNIQUE(_xlfn._xlws.FILTER(factVentas[fecha], (factVentas[fecha]&gt;=DATE($K$22,MATCH(L24,$V$18:$V$29,0),1))*(factVentas[fecha]&lt;DATE($K$22,MATCH(L24,$V$18:$V$29,0) + 1,1)))))</f>
        <v>4</v>
      </c>
      <c r="O24" s="69">
        <f t="shared" si="2"/>
        <v>0.12903225806451613</v>
      </c>
      <c r="P24" s="38" cm="1">
        <f t="array" ref="P24">IFERROR(SUM(_xlfn._xlws.FILTER(factVentas[precio], (factVentas[fecha] &gt;= DATE($K$22,MATCH(L24,$V$18:$V$29,0),1)) * (factVentas[fecha] &lt; DATE($K$22,MATCH(L24,$V$18:$V$29,0) + 1,1)))) - SUM(_xlfn._xlws.FILTER(factVentas[anticipo], (factVentas[fecha] &gt;= DATE($K$22,MATCH(L24,$V$18:$V$29,0),1)) * (factVentas[fecha] &lt; DATE($K$22,MATCH(L24,$V$18:$V$29,0) + 1,1)))),"")</f>
        <v>22900</v>
      </c>
      <c r="Q24" s="37" cm="1">
        <f t="array" ref="Q24">IFERROR(SUM(_xlfn._xlws.FILTER(factVentas[total], (factVentas[fecha] &gt;= DATE($K$22,MATCH(L24,$V$18:$V$29,0),1)) * (factVentas[fecha] &lt; DATE($K$22,MATCH(L24,$V$18:$V$29,0) + 1,1)))) - P24,"")</f>
        <v>23226</v>
      </c>
      <c r="R24" s="57" cm="1">
        <f t="array" ref="R24">IFERROR(AVERAGE(_xlfn._xlws.FILTER(factVentas[plazos], (factVentas[fecha] &gt;= DATE($K$22,MATCH(L24,$V$18:$V$29,0),1)) * (factVentas[fecha] &lt; DATE($K$22,MATCH(L24,$V$18:$V$29,0) + 1,1)))),"")</f>
        <v>27.5</v>
      </c>
      <c r="S24" s="37" cm="1">
        <f t="array" ref="S24">IFERROR(SUM(_xlfn._xlws.FILTER(factVentas[semanal], (factVentas[fecha] &gt;= DATE($K$22,MATCH(L24,$V$18:$V$29,0),1)) * (factVentas[fecha] &lt; DATE($K$22,MATCH(L24,$V$18:$V$29,0) + 1,1)))),"")</f>
        <v>1556.61</v>
      </c>
      <c r="T24" s="71">
        <f t="shared" si="3"/>
        <v>389.15249999999997</v>
      </c>
      <c r="U24" s="45"/>
      <c r="V24" s="94" t="s">
        <v>34</v>
      </c>
      <c r="W24" s="45"/>
    </row>
    <row r="25" spans="2:23" x14ac:dyDescent="0.2">
      <c r="B25" s="15"/>
      <c r="C25" s="15"/>
      <c r="D25" s="19"/>
      <c r="E25" s="15"/>
      <c r="F25" s="28" t="s">
        <v>93</v>
      </c>
      <c r="G25" s="15"/>
      <c r="H25" s="32">
        <f>H26/H24</f>
        <v>1.5037920168067227</v>
      </c>
      <c r="I25" s="32" cm="1">
        <f t="array" ref="I25">AVERAGE(_xlfn._xlws.FILTER(factVentas[interes], (factVentas[fecha] &gt;= E9) * (factVentas[fecha] &lt; F9)))</f>
        <v>1.6679999999999995</v>
      </c>
      <c r="K25" s="96"/>
      <c r="L25" s="45" t="s">
        <v>31</v>
      </c>
      <c r="M25" s="45" cm="1">
        <f t="array" ref="M25">COUNT(_xlfn._xlws.FILTER(factVentas[folio], (factVentas[fecha]&gt;=DATE($K$22,MATCH(L25,$V$18:$V$29,0),1))*(factVentas[fecha]&lt;DATE($K$22,MATCH(L25,$V$18:$V$29,0) + 1,1))))</f>
        <v>5</v>
      </c>
      <c r="N25" s="80" cm="1">
        <f t="array" ref="N25">COUNT(_xlfn.UNIQUE(_xlfn._xlws.FILTER(factVentas[fecha], (factVentas[fecha]&gt;=DATE($K$22,MATCH(L25,$V$18:$V$29,0),1))*(factVentas[fecha]&lt;DATE($K$22,MATCH(L25,$V$18:$V$29,0) + 1,1)))))</f>
        <v>4</v>
      </c>
      <c r="O25" s="76">
        <f t="shared" si="2"/>
        <v>0.13333333333333333</v>
      </c>
      <c r="P25" s="63" cm="1">
        <f t="array" ref="P25">IFERROR(SUM(_xlfn._xlws.FILTER(factVentas[precio], (factVentas[fecha] &gt;= DATE($K$22,MATCH(L25,$V$18:$V$29,0),1)) * (factVentas[fecha] &lt; DATE($K$22,MATCH(L25,$V$18:$V$29,0) + 1,1)))) - SUM(_xlfn._xlws.FILTER(factVentas[anticipo], (factVentas[fecha] &gt;= DATE($K$22,MATCH(L25,$V$18:$V$29,0),1)) * (factVentas[fecha] &lt; DATE($K$22,MATCH(L25,$V$18:$V$29,0) + 1,1)))),"")</f>
        <v>24199</v>
      </c>
      <c r="Q25" s="46" cm="1">
        <f t="array" ref="Q25">IFERROR(SUM(_xlfn._xlws.FILTER(factVentas[total], (factVentas[fecha] &gt;= DATE($K$22,MATCH(L25,$V$18:$V$29,0),1)) * (factVentas[fecha] &lt; DATE($K$22,MATCH(L25,$V$18:$V$29,0) + 1,1)))) - P25,"")</f>
        <v>16887.5</v>
      </c>
      <c r="R25" s="64" cm="1">
        <f t="array" ref="R25">IFERROR(AVERAGE(_xlfn._xlws.FILTER(factVentas[plazos], (factVentas[fecha] &gt;= DATE($K$22,MATCH(L25,$V$18:$V$29,0),1)) * (factVentas[fecha] &lt; DATE($K$22,MATCH(L25,$V$18:$V$29,0) + 1,1)))),"")</f>
        <v>22.6</v>
      </c>
      <c r="S25" s="46" cm="1">
        <f t="array" ref="S25">IFERROR(SUM(_xlfn._xlws.FILTER(factVentas[semanal], (factVentas[fecha] &gt;= DATE($K$22,MATCH(L25,$V$18:$V$29,0),1)) * (factVentas[fecha] &lt; DATE($K$22,MATCH(L25,$V$18:$V$29,0) + 1,1)))),"")</f>
        <v>1641.13</v>
      </c>
      <c r="T25" s="72">
        <f t="shared" si="3"/>
        <v>328.226</v>
      </c>
      <c r="U25" s="45"/>
      <c r="V25" s="94" t="s">
        <v>35</v>
      </c>
      <c r="W25" s="45"/>
    </row>
    <row r="26" spans="2:23" x14ac:dyDescent="0.2">
      <c r="B26" s="15"/>
      <c r="C26" s="15"/>
      <c r="D26" s="19"/>
      <c r="E26" s="15"/>
      <c r="F26" s="28" t="s">
        <v>94</v>
      </c>
      <c r="G26" s="15"/>
      <c r="H26" s="31" cm="1">
        <f t="array" ref="H26">SUM(_xlfn._xlws.FILTER(factVentas[subtotal], (factVentas[fecha] &gt;= E9) * (factVentas[fecha] &lt; F9)))</f>
        <v>257689.80000000002</v>
      </c>
      <c r="I26" s="31">
        <f>H26/B14</f>
        <v>10307.592000000001</v>
      </c>
      <c r="K26" s="96"/>
      <c r="L26" s="15" t="s">
        <v>32</v>
      </c>
      <c r="M26" s="15" cm="1">
        <f t="array" ref="M26">COUNT(_xlfn._xlws.FILTER(factVentas[folio], (factVentas[fecha]&gt;=DATE($K$22,MATCH(L26,$V$18:$V$29,0),1))*(factVentas[fecha]&lt;DATE($K$22,MATCH(L26,$V$18:$V$29,0) + 1,1))))</f>
        <v>7</v>
      </c>
      <c r="N26" s="67" cm="1">
        <f t="array" ref="N26">COUNT(_xlfn.UNIQUE(_xlfn._xlws.FILTER(factVentas[fecha], (factVentas[fecha]&gt;=DATE($K$22,MATCH(L26,$V$18:$V$29,0),1))*(factVentas[fecha]&lt;DATE($K$22,MATCH(L26,$V$18:$V$29,0) + 1,1)))))</f>
        <v>6</v>
      </c>
      <c r="O26" s="69">
        <f t="shared" si="2"/>
        <v>0.19354838709677419</v>
      </c>
      <c r="P26" s="38" cm="1">
        <f t="array" ref="P26">IFERROR(SUM(_xlfn._xlws.FILTER(factVentas[precio], (factVentas[fecha] &gt;= DATE($K$22,MATCH(L26,$V$18:$V$29,0),1)) * (factVentas[fecha] &lt; DATE($K$22,MATCH(L26,$V$18:$V$29,0) + 1,1)))) - SUM(_xlfn._xlws.FILTER(factVentas[anticipo], (factVentas[fecha] &gt;= DATE($K$22,MATCH(L26,$V$18:$V$29,0),1)) * (factVentas[fecha] &lt; DATE($K$22,MATCH(L26,$V$18:$V$29,0) + 1,1)))),"")</f>
        <v>35996</v>
      </c>
      <c r="Q26" s="37" cm="1">
        <f t="array" ref="Q26">IFERROR(SUM(_xlfn._xlws.FILTER(factVentas[total], (factVentas[fecha] &gt;= DATE($K$22,MATCH(L26,$V$18:$V$29,0),1)) * (factVentas[fecha] &lt; DATE($K$22,MATCH(L26,$V$18:$V$29,0) + 1,1)))) - P26,"")</f>
        <v>20615.399999999994</v>
      </c>
      <c r="R26" s="57" cm="1">
        <f t="array" ref="R26">IFERROR(AVERAGE(_xlfn._xlws.FILTER(factVentas[plazos], (factVentas[fecha] &gt;= DATE($K$22,MATCH(L26,$V$18:$V$29,0),1)) * (factVentas[fecha] &lt; DATE($K$22,MATCH(L26,$V$18:$V$29,0) + 1,1)))),"")</f>
        <v>23</v>
      </c>
      <c r="S26" s="37" cm="1">
        <f t="array" ref="S26">IFERROR(SUM(_xlfn._xlws.FILTER(factVentas[semanal], (factVentas[fecha] &gt;= DATE($K$22,MATCH(L26,$V$18:$V$29,0),1)) * (factVentas[fecha] &lt; DATE($K$22,MATCH(L26,$V$18:$V$29,0) + 1,1)))),"")</f>
        <v>2486.65</v>
      </c>
      <c r="T26" s="71">
        <f t="shared" si="3"/>
        <v>355.23571428571432</v>
      </c>
      <c r="U26" s="45"/>
      <c r="V26" s="94" t="s">
        <v>36</v>
      </c>
      <c r="W26" s="45"/>
    </row>
    <row r="27" spans="2:23" x14ac:dyDescent="0.2">
      <c r="B27" s="15"/>
      <c r="C27" s="15"/>
      <c r="D27" s="19"/>
      <c r="E27" s="15"/>
      <c r="F27" s="28" t="s">
        <v>77</v>
      </c>
      <c r="G27" s="15"/>
      <c r="H27" s="31" cm="1">
        <f t="array" ref="H27">SUM(_xlfn._xlws.FILTER(factVentas[total], (factVentas[fecha] &gt;= E9) * (factVentas[fecha] &lt; F9)))</f>
        <v>281188.80000000005</v>
      </c>
      <c r="I27" s="31">
        <f>H27/B14</f>
        <v>11247.552000000001</v>
      </c>
      <c r="K27" s="96"/>
      <c r="L27" s="45" t="s">
        <v>33</v>
      </c>
      <c r="M27" s="45" cm="1">
        <f t="array" ref="M27">COUNT(_xlfn._xlws.FILTER(factVentas[folio], (factVentas[fecha]&gt;=DATE($K$22,MATCH(L27,$V$18:$V$29,0),1))*(factVentas[fecha]&lt;DATE($K$22,MATCH(L27,$V$18:$V$29,0) + 1,1))))</f>
        <v>11</v>
      </c>
      <c r="N27" s="80" cm="1">
        <f t="array" ref="N27">COUNT(_xlfn.UNIQUE(_xlfn._xlws.FILTER(factVentas[fecha], (factVentas[fecha]&gt;=DATE($K$22,MATCH(L27,$V$18:$V$29,0),1))*(factVentas[fecha]&lt;DATE($K$22,MATCH(L27,$V$18:$V$29,0) + 1,1)))))</f>
        <v>7</v>
      </c>
      <c r="O27" s="76">
        <f t="shared" si="2"/>
        <v>0.23333333333333334</v>
      </c>
      <c r="P27" s="63" cm="1">
        <f t="array" ref="P27">IFERROR(SUM(_xlfn._xlws.FILTER(factVentas[precio], (factVentas[fecha] &gt;= DATE($K$22,MATCH(L27,$V$18:$V$29,0),1)) * (factVentas[fecha] &lt; DATE($K$22,MATCH(L27,$V$18:$V$29,0) + 1,1)))) - SUM(_xlfn._xlws.FILTER(factVentas[anticipo], (factVentas[fecha] &gt;= DATE($K$22,MATCH(L27,$V$18:$V$29,0),1)) * (factVentas[fecha] &lt; DATE($K$22,MATCH(L27,$V$18:$V$29,0) + 1,1)))),"")</f>
        <v>64236</v>
      </c>
      <c r="Q27" s="46" cm="1">
        <f t="array" ref="Q27">IFERROR(SUM(_xlfn._xlws.FILTER(factVentas[total], (factVentas[fecha] &gt;= DATE($K$22,MATCH(L27,$V$18:$V$29,0),1)) * (factVentas[fecha] &lt; DATE($K$22,MATCH(L27,$V$18:$V$29,0) + 1,1)))) - P27,"")</f>
        <v>32495.5</v>
      </c>
      <c r="R27" s="64" cm="1">
        <f t="array" ref="R27">IFERROR(AVERAGE(_xlfn._xlws.FILTER(factVentas[plazos], (factVentas[fecha] &gt;= DATE($K$22,MATCH(L27,$V$18:$V$29,0),1)) * (factVentas[fecha] &lt; DATE($K$22,MATCH(L27,$V$18:$V$29,0) + 1,1)))),"")</f>
        <v>23.181818181818183</v>
      </c>
      <c r="S27" s="46" cm="1">
        <f t="array" ref="S27">IFERROR(SUM(_xlfn._xlws.FILTER(factVentas[semanal], (factVentas[fecha] &gt;= DATE($K$22,MATCH(L27,$V$18:$V$29,0),1)) * (factVentas[fecha] &lt; DATE($K$22,MATCH(L27,$V$18:$V$29,0) + 1,1)))),"")</f>
        <v>3866.7699999999995</v>
      </c>
      <c r="T27" s="72">
        <f t="shared" si="3"/>
        <v>351.52454545454543</v>
      </c>
      <c r="U27" s="45"/>
      <c r="V27" s="94" t="s">
        <v>37</v>
      </c>
      <c r="W27" s="45"/>
    </row>
    <row r="28" spans="2:23" x14ac:dyDescent="0.2">
      <c r="B28" s="15"/>
      <c r="C28" s="15"/>
      <c r="D28" s="19"/>
      <c r="E28" s="15"/>
      <c r="F28" s="28"/>
      <c r="G28" s="15"/>
      <c r="H28" s="16"/>
      <c r="I28" s="16"/>
      <c r="K28" s="96"/>
      <c r="L28" s="15" t="s">
        <v>34</v>
      </c>
      <c r="M28" s="15" cm="1">
        <f t="array" ref="M28">COUNT(_xlfn._xlws.FILTER(factVentas[folio], (factVentas[fecha]&gt;=DATE($K$22,MATCH(L28,$V$18:$V$29,0),1))*(factVentas[fecha]&lt;DATE($K$22,MATCH(L28,$V$18:$V$29,0) + 1,1))))</f>
        <v>9</v>
      </c>
      <c r="N28" s="67" cm="1">
        <f t="array" ref="N28">COUNT(_xlfn.UNIQUE(_xlfn._xlws.FILTER(factVentas[fecha], (factVentas[fecha]&gt;=DATE($K$22,MATCH(L28,$V$18:$V$29,0),1))*(factVentas[fecha]&lt;DATE($K$22,MATCH(L28,$V$18:$V$29,0) + 1,1)))))</f>
        <v>8</v>
      </c>
      <c r="O28" s="69">
        <f t="shared" si="2"/>
        <v>0.25806451612903225</v>
      </c>
      <c r="P28" s="38" cm="1">
        <f t="array" ref="P28">IFERROR(SUM(_xlfn._xlws.FILTER(factVentas[precio], (factVentas[fecha] &gt;= DATE($K$22,MATCH(L28,$V$18:$V$29,0),1)) * (factVentas[fecha] &lt; DATE($K$22,MATCH(L28,$V$18:$V$29,0) + 1,1)))) - SUM(_xlfn._xlws.FILTER(factVentas[anticipo], (factVentas[fecha] &gt;= DATE($K$22,MATCH(L28,$V$18:$V$29,0),1)) * (factVentas[fecha] &lt; DATE($K$22,MATCH(L28,$V$18:$V$29,0) + 1,1)))),"")</f>
        <v>56698</v>
      </c>
      <c r="Q28" s="37" cm="1">
        <f t="array" ref="Q28">IFERROR(SUM(_xlfn._xlws.FILTER(factVentas[total], (factVentas[fecha] &gt;= DATE($K$22,MATCH(L28,$V$18:$V$29,0),1)) * (factVentas[fecha] &lt; DATE($K$22,MATCH(L28,$V$18:$V$29,0) + 1,1)))) - P28,"")</f>
        <v>62847</v>
      </c>
      <c r="R28" s="57" cm="1">
        <f t="array" ref="R28">IFERROR(AVERAGE(_xlfn._xlws.FILTER(factVentas[plazos], (factVentas[fecha] &gt;= DATE($K$22,MATCH(L28,$V$18:$V$29,0),1)) * (factVentas[fecha] &lt; DATE($K$22,MATCH(L28,$V$18:$V$29,0) + 1,1)))),"")</f>
        <v>32.555555555555557</v>
      </c>
      <c r="S28" s="37" cm="1">
        <f t="array" ref="S28">IFERROR(SUM(_xlfn._xlws.FILTER(factVentas[semanal], (factVentas[fecha] &gt;= DATE($K$22,MATCH(L28,$V$18:$V$29,0),1)) * (factVentas[fecha] &lt; DATE($K$22,MATCH(L28,$V$18:$V$29,0) + 1,1)))),"")</f>
        <v>3232.83</v>
      </c>
      <c r="T28" s="71">
        <f t="shared" si="3"/>
        <v>359.20333333333332</v>
      </c>
      <c r="U28" s="45"/>
      <c r="V28" s="94" t="s">
        <v>38</v>
      </c>
      <c r="W28" s="45"/>
    </row>
    <row r="29" spans="2:23" x14ac:dyDescent="0.2">
      <c r="B29" s="15"/>
      <c r="C29" s="15"/>
      <c r="D29" s="19" t="s">
        <v>103</v>
      </c>
      <c r="E29" s="15"/>
      <c r="F29" s="28"/>
      <c r="G29" s="15"/>
      <c r="H29" s="100">
        <f>H21/I32</f>
        <v>3524.6726572528896</v>
      </c>
      <c r="I29" s="100"/>
      <c r="K29" s="96"/>
      <c r="L29" s="45" t="s">
        <v>35</v>
      </c>
      <c r="M29" s="45" cm="1">
        <f t="array" ref="M29">COUNT(_xlfn._xlws.FILTER(factVentas[folio], (factVentas[fecha]&gt;=DATE($K$22,MATCH(L29,$V$18:$V$29,0),1))*(factVentas[fecha]&lt;DATE($K$22,MATCH(L29,$V$18:$V$29,0) + 1,1))))</f>
        <v>19</v>
      </c>
      <c r="N29" s="80" cm="1">
        <f t="array" ref="N29">COUNT(_xlfn.UNIQUE(_xlfn._xlws.FILTER(factVentas[fecha], (factVentas[fecha]&gt;=DATE($K$22,MATCH(L29,$V$18:$V$29,0),1))*(factVentas[fecha]&lt;DATE($K$22,MATCH(L29,$V$18:$V$29,0) + 1,1)))))</f>
        <v>14</v>
      </c>
      <c r="O29" s="76">
        <f t="shared" si="2"/>
        <v>0.45161290322580644</v>
      </c>
      <c r="P29" s="63" cm="1">
        <f t="array" ref="P29">IFERROR(SUM(_xlfn._xlws.FILTER(factVentas[precio], (factVentas[fecha] &gt;= DATE($K$22,MATCH(L29,$V$18:$V$29,0),1)) * (factVentas[fecha] &lt; DATE($K$22,MATCH(L29,$V$18:$V$29,0) + 1,1)))) - SUM(_xlfn._xlws.FILTER(factVentas[anticipo], (factVentas[fecha] &gt;= DATE($K$22,MATCH(L29,$V$18:$V$29,0),1)) * (factVentas[fecha] &lt; DATE($K$22,MATCH(L29,$V$18:$V$29,0) + 1,1)))),"")</f>
        <v>86930</v>
      </c>
      <c r="Q29" s="46" cm="1">
        <f t="array" ref="Q29">IFERROR(SUM(_xlfn._xlws.FILTER(factVentas[total], (factVentas[fecha] &gt;= DATE($K$22,MATCH(L29,$V$18:$V$29,0),1)) * (factVentas[fecha] &lt; DATE($K$22,MATCH(L29,$V$18:$V$29,0) + 1,1)))) - P29,"")</f>
        <v>85330.199999999983</v>
      </c>
      <c r="R29" s="64" cm="1">
        <f t="array" ref="R29">IFERROR(AVERAGE(_xlfn._xlws.FILTER(factVentas[plazos], (factVentas[fecha] &gt;= DATE($K$22,MATCH(L29,$V$18:$V$29,0),1)) * (factVentas[fecha] &lt; DATE($K$22,MATCH(L29,$V$18:$V$29,0) + 1,1)))),"")</f>
        <v>30.894736842105264</v>
      </c>
      <c r="S29" s="46" cm="1">
        <f t="array" ref="S29">IFERROR(SUM(_xlfn._xlws.FILTER(factVentas[semanal], (factVentas[fecha] &gt;= DATE($K$22,MATCH(L29,$V$18:$V$29,0),1)) * (factVentas[fecha] &lt; DATE($K$22,MATCH(L29,$V$18:$V$29,0) + 1,1)))),"")</f>
        <v>5516.7699999999995</v>
      </c>
      <c r="T29" s="72">
        <f t="shared" si="3"/>
        <v>290.35631578947368</v>
      </c>
      <c r="U29" s="45"/>
      <c r="V29" s="94" t="s">
        <v>39</v>
      </c>
      <c r="W29" s="45"/>
    </row>
    <row r="30" spans="2:23" x14ac:dyDescent="0.2">
      <c r="B30" s="15"/>
      <c r="C30" s="15"/>
      <c r="D30" s="19"/>
      <c r="E30" s="15"/>
      <c r="F30" s="28"/>
      <c r="G30" s="15"/>
      <c r="H30" s="16"/>
      <c r="I30" s="16"/>
      <c r="K30" s="96"/>
      <c r="L30" s="15" t="s">
        <v>36</v>
      </c>
      <c r="M30" s="15" cm="1">
        <f t="array" ref="M30">COUNT(_xlfn._xlws.FILTER(factVentas[folio], (factVentas[fecha]&gt;=DATE($K$22,MATCH(L30,$V$18:$V$29,0),1))*(factVentas[fecha]&lt;DATE($K$22,MATCH(L30,$V$18:$V$29,0) + 1,1))))</f>
        <v>7</v>
      </c>
      <c r="N30" s="67" cm="1">
        <f t="array" ref="N30">COUNT(_xlfn.UNIQUE(_xlfn._xlws.FILTER(factVentas[fecha], (factVentas[fecha]&gt;=DATE($K$22,MATCH(L30,$V$18:$V$29,0),1))*(factVentas[fecha]&lt;DATE($K$22,MATCH(L30,$V$18:$V$29,0) + 1,1)))))</f>
        <v>4</v>
      </c>
      <c r="O30" s="69">
        <f t="shared" si="2"/>
        <v>0.13333333333333333</v>
      </c>
      <c r="P30" s="38" cm="1">
        <f t="array" ref="P30">IFERROR(SUM(_xlfn._xlws.FILTER(factVentas[precio], (factVentas[fecha] &gt;= DATE($K$22,MATCH(L30,$V$18:$V$29,0),1)) * (factVentas[fecha] &lt; DATE($K$22,MATCH(L30,$V$18:$V$29,0) + 1,1)))) - SUM(_xlfn._xlws.FILTER(factVentas[anticipo], (factVentas[fecha] &gt;= DATE($K$22,MATCH(L30,$V$18:$V$29,0),1)) * (factVentas[fecha] &lt; DATE($K$22,MATCH(L30,$V$18:$V$29,0) + 1,1)))),"")</f>
        <v>73977</v>
      </c>
      <c r="Q30" s="37" cm="1">
        <f t="array" ref="Q30">IFERROR(SUM(_xlfn._xlws.FILTER(factVentas[total], (factVentas[fecha] &gt;= DATE($K$22,MATCH(L30,$V$18:$V$29,0),1)) * (factVentas[fecha] &lt; DATE($K$22,MATCH(L30,$V$18:$V$29,0) + 1,1)))) - P30,"")</f>
        <v>30567.100000000006</v>
      </c>
      <c r="R30" s="57" cm="1">
        <f t="array" ref="R30">IFERROR(AVERAGE(_xlfn._xlws.FILTER(factVentas[plazos], (factVentas[fecha] &gt;= DATE($K$22,MATCH(L30,$V$18:$V$29,0),1)) * (factVentas[fecha] &lt; DATE($K$22,MATCH(L30,$V$18:$V$29,0) + 1,1)))),"")</f>
        <v>27.714285714285715</v>
      </c>
      <c r="S30" s="37" cm="1">
        <f t="array" ref="S30">IFERROR(SUM(_xlfn._xlws.FILTER(factVentas[semanal], (factVentas[fecha] &gt;= DATE($K$22,MATCH(L30,$V$18:$V$29,0),1)) * (factVentas[fecha] &lt; DATE($K$22,MATCH(L30,$V$18:$V$29,0) + 1,1)))),"")</f>
        <v>4044.1299999999997</v>
      </c>
      <c r="T30" s="71">
        <f t="shared" si="3"/>
        <v>577.73285714285714</v>
      </c>
      <c r="U30" s="45"/>
      <c r="V30" s="45"/>
      <c r="W30" s="45"/>
    </row>
    <row r="31" spans="2:23" x14ac:dyDescent="0.2">
      <c r="B31" s="15"/>
      <c r="C31" s="15"/>
      <c r="D31" s="19"/>
      <c r="E31" s="15"/>
      <c r="F31" s="28"/>
      <c r="G31" s="15"/>
      <c r="H31" s="29" t="s">
        <v>99</v>
      </c>
      <c r="I31" s="29" t="s">
        <v>100</v>
      </c>
      <c r="K31" s="96"/>
      <c r="L31" s="45" t="s">
        <v>37</v>
      </c>
      <c r="M31" s="45" cm="1">
        <f t="array" ref="M31">COUNT(_xlfn._xlws.FILTER(factVentas[folio], (factVentas[fecha]&gt;=DATE($K$22,MATCH(L31,$V$18:$V$29,0),1))*(factVentas[fecha]&lt;DATE($K$22,MATCH(L31,$V$18:$V$29,0) + 1,1))))</f>
        <v>0</v>
      </c>
      <c r="N31" s="80" cm="1">
        <f t="array" ref="N31">COUNT(_xlfn.UNIQUE(_xlfn._xlws.FILTER(factVentas[fecha], (factVentas[fecha]&gt;=DATE($K$22,MATCH(L31,$V$18:$V$29,0),1))*(factVentas[fecha]&lt;DATE($K$22,MATCH(L31,$V$18:$V$29,0) + 1,1)))))</f>
        <v>0</v>
      </c>
      <c r="O31" s="76">
        <f t="shared" si="2"/>
        <v>0</v>
      </c>
      <c r="P31" s="63" t="str" cm="1">
        <f t="array" ref="P31">IFERROR(SUM(_xlfn._xlws.FILTER(factVentas[precio], (factVentas[fecha] &gt;= DATE($K$22,MATCH(L31,$V$18:$V$29,0),1)) * (factVentas[fecha] &lt; DATE($K$22,MATCH(L31,$V$18:$V$29,0) + 1,1)))) - SUM(_xlfn._xlws.FILTER(factVentas[anticipo], (factVentas[fecha] &gt;= DATE($K$22,MATCH(L31,$V$18:$V$29,0),1)) * (factVentas[fecha] &lt; DATE($K$22,MATCH(L31,$V$18:$V$29,0) + 1,1)))),"")</f>
        <v/>
      </c>
      <c r="Q31" s="46" t="str" cm="1">
        <f t="array" ref="Q31">IFERROR(SUM(_xlfn._xlws.FILTER(factVentas[total], (factVentas[fecha] &gt;= DATE($K$22,MATCH(L31,$V$18:$V$29,0),1)) * (factVentas[fecha] &lt; DATE($K$22,MATCH(L31,$V$18:$V$29,0) + 1,1)))) - P31,"")</f>
        <v/>
      </c>
      <c r="R31" s="64" t="str" cm="1">
        <f t="array" ref="R31">IFERROR(AVERAGE(_xlfn._xlws.FILTER(factVentas[plazos], (factVentas[fecha] &gt;= DATE($K$22,MATCH(L31,$V$18:$V$29,0),1)) * (factVentas[fecha] &lt; DATE($K$22,MATCH(L31,$V$18:$V$29,0) + 1,1)))),"")</f>
        <v/>
      </c>
      <c r="S31" s="46" t="str" cm="1">
        <f t="array" ref="S31">IFERROR(SUM(_xlfn._xlws.FILTER(factVentas[semanal], (factVentas[fecha] &gt;= DATE($K$22,MATCH(L31,$V$18:$V$29,0),1)) * (factVentas[fecha] &lt; DATE($K$22,MATCH(L31,$V$18:$V$29,0) + 1,1)))),"")</f>
        <v/>
      </c>
      <c r="T31" s="72" t="str">
        <f t="shared" si="3"/>
        <v/>
      </c>
      <c r="U31" s="45"/>
      <c r="V31" s="45"/>
      <c r="W31" s="45"/>
    </row>
    <row r="32" spans="2:23" x14ac:dyDescent="0.2">
      <c r="B32" s="15"/>
      <c r="C32" s="15"/>
      <c r="D32" s="19"/>
      <c r="E32" s="15"/>
      <c r="F32" s="28" t="s">
        <v>102</v>
      </c>
      <c r="G32" s="15"/>
      <c r="H32" s="31"/>
      <c r="I32" s="56" cm="1">
        <f t="array" ref="I32">AVERAGE(_xlfn._xlws.FILTER(factVentas[plazos], (factVentas[fecha] &gt;= E9) * (factVentas[fecha] &lt; F9)))</f>
        <v>31.16</v>
      </c>
      <c r="K32" s="96"/>
      <c r="L32" s="15" t="s">
        <v>38</v>
      </c>
      <c r="M32" s="15" cm="1">
        <f t="array" ref="M32">COUNT(_xlfn._xlws.FILTER(factVentas[folio], (factVentas[fecha]&gt;=DATE($K$22,MATCH(L32,$V$18:$V$29,0),1))*(factVentas[fecha]&lt;DATE($K$22,MATCH(L32,$V$18:$V$29,0) + 1,1))))</f>
        <v>3</v>
      </c>
      <c r="N32" s="67" cm="1">
        <f t="array" ref="N32">COUNT(_xlfn.UNIQUE(_xlfn._xlws.FILTER(factVentas[fecha], (factVentas[fecha]&gt;=DATE($K$22,MATCH(L32,$V$18:$V$29,0),1))*(factVentas[fecha]&lt;DATE($K$22,MATCH(L32,$V$18:$V$29,0) + 1,1)))))</f>
        <v>3</v>
      </c>
      <c r="O32" s="69">
        <f t="shared" si="2"/>
        <v>0.1</v>
      </c>
      <c r="P32" s="38" cm="1">
        <f t="array" ref="P32">IFERROR(SUM(_xlfn._xlws.FILTER(factVentas[precio], (factVentas[fecha] &gt;= DATE($K$22,MATCH(L32,$V$18:$V$29,0),1)) * (factVentas[fecha] &lt; DATE($K$22,MATCH(L32,$V$18:$V$29,0) + 1,1)))) - SUM(_xlfn._xlws.FILTER(factVentas[anticipo], (factVentas[fecha] &gt;= DATE($K$22,MATCH(L32,$V$18:$V$29,0),1)) * (factVentas[fecha] &lt; DATE($K$22,MATCH(L32,$V$18:$V$29,0) + 1,1)))),"")</f>
        <v>19899</v>
      </c>
      <c r="Q32" s="37" cm="1">
        <f t="array" ref="Q32">IFERROR(SUM(_xlfn._xlws.FILTER(factVentas[total], (factVentas[fecha] &gt;= DATE($K$22,MATCH(L32,$V$18:$V$29,0),1)) * (factVentas[fecha] &lt; DATE($K$22,MATCH(L32,$V$18:$V$29,0) + 1,1)))) - P32,"")</f>
        <v>14818</v>
      </c>
      <c r="R32" s="57" cm="1">
        <f t="array" ref="R32">IFERROR(AVERAGE(_xlfn._xlws.FILTER(factVentas[plazos], (factVentas[fecha] &gt;= DATE($K$22,MATCH(L32,$V$18:$V$29,0),1)) * (factVentas[fecha] &lt; DATE($K$22,MATCH(L32,$V$18:$V$29,0) + 1,1)))),"")</f>
        <v>32.666666666666664</v>
      </c>
      <c r="S32" s="37" cm="1">
        <f t="array" ref="S32">IFERROR(SUM(_xlfn._xlws.FILTER(factVentas[semanal], (factVentas[fecha] &gt;= DATE($K$22,MATCH(L32,$V$18:$V$29,0),1)) * (factVentas[fecha] &lt; DATE($K$22,MATCH(L32,$V$18:$V$29,0) + 1,1)))),"")</f>
        <v>963.23</v>
      </c>
      <c r="T32" s="71">
        <f t="shared" si="3"/>
        <v>321.07666666666665</v>
      </c>
      <c r="U32" s="45"/>
      <c r="V32" s="45"/>
      <c r="W32" s="45"/>
    </row>
    <row r="33" spans="2:23" ht="17" thickBot="1" x14ac:dyDescent="0.25">
      <c r="B33" s="15"/>
      <c r="C33" s="15"/>
      <c r="D33" s="19"/>
      <c r="E33" s="15"/>
      <c r="F33" s="28" t="s">
        <v>96</v>
      </c>
      <c r="G33" s="15"/>
      <c r="H33" s="31" cm="1">
        <f t="array" ref="H33">SUM(_xlfn._xlws.FILTER(factVentas[semanal], (factVentas[fecha] &gt;= E9) * (factVentas[fecha] &lt; F9)))</f>
        <v>8318.98</v>
      </c>
      <c r="I33" s="31">
        <f>H33/B14</f>
        <v>332.75919999999996</v>
      </c>
      <c r="K33" s="97"/>
      <c r="L33" s="47" t="s">
        <v>39</v>
      </c>
      <c r="M33" s="47" cm="1">
        <f t="array" ref="M33">COUNT(_xlfn._xlws.FILTER(factVentas[folio], (factVentas[fecha]&gt;=DATE($K$22,MATCH(L33,$V$18:$V$29,0),1))*(factVentas[fecha]&lt;DATE($K$22,MATCH(L33,$V$18:$V$29,0) + 1,1))))</f>
        <v>4</v>
      </c>
      <c r="N33" s="75" cm="1">
        <f t="array" ref="N33">COUNT(_xlfn.UNIQUE(_xlfn._xlws.FILTER(factVentas[fecha], (factVentas[fecha]&gt;=DATE($K$22,MATCH(L33,$V$18:$V$29,0),1))*(factVentas[fecha]&lt;DATE($K$22,MATCH(L33,$V$18:$V$29,0) + 1,1)))))</f>
        <v>3</v>
      </c>
      <c r="O33" s="77">
        <f t="shared" si="2"/>
        <v>9.6774193548387094E-2</v>
      </c>
      <c r="P33" s="49" cm="1">
        <f t="array" ref="P33">IFERROR(SUM(_xlfn._xlws.FILTER(factVentas[precio], (factVentas[fecha] &gt;= DATE($K$22,MATCH(L33,$V$18:$V$29,0),1)) * (factVentas[fecha] &lt; DATE($K$22,MATCH(L33,$V$18:$V$29,0) + 1,1)))) - SUM(_xlfn._xlws.FILTER(factVentas[anticipo], (factVentas[fecha] &gt;= DATE($K$22,MATCH(L33,$V$18:$V$29,0),1)) * (factVentas[fecha] &lt; DATE($K$22,MATCH(L33,$V$18:$V$29,0) + 1,1)))),"")</f>
        <v>21698</v>
      </c>
      <c r="Q33" s="48" cm="1">
        <f t="array" ref="Q33">IFERROR(SUM(_xlfn._xlws.FILTER(factVentas[total], (factVentas[fecha] &gt;= DATE($K$22,MATCH(L33,$V$18:$V$29,0),1)) * (factVentas[fecha] &lt; DATE($K$22,MATCH(L33,$V$18:$V$29,0) + 1,1)))) - P33,"")</f>
        <v>6158</v>
      </c>
      <c r="R33" s="62" cm="1">
        <f t="array" ref="R33">IFERROR(AVERAGE(_xlfn._xlws.FILTER(factVentas[plazos], (factVentas[fecha] &gt;= DATE($K$22,MATCH(L33,$V$18:$V$29,0),1)) * (factVentas[fecha] &lt; DATE($K$22,MATCH(L33,$V$18:$V$29,0) + 1,1)))),"")</f>
        <v>21.5</v>
      </c>
      <c r="S33" s="48" cm="1">
        <f t="array" ref="S33">IFERROR(SUM(_xlfn._xlws.FILTER(factVentas[semanal], (factVentas[fecha] &gt;= DATE($K$22,MATCH(L33,$V$18:$V$29,0),1)) * (factVentas[fecha] &lt; DATE($K$22,MATCH(L33,$V$18:$V$29,0) + 1,1)))),"")</f>
        <v>1155.28</v>
      </c>
      <c r="T33" s="73">
        <f t="shared" si="3"/>
        <v>288.82</v>
      </c>
      <c r="U33" s="45"/>
      <c r="V33" s="45"/>
      <c r="W33" s="45"/>
    </row>
    <row r="34" spans="2:23" x14ac:dyDescent="0.2">
      <c r="K34" s="19"/>
      <c r="L34" s="15"/>
      <c r="M34" s="87">
        <f>SUM(M22:M33)</f>
        <v>74</v>
      </c>
      <c r="N34" s="65">
        <f>AVERAGE(N22:N33)</f>
        <v>4.833333333333333</v>
      </c>
      <c r="O34" s="84">
        <f>AVERAGE(O22:O33)</f>
        <v>0.15845383759733037</v>
      </c>
      <c r="P34" s="43">
        <f>SUM(P22:P33)</f>
        <v>432982</v>
      </c>
      <c r="Q34" s="43">
        <f t="shared" ref="Q34" si="4">SUM(Q22:Q33)</f>
        <v>308790.19999999995</v>
      </c>
      <c r="R34" s="65">
        <f>AVERAGE(R22:R33)</f>
        <v>26.381306296043135</v>
      </c>
      <c r="S34" s="43">
        <f t="shared" ref="S34:T34" si="5">AVERAGE(S22:S33)</f>
        <v>2637.2779999999998</v>
      </c>
      <c r="T34" s="43">
        <f t="shared" si="5"/>
        <v>364.32039326725908</v>
      </c>
      <c r="U34" s="45"/>
      <c r="V34" s="45"/>
      <c r="W34" s="45"/>
    </row>
    <row r="35" spans="2:23" x14ac:dyDescent="0.2">
      <c r="K35" s="15"/>
      <c r="L35" s="15"/>
      <c r="M35" s="15"/>
      <c r="N35" s="67"/>
      <c r="O35" s="78"/>
      <c r="P35" s="15"/>
      <c r="Q35" s="79"/>
      <c r="R35" s="57"/>
      <c r="S35" s="15"/>
      <c r="T35" s="74"/>
      <c r="U35" s="45"/>
      <c r="V35" s="45"/>
      <c r="W35" s="45"/>
    </row>
    <row r="36" spans="2:23" x14ac:dyDescent="0.2">
      <c r="C36" s="3"/>
      <c r="D36" s="12"/>
      <c r="E36" s="12"/>
      <c r="K36" s="96">
        <v>2025</v>
      </c>
      <c r="L36" s="15" t="s">
        <v>28</v>
      </c>
      <c r="M36" s="15" cm="1">
        <f t="array" ref="M36">COUNT(_xlfn._xlws.FILTER(factVentas[folio], (factVentas[fecha]&gt;=DATE($K$36,MATCH(L36,$V$18:$V$29,0),1))*(factVentas[fecha]&lt;DATE($K$36,MATCH(L36,$V$18:$V$29,0) + 1,1))))</f>
        <v>8</v>
      </c>
      <c r="N36" s="67" cm="1">
        <f t="array" ref="N36">COUNT(_xlfn.UNIQUE(_xlfn._xlws.FILTER(factVentas[fecha], (factVentas[fecha]&gt;=DATE($K$36,MATCH(L36,$V$18:$V$29,0),1))*(factVentas[fecha]&lt;DATE($K$36,MATCH(L36,$V$18:$V$29,0) + 1,1)))))</f>
        <v>4</v>
      </c>
      <c r="O36" s="69">
        <f t="shared" ref="O36:O47" si="6">N36/(DATE($K$36,MATCH(L36,$V$18:$V$29,0) + 1,1)-DATE($K$36,MATCH(L36,$V$18:$V$29,0),1))</f>
        <v>0.12903225806451613</v>
      </c>
      <c r="P36" s="38" cm="1">
        <f t="array" ref="P36">IFERROR(SUM(_xlfn._xlws.FILTER(factVentas[precio], (factVentas[fecha] &gt;= DATE($K$36,MATCH(L36,$V$18:$V$29,0),1)) * (factVentas[fecha] &lt; DATE($K$36,MATCH(L36,$V$18:$V$29,0) + 1,1)))) - SUM(_xlfn._xlws.FILTER(factVentas[anticipo], (factVentas[fecha] &gt;= DATE($K$36,MATCH(L36,$V$18:$V$29,0),1)) * (factVentas[fecha] &lt; DATE($K$36,MATCH(L36,$V$18:$V$29,0) + 1,1)))),"")</f>
        <v>37446</v>
      </c>
      <c r="Q36" s="37" cm="1">
        <f t="array" ref="Q36">IFERROR(SUM(_xlfn._xlws.FILTER(factVentas[total], (factVentas[fecha] &gt;= DATE($K$36,MATCH(L36,$V$18:$V$29,0),1)) * (factVentas[fecha] &lt; DATE($K$36,MATCH(L36,$V$18:$V$29,0) + 1,1)))) - P36,"")</f>
        <v>36403.899999999994</v>
      </c>
      <c r="R36" s="57" cm="1">
        <f t="array" ref="R36">IFERROR(AVERAGE(_xlfn._xlws.FILTER(factVentas[plazos], (factVentas[fecha] &gt;= DATE($K$36,MATCH(L36,$V$18:$V$29,0),1)) * (factVentas[fecha] &lt; DATE($K$36,MATCH(L36,$V$18:$V$29,0) + 1,1)))),"")</f>
        <v>32.5</v>
      </c>
      <c r="S36" s="38" cm="1">
        <f t="array" ref="S36">IFERROR(SUM(_xlfn._xlws.FILTER(factVentas[semanal], (factVentas[fecha] &gt;= DATE($K$36,MATCH(L36,$V$18:$V$29,0),1)) * (factVentas[fecha] &lt; DATE($K$36,MATCH(L36,$V$18:$V$29,0) + 1,1)))),"")</f>
        <v>2166.0300000000002</v>
      </c>
      <c r="T36" s="71">
        <f>IFERROR(S36 / M36,"")</f>
        <v>270.75375000000003</v>
      </c>
      <c r="U36" s="45"/>
      <c r="V36" s="45"/>
      <c r="W36" s="45"/>
    </row>
    <row r="37" spans="2:23" x14ac:dyDescent="0.2">
      <c r="C37" s="3"/>
      <c r="D37" s="12"/>
      <c r="E37" s="12"/>
      <c r="I37" s="12"/>
      <c r="K37" s="96"/>
      <c r="L37" s="45" t="s">
        <v>29</v>
      </c>
      <c r="M37" s="45" cm="1">
        <f t="array" ref="M37">COUNT(_xlfn._xlws.FILTER(factVentas[folio], (factVentas[fecha]&gt;=DATE($K$36,MATCH(L37,$V$18:$V$29,0),1))*(factVentas[fecha]&lt;DATE($K$36,MATCH(L37,$V$18:$V$29,0) + 1,1))))</f>
        <v>6</v>
      </c>
      <c r="N37" s="80" cm="1">
        <f t="array" ref="N37">COUNT(_xlfn.UNIQUE(_xlfn._xlws.FILTER(factVentas[fecha], (factVentas[fecha]&gt;=DATE($K$36,MATCH(L37,$V$18:$V$29,0),1))*(factVentas[fecha]&lt;DATE($K$36,MATCH(L37,$V$18:$V$29,0) + 1,1)))))</f>
        <v>5</v>
      </c>
      <c r="O37" s="76">
        <f t="shared" si="6"/>
        <v>0.17857142857142858</v>
      </c>
      <c r="P37" s="63" cm="1">
        <f t="array" ref="P37">IFERROR(SUM(_xlfn._xlws.FILTER(factVentas[precio], (factVentas[fecha] &gt;= DATE($K$36,MATCH(L37,$V$18:$V$29,0),1)) * (factVentas[fecha] &lt; DATE($K$36,MATCH(L37,$V$18:$V$29,0) + 1,1)))) - SUM(_xlfn._xlws.FILTER(factVentas[anticipo], (factVentas[fecha] &gt;= DATE($K$36,MATCH(L37,$V$18:$V$29,0),1)) * (factVentas[fecha] &lt; DATE($K$36,MATCH(L37,$V$18:$V$29,0) + 1,1)))),"")</f>
        <v>34297</v>
      </c>
      <c r="Q37" s="46" cm="1">
        <f t="array" ref="Q37">IFERROR(SUM(_xlfn._xlws.FILTER(factVentas[total], (factVentas[fecha] &gt;= DATE($K$36,MATCH(L37,$V$18:$V$29,0),1)) * (factVentas[fecha] &lt; DATE($K$36,MATCH(L37,$V$18:$V$29,0) + 1,1)))) - P37,"")</f>
        <v>15748.099999999999</v>
      </c>
      <c r="R37" s="64" cm="1">
        <f t="array" ref="R37">IFERROR(AVERAGE(_xlfn._xlws.FILTER(factVentas[plazos], (factVentas[fecha] &gt;= DATE($K$36,MATCH(L37,$V$18:$V$29,0),1)) * (factVentas[fecha] &lt; DATE($K$36,MATCH(L37,$V$18:$V$29,0) + 1,1)))),"")</f>
        <v>19.166666666666668</v>
      </c>
      <c r="S37" s="63" cm="1">
        <f t="array" ref="S37">IFERROR(SUM(_xlfn._xlws.FILTER(factVentas[semanal], (factVentas[fecha] &gt;= DATE($K$36,MATCH(L37,$V$18:$V$29,0),1)) * (factVentas[fecha] &lt; DATE($K$36,MATCH(L37,$V$18:$V$29,0) + 1,1)))),"")</f>
        <v>2472.02</v>
      </c>
      <c r="T37" s="72">
        <f t="shared" ref="T37:T47" si="7">IFERROR(S37 / M37,"")</f>
        <v>412.00333333333333</v>
      </c>
      <c r="U37" s="45"/>
      <c r="V37" s="45"/>
      <c r="W37" s="45"/>
    </row>
    <row r="38" spans="2:23" x14ac:dyDescent="0.2">
      <c r="C38" s="3"/>
      <c r="D38" s="12"/>
      <c r="E38" s="12"/>
      <c r="K38" s="96"/>
      <c r="L38" s="15" t="s">
        <v>30</v>
      </c>
      <c r="M38" s="15" cm="1">
        <f t="array" ref="M38">COUNT(_xlfn._xlws.FILTER(factVentas[folio], (factVentas[fecha]&gt;=DATE($K$36,MATCH(L38,$V$18:$V$29,0),1))*(factVentas[fecha]&lt;DATE($K$36,MATCH(L38,$V$18:$V$29,0) + 1,1))))</f>
        <v>11</v>
      </c>
      <c r="N38" s="67" cm="1">
        <f t="array" ref="N38">COUNT(_xlfn.UNIQUE(_xlfn._xlws.FILTER(factVentas[fecha], (factVentas[fecha]&gt;=DATE($K$36,MATCH(L38,$V$18:$V$29,0),1))*(factVentas[fecha]&lt;DATE($K$36,MATCH(L38,$V$18:$V$29,0) + 1,1)))))</f>
        <v>9</v>
      </c>
      <c r="O38" s="69">
        <f t="shared" si="6"/>
        <v>0.29032258064516131</v>
      </c>
      <c r="P38" s="38" cm="1">
        <f t="array" ref="P38">IFERROR(SUM(_xlfn._xlws.FILTER(factVentas[precio], (factVentas[fecha] &gt;= DATE($K$36,MATCH(L38,$V$18:$V$29,0),1)) * (factVentas[fecha] &lt; DATE($K$36,MATCH(L38,$V$18:$V$29,0) + 1,1)))) - SUM(_xlfn._xlws.FILTER(factVentas[anticipo], (factVentas[fecha] &gt;= DATE($K$36,MATCH(L38,$V$18:$V$29,0),1)) * (factVentas[fecha] &lt; DATE($K$36,MATCH(L38,$V$18:$V$29,0) + 1,1)))),"")</f>
        <v>99617</v>
      </c>
      <c r="Q38" s="37" cm="1">
        <f t="array" ref="Q38">IFERROR(SUM(_xlfn._xlws.FILTER(factVentas[total], (factVentas[fecha] &gt;= DATE($K$36,MATCH(L38,$V$18:$V$29,0),1)) * (factVentas[fecha] &lt; DATE($K$36,MATCH(L38,$V$18:$V$29,0) + 1,1)))) - P38,"")</f>
        <v>57676.800000000017</v>
      </c>
      <c r="R38" s="57" cm="1">
        <f t="array" ref="R38">IFERROR(AVERAGE(_xlfn._xlws.FILTER(factVentas[plazos], (factVentas[fecha] &gt;= DATE($K$36,MATCH(L38,$V$18:$V$29,0),1)) * (factVentas[fecha] &lt; DATE($K$36,MATCH(L38,$V$18:$V$29,0) + 1,1)))),"")</f>
        <v>36.727272727272727</v>
      </c>
      <c r="S38" s="38" cm="1">
        <f t="array" ref="S38">IFERROR(SUM(_xlfn._xlws.FILTER(factVentas[semanal], (factVentas[fecha] &gt;= DATE($K$36,MATCH(L38,$V$18:$V$29,0),1)) * (factVentas[fecha] &lt; DATE($K$36,MATCH(L38,$V$18:$V$29,0) + 1,1)))),"")</f>
        <v>3680.93</v>
      </c>
      <c r="T38" s="71">
        <f t="shared" si="7"/>
        <v>334.63</v>
      </c>
      <c r="U38" s="45"/>
      <c r="V38" s="45"/>
      <c r="W38" s="45"/>
    </row>
    <row r="39" spans="2:23" x14ac:dyDescent="0.2">
      <c r="C39" s="3"/>
      <c r="D39" s="12"/>
      <c r="E39" s="12"/>
      <c r="I39" s="11"/>
      <c r="K39" s="96"/>
      <c r="L39" s="45" t="s">
        <v>31</v>
      </c>
      <c r="M39" s="45" cm="1">
        <f t="array" ref="M39">COUNT(_xlfn._xlws.FILTER(factVentas[folio], (factVentas[fecha]&gt;=DATE($K$36,MATCH(L39,$V$18:$V$29,0),1))*(factVentas[fecha]&lt;DATE($K$36,MATCH(L39,$V$18:$V$29,0) + 1,1))))</f>
        <v>28</v>
      </c>
      <c r="N39" s="80" cm="1">
        <f t="array" ref="N39">COUNT(_xlfn.UNIQUE(_xlfn._xlws.FILTER(factVentas[fecha], (factVentas[fecha]&gt;=DATE($K$36,MATCH(L39,$V$18:$V$29,0),1))*(factVentas[fecha]&lt;DATE($K$36,MATCH(L39,$V$18:$V$29,0) + 1,1)))))</f>
        <v>18</v>
      </c>
      <c r="O39" s="76">
        <f t="shared" si="6"/>
        <v>0.6</v>
      </c>
      <c r="P39" s="63" cm="1">
        <f t="array" ref="P39">IFERROR(SUM(_xlfn._xlws.FILTER(factVentas[precio], (factVentas[fecha] &gt;= DATE($K$36,MATCH(L39,$V$18:$V$29,0),1)) * (factVentas[fecha] &lt; DATE($K$36,MATCH(L39,$V$18:$V$29,0) + 1,1)))) - SUM(_xlfn._xlws.FILTER(factVentas[anticipo], (factVentas[fecha] &gt;= DATE($K$36,MATCH(L39,$V$18:$V$29,0),1)) * (factVentas[fecha] &lt; DATE($K$36,MATCH(L39,$V$18:$V$29,0) + 1,1)))),"")</f>
        <v>149794</v>
      </c>
      <c r="Q39" s="46" cm="1">
        <f t="array" ref="Q39">IFERROR(SUM(_xlfn._xlws.FILTER(factVentas[total], (factVentas[fecha] &gt;= DATE($K$36,MATCH(L39,$V$18:$V$29,0),1)) * (factVentas[fecha] &lt; DATE($K$36,MATCH(L39,$V$18:$V$29,0) + 1,1)))) - P39,"")</f>
        <v>120597.28999999998</v>
      </c>
      <c r="R39" s="64" cm="1">
        <f t="array" ref="R39">IFERROR(AVERAGE(_xlfn._xlws.FILTER(factVentas[plazos], (factVentas[fecha] &gt;= DATE($K$36,MATCH(L39,$V$18:$V$29,0),1)) * (factVentas[fecha] &lt; DATE($K$36,MATCH(L39,$V$18:$V$29,0) + 1,1)))),"")</f>
        <v>33.607142857142854</v>
      </c>
      <c r="S39" s="63" cm="1">
        <f t="array" ref="S39">IFERROR(SUM(_xlfn._xlws.FILTER(factVentas[semanal], (factVentas[fecha] &gt;= DATE($K$36,MATCH(L39,$V$18:$V$29,0),1)) * (factVentas[fecha] &lt; DATE($K$36,MATCH(L39,$V$18:$V$29,0) + 1,1)))),"")</f>
        <v>7830.64</v>
      </c>
      <c r="T39" s="72">
        <f t="shared" si="7"/>
        <v>279.66571428571427</v>
      </c>
      <c r="U39" s="45"/>
      <c r="V39" s="45"/>
      <c r="W39" s="45"/>
    </row>
    <row r="40" spans="2:23" x14ac:dyDescent="0.2">
      <c r="C40" s="3"/>
      <c r="D40" s="12"/>
      <c r="E40" s="12"/>
      <c r="K40" s="96"/>
      <c r="L40" s="15" t="s">
        <v>32</v>
      </c>
      <c r="M40" s="15" cm="1">
        <f t="array" ref="M40">COUNT(_xlfn._xlws.FILTER(factVentas[folio], (factVentas[fecha]&gt;=DATE($K$36,MATCH(L40,$V$18:$V$29,0),1))*(factVentas[fecha]&lt;DATE($K$36,MATCH(L40,$V$18:$V$29,0) + 1,1))))</f>
        <v>20</v>
      </c>
      <c r="N40" s="67" cm="1">
        <f t="array" ref="N40">COUNT(_xlfn.UNIQUE(_xlfn._xlws.FILTER(factVentas[fecha], (factVentas[fecha]&gt;=DATE($K$36,MATCH(L40,$V$18:$V$29,0),1))*(factVentas[fecha]&lt;DATE($K$36,MATCH(L40,$V$18:$V$29,0) + 1,1)))))</f>
        <v>13</v>
      </c>
      <c r="O40" s="69">
        <f t="shared" si="6"/>
        <v>0.41935483870967744</v>
      </c>
      <c r="P40" s="38" cm="1">
        <f t="array" ref="P40">IFERROR(SUM(_xlfn._xlws.FILTER(factVentas[precio], (factVentas[fecha] &gt;= DATE($K$36,MATCH(L40,$V$18:$V$29,0),1)) * (factVentas[fecha] &lt; DATE($K$36,MATCH(L40,$V$18:$V$29,0) + 1,1)))) - SUM(_xlfn._xlws.FILTER(factVentas[anticipo], (factVentas[fecha] &gt;= DATE($K$36,MATCH(L40,$V$18:$V$29,0),1)) * (factVentas[fecha] &lt; DATE($K$36,MATCH(L40,$V$18:$V$29,0) + 1,1)))),"")</f>
        <v>85786.4</v>
      </c>
      <c r="Q40" s="37" cm="1">
        <f t="array" ref="Q40">IFERROR(SUM(_xlfn._xlws.FILTER(factVentas[total], (factVentas[fecha] &gt;= DATE($K$36,MATCH(L40,$V$18:$V$29,0),1)) * (factVentas[fecha] &lt; DATE($K$36,MATCH(L40,$V$18:$V$29,0) + 1,1)))) - P40,"")</f>
        <v>98026.180000000022</v>
      </c>
      <c r="R40" s="57" cm="1">
        <f t="array" ref="R40">IFERROR(AVERAGE(_xlfn._xlws.FILTER(factVentas[plazos], (factVentas[fecha] &gt;= DATE($K$36,MATCH(L40,$V$18:$V$29,0),1)) * (factVentas[fecha] &lt; DATE($K$36,MATCH(L40,$V$18:$V$29,0) + 1,1)))),"")</f>
        <v>34.4</v>
      </c>
      <c r="S40" s="38" cm="1">
        <f t="array" ref="S40">IFERROR(SUM(_xlfn._xlws.FILTER(factVentas[semanal], (factVentas[fecha] &gt;= DATE($K$36,MATCH(L40,$V$18:$V$29,0),1)) * (factVentas[fecha] &lt; DATE($K$36,MATCH(L40,$V$18:$V$29,0) + 1,1)))),"")</f>
        <v>5070.34</v>
      </c>
      <c r="T40" s="71">
        <f t="shared" si="7"/>
        <v>253.517</v>
      </c>
      <c r="U40" s="45"/>
      <c r="V40" s="45"/>
      <c r="W40" s="45"/>
    </row>
    <row r="41" spans="2:23" x14ac:dyDescent="0.2">
      <c r="C41" s="3"/>
      <c r="D41" s="12"/>
      <c r="E41" s="12"/>
      <c r="K41" s="96"/>
      <c r="L41" s="45" t="s">
        <v>33</v>
      </c>
      <c r="M41" s="45" cm="1">
        <f t="array" ref="M41">COUNT(_xlfn._xlws.FILTER(factVentas[folio], (factVentas[fecha]&gt;=DATE($K$36,MATCH(L41,$V$18:$V$29,0),1))*(factVentas[fecha]&lt;DATE($K$36,MATCH(L41,$V$18:$V$29,0) + 1,1))))</f>
        <v>28</v>
      </c>
      <c r="N41" s="80" cm="1">
        <f t="array" ref="N41">COUNT(_xlfn.UNIQUE(_xlfn._xlws.FILTER(factVentas[fecha], (factVentas[fecha]&gt;=DATE($K$36,MATCH(L41,$V$18:$V$29,0),1))*(factVentas[fecha]&lt;DATE($K$36,MATCH(L41,$V$18:$V$29,0) + 1,1)))))</f>
        <v>18</v>
      </c>
      <c r="O41" s="76">
        <f t="shared" si="6"/>
        <v>0.6</v>
      </c>
      <c r="P41" s="63" cm="1">
        <f t="array" ref="P41">IFERROR(SUM(_xlfn._xlws.FILTER(factVentas[precio], (factVentas[fecha] &gt;= DATE($K$36,MATCH(L41,$V$18:$V$29,0),1)) * (factVentas[fecha] &lt; DATE($K$36,MATCH(L41,$V$18:$V$29,0) + 1,1)))) - SUM(_xlfn._xlws.FILTER(factVentas[anticipo], (factVentas[fecha] &gt;= DATE($K$36,MATCH(L41,$V$18:$V$29,0),1)) * (factVentas[fecha] &lt; DATE($K$36,MATCH(L41,$V$18:$V$29,0) + 1,1)))),"")</f>
        <v>116048</v>
      </c>
      <c r="Q41" s="46" cm="1">
        <f t="array" ref="Q41">IFERROR(SUM(_xlfn._xlws.FILTER(factVentas[total], (factVentas[fecha] &gt;= DATE($K$36,MATCH(L41,$V$18:$V$29,0),1)) * (factVentas[fecha] &lt; DATE($K$36,MATCH(L41,$V$18:$V$29,0) + 1,1)))) - P41,"")</f>
        <v>94414.15</v>
      </c>
      <c r="R41" s="64" cm="1">
        <f t="array" ref="R41">IFERROR(AVERAGE(_xlfn._xlws.FILTER(factVentas[plazos], (factVentas[fecha] &gt;= DATE($K$36,MATCH(L41,$V$18:$V$29,0),1)) * (factVentas[fecha] &lt; DATE($K$36,MATCH(L41,$V$18:$V$29,0) + 1,1)))),"")</f>
        <v>29.607142857142858</v>
      </c>
      <c r="S41" s="63" cm="1">
        <f t="array" ref="S41">IFERROR(SUM(_xlfn._xlws.FILTER(factVentas[semanal], (factVentas[fecha] &gt;= DATE($K$36,MATCH(L41,$V$18:$V$29,0),1)) * (factVentas[fecha] &lt; DATE($K$36,MATCH(L41,$V$18:$V$29,0) + 1,1)))),"")</f>
        <v>6949.9599999999973</v>
      </c>
      <c r="T41" s="72">
        <f t="shared" si="7"/>
        <v>248.21285714285705</v>
      </c>
      <c r="U41" s="45"/>
      <c r="V41" s="45"/>
      <c r="W41" s="45"/>
    </row>
    <row r="42" spans="2:23" x14ac:dyDescent="0.2">
      <c r="C42" s="3"/>
      <c r="D42" s="12"/>
      <c r="E42" s="12"/>
      <c r="K42" s="96"/>
      <c r="L42" s="15" t="s">
        <v>34</v>
      </c>
      <c r="M42" s="15" cm="1">
        <f t="array" ref="M42">COUNT(_xlfn._xlws.FILTER(factVentas[folio], (factVentas[fecha]&gt;=DATE($K$36,MATCH(L42,$V$18:$V$29,0),1))*(factVentas[fecha]&lt;DATE($K$36,MATCH(L42,$V$18:$V$29,0) + 1,1))))</f>
        <v>23</v>
      </c>
      <c r="N42" s="67" cm="1">
        <f t="array" ref="N42">COUNT(_xlfn.UNIQUE(_xlfn._xlws.FILTER(factVentas[fecha], (factVentas[fecha]&gt;=DATE($K$36,MATCH(L42,$V$18:$V$29,0),1))*(factVentas[fecha]&lt;DATE($K$36,MATCH(L42,$V$18:$V$29,0) + 1,1)))))</f>
        <v>16</v>
      </c>
      <c r="O42" s="69">
        <f t="shared" si="6"/>
        <v>0.5161290322580645</v>
      </c>
      <c r="P42" s="38" cm="1">
        <f t="array" ref="P42">IFERROR(SUM(_xlfn._xlws.FILTER(factVentas[precio], (factVentas[fecha] &gt;= DATE($K$36,MATCH(L42,$V$18:$V$29,0),1)) * (factVentas[fecha] &lt; DATE($K$36,MATCH(L42,$V$18:$V$29,0) + 1,1)))) - SUM(_xlfn._xlws.FILTER(factVentas[anticipo], (factVentas[fecha] &gt;= DATE($K$36,MATCH(L42,$V$18:$V$29,0),1)) * (factVentas[fecha] &lt; DATE($K$36,MATCH(L42,$V$18:$V$29,0) + 1,1)))),"")</f>
        <v>92024</v>
      </c>
      <c r="Q42" s="37" cm="1">
        <f t="array" ref="Q42">IFERROR(SUM(_xlfn._xlws.FILTER(factVentas[total], (factVentas[fecha] &gt;= DATE($K$36,MATCH(L42,$V$18:$V$29,0),1)) * (factVentas[fecha] &lt; DATE($K$36,MATCH(L42,$V$18:$V$29,0) + 1,1)))) - P42,"")</f>
        <v>94877.700000000012</v>
      </c>
      <c r="R42" s="57" cm="1">
        <f t="array" ref="R42">IFERROR(AVERAGE(_xlfn._xlws.FILTER(factVentas[plazos], (factVentas[fecha] &gt;= DATE($K$36,MATCH(L42,$V$18:$V$29,0),1)) * (factVentas[fecha] &lt; DATE($K$36,MATCH(L42,$V$18:$V$29,0) + 1,1)))),"")</f>
        <v>26.434782608695652</v>
      </c>
      <c r="S42" s="38" cm="1">
        <f t="array" ref="S42">IFERROR(SUM(_xlfn._xlws.FILTER(factVentas[semanal], (factVentas[fecha] &gt;= DATE($K$36,MATCH(L42,$V$18:$V$29,0),1)) * (factVentas[fecha] &lt; DATE($K$36,MATCH(L42,$V$18:$V$29,0) + 1,1)))),"")</f>
        <v>6976.4699999999993</v>
      </c>
      <c r="T42" s="71">
        <f t="shared" si="7"/>
        <v>303.32478260869561</v>
      </c>
      <c r="U42" s="45"/>
      <c r="V42" s="45"/>
      <c r="W42" s="45"/>
    </row>
    <row r="43" spans="2:23" x14ac:dyDescent="0.2">
      <c r="C43" s="3"/>
      <c r="D43" s="12"/>
      <c r="E43" s="12"/>
      <c r="K43" s="96"/>
      <c r="L43" s="45" t="s">
        <v>35</v>
      </c>
      <c r="M43" s="45" cm="1">
        <f t="array" ref="M43">COUNT(_xlfn._xlws.FILTER(factVentas[folio], (factVentas[fecha]&gt;=DATE($K$36,MATCH(L43,$V$18:$V$29,0),1))*(factVentas[fecha]&lt;DATE($K$36,MATCH(L43,$V$18:$V$29,0) + 1,1))))</f>
        <v>30</v>
      </c>
      <c r="N43" s="80" cm="1">
        <f t="array" ref="N43">COUNT(_xlfn.UNIQUE(_xlfn._xlws.FILTER(factVentas[fecha], (factVentas[fecha]&gt;=DATE($K$36,MATCH(L43,$V$18:$V$29,0),1))*(factVentas[fecha]&lt;DATE($K$36,MATCH(L43,$V$18:$V$29,0) + 1,1)))))</f>
        <v>17</v>
      </c>
      <c r="O43" s="76">
        <f t="shared" si="6"/>
        <v>0.54838709677419351</v>
      </c>
      <c r="P43" s="63" cm="1">
        <f t="array" ref="P43">IFERROR(SUM(_xlfn._xlws.FILTER(factVentas[precio], (factVentas[fecha] &gt;= DATE($K$36,MATCH(L43,$V$18:$V$29,0),1)) * (factVentas[fecha] &lt; DATE($K$36,MATCH(L43,$V$18:$V$29,0) + 1,1)))) - SUM(_xlfn._xlws.FILTER(factVentas[anticipo], (factVentas[fecha] &gt;= DATE($K$36,MATCH(L43,$V$18:$V$29,0),1)) * (factVentas[fecha] &lt; DATE($K$36,MATCH(L43,$V$18:$V$29,0) + 1,1)))),"")</f>
        <v>114946</v>
      </c>
      <c r="Q43" s="46" cm="1">
        <f t="array" ref="Q43">IFERROR(SUM(_xlfn._xlws.FILTER(factVentas[total], (factVentas[fecha] &gt;= DATE($K$36,MATCH(L43,$V$18:$V$29,0),1)) * (factVentas[fecha] &lt; DATE($K$36,MATCH(L43,$V$18:$V$29,0) + 1,1)))) - P43,"")</f>
        <v>110041.67999999996</v>
      </c>
      <c r="R43" s="64" cm="1">
        <f t="array" ref="R43">IFERROR(AVERAGE(_xlfn._xlws.FILTER(factVentas[plazos], (factVentas[fecha] &gt;= DATE($K$36,MATCH(L43,$V$18:$V$29,0),1)) * (factVentas[fecha] &lt; DATE($K$36,MATCH(L43,$V$18:$V$29,0) + 1,1)))),"")</f>
        <v>29.2</v>
      </c>
      <c r="S43" s="63" cm="1">
        <f t="array" ref="S43">IFERROR(SUM(_xlfn._xlws.FILTER(factVentas[semanal], (factVentas[fecha] &gt;= DATE($K$36,MATCH(L43,$V$18:$V$29,0),1)) * (factVentas[fecha] &lt; DATE($K$36,MATCH(L43,$V$18:$V$29,0) + 1,1)))),"")</f>
        <v>7468.89</v>
      </c>
      <c r="T43" s="72">
        <f t="shared" si="7"/>
        <v>248.96300000000002</v>
      </c>
      <c r="U43" s="45"/>
      <c r="V43" s="45"/>
      <c r="W43" s="45"/>
    </row>
    <row r="44" spans="2:23" x14ac:dyDescent="0.2">
      <c r="C44" s="3"/>
      <c r="D44" s="12"/>
      <c r="E44" s="12"/>
      <c r="K44" s="96"/>
      <c r="L44" s="15" t="s">
        <v>36</v>
      </c>
      <c r="M44" s="15" cm="1">
        <f t="array" ref="M44">COUNT(_xlfn._xlws.FILTER(factVentas[folio], (factVentas[fecha]&gt;=DATE($K$36,MATCH(L44,$V$18:$V$29,0),1))*(factVentas[fecha]&lt;DATE($K$36,MATCH(L44,$V$18:$V$29,0) + 1,1))))</f>
        <v>28</v>
      </c>
      <c r="N44" s="67" cm="1">
        <f t="array" ref="N44">COUNT(_xlfn.UNIQUE(_xlfn._xlws.FILTER(factVentas[fecha], (factVentas[fecha]&gt;=DATE($K$36,MATCH(L44,$V$18:$V$29,0),1))*(factVentas[fecha]&lt;DATE($K$36,MATCH(L44,$V$18:$V$29,0) + 1,1)))))</f>
        <v>19</v>
      </c>
      <c r="O44" s="69">
        <f t="shared" si="6"/>
        <v>0.6333333333333333</v>
      </c>
      <c r="P44" s="38" cm="1">
        <f t="array" ref="P44">IFERROR(SUM(_xlfn._xlws.FILTER(factVentas[precio], (factVentas[fecha] &gt;= DATE($K$36,MATCH(L44,$V$18:$V$29,0),1)) * (factVentas[fecha] &lt; DATE($K$36,MATCH(L44,$V$18:$V$29,0) + 1,1)))) - SUM(_xlfn._xlws.FILTER(factVentas[anticipo], (factVentas[fecha] &gt;= DATE($K$36,MATCH(L44,$V$18:$V$29,0),1)) * (factVentas[fecha] &lt; DATE($K$36,MATCH(L44,$V$18:$V$29,0) + 1,1)))),"")</f>
        <v>127166.5</v>
      </c>
      <c r="Q44" s="37" cm="1">
        <f t="array" ref="Q44">IFERROR(SUM(_xlfn._xlws.FILTER(factVentas[total], (factVentas[fecha] &gt;= DATE($K$36,MATCH(L44,$V$18:$V$29,0),1)) * (factVentas[fecha] &lt; DATE($K$36,MATCH(L44,$V$18:$V$29,0) + 1,1)))) - P44,"")</f>
        <v>133761.12000000002</v>
      </c>
      <c r="R44" s="57" cm="1">
        <f t="array" ref="R44">IFERROR(AVERAGE(_xlfn._xlws.FILTER(factVentas[plazos], (factVentas[fecha] &gt;= DATE($K$36,MATCH(L44,$V$18:$V$29,0),1)) * (factVentas[fecha] &lt; DATE($K$36,MATCH(L44,$V$18:$V$29,0) + 1,1)))),"")</f>
        <v>29.035714285714285</v>
      </c>
      <c r="S44" s="38" cm="1">
        <f t="array" ref="S44">IFERROR(SUM(_xlfn._xlws.FILTER(factVentas[semanal], (factVentas[fecha] &gt;= DATE($K$36,MATCH(L44,$V$18:$V$29,0),1)) * (factVentas[fecha] &lt; DATE($K$36,MATCH(L44,$V$18:$V$29,0) + 1,1)))),"")</f>
        <v>8529.36</v>
      </c>
      <c r="T44" s="71">
        <f t="shared" si="7"/>
        <v>304.62</v>
      </c>
      <c r="U44" s="45"/>
      <c r="V44" s="45"/>
      <c r="W44" s="45"/>
    </row>
    <row r="45" spans="2:23" x14ac:dyDescent="0.2">
      <c r="C45" s="3"/>
      <c r="D45" s="12"/>
      <c r="E45" s="12"/>
      <c r="K45" s="96"/>
      <c r="L45" s="45" t="s">
        <v>37</v>
      </c>
      <c r="M45" s="45" cm="1">
        <f t="array" ref="M45">COUNT(_xlfn._xlws.FILTER(factVentas[folio], (factVentas[fecha]&gt;=DATE($K$36,MATCH(L45,$V$18:$V$29,0),1))*(factVentas[fecha]&lt;DATE($K$36,MATCH(L45,$V$18:$V$29,0) + 1,1))))</f>
        <v>33</v>
      </c>
      <c r="N45" s="80" cm="1">
        <f t="array" ref="N45">COUNT(_xlfn.UNIQUE(_xlfn._xlws.FILTER(factVentas[fecha], (factVentas[fecha]&gt;=DATE($K$36,MATCH(L45,$V$18:$V$29,0),1))*(factVentas[fecha]&lt;DATE($K$36,MATCH(L45,$V$18:$V$29,0) + 1,1)))))</f>
        <v>21</v>
      </c>
      <c r="O45" s="76">
        <f t="shared" si="6"/>
        <v>0.67741935483870963</v>
      </c>
      <c r="P45" s="63" cm="1">
        <f t="array" ref="P45">IFERROR(SUM(_xlfn._xlws.FILTER(factVentas[precio], (factVentas[fecha] &gt;= DATE($K$36,MATCH(L45,$V$18:$V$29,0),1)) * (factVentas[fecha] &lt; DATE($K$36,MATCH(L45,$V$18:$V$29,0) + 1,1)))) - SUM(_xlfn._xlws.FILTER(factVentas[anticipo], (factVentas[fecha] &gt;= DATE($K$36,MATCH(L45,$V$18:$V$29,0),1)) * (factVentas[fecha] &lt; DATE($K$36,MATCH(L45,$V$18:$V$29,0) + 1,1)))),"")</f>
        <v>126594.5</v>
      </c>
      <c r="Q45" s="46" cm="1">
        <f t="array" ref="Q45">IFERROR(SUM(_xlfn._xlws.FILTER(factVentas[total], (factVentas[fecha] &gt;= DATE($K$36,MATCH(L45,$V$18:$V$29,0),1)) * (factVentas[fecha] &lt; DATE($K$36,MATCH(L45,$V$18:$V$29,0) + 1,1)))) - P45,"")</f>
        <v>137065.20000000001</v>
      </c>
      <c r="R45" s="64" cm="1">
        <f t="array" ref="R45">IFERROR(AVERAGE(_xlfn._xlws.FILTER(factVentas[plazos], (factVentas[fecha] &gt;= DATE($K$36,MATCH(L45,$V$18:$V$29,0),1)) * (factVentas[fecha] &lt; DATE($K$36,MATCH(L45,$V$18:$V$29,0) + 1,1)))),"")</f>
        <v>28.121212121212121</v>
      </c>
      <c r="S45" s="63" cm="1">
        <f t="array" ref="S45">IFERROR(SUM(_xlfn._xlws.FILTER(factVentas[semanal], (factVentas[fecha] &gt;= DATE($K$36,MATCH(L45,$V$18:$V$29,0),1)) * (factVentas[fecha] &lt; DATE($K$36,MATCH(L45,$V$18:$V$29,0) + 1,1)))),"")</f>
        <v>8862.2399999999961</v>
      </c>
      <c r="T45" s="72">
        <f t="shared" si="7"/>
        <v>268.55272727272717</v>
      </c>
      <c r="U45" s="45"/>
      <c r="V45" s="45"/>
      <c r="W45" s="45"/>
    </row>
    <row r="46" spans="2:23" x14ac:dyDescent="0.2">
      <c r="C46" s="3"/>
      <c r="D46" s="12"/>
      <c r="E46" s="12"/>
      <c r="K46" s="96"/>
      <c r="L46" s="15" t="s">
        <v>38</v>
      </c>
      <c r="M46" s="15" cm="1">
        <f t="array" ref="M46">COUNT(_xlfn._xlws.FILTER(factVentas[folio], (factVentas[fecha]&gt;=DATE($K$36,MATCH(L46,$V$18:$V$29,0),1))*(factVentas[fecha]&lt;DATE($K$36,MATCH(L46,$V$18:$V$29,0) + 1,1))))</f>
        <v>52</v>
      </c>
      <c r="N46" s="67" cm="1">
        <f t="array" ref="N46">COUNT(_xlfn.UNIQUE(_xlfn._xlws.FILTER(factVentas[fecha], (factVentas[fecha]&gt;=DATE($K$36,MATCH(L46,$V$18:$V$29,0),1))*(factVentas[fecha]&lt;DATE($K$36,MATCH(L46,$V$18:$V$29,0) + 1,1)))))</f>
        <v>16</v>
      </c>
      <c r="O46" s="69">
        <f t="shared" si="6"/>
        <v>0.53333333333333333</v>
      </c>
      <c r="P46" s="38" cm="1">
        <f t="array" ref="P46">IFERROR(SUM(_xlfn._xlws.FILTER(factVentas[precio], (factVentas[fecha] &gt;= DATE($K$36,MATCH(L46,$V$18:$V$29,0),1)) * (factVentas[fecha] &lt; DATE($K$36,MATCH(L46,$V$18:$V$29,0) + 1,1)))) - SUM(_xlfn._xlws.FILTER(factVentas[anticipo], (factVentas[fecha] &gt;= DATE($K$36,MATCH(L46,$V$18:$V$29,0),1)) * (factVentas[fecha] &lt; DATE($K$36,MATCH(L46,$V$18:$V$29,0) + 1,1)))),"")</f>
        <v>268619.7</v>
      </c>
      <c r="Q46" s="37" cm="1">
        <f t="array" ref="Q46">IFERROR(SUM(_xlfn._xlws.FILTER(factVentas[total], (factVentas[fecha] &gt;= DATE($K$36,MATCH(L46,$V$18:$V$29,0),1)) * (factVentas[fecha] &lt; DATE($K$36,MATCH(L46,$V$18:$V$29,0) + 1,1)))) - P46,"")</f>
        <v>255439.09000000014</v>
      </c>
      <c r="R46" s="57" cm="1">
        <f t="array" ref="R46">IFERROR(AVERAGE(_xlfn._xlws.FILTER(factVentas[plazos], (factVentas[fecha] &gt;= DATE($K$36,MATCH(L46,$V$18:$V$29,0),1)) * (factVentas[fecha] &lt; DATE($K$36,MATCH(L46,$V$18:$V$29,0) + 1,1)))),"")</f>
        <v>34</v>
      </c>
      <c r="S46" s="38" cm="1">
        <f t="array" ref="S46">IFERROR(SUM(_xlfn._xlws.FILTER(factVentas[semanal], (factVentas[fecha] &gt;= DATE($K$36,MATCH(L46,$V$18:$V$29,0),1)) * (factVentas[fecha] &lt; DATE($K$36,MATCH(L46,$V$18:$V$29,0) + 1,1)))),"")</f>
        <v>15916.289999999999</v>
      </c>
      <c r="T46" s="71">
        <f t="shared" si="7"/>
        <v>306.08249999999998</v>
      </c>
      <c r="U46" s="45"/>
      <c r="V46" s="45"/>
      <c r="W46" s="45"/>
    </row>
    <row r="47" spans="2:23" ht="17" thickBot="1" x14ac:dyDescent="0.25">
      <c r="C47" s="3"/>
      <c r="D47" s="12"/>
      <c r="E47" s="12"/>
      <c r="K47" s="97"/>
      <c r="L47" s="47" t="s">
        <v>39</v>
      </c>
      <c r="M47" s="47" cm="1">
        <f t="array" ref="M47">COUNT(_xlfn._xlws.FILTER(factVentas[folio], (factVentas[fecha]&gt;=DATE($K$36,MATCH(L47,$V$18:$V$29,0),1))*(factVentas[fecha]&lt;DATE($K$36,MATCH(L47,$V$18:$V$29,0) + 1,1))))</f>
        <v>29</v>
      </c>
      <c r="N47" s="75" cm="1">
        <f t="array" ref="N47">COUNT(_xlfn.UNIQUE(_xlfn._xlws.FILTER(factVentas[fecha], (factVentas[fecha]&gt;=DATE($K$36,MATCH(L47,$V$18:$V$29,0),1))*(factVentas[fecha]&lt;DATE($K$36,MATCH(L47,$V$18:$V$29,0) + 1,1)))))</f>
        <v>16</v>
      </c>
      <c r="O47" s="77">
        <f t="shared" si="6"/>
        <v>0.5161290322580645</v>
      </c>
      <c r="P47" s="49" cm="1">
        <f t="array" ref="P47">IFERROR(SUM(_xlfn._xlws.FILTER(factVentas[precio], (factVentas[fecha] &gt;= DATE($K$36,MATCH(L47,$V$18:$V$29,0),1)) * (factVentas[fecha] &lt; DATE($K$36,MATCH(L47,$V$18:$V$29,0) + 1,1)))) - SUM(_xlfn._xlws.FILTER(factVentas[anticipo], (factVentas[fecha] &gt;= DATE($K$36,MATCH(L47,$V$18:$V$29,0),1)) * (factVentas[fecha] &lt; DATE($K$36,MATCH(L47,$V$18:$V$29,0) + 1,1)))),"")</f>
        <v>127675.70000000001</v>
      </c>
      <c r="Q47" s="48" cm="1">
        <f t="array" ref="Q47">IFERROR(SUM(_xlfn._xlws.FILTER(factVentas[total], (factVentas[fecha] &gt;= DATE($K$36,MATCH(L47,$V$18:$V$29,0),1)) * (factVentas[fecha] &lt; DATE($K$36,MATCH(L47,$V$18:$V$29,0) + 1,1)))) - P47,"")</f>
        <v>118219.54999999996</v>
      </c>
      <c r="R47" s="62" cm="1">
        <f t="array" ref="R47">IFERROR(AVERAGE(_xlfn._xlws.FILTER(factVentas[plazos], (factVentas[fecha] &gt;= DATE($K$36,MATCH(L47,$V$18:$V$29,0),1)) * (factVentas[fecha] &lt; DATE($K$36,MATCH(L47,$V$18:$V$29,0) + 1,1)))),"")</f>
        <v>29.758620689655171</v>
      </c>
      <c r="S47" s="49" cm="1">
        <f t="array" ref="S47">IFERROR(SUM(_xlfn._xlws.FILTER(factVentas[semanal], (factVentas[fecha] &gt;= DATE($K$36,MATCH(L47,$V$18:$V$29,0),1)) * (factVentas[fecha] &lt; DATE($K$36,MATCH(L47,$V$18:$V$29,0) + 1,1)))),"")</f>
        <v>8035.16</v>
      </c>
      <c r="T47" s="73">
        <f t="shared" si="7"/>
        <v>277.07448275862066</v>
      </c>
      <c r="U47" s="45"/>
      <c r="V47" s="45"/>
      <c r="W47" s="45"/>
    </row>
    <row r="48" spans="2:23" x14ac:dyDescent="0.2">
      <c r="C48" s="3"/>
      <c r="D48" s="12"/>
      <c r="E48" s="12"/>
      <c r="K48" s="19"/>
      <c r="L48" s="15"/>
      <c r="M48" s="87">
        <f>SUM(M36:M47)</f>
        <v>296</v>
      </c>
      <c r="N48" s="65">
        <f>AVERAGE(N36:N47)</f>
        <v>14.333333333333334</v>
      </c>
      <c r="O48" s="84">
        <f>AVERAGE(O36:O47)</f>
        <v>0.47016769073220682</v>
      </c>
      <c r="P48" s="43">
        <f>SUM(P36:P47)</f>
        <v>1380014.8</v>
      </c>
      <c r="Q48" s="43">
        <f t="shared" ref="Q48" si="8">SUM(Q36:Q47)</f>
        <v>1272270.7600000002</v>
      </c>
      <c r="R48" s="65">
        <f>AVERAGE(R36:R47)</f>
        <v>30.2132129011252</v>
      </c>
      <c r="S48" s="43">
        <f t="shared" ref="S48" si="9">AVERAGE(S36:S47)</f>
        <v>6996.5275000000001</v>
      </c>
      <c r="T48" s="43">
        <f t="shared" ref="T48" si="10">AVERAGE(T36:T47)</f>
        <v>292.28334561682908</v>
      </c>
      <c r="U48" s="45"/>
      <c r="V48" s="45"/>
      <c r="W48" s="45"/>
    </row>
    <row r="49" spans="3:23" x14ac:dyDescent="0.2">
      <c r="C49" s="3"/>
      <c r="D49" s="12"/>
      <c r="E49" s="12"/>
      <c r="K49" s="15"/>
      <c r="L49" s="15"/>
      <c r="M49" s="15"/>
      <c r="N49" s="67"/>
      <c r="O49" s="78"/>
      <c r="P49" s="15"/>
      <c r="Q49" s="79"/>
      <c r="R49" s="57"/>
      <c r="S49" s="15"/>
      <c r="T49" s="74"/>
      <c r="U49" s="45"/>
      <c r="V49" s="45"/>
      <c r="W49" s="45"/>
    </row>
    <row r="50" spans="3:23" x14ac:dyDescent="0.2">
      <c r="C50" s="3"/>
      <c r="D50" s="12"/>
      <c r="E50" s="12"/>
      <c r="K50" s="96">
        <v>2026</v>
      </c>
      <c r="L50" s="15" t="s">
        <v>28</v>
      </c>
      <c r="M50" s="15" cm="1">
        <f t="array" ref="M50">COUNT(_xlfn._xlws.FILTER(factVentas[folio], (factVentas[fecha]&gt;=DATE($K$50,MATCH(L50,$V$18:$V$29,0),1))*(factVentas[fecha]&lt;DATE($K$50,MATCH(L50,$V$18:$V$29,0) + 1,1))))</f>
        <v>23</v>
      </c>
      <c r="N50" s="67" cm="1">
        <f t="array" ref="N50">COUNT(_xlfn.UNIQUE(_xlfn._xlws.FILTER(factVentas[fecha], (factVentas[fecha]&gt;=DATE($K$50,MATCH(L50,$V$18:$V$29,0),1))*(factVentas[fecha]&lt;DATE($K$50,MATCH(L50,$V$18:$V$29,0) + 1,1)))))</f>
        <v>12</v>
      </c>
      <c r="O50" s="69">
        <f>N50/(DATE($K$50,MATCH(L50,$V$18:$V$29,0) + 1,1)-DATE($K$50,MATCH(L50,$V$18:$V$29,0),1))</f>
        <v>0.38709677419354838</v>
      </c>
      <c r="P50" s="38" cm="1">
        <f t="array" ref="P50">IFERROR(SUM(_xlfn._xlws.FILTER(factVentas[precio], (factVentas[fecha] &gt;= DATE($K$50,MATCH(L50,$V$18:$V$29,0),1)) * (factVentas[fecha] &lt; DATE($K$50,MATCH(L50,$V$18:$V$29,0) + 1,1)))) - SUM(_xlfn._xlws.FILTER(factVentas[anticipo], (factVentas[fecha] &gt;= DATE($K$50,MATCH(L50,$V$18:$V$29,0),1)) * (factVentas[fecha] &lt; DATE($K$50,MATCH(L50,$V$18:$V$29,0) + 1,1)))),"")</f>
        <v>123622</v>
      </c>
      <c r="Q50" s="37" cm="1">
        <f t="array" ref="Q50">IFERROR(SUM(_xlfn._xlws.FILTER(factVentas[total], (factVentas[fecha] &gt;= DATE($K$50,MATCH(L50,$V$18:$V$29,0),1)) * (factVentas[fecha] &lt; DATE($K$50,MATCH(L50,$V$18:$V$29,0) + 1,1)))) - P50,"")</f>
        <v>110212.33999999991</v>
      </c>
      <c r="R50" s="57" cm="1">
        <f t="array" ref="R50">IFERROR(AVERAGE(_xlfn._xlws.FILTER(factVentas[plazos], (factVentas[fecha] &gt;= DATE($K$50,MATCH(L50,$V$18:$V$29,0),1)) * (factVentas[fecha] &lt; DATE($K$50,MATCH(L50,$V$18:$V$29,0) + 1,1)))),"")</f>
        <v>30.086956521739129</v>
      </c>
      <c r="S50" s="38" cm="1">
        <f t="array" ref="S50">IFERROR(SUM(_xlfn._xlws.FILTER(factVentas[semanal], (factVentas[fecha] &gt;= DATE($K$50,MATCH(L50,$V$18:$V$29,0),1)) * (factVentas[fecha] &lt; DATE($K$50,MATCH(L50,$V$18:$V$29,0) + 1,1)))),"")</f>
        <v>8214.99</v>
      </c>
      <c r="T50" s="71">
        <f>IFERROR(S50 / M50,"")</f>
        <v>357.17347826086956</v>
      </c>
      <c r="U50" s="45"/>
      <c r="V50" s="45"/>
      <c r="W50" s="45"/>
    </row>
    <row r="51" spans="3:23" x14ac:dyDescent="0.2">
      <c r="C51" s="3"/>
      <c r="D51" s="12"/>
      <c r="E51" s="12"/>
      <c r="K51" s="96"/>
      <c r="L51" s="45" t="s">
        <v>29</v>
      </c>
      <c r="M51" s="45" cm="1">
        <f t="array" ref="M51">COUNT(_xlfn._xlws.FILTER(factVentas[folio], (factVentas[fecha]&gt;=DATE($K$50,MATCH(L51,$V$18:$V$29,0),1))*(factVentas[fecha]&lt;DATE($K$50,MATCH(L51,$V$18:$V$29,0) + 1,1))))</f>
        <v>13</v>
      </c>
      <c r="N51" s="80" cm="1">
        <f t="array" ref="N51">COUNT(_xlfn.UNIQUE(_xlfn._xlws.FILTER(factVentas[fecha], (factVentas[fecha]&gt;=DATE($K$50,MATCH(L51,$V$18:$V$29,0),1))*(factVentas[fecha]&lt;DATE($K$50,MATCH(L51,$V$18:$V$29,0) + 1,1)))))</f>
        <v>11</v>
      </c>
      <c r="O51" s="76">
        <f>N51/(DATE($K$50,MATCH(L51,$V$18:$V$29,0) + 1,1)-DATE($K$50,MATCH(L51,$V$18:$V$29,0),1))</f>
        <v>0.39285714285714285</v>
      </c>
      <c r="P51" s="63" cm="1">
        <f t="array" ref="P51">IFERROR(SUM(_xlfn._xlws.FILTER(factVentas[precio], (factVentas[fecha] &gt;= DATE($K$50,MATCH(L51,$V$18:$V$29,0),1)) * (factVentas[fecha] &lt; DATE($K$50,MATCH(L51,$V$18:$V$29,0) + 1,1)))) - SUM(_xlfn._xlws.FILTER(factVentas[anticipo], (factVentas[fecha] &gt;= DATE($K$50,MATCH(L51,$V$18:$V$29,0),1)) * (factVentas[fecha] &lt; DATE($K$50,MATCH(L51,$V$18:$V$29,0) + 1,1)))),"")</f>
        <v>53946.43</v>
      </c>
      <c r="Q51" s="46" cm="1">
        <f t="array" ref="Q51">IFERROR(SUM(_xlfn._xlws.FILTER(factVentas[total], (factVentas[fecha] &gt;= DATE($K$50,MATCH(L51,$V$18:$V$29,0),1)) * (factVentas[fecha] &lt; DATE($K$50,MATCH(L51,$V$18:$V$29,0) + 1,1)))) - P51,"")</f>
        <v>49899.460000000014</v>
      </c>
      <c r="R51" s="64" cm="1">
        <f t="array" ref="R51">IFERROR(AVERAGE(_xlfn._xlws.FILTER(factVentas[plazos], (factVentas[fecha] &gt;= DATE($K$50,MATCH(L51,$V$18:$V$29,0),1)) * (factVentas[fecha] &lt; DATE($K$50,MATCH(L51,$V$18:$V$29,0) + 1,1)))),"")</f>
        <v>31.384615384615383</v>
      </c>
      <c r="S51" s="63" cm="1">
        <f t="array" ref="S51">IFERROR(SUM(_xlfn._xlws.FILTER(factVentas[semanal], (factVentas[fecha] &gt;= DATE($K$50,MATCH(L51,$V$18:$V$29,0),1)) * (factVentas[fecha] &lt; DATE($K$50,MATCH(L51,$V$18:$V$29,0) + 1,1)))),"")</f>
        <v>3516.6499999999996</v>
      </c>
      <c r="T51" s="72">
        <f t="shared" ref="T51:T54" si="11">IFERROR(S51 / M51,"")</f>
        <v>270.51153846153841</v>
      </c>
      <c r="U51" s="45"/>
      <c r="V51" s="45"/>
      <c r="W51" s="45"/>
    </row>
    <row r="52" spans="3:23" x14ac:dyDescent="0.2">
      <c r="C52" s="3"/>
      <c r="D52" s="12"/>
      <c r="E52" s="12"/>
      <c r="K52" s="96"/>
      <c r="L52" s="15" t="s">
        <v>30</v>
      </c>
      <c r="M52" s="15" cm="1">
        <f t="array" ref="M52">COUNT(_xlfn._xlws.FILTER(factVentas[folio], (factVentas[fecha]&gt;=DATE($K$50,MATCH(L52,$V$18:$V$29,0),1))*(factVentas[fecha]&lt;DATE($K$50,MATCH(L52,$V$18:$V$29,0) + 1,1))))</f>
        <v>15</v>
      </c>
      <c r="N52" s="67" cm="1">
        <f t="array" ref="N52">COUNT(_xlfn.UNIQUE(_xlfn._xlws.FILTER(factVentas[fecha], (factVentas[fecha]&gt;=DATE($K$50,MATCH(L52,$V$18:$V$29,0),1))*(factVentas[fecha]&lt;DATE($K$50,MATCH(L52,$V$18:$V$29,0) + 1,1)))))</f>
        <v>12</v>
      </c>
      <c r="O52" s="69">
        <f>N52/(DATE($K$50,MATCH(L52,$V$18:$V$29,0) + 1,1)-DATE($K$50,MATCH(L52,$V$18:$V$29,0),1))</f>
        <v>0.38709677419354838</v>
      </c>
      <c r="P52" s="38" cm="1">
        <f t="array" ref="P52">IFERROR(SUM(_xlfn._xlws.FILTER(factVentas[precio], (factVentas[fecha] &gt;= DATE($K$50,MATCH(L52,$V$18:$V$29,0),1)) * (factVentas[fecha] &lt; DATE($K$50,MATCH(L52,$V$18:$V$29,0) + 1,1)))) - SUM(_xlfn._xlws.FILTER(factVentas[anticipo], (factVentas[fecha] &gt;= DATE($K$50,MATCH(L52,$V$18:$V$29,0),1)) * (factVentas[fecha] &lt; DATE($K$50,MATCH(L52,$V$18:$V$29,0) + 1,1)))),"")</f>
        <v>93264.5</v>
      </c>
      <c r="Q52" s="37" cm="1">
        <f t="array" ref="Q52">IFERROR(SUM(_xlfn._xlws.FILTER(factVentas[total], (factVentas[fecha] &gt;= DATE($K$50,MATCH(L52,$V$18:$V$29,0),1)) * (factVentas[fecha] &lt; DATE($K$50,MATCH(L52,$V$18:$V$29,0) + 1,1)))) - P52,"")</f>
        <v>47258.890000000014</v>
      </c>
      <c r="R52" s="57" cm="1">
        <f t="array" ref="R52">IFERROR(AVERAGE(_xlfn._xlws.FILTER(factVentas[plazos], (factVentas[fecha] &gt;= DATE($K$50,MATCH(L52,$V$18:$V$29,0),1)) * (factVentas[fecha] &lt; DATE($K$50,MATCH(L52,$V$18:$V$29,0) + 1,1)))),"")</f>
        <v>33.799999999999997</v>
      </c>
      <c r="S52" s="38" cm="1">
        <f t="array" ref="S52">IFERROR(SUM(_xlfn._xlws.FILTER(factVentas[semanal], (factVentas[fecha] &gt;= DATE($K$50,MATCH(L52,$V$18:$V$29,0),1)) * (factVentas[fecha] &lt; DATE($K$50,MATCH(L52,$V$18:$V$29,0) + 1,1)))),"")</f>
        <v>4509.3900000000003</v>
      </c>
      <c r="T52" s="71">
        <f t="shared" si="11"/>
        <v>300.62600000000003</v>
      </c>
      <c r="U52" s="45"/>
      <c r="V52" s="45"/>
      <c r="W52" s="45"/>
    </row>
    <row r="53" spans="3:23" x14ac:dyDescent="0.2">
      <c r="C53" s="3"/>
      <c r="D53" s="12"/>
      <c r="E53" s="12"/>
      <c r="K53" s="96"/>
      <c r="L53" s="45" t="s">
        <v>31</v>
      </c>
      <c r="M53" s="45" cm="1">
        <f t="array" ref="M53">COUNT(_xlfn._xlws.FILTER(factVentas[folio], (factVentas[fecha]&gt;=DATE($K$50,MATCH(L53,$V$18:$V$29,0),1))*(factVentas[fecha]&lt;DATE($K$50,MATCH(L53,$V$18:$V$29,0) + 1,1))))</f>
        <v>10</v>
      </c>
      <c r="N53" s="80" cm="1">
        <f t="array" ref="N53">COUNT(_xlfn.UNIQUE(_xlfn._xlws.FILTER(factVentas[fecha], (factVentas[fecha]&gt;=DATE($K$50,MATCH(L53,$V$18:$V$29,0),1))*(factVentas[fecha]&lt;DATE($K$50,MATCH(L53,$V$18:$V$29,0) + 1,1)))))</f>
        <v>10</v>
      </c>
      <c r="O53" s="76">
        <f>N53/(DATE($K$50,MATCH(L53,$V$18:$V$29,0) + 1,1)-DATE($K$50,MATCH(L53,$V$18:$V$29,0),1))</f>
        <v>0.33333333333333331</v>
      </c>
      <c r="P53" s="63" cm="1">
        <f t="array" ref="P53">IFERROR(SUM(_xlfn._xlws.FILTER(factVentas[precio], (factVentas[fecha] &gt;= DATE($K$50,MATCH(L53,$V$18:$V$29,0),1)) * (factVentas[fecha] &lt; DATE($K$50,MATCH(L53,$V$18:$V$29,0) + 1,1)))) - SUM(_xlfn._xlws.FILTER(factVentas[anticipo], (factVentas[fecha] &gt;= DATE($K$50,MATCH(L53,$V$18:$V$29,0),1)) * (factVentas[fecha] &lt; DATE($K$50,MATCH(L53,$V$18:$V$29,0) + 1,1)))),"")</f>
        <v>66743</v>
      </c>
      <c r="Q53" s="46" cm="1">
        <f t="array" ref="Q53">IFERROR(SUM(_xlfn._xlws.FILTER(factVentas[total], (factVentas[fecha] &gt;= DATE($K$50,MATCH(L53,$V$18:$V$29,0),1)) * (factVentas[fecha] &lt; DATE($K$50,MATCH(L53,$V$18:$V$29,0) + 1,1)))) - P53,"")</f>
        <v>45705.47</v>
      </c>
      <c r="R53" s="64" cm="1">
        <f t="array" ref="R53">IFERROR(AVERAGE(_xlfn._xlws.FILTER(factVentas[plazos], (factVentas[fecha] &gt;= DATE($K$50,MATCH(L53,$V$18:$V$29,0),1)) * (factVentas[fecha] &lt; DATE($K$50,MATCH(L53,$V$18:$V$29,0) + 1,1)))),"")</f>
        <v>34.200000000000003</v>
      </c>
      <c r="S53" s="63" cm="1">
        <f t="array" ref="S53">IFERROR(SUM(_xlfn._xlws.FILTER(factVentas[semanal], (factVentas[fecha] &gt;= DATE($K$50,MATCH(L53,$V$18:$V$29,0),1)) * (factVentas[fecha] &lt; DATE($K$50,MATCH(L53,$V$18:$V$29,0) + 1,1)))),"")</f>
        <v>3771.77</v>
      </c>
      <c r="T53" s="72">
        <f t="shared" si="11"/>
        <v>377.17700000000002</v>
      </c>
      <c r="U53" s="45"/>
      <c r="V53" s="45"/>
      <c r="W53" s="45"/>
    </row>
    <row r="54" spans="3:23" ht="17" thickBot="1" x14ac:dyDescent="0.25">
      <c r="C54" s="3"/>
      <c r="D54" s="12"/>
      <c r="E54" s="12"/>
      <c r="K54" s="97"/>
      <c r="L54" s="39" t="s">
        <v>32</v>
      </c>
      <c r="M54" s="39" cm="1">
        <f t="array" ref="M54">COUNT(_xlfn._xlws.FILTER(factVentas[folio], (factVentas[fecha]&gt;=DATE($K$50,MATCH(L54,$V$18:$V$29,0),1))*(factVentas[fecha]&lt;DATE($K$50,MATCH(L54,$V$18:$V$29,0) + 1,1))))</f>
        <v>16</v>
      </c>
      <c r="N54" s="66" cm="1">
        <f t="array" ref="N54">COUNT(_xlfn.UNIQUE(_xlfn._xlws.FILTER(factVentas[fecha], (factVentas[fecha]&gt;=DATE($K$50,MATCH(L54,$V$18:$V$29,0),1))*(factVentas[fecha]&lt;DATE($K$50,MATCH(L54,$V$18:$V$29,0) + 1,1)))))</f>
        <v>13</v>
      </c>
      <c r="O54" s="68">
        <f>N54/(DATE($K$50,MATCH(L54,$V$18:$V$29,0) + 1,1)-DATE($K$50,MATCH(L54,$V$18:$V$29,0),1))</f>
        <v>0.41935483870967744</v>
      </c>
      <c r="P54" s="41" cm="1">
        <f t="array" ref="P54">IFERROR(SUM(_xlfn._xlws.FILTER(factVentas[precio], (factVentas[fecha] &gt;= DATE($K$50,MATCH(L54,$V$18:$V$29,0),1)) * (factVentas[fecha] &lt; DATE($K$50,MATCH(L54,$V$18:$V$29,0) + 1,1)))) - SUM(_xlfn._xlws.FILTER(factVentas[anticipo], (factVentas[fecha] &gt;= DATE($K$50,MATCH(L54,$V$18:$V$29,0),1)) * (factVentas[fecha] &lt; DATE($K$50,MATCH(L54,$V$18:$V$29,0) + 1,1)))),"")</f>
        <v>104790.5</v>
      </c>
      <c r="Q54" s="40" cm="1">
        <f t="array" ref="Q54">IFERROR(SUM(_xlfn._xlws.FILTER(factVentas[total], (factVentas[fecha] &gt;= DATE($K$50,MATCH(L54,$V$18:$V$29,0),1)) * (factVentas[fecha] &lt; DATE($K$50,MATCH(L54,$V$18:$V$29,0) + 1,1)))) - P54,"")</f>
        <v>63968.719999999972</v>
      </c>
      <c r="R54" s="61" cm="1">
        <f t="array" ref="R54">IFERROR(AVERAGE(_xlfn._xlws.FILTER(factVentas[plazos], (factVentas[fecha] &gt;= DATE($K$50,MATCH(L54,$V$18:$V$29,0),1)) * (factVentas[fecha] &lt; DATE($K$50,MATCH(L54,$V$18:$V$29,0) + 1,1)))),"")</f>
        <v>33.6875</v>
      </c>
      <c r="S54" s="41" cm="1">
        <f t="array" ref="S54">IFERROR(SUM(_xlfn._xlws.FILTER(factVentas[semanal], (factVentas[fecha] &gt;= DATE($K$50,MATCH(L54,$V$18:$V$29,0),1)) * (factVentas[fecha] &lt; DATE($K$50,MATCH(L54,$V$18:$V$29,0) + 1,1)))),"")</f>
        <v>5346.68</v>
      </c>
      <c r="T54" s="70">
        <f t="shared" si="11"/>
        <v>334.16750000000002</v>
      </c>
      <c r="U54" s="45"/>
      <c r="V54" s="45"/>
      <c r="W54" s="45"/>
    </row>
    <row r="55" spans="3:23" x14ac:dyDescent="0.2">
      <c r="C55" s="3"/>
      <c r="D55" s="12"/>
      <c r="E55" s="12"/>
      <c r="K55" s="52"/>
      <c r="L55" s="15"/>
      <c r="M55" s="88">
        <f>SUM(M50:M54)</f>
        <v>77</v>
      </c>
      <c r="N55" s="82">
        <f>AVERAGE(N50:N54)</f>
        <v>11.6</v>
      </c>
      <c r="O55" s="83">
        <f>AVERAGE(O50:O54)</f>
        <v>0.38394777265745011</v>
      </c>
      <c r="P55" s="81">
        <f>SUM(P50:P54)</f>
        <v>442366.43</v>
      </c>
      <c r="Q55" s="81">
        <f>SUM(Q50:Q54)</f>
        <v>317044.87999999989</v>
      </c>
      <c r="R55" s="82">
        <f>AVERAGE(R50:R54)</f>
        <v>32.6318143812709</v>
      </c>
      <c r="S55" s="81">
        <f>AVERAGE(S50:S54)</f>
        <v>5071.8959999999997</v>
      </c>
      <c r="T55" s="81">
        <f>AVERAGE(T50:T54)</f>
        <v>327.93110334448158</v>
      </c>
      <c r="U55" s="45"/>
      <c r="V55" s="45"/>
      <c r="W55" s="45"/>
    </row>
    <row r="56" spans="3:23" x14ac:dyDescent="0.2">
      <c r="C56" s="3"/>
      <c r="D56" s="12"/>
      <c r="E56" s="12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45"/>
      <c r="V56" s="45"/>
      <c r="W56" s="45"/>
    </row>
    <row r="57" spans="3:23" x14ac:dyDescent="0.2">
      <c r="C57" s="3"/>
      <c r="D57" s="12"/>
      <c r="E57" s="12"/>
      <c r="K57" s="45"/>
      <c r="L57" s="45"/>
      <c r="M57" s="89">
        <f>SUM(M20,M34,M48,M55)</f>
        <v>449</v>
      </c>
      <c r="N57" s="90">
        <f>AVERAGE(N55,N48,N34,N20)</f>
        <v>8.1916666666666664</v>
      </c>
      <c r="O57" s="91">
        <f>AVERAGE(O55,O48,O34,O20)</f>
        <v>0.26927135750481135</v>
      </c>
      <c r="P57" s="92">
        <f>SUM(P55,P48,P34,P20)</f>
        <v>2270361.23</v>
      </c>
      <c r="Q57" s="92">
        <f>SUM(Q55,Q48,Q34,Q20)</f>
        <v>1906422.9200000002</v>
      </c>
      <c r="R57" s="90">
        <f>AVERAGE(R55,R48,R34,R20)</f>
        <v>28.80658339460981</v>
      </c>
      <c r="S57" s="92">
        <f>AVERAGE(S55,S48,S34,S20)</f>
        <v>3886.185375</v>
      </c>
      <c r="T57" s="92">
        <f>AVERAGE(T55,T48,T34,T20)</f>
        <v>351.01371055714242</v>
      </c>
      <c r="U57" s="45"/>
      <c r="V57" s="45"/>
      <c r="W57" s="45"/>
    </row>
    <row r="58" spans="3:23" x14ac:dyDescent="0.2">
      <c r="C58" s="3"/>
      <c r="D58" s="12"/>
      <c r="E58" s="12"/>
    </row>
    <row r="59" spans="3:23" x14ac:dyDescent="0.2">
      <c r="C59" s="3"/>
      <c r="D59" s="12"/>
      <c r="E59" s="12"/>
    </row>
    <row r="60" spans="3:23" x14ac:dyDescent="0.2">
      <c r="C60" s="3"/>
      <c r="D60" s="12"/>
      <c r="E60" s="12"/>
    </row>
    <row r="61" spans="3:23" x14ac:dyDescent="0.2">
      <c r="C61" s="3"/>
      <c r="D61" s="12"/>
      <c r="E61" s="12"/>
    </row>
    <row r="62" spans="3:23" x14ac:dyDescent="0.2">
      <c r="C62" s="3"/>
      <c r="D62" s="12"/>
      <c r="E62" s="12"/>
    </row>
    <row r="63" spans="3:23" x14ac:dyDescent="0.2">
      <c r="C63" s="3"/>
      <c r="D63" s="12"/>
      <c r="E63" s="12"/>
    </row>
    <row r="64" spans="3:23" x14ac:dyDescent="0.2">
      <c r="C64" s="3"/>
      <c r="D64" s="12"/>
      <c r="E64" s="12"/>
    </row>
    <row r="65" spans="3:5" x14ac:dyDescent="0.2">
      <c r="C65" s="3"/>
      <c r="D65" s="12"/>
      <c r="E65" s="12"/>
    </row>
    <row r="66" spans="3:5" x14ac:dyDescent="0.2">
      <c r="C66" s="3"/>
      <c r="D66" s="12"/>
      <c r="E66" s="12"/>
    </row>
    <row r="67" spans="3:5" x14ac:dyDescent="0.2">
      <c r="C67" s="3"/>
      <c r="D67" s="12"/>
      <c r="E67" s="12"/>
    </row>
    <row r="68" spans="3:5" x14ac:dyDescent="0.2">
      <c r="C68" s="3"/>
      <c r="D68" s="12"/>
      <c r="E68" s="12"/>
    </row>
    <row r="69" spans="3:5" x14ac:dyDescent="0.2">
      <c r="C69" s="3"/>
      <c r="D69" s="12"/>
      <c r="E69" s="12"/>
    </row>
    <row r="70" spans="3:5" x14ac:dyDescent="0.2">
      <c r="C70" s="3"/>
      <c r="D70" s="12"/>
      <c r="E70" s="12"/>
    </row>
    <row r="71" spans="3:5" x14ac:dyDescent="0.2">
      <c r="C71" s="3"/>
      <c r="D71" s="12"/>
      <c r="E71" s="12"/>
    </row>
    <row r="72" spans="3:5" x14ac:dyDescent="0.2">
      <c r="C72" s="3"/>
      <c r="D72" s="12"/>
      <c r="E72" s="12"/>
    </row>
    <row r="73" spans="3:5" x14ac:dyDescent="0.2">
      <c r="C73" s="3"/>
      <c r="D73" s="12"/>
      <c r="E73" s="12"/>
    </row>
    <row r="74" spans="3:5" x14ac:dyDescent="0.2">
      <c r="C74" s="3"/>
      <c r="D74" s="12"/>
      <c r="E74" s="12"/>
    </row>
    <row r="75" spans="3:5" x14ac:dyDescent="0.2">
      <c r="C75" s="3"/>
      <c r="D75" s="12"/>
      <c r="E75" s="12"/>
    </row>
    <row r="76" spans="3:5" x14ac:dyDescent="0.2">
      <c r="C76" s="3"/>
      <c r="D76" s="12"/>
      <c r="E76" s="12"/>
    </row>
    <row r="77" spans="3:5" x14ac:dyDescent="0.2">
      <c r="C77" s="3"/>
      <c r="D77" s="12"/>
      <c r="E77" s="12"/>
    </row>
    <row r="78" spans="3:5" x14ac:dyDescent="0.2">
      <c r="C78" s="3"/>
      <c r="D78" s="12"/>
      <c r="E78" s="12"/>
    </row>
    <row r="79" spans="3:5" x14ac:dyDescent="0.2">
      <c r="C79" s="3"/>
      <c r="D79" s="12"/>
      <c r="E79" s="12"/>
    </row>
    <row r="80" spans="3:5" x14ac:dyDescent="0.2">
      <c r="C80" s="3"/>
      <c r="D80" s="12"/>
      <c r="E80" s="12"/>
    </row>
    <row r="81" spans="3:5" x14ac:dyDescent="0.2">
      <c r="C81" s="3"/>
      <c r="D81" s="12"/>
      <c r="E81" s="12"/>
    </row>
    <row r="82" spans="3:5" x14ac:dyDescent="0.2">
      <c r="C82" s="3"/>
      <c r="D82" s="12"/>
      <c r="E82" s="12"/>
    </row>
    <row r="83" spans="3:5" x14ac:dyDescent="0.2">
      <c r="C83" s="3"/>
      <c r="D83" s="12"/>
      <c r="E83" s="12"/>
    </row>
    <row r="84" spans="3:5" x14ac:dyDescent="0.2">
      <c r="C84" s="3"/>
      <c r="D84" s="12"/>
      <c r="E84" s="12"/>
    </row>
    <row r="85" spans="3:5" x14ac:dyDescent="0.2">
      <c r="C85" s="3"/>
      <c r="D85" s="12"/>
      <c r="E85" s="12"/>
    </row>
    <row r="86" spans="3:5" x14ac:dyDescent="0.2">
      <c r="C86" s="3"/>
      <c r="D86" s="12"/>
      <c r="E86" s="12"/>
    </row>
    <row r="87" spans="3:5" x14ac:dyDescent="0.2">
      <c r="C87" s="3"/>
      <c r="D87" s="12"/>
      <c r="E87" s="12"/>
    </row>
    <row r="88" spans="3:5" x14ac:dyDescent="0.2">
      <c r="C88" s="3"/>
      <c r="D88" s="12"/>
      <c r="E88" s="12"/>
    </row>
    <row r="89" spans="3:5" x14ac:dyDescent="0.2">
      <c r="C89" s="3"/>
      <c r="D89" s="12"/>
      <c r="E89" s="12"/>
    </row>
    <row r="90" spans="3:5" x14ac:dyDescent="0.2">
      <c r="C90" s="3"/>
      <c r="D90" s="12"/>
      <c r="E90" s="12"/>
    </row>
    <row r="91" spans="3:5" x14ac:dyDescent="0.2">
      <c r="C91" s="3"/>
      <c r="D91" s="12"/>
      <c r="E91" s="12"/>
    </row>
    <row r="92" spans="3:5" x14ac:dyDescent="0.2">
      <c r="C92" s="3"/>
      <c r="D92" s="12"/>
      <c r="E92" s="12"/>
    </row>
    <row r="93" spans="3:5" x14ac:dyDescent="0.2">
      <c r="C93" s="3"/>
      <c r="D93" s="12"/>
      <c r="E93" s="12"/>
    </row>
    <row r="94" spans="3:5" x14ac:dyDescent="0.2">
      <c r="C94" s="3"/>
      <c r="D94" s="12"/>
      <c r="E94" s="12"/>
    </row>
    <row r="95" spans="3:5" x14ac:dyDescent="0.2">
      <c r="C95" s="3"/>
      <c r="D95" s="12"/>
      <c r="E95" s="12"/>
    </row>
    <row r="96" spans="3:5" x14ac:dyDescent="0.2">
      <c r="C96" s="3"/>
      <c r="D96" s="12"/>
      <c r="E96" s="12"/>
    </row>
    <row r="97" spans="3:5" x14ac:dyDescent="0.2">
      <c r="C97" s="3"/>
      <c r="D97" s="12"/>
      <c r="E97" s="12"/>
    </row>
    <row r="98" spans="3:5" x14ac:dyDescent="0.2">
      <c r="C98" s="3"/>
      <c r="D98" s="12"/>
      <c r="E98" s="12"/>
    </row>
    <row r="99" spans="3:5" x14ac:dyDescent="0.2">
      <c r="C99" s="3"/>
      <c r="D99" s="12"/>
      <c r="E99" s="12"/>
    </row>
    <row r="100" spans="3:5" x14ac:dyDescent="0.2">
      <c r="C100" s="3"/>
      <c r="D100" s="12"/>
      <c r="E100" s="12"/>
    </row>
    <row r="101" spans="3:5" x14ac:dyDescent="0.2">
      <c r="C101" s="3"/>
      <c r="D101" s="12"/>
      <c r="E101" s="12"/>
    </row>
    <row r="102" spans="3:5" x14ac:dyDescent="0.2">
      <c r="C102" s="3"/>
      <c r="D102" s="12"/>
      <c r="E102" s="12"/>
    </row>
    <row r="103" spans="3:5" x14ac:dyDescent="0.2">
      <c r="C103" s="3"/>
      <c r="D103" s="12"/>
      <c r="E103" s="12"/>
    </row>
    <row r="104" spans="3:5" x14ac:dyDescent="0.2">
      <c r="C104" s="3"/>
      <c r="D104" s="12"/>
      <c r="E104" s="12"/>
    </row>
    <row r="105" spans="3:5" x14ac:dyDescent="0.2">
      <c r="C105" s="3"/>
      <c r="D105" s="12"/>
      <c r="E105" s="12"/>
    </row>
    <row r="106" spans="3:5" x14ac:dyDescent="0.2">
      <c r="C106" s="3"/>
      <c r="D106" s="12"/>
      <c r="E106" s="12"/>
    </row>
    <row r="107" spans="3:5" x14ac:dyDescent="0.2">
      <c r="C107" s="3"/>
      <c r="D107" s="12"/>
      <c r="E107" s="12"/>
    </row>
    <row r="108" spans="3:5" x14ac:dyDescent="0.2">
      <c r="C108" s="3"/>
      <c r="D108" s="12"/>
      <c r="E108" s="12"/>
    </row>
  </sheetData>
  <mergeCells count="13">
    <mergeCell ref="R6:T6"/>
    <mergeCell ref="N6:O6"/>
    <mergeCell ref="N16:O16"/>
    <mergeCell ref="R16:T16"/>
    <mergeCell ref="K50:K54"/>
    <mergeCell ref="K22:K33"/>
    <mergeCell ref="K36:K47"/>
    <mergeCell ref="B3:D6"/>
    <mergeCell ref="G7:I7"/>
    <mergeCell ref="H15:I15"/>
    <mergeCell ref="H21:I21"/>
    <mergeCell ref="H29:I29"/>
    <mergeCell ref="D12:F13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815A03-D245-E642-B1BE-C794E6CF62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factVentas</vt:lpstr>
      <vt:lpstr>ventas</vt:lpstr>
      <vt:lpstr>Diseño</vt:lpstr>
      <vt:lpstr>DASHBOARD 1 - VENTAS</vt:lpstr>
      <vt:lpstr>DASHBOARD 1 - VENTAS (C)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2026-06-29T23:12:59Z</dcterms:created>
  <dcterms:modified xsi:type="dcterms:W3CDTF">2026-06-30T23:20:46Z</dcterms:modified>
</cp:coreProperties>
</file>