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1/"/>
    </mc:Choice>
  </mc:AlternateContent>
  <xr:revisionPtr revIDLastSave="0" documentId="13_ncr:1_{FE1D447C-31B5-FF4D-990D-FBFDB3BD9C13}" xr6:coauthVersionLast="47" xr6:coauthVersionMax="47" xr10:uidLastSave="{00000000-0000-0000-0000-000000000000}"/>
  <bookViews>
    <workbookView xWindow="0" yWindow="0" windowWidth="38400" windowHeight="21600" activeTab="4" xr2:uid="{F8B96A90-23D3-4549-8C33-1F937CD14476}"/>
  </bookViews>
  <sheets>
    <sheet name="Hoja1" sheetId="1" r:id="rId1"/>
    <sheet name="Hoja2" sheetId="2" r:id="rId2"/>
    <sheet name="Detalle1" sheetId="4" r:id="rId3"/>
    <sheet name="Hoja3" sheetId="3" r:id="rId4"/>
    <sheet name="Hoja4" sheetId="5" r:id="rId5"/>
  </sheets>
  <calcPr calcId="181029"/>
  <pivotCaches>
    <pivotCache cacheId="6" r:id="rId6"/>
    <pivotCache cacheId="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33" i="5" l="1"/>
  <c r="X32" i="5"/>
  <c r="T33" i="5"/>
  <c r="T32" i="5"/>
  <c r="U11" i="5" a="1"/>
  <c r="U11" i="5" s="1"/>
  <c r="U10" i="5" a="1"/>
  <c r="U10" i="5" s="1"/>
  <c r="T11" i="5" a="1"/>
  <c r="T11" i="5" s="1"/>
  <c r="T10" i="5" a="1"/>
  <c r="T10" i="5" s="1"/>
  <c r="T9" i="5" a="1"/>
  <c r="T9" i="5" s="1"/>
  <c r="S10" i="5" a="1"/>
  <c r="S10" i="5" s="1"/>
  <c r="Q7" i="5" a="1"/>
  <c r="Q7" i="5" s="1"/>
  <c r="K20" i="2" a="1"/>
  <c r="K20" i="2" s="1"/>
  <c r="K21" i="2" a="1"/>
  <c r="K21" i="2" s="1"/>
  <c r="K22" i="2" a="1"/>
  <c r="K22" i="2"/>
  <c r="J21" i="2" a="1"/>
  <c r="J21" i="2" s="1"/>
  <c r="J22" i="2" a="1"/>
  <c r="J22" i="2" s="1"/>
  <c r="J20" i="2" a="1"/>
  <c r="J20" i="2" s="1"/>
  <c r="J19" i="2" a="1"/>
  <c r="J19" i="2" s="1"/>
  <c r="I20" i="2" a="1"/>
  <c r="I20" i="2" s="1"/>
  <c r="K14" i="2" a="1"/>
  <c r="K14" i="2" s="1"/>
  <c r="K15" i="2" a="1"/>
  <c r="K15" i="2" s="1"/>
  <c r="K16" i="2" a="1"/>
  <c r="K16" i="2"/>
  <c r="J15" i="2" a="1"/>
  <c r="J15" i="2" s="1"/>
  <c r="J16" i="2" a="1"/>
  <c r="J16" i="2" s="1"/>
  <c r="K8" i="2" a="1"/>
  <c r="K8" i="2" s="1"/>
  <c r="K9" i="2" a="1"/>
  <c r="K9" i="2" s="1"/>
  <c r="K10" i="2" a="1"/>
  <c r="K10" i="2" s="1"/>
  <c r="J9" i="2" a="1"/>
  <c r="J9" i="2" s="1"/>
  <c r="J10" i="2" a="1"/>
  <c r="J10" i="2" s="1"/>
  <c r="J14" i="2" a="1"/>
  <c r="J14" i="2" s="1"/>
  <c r="J8" i="2" a="1"/>
  <c r="J8" i="2" s="1"/>
  <c r="O10" i="2" a="1"/>
  <c r="O10" i="2" s="1"/>
  <c r="P10" i="2" a="1"/>
  <c r="P10" i="2" s="1"/>
  <c r="J13" i="2" a="1"/>
  <c r="J13" i="2" s="1"/>
  <c r="I14" i="2" a="1"/>
  <c r="I14" i="2" s="1"/>
  <c r="J7" i="2" a="1"/>
  <c r="J7" i="2" s="1"/>
  <c r="I8" i="2" a="1"/>
  <c r="I8" i="2" s="1"/>
  <c r="H12" i="1" a="1"/>
  <c r="H12" i="1" s="1"/>
  <c r="I12" i="1" a="1"/>
  <c r="I12" i="1" s="1"/>
  <c r="H13" i="1" a="1"/>
  <c r="H13" i="1" s="1"/>
  <c r="I13" i="1" a="1"/>
  <c r="I13" i="1" s="1"/>
  <c r="I11" i="1" a="1"/>
  <c r="I11" i="1" s="1"/>
  <c r="H11" i="1" a="1"/>
  <c r="H11" i="1" s="1"/>
  <c r="I8" i="1"/>
  <c r="H8" i="1"/>
  <c r="I7" i="1"/>
  <c r="H7" i="1"/>
  <c r="I6" i="1"/>
  <c r="H6" i="1"/>
  <c r="L24" i="1"/>
  <c r="M24" i="1"/>
  <c r="N24" i="1"/>
  <c r="O24" i="1"/>
  <c r="P24" i="1"/>
  <c r="K24" i="1"/>
  <c r="L23" i="1"/>
  <c r="M23" i="1"/>
  <c r="N23" i="1"/>
  <c r="O23" i="1"/>
  <c r="P23" i="1"/>
  <c r="K23" i="1"/>
  <c r="L22" i="1"/>
  <c r="M22" i="1"/>
  <c r="N22" i="1"/>
  <c r="O22" i="1"/>
  <c r="P22" i="1"/>
  <c r="K22" i="1"/>
  <c r="L6" i="1" a="1"/>
  <c r="L6" i="1" s="1"/>
  <c r="M6" i="1" a="1"/>
  <c r="M6" i="1" s="1"/>
  <c r="N6" i="1" a="1"/>
  <c r="N6" i="1" s="1"/>
  <c r="O6" i="1" a="1"/>
  <c r="O6" i="1" s="1"/>
  <c r="P6" i="1" a="1"/>
  <c r="P6" i="1" s="1"/>
  <c r="K6" i="1" a="1"/>
  <c r="K6" i="1" s="1"/>
  <c r="X16" i="5"/>
  <c r="T30" i="5"/>
  <c r="T29" i="5"/>
  <c r="T27" i="5"/>
  <c r="T26" i="5"/>
  <c r="W22" i="5"/>
  <c r="W21" i="5"/>
  <c r="T22" i="5"/>
  <c r="T21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<sst xmlns="http://schemas.openxmlformats.org/spreadsheetml/2006/main" count="2957" uniqueCount="1004">
  <si>
    <t>A</t>
  </si>
  <si>
    <t>B</t>
  </si>
  <si>
    <t>C</t>
  </si>
  <si>
    <t>Grupo 1</t>
  </si>
  <si>
    <t>Análisis de Datos</t>
  </si>
  <si>
    <t>Naturaleza</t>
  </si>
  <si>
    <t>Continua</t>
  </si>
  <si>
    <t>Mínimo</t>
  </si>
  <si>
    <t>Máximo</t>
  </si>
  <si>
    <t>Rango</t>
  </si>
  <si>
    <t>Suma</t>
  </si>
  <si>
    <t>Media</t>
  </si>
  <si>
    <t>Varianza</t>
  </si>
  <si>
    <t>Desviación Estándar</t>
  </si>
  <si>
    <t>Recuento</t>
  </si>
  <si>
    <t>K Mayor</t>
  </si>
  <si>
    <t>K Menor</t>
  </si>
  <si>
    <t>Cuantiles</t>
  </si>
  <si>
    <t>Percentiles</t>
  </si>
  <si>
    <t>Deciles</t>
  </si>
  <si>
    <t>Quintiles</t>
  </si>
  <si>
    <t>Cuartiles</t>
  </si>
  <si>
    <t>Infinita</t>
  </si>
  <si>
    <t>Categórica</t>
  </si>
  <si>
    <t>Ordenados</t>
  </si>
  <si>
    <t>No Ordenados</t>
  </si>
  <si>
    <t>Grupos</t>
  </si>
  <si>
    <t>Finitos</t>
  </si>
  <si>
    <t>Numérico</t>
  </si>
  <si>
    <t>Conteos</t>
  </si>
  <si>
    <t>Pertenencia</t>
  </si>
  <si>
    <t>Segmento</t>
  </si>
  <si>
    <t>Grupo</t>
  </si>
  <si>
    <t>Agregación</t>
  </si>
  <si>
    <t>Contraste</t>
  </si>
  <si>
    <t>Grupo 2</t>
  </si>
  <si>
    <t>X</t>
  </si>
  <si>
    <t>Y</t>
  </si>
  <si>
    <t>Valor</t>
  </si>
  <si>
    <t>AX</t>
  </si>
  <si>
    <t>AY</t>
  </si>
  <si>
    <t>BX</t>
  </si>
  <si>
    <t>BY</t>
  </si>
  <si>
    <t>CX</t>
  </si>
  <si>
    <t>CY</t>
  </si>
  <si>
    <t>OBSERVACIONES</t>
  </si>
  <si>
    <t>MÁSCARA</t>
  </si>
  <si>
    <t>MÁSCARA / VECTOR DE ACTIVACIÓN</t>
  </si>
  <si>
    <t>SUMA</t>
  </si>
  <si>
    <t>PROMEDIO</t>
  </si>
  <si>
    <t>(Promedio)</t>
  </si>
  <si>
    <t>RECUENTO</t>
  </si>
  <si>
    <t>=</t>
  </si>
  <si>
    <t>SUMA(</t>
  </si>
  <si>
    <t>FILTRAR(</t>
  </si>
  <si>
    <t>FILTRAR</t>
  </si>
  <si>
    <t>VALORES</t>
  </si>
  <si>
    <t>F7:F22</t>
  </si>
  <si>
    <t>(D7:D22="A")</t>
  </si>
  <si>
    <t>(E7:E22="X")</t>
  </si>
  <si>
    <t>SUMA(FILTRAR($F$7:$F$22, ($D$7:$D$22=$I8)*($E$7:$E$22=J$7)))</t>
  </si>
  <si>
    <t>EJEMPLO DE INTERPRETACIÓN</t>
  </si>
  <si>
    <t>Supongamos que el Grupo 1 se refiere a un proveedor y el Grupo 2 a un producto</t>
  </si>
  <si>
    <t>Y en el valor observamos cada entrega que se hace de un producto por parte del proveedor</t>
  </si>
  <si>
    <t>Número de entregas</t>
  </si>
  <si>
    <t>Promedio</t>
  </si>
  <si>
    <t>Total de productos adquiridos por entrega</t>
  </si>
  <si>
    <t>Promedio de productos adquiridos por entrega</t>
  </si>
  <si>
    <t>Se han entregado 150 productos X por parte del proveedor A</t>
  </si>
  <si>
    <t>Se entregan cerca de 30 productos X en cada entrega del proveedor A</t>
  </si>
  <si>
    <t>El proveedor A ha realizado 5 entregas del producto X</t>
  </si>
  <si>
    <t>Etiquetas de fila</t>
  </si>
  <si>
    <t>Total general</t>
  </si>
  <si>
    <t>Etiquetas de columna</t>
  </si>
  <si>
    <t>Suma de Valor</t>
  </si>
  <si>
    <t>Promedio de Valor</t>
  </si>
  <si>
    <t>Detalles de Promedio de Valor - Grupo 1: A, Grupo 2: X</t>
  </si>
  <si>
    <t>Cuenta de Valor</t>
  </si>
  <si>
    <t>Sobrevive</t>
  </si>
  <si>
    <t>Clase</t>
  </si>
  <si>
    <t>Nombre</t>
  </si>
  <si>
    <t>Sexo</t>
  </si>
  <si>
    <t>Edad</t>
  </si>
  <si>
    <t>Familia Horizontal</t>
  </si>
  <si>
    <t>Familia Vertical</t>
  </si>
  <si>
    <t>Pagado</t>
  </si>
  <si>
    <t>Cabina</t>
  </si>
  <si>
    <t>Puerto</t>
  </si>
  <si>
    <t>Braund, Mr. Owen Harris</t>
  </si>
  <si>
    <t>Hombre</t>
  </si>
  <si>
    <t>Southampton</t>
  </si>
  <si>
    <t>Cumings, Mrs. John Bradley (Florence Briggs Thayer)</t>
  </si>
  <si>
    <t>Mujer</t>
  </si>
  <si>
    <t>Cherburg</t>
  </si>
  <si>
    <t>Heikkinen, Miss. Laina</t>
  </si>
  <si>
    <t>Futrelle, Mrs. Jacques Heath (Lily May Peel)</t>
  </si>
  <si>
    <t>Allen, Mr. William Henry</t>
  </si>
  <si>
    <t>Moran, Mr. James</t>
  </si>
  <si>
    <t>Queenstown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</si>
  <si>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</si>
  <si>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</si>
  <si>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</si>
  <si>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</si>
  <si>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</si>
  <si>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</si>
  <si>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</si>
  <si>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</si>
  <si>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</si>
  <si>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>Hewlett, Mrs. (Mary D Kingcome) 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</si>
  <si>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</si>
  <si>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</si>
  <si>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</si>
  <si>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</si>
  <si>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</si>
  <si>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</si>
  <si>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</si>
  <si>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</si>
  <si>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</si>
  <si>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</si>
  <si>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</si>
  <si>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</si>
  <si>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</si>
  <si>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</si>
  <si>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</si>
  <si>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</si>
  <si>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</si>
  <si>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</si>
  <si>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</si>
  <si>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</si>
  <si>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</si>
  <si>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</si>
  <si>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</si>
  <si>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</si>
  <si>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</si>
  <si>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</si>
  <si>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</si>
  <si>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</si>
  <si>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</si>
  <si>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</si>
  <si>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</si>
  <si>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</si>
  <si>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</si>
  <si>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</si>
  <si>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</si>
  <si>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</si>
  <si>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</si>
  <si>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</si>
  <si>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</si>
  <si>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</si>
  <si>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</si>
  <si>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</si>
  <si>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</si>
  <si>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</si>
  <si>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</si>
  <si>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</si>
  <si>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</si>
  <si>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</si>
  <si>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</si>
  <si>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</si>
  <si>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</si>
  <si>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</si>
  <si>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</si>
  <si>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</si>
  <si>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</si>
  <si>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</si>
  <si>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</si>
  <si>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</si>
  <si>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</si>
  <si>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</si>
  <si>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</si>
  <si>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</si>
  <si>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</si>
  <si>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</si>
  <si>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</si>
  <si>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</si>
  <si>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</si>
  <si>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</si>
  <si>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</si>
  <si>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</si>
  <si>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</si>
  <si>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</si>
  <si>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</si>
  <si>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</si>
  <si>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</si>
  <si>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</si>
  <si>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</si>
  <si>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</si>
  <si>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</si>
  <si>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</si>
  <si>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</si>
  <si>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</si>
  <si>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</si>
  <si>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</si>
  <si>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</si>
  <si>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</si>
  <si>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</si>
  <si>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</si>
  <si>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</si>
  <si>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</si>
  <si>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</si>
  <si>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</si>
  <si>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</si>
  <si>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</si>
  <si>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</si>
  <si>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</si>
  <si>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</si>
  <si>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</si>
  <si>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</si>
  <si>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</si>
  <si>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</si>
  <si>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</si>
  <si>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</si>
  <si>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</si>
  <si>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</si>
  <si>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</si>
  <si>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</si>
  <si>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</si>
  <si>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</si>
  <si>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</si>
  <si>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</si>
  <si>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</si>
  <si>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</si>
  <si>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</si>
  <si>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</si>
  <si>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</si>
  <si>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</si>
  <si>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</si>
  <si>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</si>
  <si>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</si>
  <si>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</si>
  <si>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</si>
  <si>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</si>
  <si>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</si>
  <si>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</si>
  <si>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</si>
  <si>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</si>
  <si>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</si>
  <si>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</si>
  <si>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</si>
  <si>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</si>
  <si>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</si>
  <si>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</si>
  <si>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</si>
  <si>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</si>
  <si>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</si>
  <si>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</si>
  <si>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</si>
  <si>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</si>
  <si>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</si>
  <si>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</si>
  <si>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</si>
  <si>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</si>
  <si>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</si>
  <si>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</si>
  <si>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</si>
  <si>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</si>
  <si>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</si>
  <si>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</si>
  <si>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</si>
  <si>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</si>
  <si>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</si>
  <si>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</si>
  <si>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</si>
  <si>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</si>
  <si>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</si>
  <si>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</si>
  <si>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</si>
  <si>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</si>
  <si>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</si>
  <si>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</si>
  <si>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</si>
  <si>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</si>
  <si>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</si>
  <si>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</si>
  <si>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</si>
  <si>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</si>
  <si>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</si>
  <si>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</si>
  <si>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</si>
  <si>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</si>
  <si>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</si>
  <si>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</si>
  <si>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</si>
  <si>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</si>
  <si>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</si>
  <si>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</si>
  <si>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</si>
  <si>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</si>
  <si>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</si>
  <si>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</si>
  <si>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</si>
  <si>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</si>
  <si>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</si>
  <si>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</si>
  <si>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</si>
  <si>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</si>
  <si>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</si>
  <si>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</si>
  <si>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</si>
  <si>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</si>
  <si>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</si>
  <si>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</si>
  <si>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</si>
  <si>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</si>
  <si>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</si>
  <si>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</si>
  <si>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</si>
  <si>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</si>
  <si>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</si>
  <si>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</si>
  <si>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</si>
  <si>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</si>
  <si>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</si>
  <si>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</si>
  <si>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</si>
  <si>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</si>
  <si>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</si>
  <si>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</si>
  <si>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</si>
  <si>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</si>
  <si>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</si>
  <si>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</si>
  <si>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</si>
  <si>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</si>
  <si>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</si>
  <si>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</si>
  <si>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</si>
  <si>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</si>
  <si>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</si>
  <si>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</si>
  <si>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</si>
  <si>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</si>
  <si>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</si>
  <si>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</si>
  <si>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</si>
  <si>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</si>
  <si>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</si>
  <si>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</si>
  <si>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</si>
  <si>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</si>
  <si>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</si>
  <si>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</si>
  <si>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</si>
  <si>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</si>
  <si>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</si>
  <si>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</si>
  <si>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</si>
  <si>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</si>
  <si>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</si>
  <si>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</si>
  <si>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</si>
  <si>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</si>
  <si>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</si>
  <si>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</si>
  <si>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</si>
  <si>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</si>
  <si>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</si>
  <si>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</si>
  <si>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</si>
  <si>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</si>
  <si>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</si>
  <si>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</si>
  <si>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</si>
  <si>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</si>
  <si>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</si>
  <si>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</si>
  <si>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</si>
  <si>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</si>
  <si>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</si>
  <si>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</si>
  <si>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</si>
  <si>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</si>
  <si>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</si>
  <si>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</si>
  <si>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</si>
  <si>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</si>
  <si>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</si>
  <si>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</si>
  <si>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</si>
  <si>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</si>
  <si>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</si>
  <si>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</si>
  <si>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</si>
  <si>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</si>
  <si>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</si>
  <si>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</si>
  <si>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</si>
  <si>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</si>
  <si>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</si>
  <si>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</si>
  <si>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</si>
  <si>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</si>
  <si>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</si>
  <si>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</si>
  <si>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</si>
  <si>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</si>
  <si>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</si>
  <si>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</si>
  <si>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</si>
  <si>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</si>
  <si>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</si>
  <si>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</si>
  <si>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</si>
  <si>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</si>
  <si>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</si>
  <si>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</si>
  <si>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</si>
  <si>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</si>
  <si>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</si>
  <si>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</si>
  <si>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</si>
  <si>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</si>
  <si>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</si>
  <si>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</si>
  <si>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</si>
  <si>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</si>
  <si>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</si>
  <si>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</si>
  <si>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</si>
  <si>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</si>
  <si>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</si>
  <si>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</si>
  <si>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</si>
  <si>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</si>
  <si>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</si>
  <si>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</si>
  <si>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</si>
  <si>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</si>
  <si>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</si>
  <si>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</si>
  <si>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</si>
  <si>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</si>
  <si>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</si>
  <si>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</si>
  <si>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</si>
  <si>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</si>
  <si>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</si>
  <si>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</si>
  <si>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</si>
  <si>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</si>
  <si>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</si>
  <si>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</si>
  <si>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</si>
  <si>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</si>
  <si>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</si>
  <si>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</si>
  <si>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</si>
  <si>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</si>
  <si>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</si>
  <si>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</si>
  <si>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</si>
  <si>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</si>
  <si>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</si>
  <si>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</si>
  <si>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</si>
  <si>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</si>
  <si>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</si>
  <si>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</si>
  <si>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</si>
  <si>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</si>
  <si>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</si>
  <si>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</si>
  <si>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</si>
  <si>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</si>
  <si>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</si>
  <si>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</si>
  <si>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</si>
  <si>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</si>
  <si>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</si>
  <si>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</si>
  <si>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</si>
  <si>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</si>
  <si>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</si>
  <si>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</si>
  <si>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</si>
  <si>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</si>
  <si>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</si>
  <si>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</si>
  <si>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</si>
  <si>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</si>
  <si>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</si>
  <si>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</si>
  <si>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</si>
  <si>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</si>
  <si>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</si>
  <si>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</si>
  <si>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</si>
  <si>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</si>
  <si>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</si>
  <si>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</si>
  <si>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</si>
  <si>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</si>
  <si>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</si>
  <si>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</si>
  <si>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</si>
  <si>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</si>
  <si>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</si>
  <si>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</si>
  <si>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</si>
  <si>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</si>
  <si>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</si>
  <si>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</si>
  <si>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</si>
  <si>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</si>
  <si>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</si>
  <si>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</si>
  <si>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</si>
  <si>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</si>
  <si>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</si>
  <si>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</si>
  <si>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</si>
  <si>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</si>
  <si>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</si>
  <si>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</si>
  <si>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</si>
  <si>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</si>
  <si>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</si>
  <si>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</si>
  <si>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</si>
  <si>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</si>
  <si>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</si>
  <si>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</si>
  <si>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</si>
  <si>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</si>
  <si>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</si>
  <si>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</si>
  <si>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</si>
  <si>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</si>
  <si>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</si>
  <si>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</si>
  <si>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</si>
  <si>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</si>
  <si>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</si>
  <si>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</si>
  <si>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</si>
  <si>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</si>
  <si>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</si>
  <si>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</si>
  <si>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</si>
  <si>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</si>
  <si>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</si>
  <si>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</si>
  <si>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</si>
  <si>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</si>
  <si>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</si>
  <si>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</si>
  <si>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</si>
  <si>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</si>
  <si>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</si>
  <si>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</si>
  <si>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</si>
  <si>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</si>
  <si>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</si>
  <si>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</si>
  <si>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</si>
  <si>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</si>
  <si>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</si>
  <si>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</si>
  <si>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</si>
  <si>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</si>
  <si>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</si>
  <si>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</si>
  <si>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</si>
  <si>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</si>
  <si>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</si>
  <si>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</si>
  <si>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</si>
  <si>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</si>
  <si>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</si>
  <si>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</si>
  <si>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</si>
  <si>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</si>
  <si>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</si>
  <si>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</si>
  <si>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</si>
  <si>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</si>
  <si>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</si>
  <si>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</si>
  <si>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</si>
  <si>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</si>
  <si>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</si>
  <si>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</si>
  <si>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</si>
  <si>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</si>
  <si>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</si>
  <si>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</si>
  <si>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</si>
  <si>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</si>
  <si>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</si>
  <si>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</si>
  <si>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</si>
  <si>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</si>
  <si>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</si>
  <si>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</si>
  <si>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</si>
  <si>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</si>
  <si>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</si>
  <si>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</si>
  <si>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</si>
  <si>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</si>
  <si>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</si>
  <si>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</si>
  <si>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</si>
  <si>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</si>
  <si>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</si>
  <si>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</si>
  <si>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</si>
  <si>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</si>
  <si>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</si>
  <si>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</si>
  <si>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</si>
  <si>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</si>
  <si>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</si>
  <si>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</si>
  <si>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</si>
  <si>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</si>
  <si>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</si>
  <si>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</si>
  <si>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</si>
  <si>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</si>
  <si>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</si>
  <si>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</si>
  <si>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</si>
  <si>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</si>
  <si>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</si>
  <si>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</si>
  <si>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</si>
  <si>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</si>
  <si>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</si>
  <si>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</si>
  <si>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</si>
  <si>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</si>
  <si>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</si>
  <si>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</si>
  <si>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</si>
  <si>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</si>
  <si>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</si>
  <si>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</si>
  <si>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</si>
  <si>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</si>
  <si>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</si>
  <si>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</si>
  <si>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</si>
  <si>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</si>
  <si>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</si>
  <si>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</si>
  <si>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</si>
  <si>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</si>
  <si>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</si>
  <si>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</si>
  <si>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</si>
  <si>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</si>
  <si>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</si>
  <si>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</si>
  <si>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</si>
  <si>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</si>
  <si>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</si>
  <si>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</si>
  <si>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</si>
  <si>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</si>
  <si>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</si>
  <si>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</si>
  <si>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</si>
  <si>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</si>
  <si>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</si>
  <si>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</si>
  <si>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</si>
  <si>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</si>
  <si>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</si>
  <si>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</si>
  <si>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</si>
  <si>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</si>
  <si>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</si>
  <si>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</si>
  <si>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</si>
  <si>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</si>
  <si>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</si>
  <si>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</si>
  <si>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</si>
  <si>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</si>
  <si>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</si>
  <si>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</si>
  <si>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</si>
  <si>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</si>
  <si>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</si>
  <si>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</si>
  <si>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</si>
  <si>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</si>
  <si>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</si>
  <si>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</si>
  <si>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</si>
  <si>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</si>
  <si>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</si>
  <si>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</si>
  <si>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</si>
  <si>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</si>
  <si>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</si>
  <si>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</si>
  <si>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</si>
  <si>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</si>
  <si>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</si>
  <si>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</si>
  <si>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</si>
  <si>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</si>
  <si>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</si>
  <si>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</si>
  <si>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</si>
  <si>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</si>
  <si>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</si>
  <si>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</si>
  <si>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</si>
  <si>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</si>
  <si>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</si>
  <si>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</si>
  <si>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</si>
  <si>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</si>
  <si>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</si>
  <si>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</si>
  <si>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</si>
  <si>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</si>
  <si>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</si>
  <si>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</si>
  <si>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</si>
  <si>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</si>
  <si>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</si>
  <si>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</si>
  <si>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</si>
  <si>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</si>
  <si>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</si>
  <si>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</si>
  <si>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</si>
  <si>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</si>
  <si>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</si>
  <si>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</si>
  <si>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</si>
  <si>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</si>
  <si>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</si>
  <si>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</si>
  <si>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</si>
  <si>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</si>
  <si>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</si>
  <si>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</si>
  <si>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</si>
  <si>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</si>
  <si>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</si>
  <si>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</si>
  <si>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</si>
  <si>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</si>
  <si>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</si>
  <si>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</si>
  <si>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</si>
  <si>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</si>
  <si>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</si>
  <si>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</si>
  <si>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</si>
  <si>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</si>
  <si>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</si>
  <si>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</si>
  <si>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</si>
  <si>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</si>
  <si>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</si>
  <si>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</si>
  <si>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</si>
  <si>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</si>
  <si>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</si>
  <si>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</si>
  <si>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</si>
  <si>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</si>
  <si>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</si>
  <si>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</si>
  <si>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</si>
  <si>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</si>
  <si>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</si>
  <si>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</si>
  <si>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</si>
  <si>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</si>
  <si>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</si>
  <si>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</si>
  <si>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</si>
  <si>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</si>
  <si>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</si>
  <si>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</si>
  <si>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</si>
  <si>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</si>
  <si>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</si>
  <si>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</si>
  <si>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</si>
  <si>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</si>
  <si>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</si>
  <si>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</si>
  <si>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</si>
  <si>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</si>
  <si>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</si>
  <si>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</si>
  <si>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</si>
  <si>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</si>
  <si>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</si>
  <si>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</si>
  <si>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</si>
  <si>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</si>
  <si>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</si>
  <si>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</si>
  <si>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</si>
  <si>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</si>
  <si>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</si>
  <si>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</si>
  <si>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</si>
  <si>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</si>
  <si>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</si>
  <si>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</si>
  <si>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</si>
  <si>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</si>
  <si>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</si>
  <si>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</si>
  <si>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</si>
  <si>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</si>
  <si>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</si>
  <si>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</si>
  <si>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</si>
  <si>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</si>
  <si>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</si>
  <si>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</si>
  <si>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</si>
  <si>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</si>
  <si>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</si>
  <si>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</si>
  <si>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</si>
  <si>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</si>
  <si>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</si>
  <si>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</si>
  <si>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</si>
  <si>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</si>
  <si>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</si>
  <si>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</si>
  <si>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</si>
  <si>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</si>
  <si>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</si>
  <si>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</si>
  <si>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</si>
  <si>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</si>
  <si>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</si>
  <si>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</si>
  <si>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</si>
  <si>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</si>
  <si>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</si>
  <si>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</si>
  <si>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</si>
  <si>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</si>
  <si>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</si>
  <si>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</si>
  <si>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</si>
  <si>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</si>
  <si>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</si>
  <si>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</si>
  <si>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</si>
  <si>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</si>
  <si>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</si>
  <si>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</si>
  <si>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</si>
  <si>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</si>
  <si>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</si>
  <si>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</si>
  <si>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</si>
  <si>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</si>
  <si>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</si>
  <si>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</si>
  <si>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</si>
  <si>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</si>
  <si>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</si>
  <si>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</si>
  <si>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</si>
  <si>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</si>
  <si>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</si>
  <si>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</si>
  <si>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</si>
  <si>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</si>
  <si>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</si>
  <si>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</si>
  <si>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</si>
  <si>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</si>
  <si>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</si>
  <si>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</si>
  <si>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</si>
  <si>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</si>
  <si>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</si>
  <si>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</si>
  <si>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</si>
  <si>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</si>
  <si>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</si>
  <si>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</si>
  <si>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</si>
  <si>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</si>
  <si>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</si>
  <si>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</si>
  <si>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</si>
  <si>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</si>
  <si>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</si>
  <si>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</si>
  <si>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</si>
  <si>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</si>
  <si>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</si>
  <si>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</si>
  <si>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</si>
  <si>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</si>
  <si>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</si>
  <si>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</si>
  <si>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</si>
  <si>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</si>
  <si>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</si>
  <si>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</si>
  <si>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</si>
  <si>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</si>
  <si>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</si>
  <si>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</si>
  <si>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</si>
  <si>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</si>
  <si>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</si>
  <si>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</si>
  <si>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</si>
  <si>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</si>
  <si>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</si>
  <si>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</si>
  <si>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</si>
  <si>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</si>
  <si>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</si>
  <si>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</si>
  <si>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</si>
  <si>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</si>
  <si>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</si>
  <si>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</si>
  <si>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</si>
  <si>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</si>
  <si>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</si>
  <si>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</si>
  <si>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</si>
  <si>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</si>
  <si>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</si>
  <si>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</si>
  <si>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</si>
  <si>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</si>
  <si>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</si>
  <si>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</si>
  <si>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</si>
  <si>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</si>
  <si>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</si>
  <si>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</si>
  <si>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</si>
  <si>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</si>
  <si>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</si>
  <si>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</si>
  <si>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>Daly, Mr. Peter Denis 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</si>
  <si>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</si>
  <si>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</si>
  <si>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</si>
  <si>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</si>
  <si>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</si>
  <si>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</si>
  <si>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</si>
  <si>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</si>
  <si>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</si>
  <si>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</si>
  <si>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</si>
  <si>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</si>
  <si>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</si>
  <si>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</si>
  <si>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</si>
  <si>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</si>
  <si>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</si>
  <si>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</si>
  <si>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</si>
  <si>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</si>
  <si>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</si>
  <si>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</si>
  <si>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</si>
  <si>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</si>
  <si>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</si>
  <si>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</si>
  <si>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</si>
  <si>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</si>
  <si>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</si>
  <si>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</si>
  <si>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</si>
  <si>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</si>
  <si>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</si>
  <si>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Titanic[Sexo]</t>
  </si>
  <si>
    <t>Cuenta de Sobrevive</t>
  </si>
  <si>
    <t>Tabla Conjuta</t>
  </si>
  <si>
    <t>P(Hombre)</t>
  </si>
  <si>
    <t>P(Mujer)</t>
  </si>
  <si>
    <t>P(Sobrevive)</t>
  </si>
  <si>
    <t>P(No sobrevive)</t>
  </si>
  <si>
    <t>Probabilidad Conjunta ^</t>
  </si>
  <si>
    <t>P(Hombre ^ Sobrevive)</t>
  </si>
  <si>
    <t>P(Hombre ^ No sobrevive)</t>
  </si>
  <si>
    <t>P(Mujer ^ No sobrevive)</t>
  </si>
  <si>
    <t>P(Mujer ^ Sobrevive)</t>
  </si>
  <si>
    <t>P(Sobrevive | Hombre)</t>
  </si>
  <si>
    <t>P(No sobrevive | Hombre)</t>
  </si>
  <si>
    <t>Teorema de Bayes</t>
  </si>
  <si>
    <t>P(Sobrevive | Mujer)</t>
  </si>
  <si>
    <t>P(No sobrevive | Mujer)</t>
  </si>
  <si>
    <t>Probabilidad condicionada</t>
  </si>
  <si>
    <t>P(Hombre | Sobrevive)</t>
  </si>
  <si>
    <t>P(Hombre | No sobrevive)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</si>
</sst>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theme="0"/>
      <name val="Helvetica Neue"/>
      <family val="2"/>
    </font>
    <font>
      <sz val="12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9" borderId="0" xfId="0" applyFill="1" applyAlignment="1">
      <alignment horizontal="center" vertical="center" textRotation="90"/>
    </xf>
    <xf numFmtId="0" fontId="0" fillId="2" borderId="0" xfId="0" applyFill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/>
    <xf numFmtId="2" fontId="0" fillId="3" borderId="0" xfId="0" applyNumberFormat="1" applyFill="1" applyAlignment="1">
      <alignment horizontal="center"/>
    </xf>
    <xf numFmtId="0" fontId="2" fillId="0" borderId="0" xfId="0" applyFont="1"/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0" fillId="0" borderId="0" xfId="1" applyFont="1"/>
    <xf numFmtId="0" fontId="0" fillId="8" borderId="0" xfId="0" applyFill="1"/>
    <xf numFmtId="0" fontId="8" fillId="8" borderId="0" xfId="0" applyFont="1" applyFill="1"/>
  </cellXfs>
  <cellStyles count="2">
    <cellStyle name="Normal" xfId="0" builtinId="0"/>
    <cellStyle name="Porcentaje" xfId="1" builtinId="5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9770</xdr:colOff>
      <xdr:row>24</xdr:row>
      <xdr:rowOff>1</xdr:rowOff>
    </xdr:from>
    <xdr:to>
      <xdr:col>23</xdr:col>
      <xdr:colOff>447431</xdr:colOff>
      <xdr:row>27</xdr:row>
      <xdr:rowOff>184639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ACE3E8-B4DF-08E2-E4D3-17D0D1694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63693" y="4923693"/>
          <a:ext cx="2362200" cy="800100"/>
        </a:xfrm>
        <a:prstGeom prst="rect">
          <a:avLst/>
        </a:prstGeom>
      </xdr:spPr>
    </xdr:pic>
    <xdr:clientData/>
  </xdr:twoCellAnchor>
  <xdr:twoCellAnchor editAs="oneCell">
    <xdr:from>
      <xdr:col>24</xdr:col>
      <xdr:colOff>9769</xdr:colOff>
      <xdr:row>24</xdr:row>
      <xdr:rowOff>213</xdr:rowOff>
    </xdr:from>
    <xdr:to>
      <xdr:col>28</xdr:col>
      <xdr:colOff>17585</xdr:colOff>
      <xdr:row>28</xdr:row>
      <xdr:rowOff>82060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FFB926-539D-94ED-E683-F9353B1F3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18615" y="4923905"/>
          <a:ext cx="3329355" cy="90246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89.685203472225" createdVersion="8" refreshedVersion="8" minRefreshableVersion="3" recordCount="16" xr:uid="{A21DB422-3519-3B46-8D74-6AA27C55130C}">
  <cacheSource type="worksheet">
    <worksheetSource ref="C7:E23" sheet="Hoja3"/>
  </cacheSource>
  <cacheFields count="3">
    <cacheField name="Grupo 1" numFmtId="0">
      <sharedItems count="3">
        <s v="A"/>
        <s v="B"/>
        <s v="C"/>
      </sharedItems>
    </cacheField>
    <cacheField name="Grupo 2" numFmtId="0">
      <sharedItems count="2">
        <s v="X"/>
        <s v="Y"/>
      </sharedItems>
    </cacheField>
    <cacheField name="Valor" numFmtId="0">
      <sharedItems containsSemiMixedTypes="0" containsString="0" containsNumber="1" containsInteger="1" minValue="11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89.700171064818" createdVersion="8" refreshedVersion="8" minRefreshableVersion="3" recordCount="891" xr:uid="{C4A679F4-A3CC-E344-8623-BAE55EAE392F}">
  <cacheSource type="worksheet">
    <worksheetSource name="Titanic"/>
  </cacheSource>
  <cacheFields count="10">
    <cacheField name="Sobrevive" numFmtId="0">
      <sharedItems containsSemiMixedTypes="0" containsString="0" containsNumber="1" containsInteger="1" minValue="0" maxValue="1" count="2">
        <n v="0"/>
        <n v="1"/>
      </sharedItems>
    </cacheField>
    <cacheField name="Clase" numFmtId="0">
      <sharedItems containsSemiMixedTypes="0" containsString="0" containsNumber="1" containsInteger="1" minValue="1" maxValue="3"/>
    </cacheField>
    <cacheField name="Nombre" numFmtId="0">
      <sharedItems/>
    </cacheField>
    <cacheField name="Sexo" numFmtId="0">
      <sharedItems count="2">
        <s v="Hombre"/>
        <s v="Mujer"/>
      </sharedItems>
    </cacheField>
    <cacheField name="Edad" numFmtId="0">
      <sharedItems containsString="0" containsBlank="1" containsNumber="1" containsInteger="1" minValue="1" maxValue="705"/>
    </cacheField>
    <cacheField name="Familia Horizontal" numFmtId="0">
      <sharedItems containsSemiMixedTypes="0" containsString="0" containsNumber="1" containsInteger="1" minValue="0" maxValue="8"/>
    </cacheField>
    <cacheField name="Familia Vertical" numFmtId="0">
      <sharedItems containsSemiMixedTypes="0" containsString="0" containsNumber="1" containsInteger="1" minValue="0" maxValue="6"/>
    </cacheField>
    <cacheField name="Pagado" numFmtId="0">
      <sharedItems containsSemiMixedTypes="0" containsString="0" containsNumber="1" containsInteger="1" minValue="0" maxValue="5123292"/>
    </cacheField>
    <cacheField name="Cabina" numFmtId="0">
      <sharedItems containsSemiMixedTypes="0" containsString="0" containsNumber="1" containsInteger="1" minValue="0" maxValue="1"/>
    </cacheField>
    <cacheField name="Puer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34"/>
  </r>
  <r>
    <x v="0"/>
    <x v="1"/>
    <n v="67"/>
  </r>
  <r>
    <x v="1"/>
    <x v="1"/>
    <n v="23"/>
  </r>
  <r>
    <x v="0"/>
    <x v="0"/>
    <n v="17"/>
  </r>
  <r>
    <x v="1"/>
    <x v="1"/>
    <n v="98"/>
  </r>
  <r>
    <x v="1"/>
    <x v="0"/>
    <n v="23"/>
  </r>
  <r>
    <x v="0"/>
    <x v="0"/>
    <n v="45"/>
  </r>
  <r>
    <x v="2"/>
    <x v="1"/>
    <n v="23"/>
  </r>
  <r>
    <x v="0"/>
    <x v="0"/>
    <n v="11"/>
  </r>
  <r>
    <x v="2"/>
    <x v="1"/>
    <n v="56"/>
  </r>
  <r>
    <x v="0"/>
    <x v="0"/>
    <n v="43"/>
  </r>
  <r>
    <x v="1"/>
    <x v="0"/>
    <n v="21"/>
  </r>
  <r>
    <x v="2"/>
    <x v="0"/>
    <n v="18"/>
  </r>
  <r>
    <x v="1"/>
    <x v="1"/>
    <n v="23"/>
  </r>
  <r>
    <x v="1"/>
    <x v="0"/>
    <n v="45"/>
  </r>
  <r>
    <x v="2"/>
    <x v="0"/>
    <n v="8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x v="0"/>
    <n v="3"/>
    <s v="Braund, Mr. Owen Harris"/>
    <x v="0"/>
    <n v="22"/>
    <n v="1"/>
    <n v="0"/>
    <n v="725"/>
    <n v="0"/>
    <s v="Southampton"/>
  </r>
  <r>
    <x v="1"/>
    <n v="1"/>
    <s v="Cumings, Mrs. John Bradley (Florence Briggs Thayer)"/>
    <x v="1"/>
    <n v="38"/>
    <n v="1"/>
    <n v="0"/>
    <n v="712833"/>
    <n v="1"/>
    <s v="Cherburg"/>
  </r>
  <r>
    <x v="1"/>
    <n v="3"/>
    <s v="Heikkinen, Miss. Laina"/>
    <x v="1"/>
    <n v="26"/>
    <n v="0"/>
    <n v="0"/>
    <n v="7925"/>
    <n v="0"/>
    <s v="Southampton"/>
  </r>
  <r>
    <x v="1"/>
    <n v="1"/>
    <s v="Futrelle, Mrs. Jacques Heath (Lily May Peel)"/>
    <x v="1"/>
    <n v="35"/>
    <n v="1"/>
    <n v="0"/>
    <n v="531"/>
    <n v="1"/>
    <s v="Southampton"/>
  </r>
  <r>
    <x v="0"/>
    <n v="3"/>
    <s v="Allen, Mr. William Henry"/>
    <x v="0"/>
    <n v="35"/>
    <n v="0"/>
    <n v="0"/>
    <n v="805"/>
    <n v="0"/>
    <s v="Southampton"/>
  </r>
  <r>
    <x v="0"/>
    <n v="3"/>
    <s v="Moran, Mr. James"/>
    <x v="0"/>
    <m/>
    <n v="0"/>
    <n v="0"/>
    <n v="84583"/>
    <n v="0"/>
    <s v="Queenstown"/>
  </r>
  <r>
    <x v="0"/>
    <n v="1"/>
    <s v="McCarthy, Mr. Timothy J"/>
    <x v="0"/>
    <n v="54"/>
    <n v="0"/>
    <n v="0"/>
    <n v="518625"/>
    <n v="1"/>
    <s v="Southampton"/>
  </r>
  <r>
    <x v="0"/>
    <n v="3"/>
    <s v="Palsson, Master. Gosta Leonard"/>
    <x v="0"/>
    <n v="2"/>
    <n v="3"/>
    <n v="1"/>
    <n v="21075"/>
    <n v="0"/>
    <s v="Southampton"/>
  </r>
  <r>
    <x v="1"/>
    <n v="3"/>
    <s v="Johnson, Mrs. Oscar W (Elisabeth Vilhelmina Berg)"/>
    <x v="1"/>
    <n v="27"/>
    <n v="0"/>
    <n v="2"/>
    <n v="111333"/>
    <n v="0"/>
    <s v="Southampton"/>
  </r>
  <r>
    <x v="1"/>
    <n v="2"/>
    <s v="Nasser, Mrs. Nicholas (Adele Achem)"/>
    <x v="1"/>
    <n v="14"/>
    <n v="1"/>
    <n v="0"/>
    <n v="300708"/>
    <n v="0"/>
    <s v="Cherburg"/>
  </r>
  <r>
    <x v="1"/>
    <n v="3"/>
    <s v="Sandstrom, Miss. Marguerite Rut"/>
    <x v="1"/>
    <n v="4"/>
    <n v="1"/>
    <n v="1"/>
    <n v="167"/>
    <n v="1"/>
    <s v="Southampton"/>
  </r>
  <r>
    <x v="1"/>
    <n v="1"/>
    <s v="Bonnell, Miss. Elizabeth"/>
    <x v="1"/>
    <n v="58"/>
    <n v="0"/>
    <n v="0"/>
    <n v="2655"/>
    <n v="1"/>
    <s v="Southampton"/>
  </r>
  <r>
    <x v="0"/>
    <n v="3"/>
    <s v="Saundercock, Mr. William Henry"/>
    <x v="0"/>
    <n v="20"/>
    <n v="0"/>
    <n v="0"/>
    <n v="805"/>
    <n v="0"/>
    <s v="Southampton"/>
  </r>
  <r>
    <x v="0"/>
    <n v="3"/>
    <s v="Andersson, Mr. Anders Johan"/>
    <x v="0"/>
    <n v="39"/>
    <n v="1"/>
    <n v="5"/>
    <n v="31275"/>
    <n v="0"/>
    <s v="Southampton"/>
  </r>
  <r>
    <x v="0"/>
    <n v="3"/>
    <s v="Vestrom, Miss. Hulda Amanda Adolfina"/>
    <x v="1"/>
    <n v="14"/>
    <n v="0"/>
    <n v="0"/>
    <n v="78542"/>
    <n v="0"/>
    <s v="Southampton"/>
  </r>
  <r>
    <x v="1"/>
    <n v="2"/>
    <s v="Hewlett, Mrs. (Mary D Kingcome) "/>
    <x v="1"/>
    <n v="55"/>
    <n v="0"/>
    <n v="0"/>
    <n v="16"/>
    <n v="0"/>
    <s v="Southampton"/>
  </r>
  <r>
    <x v="0"/>
    <n v="3"/>
    <s v="Rice, Master. Eugene"/>
    <x v="0"/>
    <n v="2"/>
    <n v="4"/>
    <n v="1"/>
    <n v="29125"/>
    <n v="0"/>
    <s v="Queenstown"/>
  </r>
  <r>
    <x v="1"/>
    <n v="2"/>
    <s v="Williams, Mr. Charles Eugene"/>
    <x v="0"/>
    <m/>
    <n v="0"/>
    <n v="0"/>
    <n v="13"/>
    <n v="0"/>
    <s v="Southampton"/>
  </r>
  <r>
    <x v="0"/>
    <n v="3"/>
    <s v="Vander Planke, Mrs. Julius (Emelia Maria Vandemoortele)"/>
    <x v="1"/>
    <n v="31"/>
    <n v="1"/>
    <n v="0"/>
    <n v="18"/>
    <n v="0"/>
    <s v="Southampton"/>
  </r>
  <r>
    <x v="1"/>
    <n v="3"/>
    <s v="Masselmani, Mrs. Fatima"/>
    <x v="1"/>
    <m/>
    <n v="0"/>
    <n v="0"/>
    <n v="7225"/>
    <n v="0"/>
    <s v="Cherburg"/>
  </r>
  <r>
    <x v="0"/>
    <n v="2"/>
    <s v="Fynney, Mr. Joseph J"/>
    <x v="0"/>
    <n v="35"/>
    <n v="0"/>
    <n v="0"/>
    <n v="26"/>
    <n v="0"/>
    <s v="Southampton"/>
  </r>
  <r>
    <x v="1"/>
    <n v="2"/>
    <s v="Beesley, Mr. Lawrence"/>
    <x v="0"/>
    <n v="34"/>
    <n v="0"/>
    <n v="0"/>
    <n v="13"/>
    <n v="1"/>
    <s v="Southampton"/>
  </r>
  <r>
    <x v="1"/>
    <n v="3"/>
    <s v="McGowan, Miss. Anna &quot;Annie&quot;"/>
    <x v="1"/>
    <n v="15"/>
    <n v="0"/>
    <n v="0"/>
    <n v="80292"/>
    <n v="0"/>
    <s v="Queenstown"/>
  </r>
  <r>
    <x v="1"/>
    <n v="1"/>
    <s v="Sloper, Mr. William Thompson"/>
    <x v="0"/>
    <n v="28"/>
    <n v="0"/>
    <n v="0"/>
    <n v="355"/>
    <n v="1"/>
    <s v="Southampton"/>
  </r>
  <r>
    <x v="0"/>
    <n v="3"/>
    <s v="Palsson, Miss. Torborg Danira"/>
    <x v="1"/>
    <n v="8"/>
    <n v="3"/>
    <n v="1"/>
    <n v="21075"/>
    <n v="0"/>
    <s v="Southampton"/>
  </r>
  <r>
    <x v="1"/>
    <n v="3"/>
    <s v="Asplund, Mrs. Carl Oscar (Selma Augusta Emilia Johansson)"/>
    <x v="1"/>
    <n v="38"/>
    <n v="1"/>
    <n v="5"/>
    <n v="313875"/>
    <n v="0"/>
    <s v="Southampton"/>
  </r>
  <r>
    <x v="0"/>
    <n v="3"/>
    <s v="Emir, Mr. Farred Chehab"/>
    <x v="0"/>
    <m/>
    <n v="0"/>
    <n v="0"/>
    <n v="7225"/>
    <n v="0"/>
    <s v="Cherburg"/>
  </r>
  <r>
    <x v="0"/>
    <n v="1"/>
    <s v="Fortune, Mr. Charles Alexander"/>
    <x v="0"/>
    <n v="19"/>
    <n v="3"/>
    <n v="2"/>
    <n v="263"/>
    <n v="1"/>
    <s v="Southampton"/>
  </r>
  <r>
    <x v="1"/>
    <n v="3"/>
    <s v="O'Dwyer, Miss. Ellen &quot;Nellie&quot;"/>
    <x v="1"/>
    <m/>
    <n v="0"/>
    <n v="0"/>
    <n v="78792"/>
    <n v="0"/>
    <s v="Queenstown"/>
  </r>
  <r>
    <x v="0"/>
    <n v="3"/>
    <s v="Todoroff, Mr. Lalio"/>
    <x v="0"/>
    <m/>
    <n v="0"/>
    <n v="0"/>
    <n v="78958"/>
    <n v="0"/>
    <s v="Southampton"/>
  </r>
  <r>
    <x v="0"/>
    <n v="1"/>
    <s v="Uruchurtu, Don. Manuel E"/>
    <x v="0"/>
    <n v="40"/>
    <n v="0"/>
    <n v="0"/>
    <n v="277208"/>
    <n v="0"/>
    <s v="Cherburg"/>
  </r>
  <r>
    <x v="1"/>
    <n v="1"/>
    <s v="Spencer, Mrs. William Augustus (Marie Eugenie)"/>
    <x v="1"/>
    <m/>
    <n v="1"/>
    <n v="0"/>
    <n v="1465208"/>
    <n v="1"/>
    <s v="Cherburg"/>
  </r>
  <r>
    <x v="1"/>
    <n v="3"/>
    <s v="Glynn, Miss. Mary Agatha"/>
    <x v="1"/>
    <m/>
    <n v="0"/>
    <n v="0"/>
    <n v="775"/>
    <n v="0"/>
    <s v="Queenstown"/>
  </r>
  <r>
    <x v="0"/>
    <n v="2"/>
    <s v="Wheadon, Mr. Edward H"/>
    <x v="0"/>
    <n v="66"/>
    <n v="0"/>
    <n v="0"/>
    <n v="105"/>
    <n v="0"/>
    <s v="Southampton"/>
  </r>
  <r>
    <x v="0"/>
    <n v="1"/>
    <s v="Meyer, Mr. Edgar Joseph"/>
    <x v="0"/>
    <n v="28"/>
    <n v="1"/>
    <n v="0"/>
    <n v="821708"/>
    <n v="0"/>
    <s v="Cherburg"/>
  </r>
  <r>
    <x v="0"/>
    <n v="1"/>
    <s v="Holverson, Mr. Alexander Oskar"/>
    <x v="0"/>
    <n v="42"/>
    <n v="1"/>
    <n v="0"/>
    <n v="52"/>
    <n v="0"/>
    <s v="Southampton"/>
  </r>
  <r>
    <x v="1"/>
    <n v="3"/>
    <s v="Mamee, Mr. Hanna"/>
    <x v="0"/>
    <m/>
    <n v="0"/>
    <n v="0"/>
    <n v="72292"/>
    <n v="0"/>
    <s v="Cherburg"/>
  </r>
  <r>
    <x v="0"/>
    <n v="3"/>
    <s v="Cann, Mr. Ernest Charles"/>
    <x v="0"/>
    <n v="21"/>
    <n v="0"/>
    <n v="0"/>
    <n v="805"/>
    <n v="0"/>
    <s v="Southampton"/>
  </r>
  <r>
    <x v="0"/>
    <n v="3"/>
    <s v="Vander Planke, Miss. Augusta Maria"/>
    <x v="1"/>
    <n v="18"/>
    <n v="2"/>
    <n v="0"/>
    <n v="18"/>
    <n v="0"/>
    <s v="Southampton"/>
  </r>
  <r>
    <x v="1"/>
    <n v="3"/>
    <s v="Nicola-Yarred, Miss. Jamila"/>
    <x v="1"/>
    <n v="14"/>
    <n v="1"/>
    <n v="0"/>
    <n v="112417"/>
    <n v="0"/>
    <s v="Cherburg"/>
  </r>
  <r>
    <x v="0"/>
    <n v="3"/>
    <s v="Ahlin, Mrs. Johan (Johanna Persdotter Larsson)"/>
    <x v="1"/>
    <n v="40"/>
    <n v="1"/>
    <n v="0"/>
    <n v="9475"/>
    <n v="0"/>
    <s v="Southampton"/>
  </r>
  <r>
    <x v="0"/>
    <n v="2"/>
    <s v="Turpin, Mrs. William John Robert (Dorothy Ann Wonnacott)"/>
    <x v="1"/>
    <n v="27"/>
    <n v="1"/>
    <n v="0"/>
    <n v="21"/>
    <n v="0"/>
    <s v="Southampton"/>
  </r>
  <r>
    <x v="0"/>
    <n v="3"/>
    <s v="Kraeff, Mr. Theodor"/>
    <x v="0"/>
    <m/>
    <n v="0"/>
    <n v="0"/>
    <n v="78958"/>
    <n v="0"/>
    <s v="Cherburg"/>
  </r>
  <r>
    <x v="1"/>
    <n v="2"/>
    <s v="Laroche, Miss. Simonne Marie Anne Andree"/>
    <x v="1"/>
    <n v="3"/>
    <n v="1"/>
    <n v="2"/>
    <n v="415792"/>
    <n v="0"/>
    <s v="Cherburg"/>
  </r>
  <r>
    <x v="1"/>
    <n v="3"/>
    <s v="Devaney, Miss. Margaret Delia"/>
    <x v="1"/>
    <n v="19"/>
    <n v="0"/>
    <n v="0"/>
    <n v="78792"/>
    <n v="0"/>
    <s v="Queenstown"/>
  </r>
  <r>
    <x v="0"/>
    <n v="3"/>
    <s v="Rogers, Mr. William John"/>
    <x v="0"/>
    <m/>
    <n v="0"/>
    <n v="0"/>
    <n v="805"/>
    <n v="0"/>
    <s v="Southampton"/>
  </r>
  <r>
    <x v="0"/>
    <n v="3"/>
    <s v="Lennon, Mr. Denis"/>
    <x v="0"/>
    <m/>
    <n v="1"/>
    <n v="0"/>
    <n v="155"/>
    <n v="0"/>
    <s v="Queenstown"/>
  </r>
  <r>
    <x v="1"/>
    <n v="3"/>
    <s v="O'Driscoll, Miss. Bridget"/>
    <x v="1"/>
    <m/>
    <n v="0"/>
    <n v="0"/>
    <n v="775"/>
    <n v="0"/>
    <s v="Queenstown"/>
  </r>
  <r>
    <x v="0"/>
    <n v="3"/>
    <s v="Samaan, Mr. Youssef"/>
    <x v="0"/>
    <m/>
    <n v="2"/>
    <n v="0"/>
    <n v="216792"/>
    <n v="0"/>
    <s v="Cherburg"/>
  </r>
  <r>
    <x v="0"/>
    <n v="3"/>
    <s v="Arnold-Franchi, Mrs. Josef (Josefine Franchi)"/>
    <x v="1"/>
    <n v="18"/>
    <n v="1"/>
    <n v="0"/>
    <n v="178"/>
    <n v="0"/>
    <s v="Southampton"/>
  </r>
  <r>
    <x v="0"/>
    <n v="3"/>
    <s v="Panula, Master. Juha Niilo"/>
    <x v="0"/>
    <n v="7"/>
    <n v="4"/>
    <n v="1"/>
    <n v="396875"/>
    <n v="0"/>
    <s v="Southampton"/>
  </r>
  <r>
    <x v="0"/>
    <n v="3"/>
    <s v="Nosworthy, Mr. Richard Cater"/>
    <x v="0"/>
    <n v="21"/>
    <n v="0"/>
    <n v="0"/>
    <n v="78"/>
    <n v="0"/>
    <s v="Southampton"/>
  </r>
  <r>
    <x v="1"/>
    <n v="1"/>
    <s v="Harper, Mrs. Henry Sleeper (Myna Haxtun)"/>
    <x v="1"/>
    <n v="49"/>
    <n v="1"/>
    <n v="0"/>
    <n v="767292"/>
    <n v="1"/>
    <s v="Cherburg"/>
  </r>
  <r>
    <x v="1"/>
    <n v="2"/>
    <s v="Faunthorpe, Mrs. Lizzie (Elizabeth Anne Wilkinson)"/>
    <x v="1"/>
    <n v="29"/>
    <n v="1"/>
    <n v="0"/>
    <n v="26"/>
    <n v="0"/>
    <s v="Southampton"/>
  </r>
  <r>
    <x v="0"/>
    <n v="1"/>
    <s v="Ostby, Mr. Engelhart Cornelius"/>
    <x v="0"/>
    <n v="65"/>
    <n v="0"/>
    <n v="1"/>
    <n v="619792"/>
    <n v="1"/>
    <s v="Cherburg"/>
  </r>
  <r>
    <x v="1"/>
    <n v="1"/>
    <s v="Woolner, Mr. Hugh"/>
    <x v="0"/>
    <m/>
    <n v="0"/>
    <n v="0"/>
    <n v="355"/>
    <n v="1"/>
    <s v="Southampton"/>
  </r>
  <r>
    <x v="1"/>
    <n v="2"/>
    <s v="Rugg, Miss. Emily"/>
    <x v="1"/>
    <n v="21"/>
    <n v="0"/>
    <n v="0"/>
    <n v="105"/>
    <n v="0"/>
    <s v="Southampton"/>
  </r>
  <r>
    <x v="0"/>
    <n v="3"/>
    <s v="Novel, Mr. Mansouer"/>
    <x v="0"/>
    <n v="285"/>
    <n v="0"/>
    <n v="0"/>
    <n v="72292"/>
    <n v="0"/>
    <s v="Cherburg"/>
  </r>
  <r>
    <x v="1"/>
    <n v="2"/>
    <s v="West, Miss. Constance Mirium"/>
    <x v="1"/>
    <n v="5"/>
    <n v="1"/>
    <n v="2"/>
    <n v="2775"/>
    <n v="0"/>
    <s v="Southampton"/>
  </r>
  <r>
    <x v="0"/>
    <n v="3"/>
    <s v="Goodwin, Master. William Frederick"/>
    <x v="0"/>
    <n v="11"/>
    <n v="5"/>
    <n v="2"/>
    <n v="469"/>
    <n v="0"/>
    <s v="Southampton"/>
  </r>
  <r>
    <x v="0"/>
    <n v="3"/>
    <s v="Sirayanian, Mr. Orsen"/>
    <x v="0"/>
    <n v="22"/>
    <n v="0"/>
    <n v="0"/>
    <n v="72292"/>
    <n v="0"/>
    <s v="Cherburg"/>
  </r>
  <r>
    <x v="1"/>
    <n v="1"/>
    <s v="Icard, Miss. Amelie"/>
    <x v="1"/>
    <n v="38"/>
    <n v="0"/>
    <n v="0"/>
    <n v="80"/>
    <n v="1"/>
    <m/>
  </r>
  <r>
    <x v="0"/>
    <n v="1"/>
    <s v="Harris, Mr. Henry Birkhardt"/>
    <x v="0"/>
    <n v="45"/>
    <n v="1"/>
    <n v="0"/>
    <n v="83475"/>
    <n v="1"/>
    <s v="Southampton"/>
  </r>
  <r>
    <x v="0"/>
    <n v="3"/>
    <s v="Skoog, Master. Harald"/>
    <x v="0"/>
    <n v="4"/>
    <n v="3"/>
    <n v="2"/>
    <n v="279"/>
    <n v="0"/>
    <s v="Southampton"/>
  </r>
  <r>
    <x v="0"/>
    <n v="1"/>
    <s v="Stewart, Mr. Albert A"/>
    <x v="0"/>
    <m/>
    <n v="0"/>
    <n v="0"/>
    <n v="277208"/>
    <n v="0"/>
    <s v="Cherburg"/>
  </r>
  <r>
    <x v="1"/>
    <n v="3"/>
    <s v="Moubarek, Master. Gerios"/>
    <x v="0"/>
    <m/>
    <n v="1"/>
    <n v="1"/>
    <n v="152458"/>
    <n v="0"/>
    <s v="Cherburg"/>
  </r>
  <r>
    <x v="1"/>
    <n v="2"/>
    <s v="Nye, Mrs. (Elizabeth Ramell)"/>
    <x v="1"/>
    <n v="29"/>
    <n v="0"/>
    <n v="0"/>
    <n v="105"/>
    <n v="1"/>
    <s v="Southampton"/>
  </r>
  <r>
    <x v="0"/>
    <n v="3"/>
    <s v="Crease, Mr. Ernest James"/>
    <x v="0"/>
    <n v="19"/>
    <n v="0"/>
    <n v="0"/>
    <n v="81583"/>
    <n v="0"/>
    <s v="Southampton"/>
  </r>
  <r>
    <x v="1"/>
    <n v="3"/>
    <s v="Andersson, Miss. Erna Alexandra"/>
    <x v="1"/>
    <n v="17"/>
    <n v="4"/>
    <n v="2"/>
    <n v="7925"/>
    <n v="0"/>
    <s v="Southampton"/>
  </r>
  <r>
    <x v="0"/>
    <n v="3"/>
    <s v="Kink, Mr. Vincenz"/>
    <x v="0"/>
    <n v="26"/>
    <n v="2"/>
    <n v="0"/>
    <n v="86625"/>
    <n v="0"/>
    <s v="Southampton"/>
  </r>
  <r>
    <x v="0"/>
    <n v="2"/>
    <s v="Jenkin, Mr. Stephen Curnow"/>
    <x v="0"/>
    <n v="32"/>
    <n v="0"/>
    <n v="0"/>
    <n v="105"/>
    <n v="0"/>
    <s v="Southampton"/>
  </r>
  <r>
    <x v="0"/>
    <n v="3"/>
    <s v="Goodwin, Miss. Lillian Amy"/>
    <x v="1"/>
    <n v="16"/>
    <n v="5"/>
    <n v="2"/>
    <n v="469"/>
    <n v="0"/>
    <s v="Southampton"/>
  </r>
  <r>
    <x v="0"/>
    <n v="2"/>
    <s v="Hood, Mr. Ambrose Jr"/>
    <x v="0"/>
    <n v="21"/>
    <n v="0"/>
    <n v="0"/>
    <n v="735"/>
    <n v="0"/>
    <s v="Southampton"/>
  </r>
  <r>
    <x v="0"/>
    <n v="3"/>
    <s v="Chronopoulos, Mr. Apostolos"/>
    <x v="0"/>
    <n v="26"/>
    <n v="1"/>
    <n v="0"/>
    <n v="144542"/>
    <n v="0"/>
    <s v="Cherburg"/>
  </r>
  <r>
    <x v="1"/>
    <n v="3"/>
    <s v="Bing, Mr. Lee"/>
    <x v="0"/>
    <n v="32"/>
    <n v="0"/>
    <n v="0"/>
    <n v="564958"/>
    <n v="0"/>
    <s v="Southampton"/>
  </r>
  <r>
    <x v="0"/>
    <n v="3"/>
    <s v="Moen, Mr. Sigurd Hansen"/>
    <x v="0"/>
    <n v="25"/>
    <n v="0"/>
    <n v="0"/>
    <n v="765"/>
    <n v="1"/>
    <s v="Southampton"/>
  </r>
  <r>
    <x v="0"/>
    <n v="3"/>
    <s v="Staneff, Mr. Ivan"/>
    <x v="0"/>
    <m/>
    <n v="0"/>
    <n v="0"/>
    <n v="78958"/>
    <n v="0"/>
    <s v="Southampton"/>
  </r>
  <r>
    <x v="0"/>
    <n v="3"/>
    <s v="Moutal, Mr. Rahamin Haim"/>
    <x v="0"/>
    <m/>
    <n v="0"/>
    <n v="0"/>
    <n v="805"/>
    <n v="0"/>
    <s v="Southampton"/>
  </r>
  <r>
    <x v="1"/>
    <n v="2"/>
    <s v="Caldwell, Master. Alden Gates"/>
    <x v="0"/>
    <n v="83"/>
    <n v="0"/>
    <n v="2"/>
    <n v="29"/>
    <n v="0"/>
    <s v="Southampton"/>
  </r>
  <r>
    <x v="1"/>
    <n v="3"/>
    <s v="Dowdell, Miss. Elizabeth"/>
    <x v="1"/>
    <n v="30"/>
    <n v="0"/>
    <n v="0"/>
    <n v="12475"/>
    <n v="0"/>
    <s v="Southampton"/>
  </r>
  <r>
    <x v="0"/>
    <n v="3"/>
    <s v="Waelens, Mr. Achille"/>
    <x v="0"/>
    <n v="22"/>
    <n v="0"/>
    <n v="0"/>
    <n v="9"/>
    <n v="0"/>
    <s v="Southampton"/>
  </r>
  <r>
    <x v="1"/>
    <n v="3"/>
    <s v="Sheerlinck, Mr. Jan Baptist"/>
    <x v="0"/>
    <n v="29"/>
    <n v="0"/>
    <n v="0"/>
    <n v="95"/>
    <n v="0"/>
    <s v="Southampton"/>
  </r>
  <r>
    <x v="1"/>
    <n v="3"/>
    <s v="McDermott, Miss. Brigdet Delia"/>
    <x v="1"/>
    <m/>
    <n v="0"/>
    <n v="0"/>
    <n v="77875"/>
    <n v="0"/>
    <s v="Queenstown"/>
  </r>
  <r>
    <x v="0"/>
    <n v="1"/>
    <s v="Carrau, Mr. Francisco M"/>
    <x v="0"/>
    <n v="28"/>
    <n v="0"/>
    <n v="0"/>
    <n v="471"/>
    <n v="0"/>
    <s v="Southampton"/>
  </r>
  <r>
    <x v="1"/>
    <n v="2"/>
    <s v="Ilett, Miss. Bertha"/>
    <x v="1"/>
    <n v="17"/>
    <n v="0"/>
    <n v="0"/>
    <n v="105"/>
    <n v="0"/>
    <s v="Southampton"/>
  </r>
  <r>
    <x v="1"/>
    <n v="3"/>
    <s v="Backstrom, Mrs. Karl Alfred (Maria Mathilda Gustafsson)"/>
    <x v="1"/>
    <n v="33"/>
    <n v="3"/>
    <n v="0"/>
    <n v="1585"/>
    <n v="0"/>
    <s v="Southampton"/>
  </r>
  <r>
    <x v="0"/>
    <n v="3"/>
    <s v="Ford, Mr. William Neal"/>
    <x v="0"/>
    <n v="16"/>
    <n v="1"/>
    <n v="3"/>
    <n v="34375"/>
    <n v="0"/>
    <s v="Southampton"/>
  </r>
  <r>
    <x v="0"/>
    <n v="3"/>
    <s v="Slocovski, Mr. Selman Francis"/>
    <x v="0"/>
    <m/>
    <n v="0"/>
    <n v="0"/>
    <n v="805"/>
    <n v="0"/>
    <s v="Southampton"/>
  </r>
  <r>
    <x v="1"/>
    <n v="1"/>
    <s v="Fortune, Miss. Mabel Helen"/>
    <x v="1"/>
    <n v="23"/>
    <n v="3"/>
    <n v="2"/>
    <n v="263"/>
    <n v="1"/>
    <s v="Southampton"/>
  </r>
  <r>
    <x v="0"/>
    <n v="3"/>
    <s v="Celotti, Mr. Francesco"/>
    <x v="0"/>
    <n v="24"/>
    <n v="0"/>
    <n v="0"/>
    <n v="805"/>
    <n v="0"/>
    <s v="Southampton"/>
  </r>
  <r>
    <x v="0"/>
    <n v="3"/>
    <s v="Christmann, Mr. Emil"/>
    <x v="0"/>
    <n v="29"/>
    <n v="0"/>
    <n v="0"/>
    <n v="805"/>
    <n v="0"/>
    <s v="Southampton"/>
  </r>
  <r>
    <x v="0"/>
    <n v="3"/>
    <s v="Andreasson, Mr. Paul Edvin"/>
    <x v="0"/>
    <n v="20"/>
    <n v="0"/>
    <n v="0"/>
    <n v="78542"/>
    <n v="0"/>
    <s v="Southampton"/>
  </r>
  <r>
    <x v="0"/>
    <n v="1"/>
    <s v="Chaffee, Mr. Herbert Fuller"/>
    <x v="0"/>
    <n v="46"/>
    <n v="1"/>
    <n v="0"/>
    <n v="61175"/>
    <n v="1"/>
    <s v="Southampton"/>
  </r>
  <r>
    <x v="0"/>
    <n v="3"/>
    <s v="Dean, Mr. Bertram Frank"/>
    <x v="0"/>
    <n v="26"/>
    <n v="1"/>
    <n v="2"/>
    <n v="20575"/>
    <n v="0"/>
    <s v="Southampton"/>
  </r>
  <r>
    <x v="0"/>
    <n v="3"/>
    <s v="Coxon, Mr. Daniel"/>
    <x v="0"/>
    <n v="59"/>
    <n v="0"/>
    <n v="0"/>
    <n v="725"/>
    <n v="0"/>
    <s v="Southampton"/>
  </r>
  <r>
    <x v="0"/>
    <n v="3"/>
    <s v="Shorney, Mr. Charles Joseph"/>
    <x v="0"/>
    <m/>
    <n v="0"/>
    <n v="0"/>
    <n v="805"/>
    <n v="0"/>
    <s v="Southampton"/>
  </r>
  <r>
    <x v="0"/>
    <n v="1"/>
    <s v="Goldschmidt, Mr. George B"/>
    <x v="0"/>
    <n v="71"/>
    <n v="0"/>
    <n v="0"/>
    <n v="346542"/>
    <n v="1"/>
    <s v="Cherburg"/>
  </r>
  <r>
    <x v="1"/>
    <n v="1"/>
    <s v="Greenfield, Mr. William Bertram"/>
    <x v="0"/>
    <n v="23"/>
    <n v="0"/>
    <n v="1"/>
    <n v="633583"/>
    <n v="1"/>
    <s v="Cherburg"/>
  </r>
  <r>
    <x v="1"/>
    <n v="2"/>
    <s v="Doling, Mrs. John T (Ada Julia Bone)"/>
    <x v="1"/>
    <n v="34"/>
    <n v="0"/>
    <n v="1"/>
    <n v="23"/>
    <n v="0"/>
    <s v="Southampton"/>
  </r>
  <r>
    <x v="0"/>
    <n v="2"/>
    <s v="Kantor, Mr. Sinai"/>
    <x v="0"/>
    <n v="34"/>
    <n v="1"/>
    <n v="0"/>
    <n v="26"/>
    <n v="0"/>
    <s v="Southampton"/>
  </r>
  <r>
    <x v="0"/>
    <n v="3"/>
    <s v="Petranec, Miss. Matilda"/>
    <x v="1"/>
    <n v="28"/>
    <n v="0"/>
    <n v="0"/>
    <n v="78958"/>
    <n v="0"/>
    <s v="Southampton"/>
  </r>
  <r>
    <x v="0"/>
    <n v="3"/>
    <s v="Petroff, Mr. Pastcho (&quot;Pentcho&quot;)"/>
    <x v="0"/>
    <m/>
    <n v="0"/>
    <n v="0"/>
    <n v="78958"/>
    <n v="0"/>
    <s v="Southampton"/>
  </r>
  <r>
    <x v="0"/>
    <n v="1"/>
    <s v="White, Mr. Richard Frasar"/>
    <x v="0"/>
    <n v="21"/>
    <n v="0"/>
    <n v="1"/>
    <n v="772875"/>
    <n v="1"/>
    <s v="Southampton"/>
  </r>
  <r>
    <x v="0"/>
    <n v="3"/>
    <s v="Johansson, Mr. Gustaf Joel"/>
    <x v="0"/>
    <n v="33"/>
    <n v="0"/>
    <n v="0"/>
    <n v="86542"/>
    <n v="0"/>
    <s v="Southampton"/>
  </r>
  <r>
    <x v="0"/>
    <n v="3"/>
    <s v="Gustafsson, Mr. Anders Vilhelm"/>
    <x v="0"/>
    <n v="37"/>
    <n v="2"/>
    <n v="0"/>
    <n v="7925"/>
    <n v="0"/>
    <s v="Southampton"/>
  </r>
  <r>
    <x v="0"/>
    <n v="3"/>
    <s v="Mionoff, Mr. Stoytcho"/>
    <x v="0"/>
    <n v="28"/>
    <n v="0"/>
    <n v="0"/>
    <n v="78958"/>
    <n v="0"/>
    <s v="Southampton"/>
  </r>
  <r>
    <x v="1"/>
    <n v="3"/>
    <s v="Salkjelsvik, Miss. Anna Kristine"/>
    <x v="1"/>
    <n v="21"/>
    <n v="0"/>
    <n v="0"/>
    <n v="765"/>
    <n v="0"/>
    <s v="Southampton"/>
  </r>
  <r>
    <x v="1"/>
    <n v="3"/>
    <s v="Moss, Mr. Albert Johan"/>
    <x v="0"/>
    <m/>
    <n v="0"/>
    <n v="0"/>
    <n v="7775"/>
    <n v="0"/>
    <s v="Southampton"/>
  </r>
  <r>
    <x v="0"/>
    <n v="3"/>
    <s v="Rekic, Mr. Tido"/>
    <x v="0"/>
    <n v="38"/>
    <n v="0"/>
    <n v="0"/>
    <n v="78958"/>
    <n v="0"/>
    <s v="Southampton"/>
  </r>
  <r>
    <x v="1"/>
    <n v="3"/>
    <s v="Moran, Miss. Bertha"/>
    <x v="1"/>
    <m/>
    <n v="1"/>
    <n v="0"/>
    <n v="2415"/>
    <n v="0"/>
    <s v="Queenstown"/>
  </r>
  <r>
    <x v="0"/>
    <n v="1"/>
    <s v="Porter, Mr. Walter Chamberlain"/>
    <x v="0"/>
    <n v="47"/>
    <n v="0"/>
    <n v="0"/>
    <n v="52"/>
    <n v="1"/>
    <s v="Southampton"/>
  </r>
  <r>
    <x v="0"/>
    <n v="3"/>
    <s v="Zabour, Miss. Hileni"/>
    <x v="1"/>
    <n v="145"/>
    <n v="1"/>
    <n v="0"/>
    <n v="144542"/>
    <n v="0"/>
    <s v="Cherburg"/>
  </r>
  <r>
    <x v="0"/>
    <n v="3"/>
    <s v="Barton, Mr. David John"/>
    <x v="0"/>
    <n v="22"/>
    <n v="0"/>
    <n v="0"/>
    <n v="805"/>
    <n v="0"/>
    <s v="Southampton"/>
  </r>
  <r>
    <x v="0"/>
    <n v="3"/>
    <s v="Jussila, Miss. Katriina"/>
    <x v="1"/>
    <n v="20"/>
    <n v="1"/>
    <n v="0"/>
    <n v="9825"/>
    <n v="0"/>
    <s v="Southampton"/>
  </r>
  <r>
    <x v="0"/>
    <n v="3"/>
    <s v="Attalah, Miss. Malake"/>
    <x v="1"/>
    <n v="17"/>
    <n v="0"/>
    <n v="0"/>
    <n v="144583"/>
    <n v="0"/>
    <s v="Cherburg"/>
  </r>
  <r>
    <x v="0"/>
    <n v="3"/>
    <s v="Pekoniemi, Mr. Edvard"/>
    <x v="0"/>
    <n v="21"/>
    <n v="0"/>
    <n v="0"/>
    <n v="7925"/>
    <n v="0"/>
    <s v="Southampton"/>
  </r>
  <r>
    <x v="0"/>
    <n v="3"/>
    <s v="Connors, Mr. Patrick"/>
    <x v="0"/>
    <n v="705"/>
    <n v="0"/>
    <n v="0"/>
    <n v="775"/>
    <n v="0"/>
    <s v="Queenstown"/>
  </r>
  <r>
    <x v="0"/>
    <n v="2"/>
    <s v="Turpin, Mr. William John Robert"/>
    <x v="0"/>
    <n v="29"/>
    <n v="1"/>
    <n v="0"/>
    <n v="21"/>
    <n v="0"/>
    <s v="Southampton"/>
  </r>
  <r>
    <x v="0"/>
    <n v="1"/>
    <s v="Baxter, Mr. Quigg Edmond"/>
    <x v="0"/>
    <n v="24"/>
    <n v="0"/>
    <n v="1"/>
    <n v="2475208"/>
    <n v="1"/>
    <s v="Cherburg"/>
  </r>
  <r>
    <x v="0"/>
    <n v="3"/>
    <s v="Andersson, Miss. Ellis Anna Maria"/>
    <x v="1"/>
    <n v="2"/>
    <n v="4"/>
    <n v="2"/>
    <n v="31275"/>
    <n v="0"/>
    <s v="Southampton"/>
  </r>
  <r>
    <x v="0"/>
    <n v="2"/>
    <s v="Hickman, Mr. Stanley George"/>
    <x v="0"/>
    <n v="21"/>
    <n v="2"/>
    <n v="0"/>
    <n v="735"/>
    <n v="0"/>
    <s v="Southampton"/>
  </r>
  <r>
    <x v="0"/>
    <n v="3"/>
    <s v="Moore, Mr. Leonard Charles"/>
    <x v="0"/>
    <m/>
    <n v="0"/>
    <n v="0"/>
    <n v="805"/>
    <n v="0"/>
    <s v="Southampton"/>
  </r>
  <r>
    <x v="0"/>
    <n v="2"/>
    <s v="Nasser, Mr. Nicholas"/>
    <x v="0"/>
    <n v="325"/>
    <n v="1"/>
    <n v="0"/>
    <n v="300708"/>
    <n v="0"/>
    <s v="Cherburg"/>
  </r>
  <r>
    <x v="1"/>
    <n v="2"/>
    <s v="Webber, Miss. Susan"/>
    <x v="1"/>
    <n v="325"/>
    <n v="0"/>
    <n v="0"/>
    <n v="13"/>
    <n v="1"/>
    <s v="Southampton"/>
  </r>
  <r>
    <x v="0"/>
    <n v="1"/>
    <s v="White, Mr. Percival Wayland"/>
    <x v="0"/>
    <n v="54"/>
    <n v="0"/>
    <n v="1"/>
    <n v="772875"/>
    <n v="1"/>
    <s v="Southampton"/>
  </r>
  <r>
    <x v="1"/>
    <n v="3"/>
    <s v="Nicola-Yarred, Master. Elias"/>
    <x v="0"/>
    <n v="12"/>
    <n v="1"/>
    <n v="0"/>
    <n v="112417"/>
    <n v="0"/>
    <s v="Cherburg"/>
  </r>
  <r>
    <x v="0"/>
    <n v="3"/>
    <s v="McMahon, Mr. Martin"/>
    <x v="0"/>
    <m/>
    <n v="0"/>
    <n v="0"/>
    <n v="775"/>
    <n v="0"/>
    <s v="Queenstown"/>
  </r>
  <r>
    <x v="1"/>
    <n v="3"/>
    <s v="Madsen, Mr. Fridtjof Arne"/>
    <x v="0"/>
    <n v="24"/>
    <n v="0"/>
    <n v="0"/>
    <n v="71417"/>
    <n v="0"/>
    <s v="Southampton"/>
  </r>
  <r>
    <x v="1"/>
    <n v="3"/>
    <s v="Peter, Miss. Anna"/>
    <x v="1"/>
    <m/>
    <n v="1"/>
    <n v="1"/>
    <n v="223583"/>
    <n v="1"/>
    <s v="Cherburg"/>
  </r>
  <r>
    <x v="0"/>
    <n v="3"/>
    <s v="Ekstrom, Mr. Johan"/>
    <x v="0"/>
    <n v="45"/>
    <n v="0"/>
    <n v="0"/>
    <n v="6975"/>
    <n v="0"/>
    <s v="Southampton"/>
  </r>
  <r>
    <x v="0"/>
    <n v="3"/>
    <s v="Drazenoic, Mr. Jozef"/>
    <x v="0"/>
    <n v="33"/>
    <n v="0"/>
    <n v="0"/>
    <n v="78958"/>
    <n v="0"/>
    <s v="Cherburg"/>
  </r>
  <r>
    <x v="0"/>
    <n v="3"/>
    <s v="Coelho, Mr. Domingos Fernandeo"/>
    <x v="0"/>
    <n v="20"/>
    <n v="0"/>
    <n v="0"/>
    <n v="705"/>
    <n v="0"/>
    <s v="Southampton"/>
  </r>
  <r>
    <x v="0"/>
    <n v="3"/>
    <s v="Robins, Mrs. Alexander A (Grace Charity Laury)"/>
    <x v="1"/>
    <n v="47"/>
    <n v="1"/>
    <n v="0"/>
    <n v="145"/>
    <n v="0"/>
    <s v="Southampton"/>
  </r>
  <r>
    <x v="1"/>
    <n v="2"/>
    <s v="Weisz, Mrs. Leopold (Mathilde Francoise Pede)"/>
    <x v="1"/>
    <n v="29"/>
    <n v="1"/>
    <n v="0"/>
    <n v="26"/>
    <n v="0"/>
    <s v="Southampton"/>
  </r>
  <r>
    <x v="0"/>
    <n v="2"/>
    <s v="Sobey, Mr. Samuel James Hayden"/>
    <x v="0"/>
    <n v="25"/>
    <n v="0"/>
    <n v="0"/>
    <n v="13"/>
    <n v="0"/>
    <s v="Southampton"/>
  </r>
  <r>
    <x v="0"/>
    <n v="2"/>
    <s v="Richard, Mr. Emile"/>
    <x v="0"/>
    <n v="23"/>
    <n v="0"/>
    <n v="0"/>
    <n v="150458"/>
    <n v="0"/>
    <s v="Cherburg"/>
  </r>
  <r>
    <x v="1"/>
    <n v="1"/>
    <s v="Newsom, Miss. Helen Monypeny"/>
    <x v="1"/>
    <n v="19"/>
    <n v="0"/>
    <n v="2"/>
    <n v="262833"/>
    <n v="1"/>
    <s v="Southampton"/>
  </r>
  <r>
    <x v="0"/>
    <n v="1"/>
    <s v="Futrelle, Mr. Jacques Heath"/>
    <x v="0"/>
    <n v="37"/>
    <n v="1"/>
    <n v="0"/>
    <n v="531"/>
    <n v="1"/>
    <s v="Southampton"/>
  </r>
  <r>
    <x v="0"/>
    <n v="3"/>
    <s v="Osen, Mr. Olaf Elon"/>
    <x v="0"/>
    <n v="16"/>
    <n v="0"/>
    <n v="0"/>
    <n v="92167"/>
    <n v="0"/>
    <s v="Southampton"/>
  </r>
  <r>
    <x v="0"/>
    <n v="1"/>
    <s v="Giglio, Mr. Victor"/>
    <x v="0"/>
    <n v="24"/>
    <n v="0"/>
    <n v="0"/>
    <n v="792"/>
    <n v="1"/>
    <s v="Cherburg"/>
  </r>
  <r>
    <x v="0"/>
    <n v="3"/>
    <s v="Boulos, Mrs. Joseph (Sultana)"/>
    <x v="1"/>
    <m/>
    <n v="0"/>
    <n v="2"/>
    <n v="152458"/>
    <n v="0"/>
    <s v="Cherburg"/>
  </r>
  <r>
    <x v="1"/>
    <n v="3"/>
    <s v="Nysten, Miss. Anna Sofia"/>
    <x v="1"/>
    <n v="22"/>
    <n v="0"/>
    <n v="0"/>
    <n v="775"/>
    <n v="0"/>
    <s v="Southampton"/>
  </r>
  <r>
    <x v="1"/>
    <n v="3"/>
    <s v="Hakkarainen, Mrs. Pekka Pietari (Elin Matilda Dolck)"/>
    <x v="1"/>
    <n v="24"/>
    <n v="1"/>
    <n v="0"/>
    <n v="1585"/>
    <n v="0"/>
    <s v="Southampton"/>
  </r>
  <r>
    <x v="0"/>
    <n v="3"/>
    <s v="Burke, Mr. Jeremiah"/>
    <x v="0"/>
    <n v="19"/>
    <n v="0"/>
    <n v="0"/>
    <n v="675"/>
    <n v="0"/>
    <s v="Queenstown"/>
  </r>
  <r>
    <x v="0"/>
    <n v="2"/>
    <s v="Andrew, Mr. Edgardo Samuel"/>
    <x v="0"/>
    <n v="18"/>
    <n v="0"/>
    <n v="0"/>
    <n v="115"/>
    <n v="0"/>
    <s v="Southampton"/>
  </r>
  <r>
    <x v="0"/>
    <n v="2"/>
    <s v="Nicholls, Mr. Joseph Charles"/>
    <x v="0"/>
    <n v="19"/>
    <n v="1"/>
    <n v="1"/>
    <n v="3675"/>
    <n v="0"/>
    <s v="Southampton"/>
  </r>
  <r>
    <x v="1"/>
    <n v="3"/>
    <s v="Andersson, Mr. August Edvard (&quot;Wennerstrom&quot;)"/>
    <x v="0"/>
    <n v="27"/>
    <n v="0"/>
    <n v="0"/>
    <n v="77958"/>
    <n v="0"/>
    <s v="Southampton"/>
  </r>
  <r>
    <x v="0"/>
    <n v="3"/>
    <s v="Ford, Miss. Robina Maggie &quot;Ruby&quot;"/>
    <x v="1"/>
    <n v="9"/>
    <n v="2"/>
    <n v="2"/>
    <n v="34375"/>
    <n v="0"/>
    <s v="Southampton"/>
  </r>
  <r>
    <x v="0"/>
    <n v="2"/>
    <s v="Navratil, Mr. Michel (&quot;Louis M Hoffman&quot;)"/>
    <x v="0"/>
    <n v="365"/>
    <n v="0"/>
    <n v="2"/>
    <n v="26"/>
    <n v="1"/>
    <s v="Southampton"/>
  </r>
  <r>
    <x v="0"/>
    <n v="2"/>
    <s v="Byles, Rev. Thomas Roussel Davids"/>
    <x v="0"/>
    <n v="42"/>
    <n v="0"/>
    <n v="0"/>
    <n v="13"/>
    <n v="0"/>
    <s v="Southampton"/>
  </r>
  <r>
    <x v="0"/>
    <n v="2"/>
    <s v="Bateman, Rev. Robert James"/>
    <x v="0"/>
    <n v="51"/>
    <n v="0"/>
    <n v="0"/>
    <n v="12525"/>
    <n v="0"/>
    <s v="Southampton"/>
  </r>
  <r>
    <x v="1"/>
    <n v="1"/>
    <s v="Pears, Mrs. Thomas (Edith Wearne)"/>
    <x v="1"/>
    <n v="22"/>
    <n v="1"/>
    <n v="0"/>
    <n v="666"/>
    <n v="1"/>
    <s v="Southampton"/>
  </r>
  <r>
    <x v="0"/>
    <n v="3"/>
    <s v="Meo, Mr. Alfonzo"/>
    <x v="0"/>
    <n v="555"/>
    <n v="0"/>
    <n v="0"/>
    <n v="805"/>
    <n v="0"/>
    <s v="Southampton"/>
  </r>
  <r>
    <x v="0"/>
    <n v="3"/>
    <s v="van Billiard, Mr. Austin Blyler"/>
    <x v="0"/>
    <n v="405"/>
    <n v="0"/>
    <n v="2"/>
    <n v="145"/>
    <n v="0"/>
    <s v="Southampton"/>
  </r>
  <r>
    <x v="0"/>
    <n v="3"/>
    <s v="Olsen, Mr. Ole Martin"/>
    <x v="0"/>
    <m/>
    <n v="0"/>
    <n v="0"/>
    <n v="73125"/>
    <n v="0"/>
    <s v="Southampton"/>
  </r>
  <r>
    <x v="0"/>
    <n v="1"/>
    <s v="Williams, Mr. Charles Duane"/>
    <x v="0"/>
    <n v="51"/>
    <n v="0"/>
    <n v="1"/>
    <n v="613792"/>
    <n v="0"/>
    <s v="Cherburg"/>
  </r>
  <r>
    <x v="1"/>
    <n v="3"/>
    <s v="Gilnagh, Miss. Katherine &quot;Katie&quot;"/>
    <x v="1"/>
    <n v="16"/>
    <n v="0"/>
    <n v="0"/>
    <n v="77333"/>
    <n v="0"/>
    <s v="Queenstown"/>
  </r>
  <r>
    <x v="0"/>
    <n v="3"/>
    <s v="Corn, Mr. Harry"/>
    <x v="0"/>
    <n v="30"/>
    <n v="0"/>
    <n v="0"/>
    <n v="805"/>
    <n v="0"/>
    <s v="Southampton"/>
  </r>
  <r>
    <x v="0"/>
    <n v="3"/>
    <s v="Smiljanic, Mr. Mile"/>
    <x v="0"/>
    <m/>
    <n v="0"/>
    <n v="0"/>
    <n v="86625"/>
    <n v="0"/>
    <s v="Southampton"/>
  </r>
  <r>
    <x v="0"/>
    <n v="3"/>
    <s v="Sage, Master. Thomas Henry"/>
    <x v="0"/>
    <m/>
    <n v="8"/>
    <n v="2"/>
    <n v="6955"/>
    <n v="0"/>
    <s v="Southampton"/>
  </r>
  <r>
    <x v="0"/>
    <n v="3"/>
    <s v="Cribb, Mr. John Hatfield"/>
    <x v="0"/>
    <n v="44"/>
    <n v="0"/>
    <n v="1"/>
    <n v="161"/>
    <n v="0"/>
    <s v="Southampton"/>
  </r>
  <r>
    <x v="1"/>
    <n v="2"/>
    <s v="Watt, Mrs. James (Elizabeth &quot;Bessie&quot; Inglis Milne)"/>
    <x v="1"/>
    <n v="40"/>
    <n v="0"/>
    <n v="0"/>
    <n v="1575"/>
    <n v="0"/>
    <s v="Southampton"/>
  </r>
  <r>
    <x v="0"/>
    <n v="3"/>
    <s v="Bengtsson, Mr. John Viktor"/>
    <x v="0"/>
    <n v="26"/>
    <n v="0"/>
    <n v="0"/>
    <n v="7775"/>
    <n v="0"/>
    <s v="Southampton"/>
  </r>
  <r>
    <x v="0"/>
    <n v="3"/>
    <s v="Calic, Mr. Jovo"/>
    <x v="0"/>
    <n v="17"/>
    <n v="0"/>
    <n v="0"/>
    <n v="86625"/>
    <n v="0"/>
    <s v="Southampton"/>
  </r>
  <r>
    <x v="0"/>
    <n v="3"/>
    <s v="Panula, Master. Eino Viljami"/>
    <x v="0"/>
    <n v="1"/>
    <n v="4"/>
    <n v="1"/>
    <n v="396875"/>
    <n v="0"/>
    <s v="Southampton"/>
  </r>
  <r>
    <x v="1"/>
    <n v="3"/>
    <s v="Goldsmith, Master. Frank John William &quot;Frankie&quot;"/>
    <x v="0"/>
    <n v="9"/>
    <n v="0"/>
    <n v="2"/>
    <n v="20525"/>
    <n v="0"/>
    <s v="Southampton"/>
  </r>
  <r>
    <x v="1"/>
    <n v="1"/>
    <s v="Chibnall, Mrs. (Edith Martha Bowerman)"/>
    <x v="1"/>
    <m/>
    <n v="0"/>
    <n v="1"/>
    <n v="55"/>
    <n v="1"/>
    <s v="Southampton"/>
  </r>
  <r>
    <x v="0"/>
    <n v="3"/>
    <s v="Skoog, Mrs. William (Anna Bernhardina Karlsson)"/>
    <x v="1"/>
    <n v="45"/>
    <n v="1"/>
    <n v="4"/>
    <n v="279"/>
    <n v="0"/>
    <s v="Southampton"/>
  </r>
  <r>
    <x v="0"/>
    <n v="1"/>
    <s v="Baumann, Mr. John D"/>
    <x v="0"/>
    <m/>
    <n v="0"/>
    <n v="0"/>
    <n v="25925"/>
    <n v="0"/>
    <s v="Southampton"/>
  </r>
  <r>
    <x v="0"/>
    <n v="3"/>
    <s v="Ling, Mr. Lee"/>
    <x v="0"/>
    <n v="28"/>
    <n v="0"/>
    <n v="0"/>
    <n v="564958"/>
    <n v="0"/>
    <s v="Southampton"/>
  </r>
  <r>
    <x v="0"/>
    <n v="1"/>
    <s v="Van der hoef, Mr. Wyckoff"/>
    <x v="0"/>
    <n v="61"/>
    <n v="0"/>
    <n v="0"/>
    <n v="335"/>
    <n v="1"/>
    <s v="Southampton"/>
  </r>
  <r>
    <x v="0"/>
    <n v="3"/>
    <s v="Rice, Master. Arthur"/>
    <x v="0"/>
    <n v="4"/>
    <n v="4"/>
    <n v="1"/>
    <n v="29125"/>
    <n v="0"/>
    <s v="Queenstown"/>
  </r>
  <r>
    <x v="1"/>
    <n v="3"/>
    <s v="Johnson, Miss. Eleanor Ileen"/>
    <x v="1"/>
    <n v="1"/>
    <n v="1"/>
    <n v="1"/>
    <n v="111333"/>
    <n v="0"/>
    <s v="Southampton"/>
  </r>
  <r>
    <x v="0"/>
    <n v="3"/>
    <s v="Sivola, Mr. Antti Wilhelm"/>
    <x v="0"/>
    <n v="21"/>
    <n v="0"/>
    <n v="0"/>
    <n v="7925"/>
    <n v="0"/>
    <s v="Southampton"/>
  </r>
  <r>
    <x v="0"/>
    <n v="1"/>
    <s v="Smith, Mr. James Clinch"/>
    <x v="0"/>
    <n v="56"/>
    <n v="0"/>
    <n v="0"/>
    <n v="306958"/>
    <n v="1"/>
    <s v="Cherburg"/>
  </r>
  <r>
    <x v="0"/>
    <n v="3"/>
    <s v="Klasen, Mr. Klas Albin"/>
    <x v="0"/>
    <n v="18"/>
    <n v="1"/>
    <n v="1"/>
    <n v="78542"/>
    <n v="0"/>
    <s v="Southampton"/>
  </r>
  <r>
    <x v="0"/>
    <n v="3"/>
    <s v="Lefebre, Master. Henry Forbes"/>
    <x v="0"/>
    <m/>
    <n v="3"/>
    <n v="1"/>
    <n v="254667"/>
    <n v="0"/>
    <s v="Southampton"/>
  </r>
  <r>
    <x v="0"/>
    <n v="1"/>
    <s v="Isham, Miss. Ann Elizabeth"/>
    <x v="1"/>
    <n v="50"/>
    <n v="0"/>
    <n v="0"/>
    <n v="287125"/>
    <n v="1"/>
    <s v="Cherburg"/>
  </r>
  <r>
    <x v="0"/>
    <n v="2"/>
    <s v="Hale, Mr. Reginald"/>
    <x v="0"/>
    <n v="30"/>
    <n v="0"/>
    <n v="0"/>
    <n v="13"/>
    <n v="0"/>
    <s v="Southampton"/>
  </r>
  <r>
    <x v="0"/>
    <n v="3"/>
    <s v="Leonard, Mr. Lionel"/>
    <x v="0"/>
    <n v="36"/>
    <n v="0"/>
    <n v="0"/>
    <n v="0"/>
    <n v="0"/>
    <s v="Southampton"/>
  </r>
  <r>
    <x v="0"/>
    <n v="3"/>
    <s v="Sage, Miss. Constance Gladys"/>
    <x v="1"/>
    <m/>
    <n v="8"/>
    <n v="2"/>
    <n v="6955"/>
    <n v="0"/>
    <s v="Southampton"/>
  </r>
  <r>
    <x v="0"/>
    <n v="2"/>
    <s v="Pernot, Mr. Rene"/>
    <x v="0"/>
    <m/>
    <n v="0"/>
    <n v="0"/>
    <n v="1505"/>
    <n v="0"/>
    <s v="Cherburg"/>
  </r>
  <r>
    <x v="0"/>
    <n v="3"/>
    <s v="Asplund, Master. Clarence Gustaf Hugo"/>
    <x v="0"/>
    <n v="9"/>
    <n v="4"/>
    <n v="2"/>
    <n v="313875"/>
    <n v="0"/>
    <s v="Southampton"/>
  </r>
  <r>
    <x v="1"/>
    <n v="2"/>
    <s v="Becker, Master. Richard F"/>
    <x v="0"/>
    <n v="1"/>
    <n v="2"/>
    <n v="1"/>
    <n v="39"/>
    <n v="1"/>
    <s v="Southampton"/>
  </r>
  <r>
    <x v="1"/>
    <n v="3"/>
    <s v="Kink-Heilmann, Miss. Luise Gretchen"/>
    <x v="1"/>
    <n v="4"/>
    <n v="0"/>
    <n v="2"/>
    <n v="22025"/>
    <n v="0"/>
    <s v="Southampton"/>
  </r>
  <r>
    <x v="0"/>
    <n v="1"/>
    <s v="Rood, Mr. Hugh Roscoe"/>
    <x v="0"/>
    <m/>
    <n v="0"/>
    <n v="0"/>
    <n v="50"/>
    <n v="1"/>
    <s v="Southampton"/>
  </r>
  <r>
    <x v="1"/>
    <n v="3"/>
    <s v="O'Brien, Mrs. Thomas (Johanna &quot;Hannah&quot; Godfrey)"/>
    <x v="1"/>
    <m/>
    <n v="1"/>
    <n v="0"/>
    <n v="155"/>
    <n v="0"/>
    <s v="Queenstown"/>
  </r>
  <r>
    <x v="1"/>
    <n v="1"/>
    <s v="Romaine, Mr. Charles Hallace (&quot;Mr C Rolmane&quot;)"/>
    <x v="0"/>
    <n v="45"/>
    <n v="0"/>
    <n v="0"/>
    <n v="2655"/>
    <n v="0"/>
    <s v="Southampton"/>
  </r>
  <r>
    <x v="0"/>
    <n v="3"/>
    <s v="Bourke, Mr. John"/>
    <x v="0"/>
    <n v="40"/>
    <n v="1"/>
    <n v="1"/>
    <n v="155"/>
    <n v="0"/>
    <s v="Queenstown"/>
  </r>
  <r>
    <x v="0"/>
    <n v="3"/>
    <s v="Turcin, Mr. Stjepan"/>
    <x v="0"/>
    <n v="36"/>
    <n v="0"/>
    <n v="0"/>
    <n v="78958"/>
    <n v="0"/>
    <s v="Southampton"/>
  </r>
  <r>
    <x v="1"/>
    <n v="2"/>
    <s v="Pinsky, Mrs. (Rosa)"/>
    <x v="1"/>
    <n v="32"/>
    <n v="0"/>
    <n v="0"/>
    <n v="13"/>
    <n v="0"/>
    <s v="Southampton"/>
  </r>
  <r>
    <x v="0"/>
    <n v="2"/>
    <s v="Carbines, Mr. William"/>
    <x v="0"/>
    <n v="19"/>
    <n v="0"/>
    <n v="0"/>
    <n v="13"/>
    <n v="0"/>
    <s v="Southampton"/>
  </r>
  <r>
    <x v="1"/>
    <n v="3"/>
    <s v="Andersen-Jensen, Miss. Carla Christine Nielsine"/>
    <x v="1"/>
    <n v="19"/>
    <n v="1"/>
    <n v="0"/>
    <n v="78542"/>
    <n v="0"/>
    <s v="Southampton"/>
  </r>
  <r>
    <x v="1"/>
    <n v="2"/>
    <s v="Navratil, Master. Michel M"/>
    <x v="0"/>
    <n v="3"/>
    <n v="1"/>
    <n v="1"/>
    <n v="26"/>
    <n v="1"/>
    <s v="Southampton"/>
  </r>
  <r>
    <x v="1"/>
    <n v="1"/>
    <s v="Brown, Mrs. James Joseph (Margaret Tobin)"/>
    <x v="1"/>
    <n v="44"/>
    <n v="0"/>
    <n v="0"/>
    <n v="277208"/>
    <n v="1"/>
    <s v="Cherburg"/>
  </r>
  <r>
    <x v="1"/>
    <n v="1"/>
    <s v="Lurette, Miss. Elise"/>
    <x v="1"/>
    <n v="58"/>
    <n v="0"/>
    <n v="0"/>
    <n v="1465208"/>
    <n v="1"/>
    <s v="Cherburg"/>
  </r>
  <r>
    <x v="0"/>
    <n v="3"/>
    <s v="Mernagh, Mr. Robert"/>
    <x v="0"/>
    <m/>
    <n v="0"/>
    <n v="0"/>
    <n v="775"/>
    <n v="0"/>
    <s v="Queenstown"/>
  </r>
  <r>
    <x v="0"/>
    <n v="3"/>
    <s v="Olsen, Mr. Karl Siegwart Andreas"/>
    <x v="0"/>
    <n v="42"/>
    <n v="0"/>
    <n v="1"/>
    <n v="84042"/>
    <n v="0"/>
    <s v="Southampton"/>
  </r>
  <r>
    <x v="1"/>
    <n v="3"/>
    <s v="Madigan, Miss. Margaret &quot;Maggie&quot;"/>
    <x v="1"/>
    <m/>
    <n v="0"/>
    <n v="0"/>
    <n v="775"/>
    <n v="0"/>
    <s v="Queenstown"/>
  </r>
  <r>
    <x v="0"/>
    <n v="2"/>
    <s v="Yrois, Miss. Henriette (&quot;Mrs Harbeck&quot;)"/>
    <x v="1"/>
    <n v="24"/>
    <n v="0"/>
    <n v="0"/>
    <n v="13"/>
    <n v="0"/>
    <s v="Southampton"/>
  </r>
  <r>
    <x v="0"/>
    <n v="3"/>
    <s v="Vande Walle, Mr. Nestor Cyriel"/>
    <x v="0"/>
    <n v="28"/>
    <n v="0"/>
    <n v="0"/>
    <n v="95"/>
    <n v="0"/>
    <s v="Southampton"/>
  </r>
  <r>
    <x v="0"/>
    <n v="3"/>
    <s v="Sage, Mr. Frederick"/>
    <x v="0"/>
    <m/>
    <n v="8"/>
    <n v="2"/>
    <n v="6955"/>
    <n v="0"/>
    <s v="Southampton"/>
  </r>
  <r>
    <x v="0"/>
    <n v="3"/>
    <s v="Johanson, Mr. Jakob Alfred"/>
    <x v="0"/>
    <n v="34"/>
    <n v="0"/>
    <n v="0"/>
    <n v="64958"/>
    <n v="0"/>
    <s v="Southampton"/>
  </r>
  <r>
    <x v="0"/>
    <n v="3"/>
    <s v="Youseff, Mr. Gerious"/>
    <x v="0"/>
    <n v="455"/>
    <n v="0"/>
    <n v="0"/>
    <n v="7225"/>
    <n v="0"/>
    <s v="Cherburg"/>
  </r>
  <r>
    <x v="1"/>
    <n v="3"/>
    <s v="Cohen, Mr. Gurshon &quot;Gus&quot;"/>
    <x v="0"/>
    <n v="18"/>
    <n v="0"/>
    <n v="0"/>
    <n v="805"/>
    <n v="0"/>
    <s v="Southampton"/>
  </r>
  <r>
    <x v="0"/>
    <n v="3"/>
    <s v="Strom, Miss. Telma Matilda"/>
    <x v="1"/>
    <n v="2"/>
    <n v="0"/>
    <n v="1"/>
    <n v="104625"/>
    <n v="1"/>
    <s v="Southampton"/>
  </r>
  <r>
    <x v="0"/>
    <n v="3"/>
    <s v="Backstrom, Mr. Karl Alfred"/>
    <x v="0"/>
    <n v="32"/>
    <n v="1"/>
    <n v="0"/>
    <n v="1585"/>
    <n v="0"/>
    <s v="Southampton"/>
  </r>
  <r>
    <x v="1"/>
    <n v="3"/>
    <s v="Albimona, Mr. Nassef Cassem"/>
    <x v="0"/>
    <n v="26"/>
    <n v="0"/>
    <n v="0"/>
    <n v="187875"/>
    <n v="0"/>
    <s v="Cherburg"/>
  </r>
  <r>
    <x v="1"/>
    <n v="3"/>
    <s v="Carr, Miss. Helen &quot;Ellen&quot;"/>
    <x v="1"/>
    <n v="16"/>
    <n v="0"/>
    <n v="0"/>
    <n v="775"/>
    <n v="0"/>
    <s v="Queenstown"/>
  </r>
  <r>
    <x v="1"/>
    <n v="1"/>
    <s v="Blank, Mr. Henry"/>
    <x v="0"/>
    <n v="40"/>
    <n v="0"/>
    <n v="0"/>
    <n v="31"/>
    <n v="1"/>
    <s v="Cherburg"/>
  </r>
  <r>
    <x v="0"/>
    <n v="3"/>
    <s v="Ali, Mr. Ahmed"/>
    <x v="0"/>
    <n v="24"/>
    <n v="0"/>
    <n v="0"/>
    <n v="705"/>
    <n v="0"/>
    <s v="Southampton"/>
  </r>
  <r>
    <x v="1"/>
    <n v="2"/>
    <s v="Cameron, Miss. Clear Annie"/>
    <x v="1"/>
    <n v="35"/>
    <n v="0"/>
    <n v="0"/>
    <n v="21"/>
    <n v="0"/>
    <s v="Southampton"/>
  </r>
  <r>
    <x v="0"/>
    <n v="3"/>
    <s v="Perkin, Mr. John Henry"/>
    <x v="0"/>
    <n v="22"/>
    <n v="0"/>
    <n v="0"/>
    <n v="725"/>
    <n v="0"/>
    <s v="Southampton"/>
  </r>
  <r>
    <x v="0"/>
    <n v="2"/>
    <s v="Givard, Mr. Hans Kristensen"/>
    <x v="0"/>
    <n v="30"/>
    <n v="0"/>
    <n v="0"/>
    <n v="13"/>
    <n v="0"/>
    <s v="Southampton"/>
  </r>
  <r>
    <x v="0"/>
    <n v="3"/>
    <s v="Kiernan, Mr. Philip"/>
    <x v="0"/>
    <m/>
    <n v="1"/>
    <n v="0"/>
    <n v="775"/>
    <n v="0"/>
    <s v="Queenstown"/>
  </r>
  <r>
    <x v="1"/>
    <n v="1"/>
    <s v="Newell, Miss. Madeleine"/>
    <x v="1"/>
    <n v="31"/>
    <n v="1"/>
    <n v="0"/>
    <n v="113275"/>
    <n v="1"/>
    <s v="Cherburg"/>
  </r>
  <r>
    <x v="1"/>
    <n v="3"/>
    <s v="Honkanen, Miss. Eliina"/>
    <x v="1"/>
    <n v="27"/>
    <n v="0"/>
    <n v="0"/>
    <n v="7925"/>
    <n v="0"/>
    <s v="Southampton"/>
  </r>
  <r>
    <x v="0"/>
    <n v="2"/>
    <s v="Jacobsohn, Mr. Sidney Samuel"/>
    <x v="0"/>
    <n v="42"/>
    <n v="1"/>
    <n v="0"/>
    <n v="27"/>
    <n v="0"/>
    <s v="Southampton"/>
  </r>
  <r>
    <x v="1"/>
    <n v="1"/>
    <s v="Bazzani, Miss. Albina"/>
    <x v="1"/>
    <n v="32"/>
    <n v="0"/>
    <n v="0"/>
    <n v="762917"/>
    <n v="1"/>
    <s v="Cherburg"/>
  </r>
  <r>
    <x v="0"/>
    <n v="2"/>
    <s v="Harris, Mr. Walter"/>
    <x v="0"/>
    <n v="30"/>
    <n v="0"/>
    <n v="0"/>
    <n v="105"/>
    <n v="0"/>
    <s v="Southampton"/>
  </r>
  <r>
    <x v="1"/>
    <n v="3"/>
    <s v="Sunderland, Mr. Victor Francis"/>
    <x v="0"/>
    <n v="16"/>
    <n v="0"/>
    <n v="0"/>
    <n v="805"/>
    <n v="0"/>
    <s v="Southampton"/>
  </r>
  <r>
    <x v="0"/>
    <n v="2"/>
    <s v="Bracken, Mr. James H"/>
    <x v="0"/>
    <n v="27"/>
    <n v="0"/>
    <n v="0"/>
    <n v="13"/>
    <n v="0"/>
    <s v="Southampton"/>
  </r>
  <r>
    <x v="0"/>
    <n v="3"/>
    <s v="Green, Mr. George Henry"/>
    <x v="0"/>
    <n v="51"/>
    <n v="0"/>
    <n v="0"/>
    <n v="805"/>
    <n v="0"/>
    <s v="Southampton"/>
  </r>
  <r>
    <x v="0"/>
    <n v="3"/>
    <s v="Nenkoff, Mr. Christo"/>
    <x v="0"/>
    <m/>
    <n v="0"/>
    <n v="0"/>
    <n v="78958"/>
    <n v="0"/>
    <s v="Southampton"/>
  </r>
  <r>
    <x v="1"/>
    <n v="1"/>
    <s v="Hoyt, Mr. Frederick Maxfield"/>
    <x v="0"/>
    <n v="38"/>
    <n v="1"/>
    <n v="0"/>
    <n v="90"/>
    <n v="1"/>
    <s v="Southampton"/>
  </r>
  <r>
    <x v="0"/>
    <n v="3"/>
    <s v="Berglund, Mr. Karl Ivar Sven"/>
    <x v="0"/>
    <n v="22"/>
    <n v="0"/>
    <n v="0"/>
    <n v="935"/>
    <n v="0"/>
    <s v="Southampton"/>
  </r>
  <r>
    <x v="1"/>
    <n v="2"/>
    <s v="Mellors, Mr. William John"/>
    <x v="0"/>
    <n v="19"/>
    <n v="0"/>
    <n v="0"/>
    <n v="105"/>
    <n v="0"/>
    <s v="Southampton"/>
  </r>
  <r>
    <x v="0"/>
    <n v="3"/>
    <s v="Lovell, Mr. John Hall (&quot;Henry&quot;)"/>
    <x v="0"/>
    <n v="205"/>
    <n v="0"/>
    <n v="0"/>
    <n v="725"/>
    <n v="0"/>
    <s v="Southampton"/>
  </r>
  <r>
    <x v="0"/>
    <n v="2"/>
    <s v="Fahlstrom, Mr. Arne Jonas"/>
    <x v="0"/>
    <n v="18"/>
    <n v="0"/>
    <n v="0"/>
    <n v="13"/>
    <n v="0"/>
    <s v="Southampton"/>
  </r>
  <r>
    <x v="0"/>
    <n v="3"/>
    <s v="Lefebre, Miss. Mathilde"/>
    <x v="1"/>
    <m/>
    <n v="3"/>
    <n v="1"/>
    <n v="254667"/>
    <n v="0"/>
    <s v="Southampton"/>
  </r>
  <r>
    <x v="1"/>
    <n v="1"/>
    <s v="Harris, Mrs. Henry Birkhardt (Irene Wallach)"/>
    <x v="1"/>
    <n v="35"/>
    <n v="1"/>
    <n v="0"/>
    <n v="83475"/>
    <n v="1"/>
    <s v="Southampton"/>
  </r>
  <r>
    <x v="0"/>
    <n v="3"/>
    <s v="Larsson, Mr. Bengt Edvin"/>
    <x v="0"/>
    <n v="29"/>
    <n v="0"/>
    <n v="0"/>
    <n v="7775"/>
    <n v="0"/>
    <s v="Southampton"/>
  </r>
  <r>
    <x v="0"/>
    <n v="2"/>
    <s v="Sjostedt, Mr. Ernst Adolf"/>
    <x v="0"/>
    <n v="59"/>
    <n v="0"/>
    <n v="0"/>
    <n v="135"/>
    <n v="0"/>
    <s v="Southampton"/>
  </r>
  <r>
    <x v="1"/>
    <n v="3"/>
    <s v="Asplund, Miss. Lillian Gertrud"/>
    <x v="1"/>
    <n v="5"/>
    <n v="4"/>
    <n v="2"/>
    <n v="313875"/>
    <n v="0"/>
    <s v="Southampton"/>
  </r>
  <r>
    <x v="0"/>
    <n v="2"/>
    <s v="Leyson, Mr. Robert William Norman"/>
    <x v="0"/>
    <n v="24"/>
    <n v="0"/>
    <n v="0"/>
    <n v="105"/>
    <n v="0"/>
    <s v="Southampton"/>
  </r>
  <r>
    <x v="0"/>
    <n v="3"/>
    <s v="Harknett, Miss. Alice Phoebe"/>
    <x v="1"/>
    <m/>
    <n v="0"/>
    <n v="0"/>
    <n v="755"/>
    <n v="0"/>
    <s v="Southampton"/>
  </r>
  <r>
    <x v="0"/>
    <n v="2"/>
    <s v="Hold, Mr. Stephen"/>
    <x v="0"/>
    <n v="44"/>
    <n v="1"/>
    <n v="0"/>
    <n v="26"/>
    <n v="0"/>
    <s v="Southampton"/>
  </r>
  <r>
    <x v="1"/>
    <n v="2"/>
    <s v="Collyer, Miss. Marjorie &quot;Lottie&quot;"/>
    <x v="1"/>
    <n v="8"/>
    <n v="0"/>
    <n v="2"/>
    <n v="2625"/>
    <n v="0"/>
    <s v="Southampton"/>
  </r>
  <r>
    <x v="0"/>
    <n v="2"/>
    <s v="Pengelly, Mr. Frederick William"/>
    <x v="0"/>
    <n v="19"/>
    <n v="0"/>
    <n v="0"/>
    <n v="105"/>
    <n v="0"/>
    <s v="Southampton"/>
  </r>
  <r>
    <x v="0"/>
    <n v="2"/>
    <s v="Hunt, Mr. George Henry"/>
    <x v="0"/>
    <n v="33"/>
    <n v="0"/>
    <n v="0"/>
    <n v="12275"/>
    <n v="0"/>
    <s v="Southampton"/>
  </r>
  <r>
    <x v="0"/>
    <n v="3"/>
    <s v="Zabour, Miss. Thamine"/>
    <x v="1"/>
    <m/>
    <n v="1"/>
    <n v="0"/>
    <n v="144542"/>
    <n v="0"/>
    <s v="Cherburg"/>
  </r>
  <r>
    <x v="1"/>
    <n v="3"/>
    <s v="Murphy, Miss. Katherine &quot;Kate&quot;"/>
    <x v="1"/>
    <m/>
    <n v="1"/>
    <n v="0"/>
    <n v="155"/>
    <n v="0"/>
    <s v="Queenstown"/>
  </r>
  <r>
    <x v="0"/>
    <n v="2"/>
    <s v="Coleridge, Mr. Reginald Charles"/>
    <x v="0"/>
    <n v="29"/>
    <n v="0"/>
    <n v="0"/>
    <n v="105"/>
    <n v="0"/>
    <s v="Southampton"/>
  </r>
  <r>
    <x v="0"/>
    <n v="3"/>
    <s v="Maenpaa, Mr. Matti Alexanteri"/>
    <x v="0"/>
    <n v="22"/>
    <n v="0"/>
    <n v="0"/>
    <n v="7125"/>
    <n v="0"/>
    <s v="Southampton"/>
  </r>
  <r>
    <x v="0"/>
    <n v="3"/>
    <s v="Attalah, Mr. Sleiman"/>
    <x v="0"/>
    <n v="30"/>
    <n v="0"/>
    <n v="0"/>
    <n v="7225"/>
    <n v="0"/>
    <s v="Cherburg"/>
  </r>
  <r>
    <x v="0"/>
    <n v="1"/>
    <s v="Minahan, Dr. William Edward"/>
    <x v="0"/>
    <n v="44"/>
    <n v="2"/>
    <n v="0"/>
    <n v="90"/>
    <n v="1"/>
    <s v="Queenstown"/>
  </r>
  <r>
    <x v="0"/>
    <n v="3"/>
    <s v="Lindahl, Miss. Agda Thorilda Viktoria"/>
    <x v="1"/>
    <n v="25"/>
    <n v="0"/>
    <n v="0"/>
    <n v="7775"/>
    <n v="0"/>
    <s v="Southampton"/>
  </r>
  <r>
    <x v="1"/>
    <n v="2"/>
    <s v="Hamalainen, Mrs. William (Anna)"/>
    <x v="1"/>
    <n v="24"/>
    <n v="0"/>
    <n v="2"/>
    <n v="145"/>
    <n v="0"/>
    <s v="Southampton"/>
  </r>
  <r>
    <x v="1"/>
    <n v="1"/>
    <s v="Beckwith, Mr. Richard Leonard"/>
    <x v="0"/>
    <n v="37"/>
    <n v="1"/>
    <n v="1"/>
    <n v="525542"/>
    <n v="1"/>
    <s v="Southampton"/>
  </r>
  <r>
    <x v="0"/>
    <n v="2"/>
    <s v="Carter, Rev. Ernest Courtenay"/>
    <x v="0"/>
    <n v="54"/>
    <n v="1"/>
    <n v="0"/>
    <n v="26"/>
    <n v="0"/>
    <s v="Southampton"/>
  </r>
  <r>
    <x v="0"/>
    <n v="3"/>
    <s v="Reed, Mr. James George"/>
    <x v="0"/>
    <m/>
    <n v="0"/>
    <n v="0"/>
    <n v="725"/>
    <n v="0"/>
    <s v="Southampton"/>
  </r>
  <r>
    <x v="0"/>
    <n v="3"/>
    <s v="Strom, Mrs. Wilhelm (Elna Matilda Persson)"/>
    <x v="1"/>
    <n v="29"/>
    <n v="1"/>
    <n v="1"/>
    <n v="104625"/>
    <n v="1"/>
    <s v="Southampton"/>
  </r>
  <r>
    <x v="0"/>
    <n v="1"/>
    <s v="Stead, Mr. William Thomas"/>
    <x v="0"/>
    <n v="62"/>
    <n v="0"/>
    <n v="0"/>
    <n v="2655"/>
    <n v="1"/>
    <s v="Southampton"/>
  </r>
  <r>
    <x v="0"/>
    <n v="3"/>
    <s v="Lobb, Mr. William Arthur"/>
    <x v="0"/>
    <n v="30"/>
    <n v="1"/>
    <n v="0"/>
    <n v="161"/>
    <n v="0"/>
    <s v="Southampton"/>
  </r>
  <r>
    <x v="0"/>
    <n v="3"/>
    <s v="Rosblom, Mrs. Viktor (Helena Wilhelmina)"/>
    <x v="1"/>
    <n v="41"/>
    <n v="0"/>
    <n v="2"/>
    <n v="202125"/>
    <n v="0"/>
    <s v="Southampton"/>
  </r>
  <r>
    <x v="1"/>
    <n v="3"/>
    <s v="Touma, Mrs. Darwis (Hanne Youssef Razi)"/>
    <x v="1"/>
    <n v="29"/>
    <n v="0"/>
    <n v="2"/>
    <n v="152458"/>
    <n v="0"/>
    <s v="Cherburg"/>
  </r>
  <r>
    <x v="1"/>
    <n v="1"/>
    <s v="Thorne, Mrs. Gertrude Maybelle"/>
    <x v="1"/>
    <m/>
    <n v="0"/>
    <n v="0"/>
    <n v="792"/>
    <n v="0"/>
    <s v="Cherburg"/>
  </r>
  <r>
    <x v="1"/>
    <n v="1"/>
    <s v="Cherry, Miss. Gladys"/>
    <x v="1"/>
    <n v="30"/>
    <n v="0"/>
    <n v="0"/>
    <n v="865"/>
    <n v="1"/>
    <s v="Southampton"/>
  </r>
  <r>
    <x v="1"/>
    <n v="1"/>
    <s v="Ward, Miss. Anna"/>
    <x v="1"/>
    <n v="35"/>
    <n v="0"/>
    <n v="0"/>
    <n v="5123292"/>
    <n v="0"/>
    <s v="Cherburg"/>
  </r>
  <r>
    <x v="1"/>
    <n v="2"/>
    <s v="Parrish, Mrs. (Lutie Davis)"/>
    <x v="1"/>
    <n v="50"/>
    <n v="0"/>
    <n v="1"/>
    <n v="26"/>
    <n v="0"/>
    <s v="Southampton"/>
  </r>
  <r>
    <x v="0"/>
    <n v="3"/>
    <s v="Smith, Mr. Thomas"/>
    <x v="0"/>
    <m/>
    <n v="0"/>
    <n v="0"/>
    <n v="775"/>
    <n v="0"/>
    <s v="Queenstown"/>
  </r>
  <r>
    <x v="1"/>
    <n v="3"/>
    <s v="Asplund, Master. Edvin Rojj Felix"/>
    <x v="0"/>
    <n v="3"/>
    <n v="4"/>
    <n v="2"/>
    <n v="313875"/>
    <n v="0"/>
    <s v="Southampton"/>
  </r>
  <r>
    <x v="0"/>
    <n v="1"/>
    <s v="Taussig, Mr. Emil"/>
    <x v="0"/>
    <n v="52"/>
    <n v="1"/>
    <n v="1"/>
    <n v="7965"/>
    <n v="1"/>
    <s v="Southampton"/>
  </r>
  <r>
    <x v="0"/>
    <n v="1"/>
    <s v="Harrison, Mr. William"/>
    <x v="0"/>
    <n v="40"/>
    <n v="0"/>
    <n v="0"/>
    <n v="0"/>
    <n v="1"/>
    <s v="Southampton"/>
  </r>
  <r>
    <x v="0"/>
    <n v="3"/>
    <s v="Henry, Miss. Delia"/>
    <x v="1"/>
    <m/>
    <n v="0"/>
    <n v="0"/>
    <n v="775"/>
    <n v="0"/>
    <s v="Queenstown"/>
  </r>
  <r>
    <x v="0"/>
    <n v="2"/>
    <s v="Reeves, Mr. David"/>
    <x v="0"/>
    <n v="36"/>
    <n v="0"/>
    <n v="0"/>
    <n v="105"/>
    <n v="0"/>
    <s v="Southampton"/>
  </r>
  <r>
    <x v="0"/>
    <n v="3"/>
    <s v="Panula, Mr. Ernesti Arvid"/>
    <x v="0"/>
    <n v="16"/>
    <n v="4"/>
    <n v="1"/>
    <n v="396875"/>
    <n v="0"/>
    <s v="Southampton"/>
  </r>
  <r>
    <x v="1"/>
    <n v="3"/>
    <s v="Persson, Mr. Ernst Ulrik"/>
    <x v="0"/>
    <n v="25"/>
    <n v="1"/>
    <n v="0"/>
    <n v="7775"/>
    <n v="0"/>
    <s v="Southampton"/>
  </r>
  <r>
    <x v="1"/>
    <n v="1"/>
    <s v="Graham, Mrs. William Thompson (Edith Junkins)"/>
    <x v="1"/>
    <n v="58"/>
    <n v="0"/>
    <n v="1"/>
    <n v="1534625"/>
    <n v="1"/>
    <s v="Southampton"/>
  </r>
  <r>
    <x v="1"/>
    <n v="1"/>
    <s v="Bissette, Miss. Amelia"/>
    <x v="1"/>
    <n v="35"/>
    <n v="0"/>
    <n v="0"/>
    <n v="1356333"/>
    <n v="1"/>
    <s v="Southampton"/>
  </r>
  <r>
    <x v="0"/>
    <n v="1"/>
    <s v="Cairns, Mr. Alexander"/>
    <x v="0"/>
    <m/>
    <n v="0"/>
    <n v="0"/>
    <n v="31"/>
    <n v="0"/>
    <s v="Southampton"/>
  </r>
  <r>
    <x v="1"/>
    <n v="3"/>
    <s v="Tornquist, Mr. William Henry"/>
    <x v="0"/>
    <n v="25"/>
    <n v="0"/>
    <n v="0"/>
    <n v="0"/>
    <n v="0"/>
    <s v="Southampton"/>
  </r>
  <r>
    <x v="1"/>
    <n v="2"/>
    <s v="Mellinger, Mrs. (Elizabeth Anne Maidment)"/>
    <x v="1"/>
    <n v="41"/>
    <n v="0"/>
    <n v="1"/>
    <n v="195"/>
    <n v="0"/>
    <s v="Southampton"/>
  </r>
  <r>
    <x v="0"/>
    <n v="1"/>
    <s v="Natsch, Mr. Charles H"/>
    <x v="0"/>
    <n v="37"/>
    <n v="0"/>
    <n v="1"/>
    <n v="297"/>
    <n v="1"/>
    <s v="Cherburg"/>
  </r>
  <r>
    <x v="1"/>
    <n v="3"/>
    <s v="Healy, Miss. Hanora &quot;Nora&quot;"/>
    <x v="1"/>
    <m/>
    <n v="0"/>
    <n v="0"/>
    <n v="775"/>
    <n v="0"/>
    <s v="Queenstown"/>
  </r>
  <r>
    <x v="1"/>
    <n v="1"/>
    <s v="Andrews, Miss. Kornelia Theodosia"/>
    <x v="1"/>
    <n v="63"/>
    <n v="1"/>
    <n v="0"/>
    <n v="779583"/>
    <n v="1"/>
    <s v="Southampton"/>
  </r>
  <r>
    <x v="0"/>
    <n v="3"/>
    <s v="Lindblom, Miss. Augusta Charlotta"/>
    <x v="1"/>
    <n v="45"/>
    <n v="0"/>
    <n v="0"/>
    <n v="775"/>
    <n v="0"/>
    <s v="Southampton"/>
  </r>
  <r>
    <x v="0"/>
    <n v="2"/>
    <s v="Parkes, Mr. Francis &quot;Frank&quot;"/>
    <x v="0"/>
    <m/>
    <n v="0"/>
    <n v="0"/>
    <n v="0"/>
    <n v="0"/>
    <s v="Southampton"/>
  </r>
  <r>
    <x v="0"/>
    <n v="3"/>
    <s v="Rice, Master. Eric"/>
    <x v="0"/>
    <n v="7"/>
    <n v="4"/>
    <n v="1"/>
    <n v="29125"/>
    <n v="0"/>
    <s v="Queenstown"/>
  </r>
  <r>
    <x v="1"/>
    <n v="3"/>
    <s v="Abbott, Mrs. Stanton (Rosa Hunt)"/>
    <x v="1"/>
    <n v="35"/>
    <n v="1"/>
    <n v="1"/>
    <n v="2025"/>
    <n v="0"/>
    <s v="Southampton"/>
  </r>
  <r>
    <x v="0"/>
    <n v="3"/>
    <s v="Duane, Mr. Frank"/>
    <x v="0"/>
    <n v="65"/>
    <n v="0"/>
    <n v="0"/>
    <n v="775"/>
    <n v="0"/>
    <s v="Queenstown"/>
  </r>
  <r>
    <x v="0"/>
    <n v="3"/>
    <s v="Olsson, Mr. Nils Johan Goransson"/>
    <x v="0"/>
    <n v="28"/>
    <n v="0"/>
    <n v="0"/>
    <n v="78542"/>
    <n v="0"/>
    <s v="Southampton"/>
  </r>
  <r>
    <x v="0"/>
    <n v="3"/>
    <s v="de Pelsmaeker, Mr. Alfons"/>
    <x v="0"/>
    <n v="16"/>
    <n v="0"/>
    <n v="0"/>
    <n v="95"/>
    <n v="0"/>
    <s v="Southampton"/>
  </r>
  <r>
    <x v="1"/>
    <n v="3"/>
    <s v="Dorking, Mr. Edward Arthur"/>
    <x v="0"/>
    <n v="19"/>
    <n v="0"/>
    <n v="0"/>
    <n v="805"/>
    <n v="0"/>
    <s v="Southampton"/>
  </r>
  <r>
    <x v="0"/>
    <n v="1"/>
    <s v="Smith, Mr. Richard William"/>
    <x v="0"/>
    <m/>
    <n v="0"/>
    <n v="0"/>
    <n v="26"/>
    <n v="1"/>
    <s v="Southampton"/>
  </r>
  <r>
    <x v="0"/>
    <n v="3"/>
    <s v="Stankovic, Mr. Ivan"/>
    <x v="0"/>
    <n v="33"/>
    <n v="0"/>
    <n v="0"/>
    <n v="86625"/>
    <n v="0"/>
    <s v="Cherburg"/>
  </r>
  <r>
    <x v="1"/>
    <n v="3"/>
    <s v="de Mulder, Mr. Theodore"/>
    <x v="0"/>
    <n v="30"/>
    <n v="0"/>
    <n v="0"/>
    <n v="95"/>
    <n v="0"/>
    <s v="Southampton"/>
  </r>
  <r>
    <x v="0"/>
    <n v="3"/>
    <s v="Naidenoff, Mr. Penko"/>
    <x v="0"/>
    <n v="22"/>
    <n v="0"/>
    <n v="0"/>
    <n v="78958"/>
    <n v="0"/>
    <s v="Southampton"/>
  </r>
  <r>
    <x v="1"/>
    <n v="2"/>
    <s v="Hosono, Mr. Masabumi"/>
    <x v="0"/>
    <n v="42"/>
    <n v="0"/>
    <n v="0"/>
    <n v="13"/>
    <n v="0"/>
    <s v="Southampton"/>
  </r>
  <r>
    <x v="1"/>
    <n v="3"/>
    <s v="Connolly, Miss. Kate"/>
    <x v="1"/>
    <n v="22"/>
    <n v="0"/>
    <n v="0"/>
    <n v="775"/>
    <n v="0"/>
    <s v="Queenstown"/>
  </r>
  <r>
    <x v="1"/>
    <n v="1"/>
    <s v="Barber, Miss. Ellen &quot;Nellie&quot;"/>
    <x v="1"/>
    <n v="26"/>
    <n v="0"/>
    <n v="0"/>
    <n v="7885"/>
    <n v="0"/>
    <s v="Southampton"/>
  </r>
  <r>
    <x v="1"/>
    <n v="1"/>
    <s v="Bishop, Mrs. Dickinson H (Helen Walton)"/>
    <x v="1"/>
    <n v="19"/>
    <n v="1"/>
    <n v="0"/>
    <n v="910792"/>
    <n v="1"/>
    <s v="Cherburg"/>
  </r>
  <r>
    <x v="0"/>
    <n v="2"/>
    <s v="Levy, Mr. Rene Jacques"/>
    <x v="0"/>
    <n v="36"/>
    <n v="0"/>
    <n v="0"/>
    <n v="12875"/>
    <n v="1"/>
    <s v="Cherburg"/>
  </r>
  <r>
    <x v="0"/>
    <n v="3"/>
    <s v="Haas, Miss. Aloisia"/>
    <x v="1"/>
    <n v="24"/>
    <n v="0"/>
    <n v="0"/>
    <n v="885"/>
    <n v="0"/>
    <s v="Southampton"/>
  </r>
  <r>
    <x v="0"/>
    <n v="3"/>
    <s v="Mineff, Mr. Ivan"/>
    <x v="0"/>
    <n v="24"/>
    <n v="0"/>
    <n v="0"/>
    <n v="78958"/>
    <n v="0"/>
    <s v="Southampton"/>
  </r>
  <r>
    <x v="0"/>
    <n v="1"/>
    <s v="Lewy, Mr. Ervin G"/>
    <x v="0"/>
    <m/>
    <n v="0"/>
    <n v="0"/>
    <n v="277208"/>
    <n v="0"/>
    <s v="Cherburg"/>
  </r>
  <r>
    <x v="0"/>
    <n v="3"/>
    <s v="Hanna, Mr. Mansour"/>
    <x v="0"/>
    <n v="235"/>
    <n v="0"/>
    <n v="0"/>
    <n v="72292"/>
    <n v="0"/>
    <s v="Cherburg"/>
  </r>
  <r>
    <x v="0"/>
    <n v="1"/>
    <s v="Allison, Miss. Helen Loraine"/>
    <x v="1"/>
    <n v="2"/>
    <n v="1"/>
    <n v="2"/>
    <n v="15155"/>
    <n v="1"/>
    <s v="Southampton"/>
  </r>
  <r>
    <x v="1"/>
    <n v="1"/>
    <s v="Saalfeld, Mr. Adolphe"/>
    <x v="0"/>
    <m/>
    <n v="0"/>
    <n v="0"/>
    <n v="305"/>
    <n v="1"/>
    <s v="Southampton"/>
  </r>
  <r>
    <x v="1"/>
    <n v="1"/>
    <s v="Baxter, Mrs. James (Helene DeLaudeniere Chaput)"/>
    <x v="1"/>
    <n v="50"/>
    <n v="0"/>
    <n v="1"/>
    <n v="2475208"/>
    <n v="1"/>
    <s v="Cherburg"/>
  </r>
  <r>
    <x v="1"/>
    <n v="3"/>
    <s v="Kelly, Miss. Anna Katherine &quot;Annie Kate&quot;"/>
    <x v="1"/>
    <m/>
    <n v="0"/>
    <n v="0"/>
    <n v="775"/>
    <n v="0"/>
    <s v="Queenstown"/>
  </r>
  <r>
    <x v="1"/>
    <n v="3"/>
    <s v="McCoy, Mr. Bernard"/>
    <x v="0"/>
    <m/>
    <n v="2"/>
    <n v="0"/>
    <n v="2325"/>
    <n v="0"/>
    <s v="Queenstown"/>
  </r>
  <r>
    <x v="0"/>
    <n v="3"/>
    <s v="Johnson, Mr. William Cahoone Jr"/>
    <x v="0"/>
    <n v="19"/>
    <n v="0"/>
    <n v="0"/>
    <n v="0"/>
    <n v="0"/>
    <s v="Southampton"/>
  </r>
  <r>
    <x v="1"/>
    <n v="2"/>
    <s v="Keane, Miss. Nora A"/>
    <x v="1"/>
    <m/>
    <n v="0"/>
    <n v="0"/>
    <n v="1235"/>
    <n v="1"/>
    <s v="Queenstown"/>
  </r>
  <r>
    <x v="0"/>
    <n v="3"/>
    <s v="Williams, Mr. Howard Hugh &quot;Harry&quot;"/>
    <x v="0"/>
    <m/>
    <n v="0"/>
    <n v="0"/>
    <n v="805"/>
    <n v="0"/>
    <s v="Southampton"/>
  </r>
  <r>
    <x v="1"/>
    <n v="1"/>
    <s v="Allison, Master. Hudson Trevor"/>
    <x v="0"/>
    <n v="92"/>
    <n v="1"/>
    <n v="2"/>
    <n v="15155"/>
    <n v="1"/>
    <s v="Southampton"/>
  </r>
  <r>
    <x v="1"/>
    <n v="1"/>
    <s v="Fleming, Miss. Margaret"/>
    <x v="1"/>
    <m/>
    <n v="0"/>
    <n v="0"/>
    <n v="1108833"/>
    <n v="0"/>
    <s v="Cherburg"/>
  </r>
  <r>
    <x v="1"/>
    <n v="1"/>
    <s v="Penasco y Castellana, Mrs. Victor de Satode (Maria Josefa Perez de Soto y Vallejo)"/>
    <x v="1"/>
    <n v="17"/>
    <n v="1"/>
    <n v="0"/>
    <n v="1089"/>
    <n v="1"/>
    <s v="Cherburg"/>
  </r>
  <r>
    <x v="0"/>
    <n v="2"/>
    <s v="Abelson, Mr. Samuel"/>
    <x v="0"/>
    <n v="30"/>
    <n v="1"/>
    <n v="0"/>
    <n v="24"/>
    <n v="0"/>
    <s v="Cherburg"/>
  </r>
  <r>
    <x v="1"/>
    <n v="1"/>
    <s v="Francatelli, Miss. Laura Mabel"/>
    <x v="1"/>
    <n v="30"/>
    <n v="0"/>
    <n v="0"/>
    <n v="569292"/>
    <n v="1"/>
    <s v="Cherburg"/>
  </r>
  <r>
    <x v="1"/>
    <n v="1"/>
    <s v="Hays, Miss. Margaret Bechstein"/>
    <x v="1"/>
    <n v="24"/>
    <n v="0"/>
    <n v="0"/>
    <n v="831583"/>
    <n v="1"/>
    <s v="Cherburg"/>
  </r>
  <r>
    <x v="1"/>
    <n v="1"/>
    <s v="Ryerson, Miss. Emily Borie"/>
    <x v="1"/>
    <n v="18"/>
    <n v="2"/>
    <n v="2"/>
    <n v="262375"/>
    <n v="1"/>
    <s v="Cherburg"/>
  </r>
  <r>
    <x v="0"/>
    <n v="2"/>
    <s v="Lahtinen, Mrs. William (Anna Sylfven)"/>
    <x v="1"/>
    <n v="26"/>
    <n v="1"/>
    <n v="1"/>
    <n v="26"/>
    <n v="0"/>
    <s v="Southampton"/>
  </r>
  <r>
    <x v="0"/>
    <n v="3"/>
    <s v="Hendekovic, Mr. Ignjac"/>
    <x v="0"/>
    <n v="28"/>
    <n v="0"/>
    <n v="0"/>
    <n v="78958"/>
    <n v="0"/>
    <s v="Southampton"/>
  </r>
  <r>
    <x v="0"/>
    <n v="2"/>
    <s v="Hart, Mr. Benjamin"/>
    <x v="0"/>
    <n v="43"/>
    <n v="1"/>
    <n v="1"/>
    <n v="2625"/>
    <n v="0"/>
    <s v="Southampton"/>
  </r>
  <r>
    <x v="1"/>
    <n v="3"/>
    <s v="Nilsson, Miss. Helmina Josefina"/>
    <x v="1"/>
    <n v="26"/>
    <n v="0"/>
    <n v="0"/>
    <n v="78542"/>
    <n v="0"/>
    <s v="Southampton"/>
  </r>
  <r>
    <x v="1"/>
    <n v="2"/>
    <s v="Kantor, Mrs. Sinai (Miriam Sternin)"/>
    <x v="1"/>
    <n v="24"/>
    <n v="1"/>
    <n v="0"/>
    <n v="26"/>
    <n v="0"/>
    <s v="Southampton"/>
  </r>
  <r>
    <x v="0"/>
    <n v="2"/>
    <s v="Moraweck, Dr. Ernest"/>
    <x v="0"/>
    <n v="54"/>
    <n v="0"/>
    <n v="0"/>
    <n v="14"/>
    <n v="0"/>
    <s v="Southampton"/>
  </r>
  <r>
    <x v="1"/>
    <n v="1"/>
    <s v="Wick, Miss. Mary Natalie"/>
    <x v="1"/>
    <n v="31"/>
    <n v="0"/>
    <n v="2"/>
    <n v="1648667"/>
    <n v="1"/>
    <s v="Southampton"/>
  </r>
  <r>
    <x v="1"/>
    <n v="1"/>
    <s v="Spedden, Mrs. Frederic Oakley (Margaretta Corning Stone)"/>
    <x v="1"/>
    <n v="40"/>
    <n v="1"/>
    <n v="1"/>
    <n v="1345"/>
    <n v="1"/>
    <s v="Cherburg"/>
  </r>
  <r>
    <x v="0"/>
    <n v="3"/>
    <s v="Dennis, Mr. Samuel"/>
    <x v="0"/>
    <n v="22"/>
    <n v="0"/>
    <n v="0"/>
    <n v="725"/>
    <n v="0"/>
    <s v="Southampton"/>
  </r>
  <r>
    <x v="0"/>
    <n v="3"/>
    <s v="Danoff, Mr. Yoto"/>
    <x v="0"/>
    <n v="27"/>
    <n v="0"/>
    <n v="0"/>
    <n v="78958"/>
    <n v="0"/>
    <s v="Southampton"/>
  </r>
  <r>
    <x v="1"/>
    <n v="2"/>
    <s v="Slayter, Miss. Hilda Mary"/>
    <x v="1"/>
    <n v="30"/>
    <n v="0"/>
    <n v="0"/>
    <n v="1235"/>
    <n v="0"/>
    <s v="Queenstown"/>
  </r>
  <r>
    <x v="1"/>
    <n v="2"/>
    <s v="Caldwell, Mrs. Albert Francis (Sylvia Mae Harbaugh)"/>
    <x v="1"/>
    <n v="22"/>
    <n v="1"/>
    <n v="1"/>
    <n v="29"/>
    <n v="0"/>
    <s v="Southampton"/>
  </r>
  <r>
    <x v="0"/>
    <n v="3"/>
    <s v="Sage, Mr. George John Jr"/>
    <x v="0"/>
    <m/>
    <n v="8"/>
    <n v="2"/>
    <n v="6955"/>
    <n v="0"/>
    <s v="Southampton"/>
  </r>
  <r>
    <x v="1"/>
    <n v="1"/>
    <s v="Young, Miss. Marie Grice"/>
    <x v="1"/>
    <n v="36"/>
    <n v="0"/>
    <n v="0"/>
    <n v="1356333"/>
    <n v="1"/>
    <s v="Cherburg"/>
  </r>
  <r>
    <x v="0"/>
    <n v="3"/>
    <s v="Nysveen, Mr. Johan Hansen"/>
    <x v="0"/>
    <n v="61"/>
    <n v="0"/>
    <n v="0"/>
    <n v="62375"/>
    <n v="0"/>
    <s v="Southampton"/>
  </r>
  <r>
    <x v="1"/>
    <n v="2"/>
    <s v="Ball, Mrs. (Ada E Hall)"/>
    <x v="1"/>
    <n v="36"/>
    <n v="0"/>
    <n v="0"/>
    <n v="13"/>
    <n v="1"/>
    <s v="Southampton"/>
  </r>
  <r>
    <x v="1"/>
    <n v="3"/>
    <s v="Goldsmith, Mrs. Frank John (Emily Alice Brown)"/>
    <x v="1"/>
    <n v="31"/>
    <n v="1"/>
    <n v="1"/>
    <n v="20525"/>
    <n v="0"/>
    <s v="Southampton"/>
  </r>
  <r>
    <x v="1"/>
    <n v="1"/>
    <s v="Hippach, Miss. Jean Gertrude"/>
    <x v="1"/>
    <n v="16"/>
    <n v="0"/>
    <n v="1"/>
    <n v="579792"/>
    <n v="1"/>
    <s v="Cherburg"/>
  </r>
  <r>
    <x v="1"/>
    <n v="3"/>
    <s v="McCoy, Miss. Agnes"/>
    <x v="1"/>
    <m/>
    <n v="2"/>
    <n v="0"/>
    <n v="2325"/>
    <n v="0"/>
    <s v="Queenstown"/>
  </r>
  <r>
    <x v="0"/>
    <n v="1"/>
    <s v="Partner, Mr. Austen"/>
    <x v="0"/>
    <n v="455"/>
    <n v="0"/>
    <n v="0"/>
    <n v="285"/>
    <n v="1"/>
    <s v="Southampton"/>
  </r>
  <r>
    <x v="0"/>
    <n v="1"/>
    <s v="Graham, Mr. George Edward"/>
    <x v="0"/>
    <n v="38"/>
    <n v="0"/>
    <n v="1"/>
    <n v="1534625"/>
    <n v="1"/>
    <s v="Southampton"/>
  </r>
  <r>
    <x v="0"/>
    <n v="3"/>
    <s v="Vander Planke, Mr. Leo Edmondus"/>
    <x v="0"/>
    <n v="16"/>
    <n v="2"/>
    <n v="0"/>
    <n v="18"/>
    <n v="0"/>
    <s v="Southampton"/>
  </r>
  <r>
    <x v="1"/>
    <n v="1"/>
    <s v="Frauenthal, Mrs. Henry William (Clara Heinsheimer)"/>
    <x v="1"/>
    <m/>
    <n v="1"/>
    <n v="0"/>
    <n v="13365"/>
    <n v="0"/>
    <s v="Southampton"/>
  </r>
  <r>
    <x v="0"/>
    <n v="3"/>
    <s v="Denkoff, Mr. Mitto"/>
    <x v="0"/>
    <m/>
    <n v="0"/>
    <n v="0"/>
    <n v="78958"/>
    <n v="0"/>
    <s v="Southampton"/>
  </r>
  <r>
    <x v="0"/>
    <n v="1"/>
    <s v="Pears, Mr. Thomas Clinton"/>
    <x v="0"/>
    <n v="29"/>
    <n v="1"/>
    <n v="0"/>
    <n v="666"/>
    <n v="1"/>
    <s v="Southampton"/>
  </r>
  <r>
    <x v="1"/>
    <n v="1"/>
    <s v="Burns, Miss. Elizabeth Margaret"/>
    <x v="1"/>
    <n v="41"/>
    <n v="0"/>
    <n v="0"/>
    <n v="1345"/>
    <n v="1"/>
    <s v="Cherburg"/>
  </r>
  <r>
    <x v="1"/>
    <n v="3"/>
    <s v="Dahl, Mr. Karl Edwart"/>
    <x v="0"/>
    <n v="45"/>
    <n v="0"/>
    <n v="0"/>
    <n v="805"/>
    <n v="0"/>
    <s v="Southampton"/>
  </r>
  <r>
    <x v="0"/>
    <n v="1"/>
    <s v="Blackwell, Mr. Stephen Weart"/>
    <x v="0"/>
    <n v="45"/>
    <n v="0"/>
    <n v="0"/>
    <n v="355"/>
    <n v="1"/>
    <s v="Southampton"/>
  </r>
  <r>
    <x v="1"/>
    <n v="2"/>
    <s v="Navratil, Master. Edmond Roger"/>
    <x v="0"/>
    <n v="2"/>
    <n v="1"/>
    <n v="1"/>
    <n v="26"/>
    <n v="1"/>
    <s v="Southampton"/>
  </r>
  <r>
    <x v="1"/>
    <n v="1"/>
    <s v="Fortune, Miss. Alice Elizabeth"/>
    <x v="1"/>
    <n v="24"/>
    <n v="3"/>
    <n v="2"/>
    <n v="263"/>
    <n v="1"/>
    <s v="Southampton"/>
  </r>
  <r>
    <x v="0"/>
    <n v="2"/>
    <s v="Collander, Mr. Erik Gustaf"/>
    <x v="0"/>
    <n v="28"/>
    <n v="0"/>
    <n v="0"/>
    <n v="13"/>
    <n v="0"/>
    <s v="Southampton"/>
  </r>
  <r>
    <x v="0"/>
    <n v="2"/>
    <s v="Sedgwick, Mr. Charles Frederick Waddington"/>
    <x v="0"/>
    <n v="25"/>
    <n v="0"/>
    <n v="0"/>
    <n v="13"/>
    <n v="0"/>
    <s v="Southampton"/>
  </r>
  <r>
    <x v="0"/>
    <n v="2"/>
    <s v="Fox, Mr. Stanley Hubert"/>
    <x v="0"/>
    <n v="36"/>
    <n v="0"/>
    <n v="0"/>
    <n v="13"/>
    <n v="0"/>
    <s v="Southampton"/>
  </r>
  <r>
    <x v="1"/>
    <n v="2"/>
    <s v="Brown, Miss. Amelia &quot;Mildred&quot;"/>
    <x v="1"/>
    <n v="24"/>
    <n v="0"/>
    <n v="0"/>
    <n v="13"/>
    <n v="1"/>
    <s v="Southampton"/>
  </r>
  <r>
    <x v="1"/>
    <n v="2"/>
    <s v="Smith, Miss. Marion Elsie"/>
    <x v="1"/>
    <n v="40"/>
    <n v="0"/>
    <n v="0"/>
    <n v="13"/>
    <n v="0"/>
    <s v="Southampton"/>
  </r>
  <r>
    <x v="1"/>
    <n v="3"/>
    <s v="Davison, Mrs. Thomas Henry (Mary E Finck)"/>
    <x v="1"/>
    <m/>
    <n v="1"/>
    <n v="0"/>
    <n v="161"/>
    <n v="0"/>
    <s v="Southampton"/>
  </r>
  <r>
    <x v="1"/>
    <n v="3"/>
    <s v="Coutts, Master. William Loch &quot;William&quot;"/>
    <x v="0"/>
    <n v="3"/>
    <n v="1"/>
    <n v="1"/>
    <n v="159"/>
    <n v="0"/>
    <s v="Southampton"/>
  </r>
  <r>
    <x v="0"/>
    <n v="3"/>
    <s v="Dimic, Mr. Jovan"/>
    <x v="0"/>
    <n v="42"/>
    <n v="0"/>
    <n v="0"/>
    <n v="86625"/>
    <n v="0"/>
    <s v="Southampton"/>
  </r>
  <r>
    <x v="0"/>
    <n v="3"/>
    <s v="Odahl, Mr. Nils Martin"/>
    <x v="0"/>
    <n v="23"/>
    <n v="0"/>
    <n v="0"/>
    <n v="9225"/>
    <n v="0"/>
    <s v="Southampton"/>
  </r>
  <r>
    <x v="0"/>
    <n v="1"/>
    <s v="Williams-Lambert, Mr. Fletcher Fellows"/>
    <x v="0"/>
    <m/>
    <n v="0"/>
    <n v="0"/>
    <n v="35"/>
    <n v="1"/>
    <s v="Southampton"/>
  </r>
  <r>
    <x v="0"/>
    <n v="3"/>
    <s v="Elias, Mr. Tannous"/>
    <x v="0"/>
    <n v="15"/>
    <n v="1"/>
    <n v="1"/>
    <n v="72292"/>
    <n v="0"/>
    <s v="Cherburg"/>
  </r>
  <r>
    <x v="0"/>
    <n v="3"/>
    <s v="Arnold-Franchi, Mr. Josef"/>
    <x v="0"/>
    <n v="25"/>
    <n v="1"/>
    <n v="0"/>
    <n v="178"/>
    <n v="0"/>
    <s v="Southampton"/>
  </r>
  <r>
    <x v="0"/>
    <n v="3"/>
    <s v="Yousif, Mr. Wazli"/>
    <x v="0"/>
    <m/>
    <n v="0"/>
    <n v="0"/>
    <n v="7225"/>
    <n v="0"/>
    <s v="Cherburg"/>
  </r>
  <r>
    <x v="0"/>
    <n v="3"/>
    <s v="Vanden Steen, Mr. Leo Peter"/>
    <x v="0"/>
    <n v="28"/>
    <n v="0"/>
    <n v="0"/>
    <n v="95"/>
    <n v="0"/>
    <s v="Southampton"/>
  </r>
  <r>
    <x v="1"/>
    <n v="1"/>
    <s v="Bowerman, Miss. Elsie Edith"/>
    <x v="1"/>
    <n v="22"/>
    <n v="0"/>
    <n v="1"/>
    <n v="55"/>
    <n v="1"/>
    <s v="Southampton"/>
  </r>
  <r>
    <x v="0"/>
    <n v="2"/>
    <s v="Funk, Miss. Annie Clemmer"/>
    <x v="1"/>
    <n v="38"/>
    <n v="0"/>
    <n v="0"/>
    <n v="13"/>
    <n v="0"/>
    <s v="Southampton"/>
  </r>
  <r>
    <x v="1"/>
    <n v="3"/>
    <s v="McGovern, Miss. Mary"/>
    <x v="1"/>
    <m/>
    <n v="0"/>
    <n v="0"/>
    <n v="78792"/>
    <n v="0"/>
    <s v="Queenstown"/>
  </r>
  <r>
    <x v="1"/>
    <n v="3"/>
    <s v="Mockler, Miss. Helen Mary &quot;Ellie&quot;"/>
    <x v="1"/>
    <m/>
    <n v="0"/>
    <n v="0"/>
    <n v="78792"/>
    <n v="0"/>
    <s v="Queenstown"/>
  </r>
  <r>
    <x v="0"/>
    <n v="3"/>
    <s v="Skoog, Mr. Wilhelm"/>
    <x v="0"/>
    <n v="40"/>
    <n v="1"/>
    <n v="4"/>
    <n v="279"/>
    <n v="0"/>
    <s v="Southampton"/>
  </r>
  <r>
    <x v="0"/>
    <n v="2"/>
    <s v="del Carlo, Mr. Sebastiano"/>
    <x v="0"/>
    <n v="29"/>
    <n v="1"/>
    <n v="0"/>
    <n v="277208"/>
    <n v="0"/>
    <s v="Cherburg"/>
  </r>
  <r>
    <x v="0"/>
    <n v="3"/>
    <s v="Barbara, Mrs. (Catherine David)"/>
    <x v="1"/>
    <n v="45"/>
    <n v="0"/>
    <n v="1"/>
    <n v="144542"/>
    <n v="0"/>
    <s v="Cherburg"/>
  </r>
  <r>
    <x v="0"/>
    <n v="3"/>
    <s v="Asim, Mr. Adola"/>
    <x v="0"/>
    <n v="35"/>
    <n v="0"/>
    <n v="0"/>
    <n v="705"/>
    <n v="0"/>
    <s v="Southampton"/>
  </r>
  <r>
    <x v="0"/>
    <n v="3"/>
    <s v="O'Brien, Mr. Thomas"/>
    <x v="0"/>
    <m/>
    <n v="1"/>
    <n v="0"/>
    <n v="155"/>
    <n v="0"/>
    <s v="Queenstown"/>
  </r>
  <r>
    <x v="0"/>
    <n v="3"/>
    <s v="Adahl, Mr. Mauritz Nils Martin"/>
    <x v="0"/>
    <n v="30"/>
    <n v="0"/>
    <n v="0"/>
    <n v="725"/>
    <n v="0"/>
    <s v="Southampton"/>
  </r>
  <r>
    <x v="1"/>
    <n v="1"/>
    <s v="Warren, Mrs. Frank Manley (Anna Sophia Atkinson)"/>
    <x v="1"/>
    <n v="60"/>
    <n v="1"/>
    <n v="0"/>
    <n v="7525"/>
    <n v="1"/>
    <s v="Cherburg"/>
  </r>
  <r>
    <x v="1"/>
    <n v="3"/>
    <s v="Moussa, Mrs. (Mantoura Boulos)"/>
    <x v="1"/>
    <m/>
    <n v="0"/>
    <n v="0"/>
    <n v="72292"/>
    <n v="0"/>
    <s v="Cherburg"/>
  </r>
  <r>
    <x v="1"/>
    <n v="3"/>
    <s v="Jermyn, Miss. Annie"/>
    <x v="1"/>
    <m/>
    <n v="0"/>
    <n v="0"/>
    <n v="775"/>
    <n v="0"/>
    <s v="Queenstown"/>
  </r>
  <r>
    <x v="1"/>
    <n v="1"/>
    <s v="Aubart, Mme. Leontine Pauline"/>
    <x v="1"/>
    <n v="24"/>
    <n v="0"/>
    <n v="0"/>
    <n v="693"/>
    <n v="1"/>
    <s v="Cherburg"/>
  </r>
  <r>
    <x v="1"/>
    <n v="1"/>
    <s v="Harder, Mr. George Achilles"/>
    <x v="0"/>
    <n v="25"/>
    <n v="1"/>
    <n v="0"/>
    <n v="554417"/>
    <n v="1"/>
    <s v="Cherburg"/>
  </r>
  <r>
    <x v="0"/>
    <n v="3"/>
    <s v="Wiklund, Mr. Jakob Alfred"/>
    <x v="0"/>
    <n v="18"/>
    <n v="1"/>
    <n v="0"/>
    <n v="64958"/>
    <n v="0"/>
    <s v="Southampton"/>
  </r>
  <r>
    <x v="0"/>
    <n v="3"/>
    <s v="Beavan, Mr. William Thomas"/>
    <x v="0"/>
    <n v="19"/>
    <n v="0"/>
    <n v="0"/>
    <n v="805"/>
    <n v="0"/>
    <s v="Southampton"/>
  </r>
  <r>
    <x v="0"/>
    <n v="1"/>
    <s v="Ringhini, Mr. Sante"/>
    <x v="0"/>
    <n v="22"/>
    <n v="0"/>
    <n v="0"/>
    <n v="1356333"/>
    <n v="0"/>
    <s v="Cherburg"/>
  </r>
  <r>
    <x v="0"/>
    <n v="3"/>
    <s v="Palsson, Miss. Stina Viola"/>
    <x v="1"/>
    <n v="3"/>
    <n v="3"/>
    <n v="1"/>
    <n v="21075"/>
    <n v="0"/>
    <s v="Southampton"/>
  </r>
  <r>
    <x v="1"/>
    <n v="1"/>
    <s v="Meyer, Mrs. Edgar Joseph (Leila Saks)"/>
    <x v="1"/>
    <m/>
    <n v="1"/>
    <n v="0"/>
    <n v="821708"/>
    <n v="0"/>
    <s v="Cherburg"/>
  </r>
  <r>
    <x v="1"/>
    <n v="3"/>
    <s v="Landergren, Miss. Aurora Adelia"/>
    <x v="1"/>
    <n v="22"/>
    <n v="0"/>
    <n v="0"/>
    <n v="725"/>
    <n v="0"/>
    <s v="Southampton"/>
  </r>
  <r>
    <x v="0"/>
    <n v="1"/>
    <s v="Widener, Mr. Harry Elkins"/>
    <x v="0"/>
    <n v="27"/>
    <n v="0"/>
    <n v="2"/>
    <n v="2115"/>
    <n v="1"/>
    <s v="Cherburg"/>
  </r>
  <r>
    <x v="0"/>
    <n v="3"/>
    <s v="Betros, Mr. Tannous"/>
    <x v="0"/>
    <n v="20"/>
    <n v="0"/>
    <n v="0"/>
    <n v="40125"/>
    <n v="0"/>
    <s v="Cherburg"/>
  </r>
  <r>
    <x v="0"/>
    <n v="3"/>
    <s v="Gustafsson, Mr. Karl Gideon"/>
    <x v="0"/>
    <n v="19"/>
    <n v="0"/>
    <n v="0"/>
    <n v="7775"/>
    <n v="0"/>
    <s v="Southampton"/>
  </r>
  <r>
    <x v="1"/>
    <n v="1"/>
    <s v="Bidois, Miss. Rosalie"/>
    <x v="1"/>
    <n v="42"/>
    <n v="0"/>
    <n v="0"/>
    <n v="227525"/>
    <n v="0"/>
    <s v="Cherburg"/>
  </r>
  <r>
    <x v="1"/>
    <n v="3"/>
    <s v="Nakid, Miss. Maria (&quot;Mary&quot;)"/>
    <x v="1"/>
    <n v="1"/>
    <n v="0"/>
    <n v="2"/>
    <n v="157417"/>
    <n v="0"/>
    <s v="Cherburg"/>
  </r>
  <r>
    <x v="0"/>
    <n v="3"/>
    <s v="Tikkanen, Mr. Juho"/>
    <x v="0"/>
    <n v="32"/>
    <n v="0"/>
    <n v="0"/>
    <n v="7925"/>
    <n v="0"/>
    <s v="Southampton"/>
  </r>
  <r>
    <x v="1"/>
    <n v="1"/>
    <s v="Holverson, Mrs. Alexander Oskar (Mary Aline Towner)"/>
    <x v="1"/>
    <n v="35"/>
    <n v="1"/>
    <n v="0"/>
    <n v="52"/>
    <n v="0"/>
    <s v="Southampton"/>
  </r>
  <r>
    <x v="0"/>
    <n v="3"/>
    <s v="Plotcharsky, Mr. Vasil"/>
    <x v="0"/>
    <m/>
    <n v="0"/>
    <n v="0"/>
    <n v="78958"/>
    <n v="0"/>
    <s v="Southampton"/>
  </r>
  <r>
    <x v="0"/>
    <n v="2"/>
    <s v="Davies, Mr. Charles Henry"/>
    <x v="0"/>
    <n v="18"/>
    <n v="0"/>
    <n v="0"/>
    <n v="735"/>
    <n v="0"/>
    <s v="Southampton"/>
  </r>
  <r>
    <x v="0"/>
    <n v="3"/>
    <s v="Goodwin, Master. Sidney Leonard"/>
    <x v="0"/>
    <n v="1"/>
    <n v="5"/>
    <n v="2"/>
    <n v="469"/>
    <n v="0"/>
    <s v="Southampton"/>
  </r>
  <r>
    <x v="1"/>
    <n v="2"/>
    <s v="Buss, Miss. Kate"/>
    <x v="1"/>
    <n v="36"/>
    <n v="0"/>
    <n v="0"/>
    <n v="13"/>
    <n v="0"/>
    <s v="Southampton"/>
  </r>
  <r>
    <x v="0"/>
    <n v="3"/>
    <s v="Sadlier, Mr. Matthew"/>
    <x v="0"/>
    <m/>
    <n v="0"/>
    <n v="0"/>
    <n v="77292"/>
    <n v="0"/>
    <s v="Queenstown"/>
  </r>
  <r>
    <x v="1"/>
    <n v="2"/>
    <s v="Lehmann, Miss. Bertha"/>
    <x v="1"/>
    <n v="17"/>
    <n v="0"/>
    <n v="0"/>
    <n v="12"/>
    <n v="0"/>
    <s v="Cherburg"/>
  </r>
  <r>
    <x v="1"/>
    <n v="1"/>
    <s v="Carter, Mr. William Ernest"/>
    <x v="0"/>
    <n v="36"/>
    <n v="1"/>
    <n v="2"/>
    <n v="120"/>
    <n v="1"/>
    <s v="Southampton"/>
  </r>
  <r>
    <x v="1"/>
    <n v="3"/>
    <s v="Jansson, Mr. Carl Olof"/>
    <x v="0"/>
    <n v="21"/>
    <n v="0"/>
    <n v="0"/>
    <n v="77958"/>
    <n v="0"/>
    <s v="Southampton"/>
  </r>
  <r>
    <x v="0"/>
    <n v="3"/>
    <s v="Gustafsson, Mr. Johan Birger"/>
    <x v="0"/>
    <n v="28"/>
    <n v="2"/>
    <n v="0"/>
    <n v="7925"/>
    <n v="0"/>
    <s v="Southampton"/>
  </r>
  <r>
    <x v="1"/>
    <n v="1"/>
    <s v="Newell, Miss. Marjorie"/>
    <x v="1"/>
    <n v="23"/>
    <n v="1"/>
    <n v="0"/>
    <n v="113275"/>
    <n v="1"/>
    <s v="Cherburg"/>
  </r>
  <r>
    <x v="1"/>
    <n v="3"/>
    <s v="Sandstrom, Mrs. Hjalmar (Agnes Charlotta Bengtsson)"/>
    <x v="1"/>
    <n v="24"/>
    <n v="0"/>
    <n v="2"/>
    <n v="167"/>
    <n v="1"/>
    <s v="Southampton"/>
  </r>
  <r>
    <x v="0"/>
    <n v="3"/>
    <s v="Johansson, Mr. Erik"/>
    <x v="0"/>
    <n v="22"/>
    <n v="0"/>
    <n v="0"/>
    <n v="77958"/>
    <n v="0"/>
    <s v="Southampton"/>
  </r>
  <r>
    <x v="0"/>
    <n v="3"/>
    <s v="Olsson, Miss. Elina"/>
    <x v="1"/>
    <n v="31"/>
    <n v="0"/>
    <n v="0"/>
    <n v="78542"/>
    <n v="0"/>
    <s v="Southampton"/>
  </r>
  <r>
    <x v="0"/>
    <n v="2"/>
    <s v="McKane, Mr. Peter David"/>
    <x v="0"/>
    <n v="46"/>
    <n v="0"/>
    <n v="0"/>
    <n v="26"/>
    <n v="0"/>
    <s v="Southampton"/>
  </r>
  <r>
    <x v="0"/>
    <n v="2"/>
    <s v="Pain, Dr. Alfred"/>
    <x v="0"/>
    <n v="23"/>
    <n v="0"/>
    <n v="0"/>
    <n v="105"/>
    <n v="0"/>
    <s v="Southampton"/>
  </r>
  <r>
    <x v="1"/>
    <n v="2"/>
    <s v="Trout, Mrs. William H (Jessie L)"/>
    <x v="1"/>
    <n v="28"/>
    <n v="0"/>
    <n v="0"/>
    <n v="1265"/>
    <n v="0"/>
    <s v="Southampton"/>
  </r>
  <r>
    <x v="1"/>
    <n v="3"/>
    <s v="Niskanen, Mr. Juha"/>
    <x v="0"/>
    <n v="39"/>
    <n v="0"/>
    <n v="0"/>
    <n v="7925"/>
    <n v="0"/>
    <s v="Southampton"/>
  </r>
  <r>
    <x v="0"/>
    <n v="3"/>
    <s v="Adams, Mr. John"/>
    <x v="0"/>
    <n v="26"/>
    <n v="0"/>
    <n v="0"/>
    <n v="805"/>
    <n v="0"/>
    <s v="Southampton"/>
  </r>
  <r>
    <x v="0"/>
    <n v="3"/>
    <s v="Jussila, Miss. Mari Aina"/>
    <x v="1"/>
    <n v="21"/>
    <n v="1"/>
    <n v="0"/>
    <n v="9825"/>
    <n v="0"/>
    <s v="Southampton"/>
  </r>
  <r>
    <x v="0"/>
    <n v="3"/>
    <s v="Hakkarainen, Mr. Pekka Pietari"/>
    <x v="0"/>
    <n v="28"/>
    <n v="1"/>
    <n v="0"/>
    <n v="1585"/>
    <n v="0"/>
    <s v="Southampton"/>
  </r>
  <r>
    <x v="0"/>
    <n v="3"/>
    <s v="Oreskovic, Miss. Marija"/>
    <x v="1"/>
    <n v="20"/>
    <n v="0"/>
    <n v="0"/>
    <n v="86625"/>
    <n v="0"/>
    <s v="Southampton"/>
  </r>
  <r>
    <x v="0"/>
    <n v="2"/>
    <s v="Gale, Mr. Shadrach"/>
    <x v="0"/>
    <n v="34"/>
    <n v="1"/>
    <n v="0"/>
    <n v="21"/>
    <n v="0"/>
    <s v="Southampton"/>
  </r>
  <r>
    <x v="0"/>
    <n v="3"/>
    <s v="Widegren, Mr. Carl/Charles Peter"/>
    <x v="0"/>
    <n v="51"/>
    <n v="0"/>
    <n v="0"/>
    <n v="775"/>
    <n v="0"/>
    <s v="Southampton"/>
  </r>
  <r>
    <x v="1"/>
    <n v="2"/>
    <s v="Richards, Master. William Rowe"/>
    <x v="0"/>
    <n v="3"/>
    <n v="1"/>
    <n v="1"/>
    <n v="1875"/>
    <n v="0"/>
    <s v="Southampton"/>
  </r>
  <r>
    <x v="0"/>
    <n v="3"/>
    <s v="Birkeland, Mr. Hans Martin Monsen"/>
    <x v="0"/>
    <n v="21"/>
    <n v="0"/>
    <n v="0"/>
    <n v="7775"/>
    <n v="0"/>
    <s v="Southampton"/>
  </r>
  <r>
    <x v="0"/>
    <n v="3"/>
    <s v="Lefebre, Miss. Ida"/>
    <x v="1"/>
    <m/>
    <n v="3"/>
    <n v="1"/>
    <n v="254667"/>
    <n v="0"/>
    <s v="Southampton"/>
  </r>
  <r>
    <x v="0"/>
    <n v="3"/>
    <s v="Sdycoff, Mr. Todor"/>
    <x v="0"/>
    <m/>
    <n v="0"/>
    <n v="0"/>
    <n v="78958"/>
    <n v="0"/>
    <s v="Southampton"/>
  </r>
  <r>
    <x v="0"/>
    <n v="3"/>
    <s v="Hart, Mr. Henry"/>
    <x v="0"/>
    <m/>
    <n v="0"/>
    <n v="0"/>
    <n v="68583"/>
    <n v="0"/>
    <s v="Queenstown"/>
  </r>
  <r>
    <x v="1"/>
    <n v="1"/>
    <s v="Minahan, Miss. Daisy E"/>
    <x v="1"/>
    <n v="33"/>
    <n v="1"/>
    <n v="0"/>
    <n v="90"/>
    <n v="1"/>
    <s v="Queenstown"/>
  </r>
  <r>
    <x v="0"/>
    <n v="2"/>
    <s v="Cunningham, Mr. Alfred Fleming"/>
    <x v="0"/>
    <m/>
    <n v="0"/>
    <n v="0"/>
    <n v="0"/>
    <n v="0"/>
    <s v="Southampton"/>
  </r>
  <r>
    <x v="1"/>
    <n v="3"/>
    <s v="Sundman, Mr. Johan Julian"/>
    <x v="0"/>
    <n v="44"/>
    <n v="0"/>
    <n v="0"/>
    <n v="7925"/>
    <n v="0"/>
    <s v="Southampton"/>
  </r>
  <r>
    <x v="0"/>
    <n v="3"/>
    <s v="Meek, Mrs. Thomas (Annie Louise Rowley)"/>
    <x v="1"/>
    <m/>
    <n v="0"/>
    <n v="0"/>
    <n v="805"/>
    <n v="0"/>
    <s v="Southampton"/>
  </r>
  <r>
    <x v="1"/>
    <n v="2"/>
    <s v="Drew, Mrs. James Vivian (Lulu Thorne Christian)"/>
    <x v="1"/>
    <n v="34"/>
    <n v="1"/>
    <n v="1"/>
    <n v="325"/>
    <n v="0"/>
    <s v="Southampton"/>
  </r>
  <r>
    <x v="1"/>
    <n v="2"/>
    <s v="Silven, Miss. Lyyli Karoliina"/>
    <x v="1"/>
    <n v="18"/>
    <n v="0"/>
    <n v="2"/>
    <n v="13"/>
    <n v="0"/>
    <s v="Southampton"/>
  </r>
  <r>
    <x v="0"/>
    <n v="2"/>
    <s v="Matthews, Mr. William John"/>
    <x v="0"/>
    <n v="30"/>
    <n v="0"/>
    <n v="0"/>
    <n v="13"/>
    <n v="0"/>
    <s v="Southampton"/>
  </r>
  <r>
    <x v="0"/>
    <n v="3"/>
    <s v="Van Impe, Miss. Catharina"/>
    <x v="1"/>
    <n v="10"/>
    <n v="0"/>
    <n v="2"/>
    <n v="2415"/>
    <n v="0"/>
    <s v="Southampton"/>
  </r>
  <r>
    <x v="0"/>
    <n v="3"/>
    <s v="Gheorgheff, Mr. Stanio"/>
    <x v="0"/>
    <m/>
    <n v="0"/>
    <n v="0"/>
    <n v="78958"/>
    <n v="0"/>
    <s v="Cherburg"/>
  </r>
  <r>
    <x v="0"/>
    <n v="3"/>
    <s v="Charters, Mr. David"/>
    <x v="0"/>
    <n v="21"/>
    <n v="0"/>
    <n v="0"/>
    <n v="77333"/>
    <n v="0"/>
    <s v="Queenstown"/>
  </r>
  <r>
    <x v="0"/>
    <n v="3"/>
    <s v="Zimmerman, Mr. Leo"/>
    <x v="0"/>
    <n v="29"/>
    <n v="0"/>
    <n v="0"/>
    <n v="7875"/>
    <n v="0"/>
    <s v="Southampton"/>
  </r>
  <r>
    <x v="0"/>
    <n v="3"/>
    <s v="Danbom, Mrs. Ernst Gilbert (Anna Sigrid Maria Brogren)"/>
    <x v="1"/>
    <n v="28"/>
    <n v="1"/>
    <n v="1"/>
    <n v="144"/>
    <n v="0"/>
    <s v="Southampton"/>
  </r>
  <r>
    <x v="0"/>
    <n v="3"/>
    <s v="Rosblom, Mr. Viktor Richard"/>
    <x v="0"/>
    <n v="18"/>
    <n v="1"/>
    <n v="1"/>
    <n v="202125"/>
    <n v="0"/>
    <s v="Southampton"/>
  </r>
  <r>
    <x v="0"/>
    <n v="3"/>
    <s v="Wiseman, Mr. Phillippe"/>
    <x v="0"/>
    <m/>
    <n v="0"/>
    <n v="0"/>
    <n v="725"/>
    <n v="0"/>
    <s v="Southampton"/>
  </r>
  <r>
    <x v="1"/>
    <n v="2"/>
    <s v="Clarke, Mrs. Charles V (Ada Maria Winfield)"/>
    <x v="1"/>
    <n v="28"/>
    <n v="1"/>
    <n v="0"/>
    <n v="26"/>
    <n v="0"/>
    <s v="Southampton"/>
  </r>
  <r>
    <x v="1"/>
    <n v="2"/>
    <s v="Phillips, Miss. Kate Florence (&quot;Mrs Kate Louise Phillips Marshall&quot;)"/>
    <x v="1"/>
    <n v="19"/>
    <n v="0"/>
    <n v="0"/>
    <n v="26"/>
    <n v="0"/>
    <s v="Southampton"/>
  </r>
  <r>
    <x v="0"/>
    <n v="3"/>
    <s v="Flynn, Mr. James"/>
    <x v="0"/>
    <m/>
    <n v="0"/>
    <n v="0"/>
    <n v="775"/>
    <n v="0"/>
    <s v="Queenstown"/>
  </r>
  <r>
    <x v="1"/>
    <n v="3"/>
    <s v="Pickard, Mr. Berk (Berk Trembisky)"/>
    <x v="0"/>
    <n v="32"/>
    <n v="0"/>
    <n v="0"/>
    <n v="805"/>
    <n v="1"/>
    <s v="Southampton"/>
  </r>
  <r>
    <x v="1"/>
    <n v="1"/>
    <s v="Bjornstrom-Steffansson, Mr. Mauritz Hakan"/>
    <x v="0"/>
    <n v="28"/>
    <n v="0"/>
    <n v="0"/>
    <n v="2655"/>
    <n v="1"/>
    <s v="Southampton"/>
  </r>
  <r>
    <x v="1"/>
    <n v="3"/>
    <s v="Thorneycroft, Mrs. Percival (Florence Kate White)"/>
    <x v="1"/>
    <m/>
    <n v="1"/>
    <n v="0"/>
    <n v="161"/>
    <n v="0"/>
    <s v="Southampton"/>
  </r>
  <r>
    <x v="1"/>
    <n v="2"/>
    <s v="Louch, Mrs. Charles Alexander (Alice Adelaide Slow)"/>
    <x v="1"/>
    <n v="42"/>
    <n v="1"/>
    <n v="0"/>
    <n v="26"/>
    <n v="0"/>
    <s v="Southampton"/>
  </r>
  <r>
    <x v="0"/>
    <n v="3"/>
    <s v="Kallio, Mr. Nikolai Erland"/>
    <x v="0"/>
    <n v="17"/>
    <n v="0"/>
    <n v="0"/>
    <n v="7125"/>
    <n v="0"/>
    <s v="Southampton"/>
  </r>
  <r>
    <x v="0"/>
    <n v="1"/>
    <s v="Silvey, Mr. William Baird"/>
    <x v="0"/>
    <n v="50"/>
    <n v="1"/>
    <n v="0"/>
    <n v="559"/>
    <n v="1"/>
    <s v="Southampton"/>
  </r>
  <r>
    <x v="1"/>
    <n v="1"/>
    <s v="Carter, Miss. Lucile Polk"/>
    <x v="1"/>
    <n v="14"/>
    <n v="1"/>
    <n v="2"/>
    <n v="120"/>
    <n v="1"/>
    <s v="Southampton"/>
  </r>
  <r>
    <x v="0"/>
    <n v="3"/>
    <s v="Ford, Miss. Doolina Margaret &quot;Daisy&quot;"/>
    <x v="1"/>
    <n v="21"/>
    <n v="2"/>
    <n v="2"/>
    <n v="34375"/>
    <n v="0"/>
    <s v="Southampton"/>
  </r>
  <r>
    <x v="1"/>
    <n v="2"/>
    <s v="Richards, Mrs. Sidney (Emily Hocking)"/>
    <x v="1"/>
    <n v="24"/>
    <n v="2"/>
    <n v="3"/>
    <n v="1875"/>
    <n v="0"/>
    <s v="Southampton"/>
  </r>
  <r>
    <x v="0"/>
    <n v="1"/>
    <s v="Fortune, Mr. Mark"/>
    <x v="0"/>
    <n v="64"/>
    <n v="1"/>
    <n v="4"/>
    <n v="263"/>
    <n v="1"/>
    <s v="Southampton"/>
  </r>
  <r>
    <x v="0"/>
    <n v="2"/>
    <s v="Kvillner, Mr. Johan Henrik Johannesson"/>
    <x v="0"/>
    <n v="31"/>
    <n v="0"/>
    <n v="0"/>
    <n v="105"/>
    <n v="0"/>
    <s v="Southampton"/>
  </r>
  <r>
    <x v="1"/>
    <n v="2"/>
    <s v="Hart, Mrs. Benjamin (Esther Ada Bloomfield)"/>
    <x v="1"/>
    <n v="45"/>
    <n v="1"/>
    <n v="1"/>
    <n v="2625"/>
    <n v="0"/>
    <s v="Southampton"/>
  </r>
  <r>
    <x v="0"/>
    <n v="3"/>
    <s v="Hampe, Mr. Leon"/>
    <x v="0"/>
    <n v="20"/>
    <n v="0"/>
    <n v="0"/>
    <n v="95"/>
    <n v="0"/>
    <s v="Southampton"/>
  </r>
  <r>
    <x v="0"/>
    <n v="3"/>
    <s v="Petterson, Mr. Johan Emil"/>
    <x v="0"/>
    <n v="25"/>
    <n v="1"/>
    <n v="0"/>
    <n v="7775"/>
    <n v="0"/>
    <s v="Southampton"/>
  </r>
  <r>
    <x v="1"/>
    <n v="2"/>
    <s v="Reynaldo, Ms. Encarnacion"/>
    <x v="1"/>
    <n v="28"/>
    <n v="0"/>
    <n v="0"/>
    <n v="13"/>
    <n v="0"/>
    <s v="Southampton"/>
  </r>
  <r>
    <x v="1"/>
    <n v="3"/>
    <s v="Johannesen-Bratthammer, Mr. Bernt"/>
    <x v="0"/>
    <m/>
    <n v="0"/>
    <n v="0"/>
    <n v="81125"/>
    <n v="0"/>
    <s v="Southampton"/>
  </r>
  <r>
    <x v="1"/>
    <n v="1"/>
    <s v="Dodge, Master. Washington"/>
    <x v="0"/>
    <n v="4"/>
    <n v="0"/>
    <n v="2"/>
    <n v="818583"/>
    <n v="1"/>
    <s v="Southampton"/>
  </r>
  <r>
    <x v="1"/>
    <n v="2"/>
    <s v="Mellinger, Miss. Madeleine Violet"/>
    <x v="1"/>
    <n v="13"/>
    <n v="0"/>
    <n v="1"/>
    <n v="195"/>
    <n v="0"/>
    <s v="Southampton"/>
  </r>
  <r>
    <x v="1"/>
    <n v="1"/>
    <s v="Seward, Mr. Frederic Kimber"/>
    <x v="0"/>
    <n v="34"/>
    <n v="0"/>
    <n v="0"/>
    <n v="2655"/>
    <n v="0"/>
    <s v="Southampton"/>
  </r>
  <r>
    <x v="1"/>
    <n v="3"/>
    <s v="Baclini, Miss. Marie Catherine"/>
    <x v="1"/>
    <n v="5"/>
    <n v="2"/>
    <n v="1"/>
    <n v="192583"/>
    <n v="0"/>
    <s v="Cherburg"/>
  </r>
  <r>
    <x v="1"/>
    <n v="1"/>
    <s v="Peuchen, Major. Arthur Godfrey"/>
    <x v="0"/>
    <n v="52"/>
    <n v="0"/>
    <n v="0"/>
    <n v="305"/>
    <n v="1"/>
    <s v="Southampton"/>
  </r>
  <r>
    <x v="0"/>
    <n v="2"/>
    <s v="West, Mr. Edwy Arthur"/>
    <x v="0"/>
    <n v="36"/>
    <n v="1"/>
    <n v="2"/>
    <n v="2775"/>
    <n v="0"/>
    <s v="Southampton"/>
  </r>
  <r>
    <x v="0"/>
    <n v="3"/>
    <s v="Hagland, Mr. Ingvald Olai Olsen"/>
    <x v="0"/>
    <m/>
    <n v="1"/>
    <n v="0"/>
    <n v="199667"/>
    <n v="0"/>
    <s v="Southampton"/>
  </r>
  <r>
    <x v="0"/>
    <n v="1"/>
    <s v="Foreman, Mr. Benjamin Laventall"/>
    <x v="0"/>
    <n v="30"/>
    <n v="0"/>
    <n v="0"/>
    <n v="2775"/>
    <n v="1"/>
    <s v="Cherburg"/>
  </r>
  <r>
    <x v="1"/>
    <n v="1"/>
    <s v="Goldenberg, Mr. Samuel L"/>
    <x v="0"/>
    <n v="49"/>
    <n v="1"/>
    <n v="0"/>
    <n v="891042"/>
    <n v="1"/>
    <s v="Cherburg"/>
  </r>
  <r>
    <x v="0"/>
    <n v="3"/>
    <s v="Peduzzi, Mr. Joseph"/>
    <x v="0"/>
    <m/>
    <n v="0"/>
    <n v="0"/>
    <n v="805"/>
    <n v="0"/>
    <s v="Southampton"/>
  </r>
  <r>
    <x v="1"/>
    <n v="3"/>
    <s v="Jalsevac, Mr. Ivan"/>
    <x v="0"/>
    <n v="29"/>
    <n v="0"/>
    <n v="0"/>
    <n v="78958"/>
    <n v="0"/>
    <s v="Cherburg"/>
  </r>
  <r>
    <x v="0"/>
    <n v="1"/>
    <s v="Millet, Mr. Francis Davis"/>
    <x v="0"/>
    <n v="65"/>
    <n v="0"/>
    <n v="0"/>
    <n v="2655"/>
    <n v="1"/>
    <s v="Southampton"/>
  </r>
  <r>
    <x v="1"/>
    <n v="1"/>
    <s v="Kenyon, Mrs. Frederick R (Marion)"/>
    <x v="1"/>
    <m/>
    <n v="1"/>
    <n v="0"/>
    <n v="518625"/>
    <n v="1"/>
    <s v="Southampton"/>
  </r>
  <r>
    <x v="1"/>
    <n v="2"/>
    <s v="Toomey, Miss. Ellen"/>
    <x v="1"/>
    <n v="50"/>
    <n v="0"/>
    <n v="0"/>
    <n v="105"/>
    <n v="0"/>
    <s v="Southampton"/>
  </r>
  <r>
    <x v="0"/>
    <n v="3"/>
    <s v="O'Connor, Mr. Maurice"/>
    <x v="0"/>
    <m/>
    <n v="0"/>
    <n v="0"/>
    <n v="775"/>
    <n v="0"/>
    <s v="Queenstown"/>
  </r>
  <r>
    <x v="1"/>
    <n v="1"/>
    <s v="Anderson, Mr. Harry"/>
    <x v="0"/>
    <n v="48"/>
    <n v="0"/>
    <n v="0"/>
    <n v="2655"/>
    <n v="1"/>
    <s v="Southampton"/>
  </r>
  <r>
    <x v="0"/>
    <n v="3"/>
    <s v="Morley, Mr. William"/>
    <x v="0"/>
    <n v="34"/>
    <n v="0"/>
    <n v="0"/>
    <n v="805"/>
    <n v="0"/>
    <s v="Southampton"/>
  </r>
  <r>
    <x v="0"/>
    <n v="1"/>
    <s v="Gee, Mr. Arthur H"/>
    <x v="0"/>
    <n v="47"/>
    <n v="0"/>
    <n v="0"/>
    <n v="385"/>
    <n v="1"/>
    <s v="Southampton"/>
  </r>
  <r>
    <x v="0"/>
    <n v="2"/>
    <s v="Milling, Mr. Jacob Christian"/>
    <x v="0"/>
    <n v="48"/>
    <n v="0"/>
    <n v="0"/>
    <n v="13"/>
    <n v="0"/>
    <s v="Southampton"/>
  </r>
  <r>
    <x v="0"/>
    <n v="3"/>
    <s v="Maisner, Mr. Simon"/>
    <x v="0"/>
    <m/>
    <n v="0"/>
    <n v="0"/>
    <n v="805"/>
    <n v="0"/>
    <s v="Southampton"/>
  </r>
  <r>
    <x v="0"/>
    <n v="3"/>
    <s v="Goncalves, Mr. Manuel Estanslas"/>
    <x v="0"/>
    <n v="38"/>
    <n v="0"/>
    <n v="0"/>
    <n v="705"/>
    <n v="0"/>
    <s v="Southampton"/>
  </r>
  <r>
    <x v="0"/>
    <n v="2"/>
    <s v="Campbell, Mr. William"/>
    <x v="0"/>
    <m/>
    <n v="0"/>
    <n v="0"/>
    <n v="0"/>
    <n v="0"/>
    <s v="Southampton"/>
  </r>
  <r>
    <x v="0"/>
    <n v="1"/>
    <s v="Smart, Mr. John Montgomery"/>
    <x v="0"/>
    <n v="56"/>
    <n v="0"/>
    <n v="0"/>
    <n v="2655"/>
    <n v="0"/>
    <s v="Southampton"/>
  </r>
  <r>
    <x v="0"/>
    <n v="3"/>
    <s v="Scanlan, Mr. James"/>
    <x v="0"/>
    <m/>
    <n v="0"/>
    <n v="0"/>
    <n v="7725"/>
    <n v="0"/>
    <s v="Queenstown"/>
  </r>
  <r>
    <x v="1"/>
    <n v="3"/>
    <s v="Baclini, Miss. Helene Barbara"/>
    <x v="1"/>
    <n v="75"/>
    <n v="2"/>
    <n v="1"/>
    <n v="192583"/>
    <n v="0"/>
    <s v="Cherburg"/>
  </r>
  <r>
    <x v="0"/>
    <n v="3"/>
    <s v="Keefe, Mr. Arthur"/>
    <x v="0"/>
    <m/>
    <n v="0"/>
    <n v="0"/>
    <n v="725"/>
    <n v="0"/>
    <s v="Southampton"/>
  </r>
  <r>
    <x v="0"/>
    <n v="3"/>
    <s v="Cacic, Mr. Luka"/>
    <x v="0"/>
    <n v="38"/>
    <n v="0"/>
    <n v="0"/>
    <n v="86625"/>
    <n v="0"/>
    <s v="Southampton"/>
  </r>
  <r>
    <x v="1"/>
    <n v="2"/>
    <s v="West, Mrs. Edwy Arthur (Ada Mary Worth)"/>
    <x v="1"/>
    <n v="33"/>
    <n v="1"/>
    <n v="2"/>
    <n v="2775"/>
    <n v="0"/>
    <s v="Southampton"/>
  </r>
  <r>
    <x v="1"/>
    <n v="2"/>
    <s v="Jerwan, Mrs. Amin S (Marie Marthe Thuillard)"/>
    <x v="1"/>
    <n v="23"/>
    <n v="0"/>
    <n v="0"/>
    <n v="137917"/>
    <n v="1"/>
    <s v="Cherburg"/>
  </r>
  <r>
    <x v="0"/>
    <n v="3"/>
    <s v="Strandberg, Miss. Ida Sofia"/>
    <x v="1"/>
    <n v="22"/>
    <n v="0"/>
    <n v="0"/>
    <n v="98375"/>
    <n v="0"/>
    <s v="Southampton"/>
  </r>
  <r>
    <x v="0"/>
    <n v="1"/>
    <s v="Clifford, Mr. George Quincy"/>
    <x v="0"/>
    <m/>
    <n v="0"/>
    <n v="0"/>
    <n v="52"/>
    <n v="1"/>
    <s v="Southampton"/>
  </r>
  <r>
    <x v="0"/>
    <n v="2"/>
    <s v="Renouf, Mr. Peter Henry"/>
    <x v="0"/>
    <n v="34"/>
    <n v="1"/>
    <n v="0"/>
    <n v="21"/>
    <n v="0"/>
    <s v="Southampton"/>
  </r>
  <r>
    <x v="0"/>
    <n v="3"/>
    <s v="Braund, Mr. Lewis Richard"/>
    <x v="0"/>
    <n v="29"/>
    <n v="1"/>
    <n v="0"/>
    <n v="70458"/>
    <n v="0"/>
    <s v="Southampton"/>
  </r>
  <r>
    <x v="0"/>
    <n v="3"/>
    <s v="Karlsson, Mr. Nils August"/>
    <x v="0"/>
    <n v="22"/>
    <n v="0"/>
    <n v="0"/>
    <n v="75208"/>
    <n v="0"/>
    <s v="Southampton"/>
  </r>
  <r>
    <x v="1"/>
    <n v="3"/>
    <s v="Hirvonen, Miss. Hildur E"/>
    <x v="1"/>
    <n v="2"/>
    <n v="0"/>
    <n v="1"/>
    <n v="122875"/>
    <n v="0"/>
    <s v="Southampton"/>
  </r>
  <r>
    <x v="0"/>
    <n v="3"/>
    <s v="Goodwin, Master. Harold Victor"/>
    <x v="0"/>
    <n v="9"/>
    <n v="5"/>
    <n v="2"/>
    <n v="469"/>
    <n v="0"/>
    <s v="Southampton"/>
  </r>
  <r>
    <x v="0"/>
    <n v="2"/>
    <s v="Frost, Mr. Anthony Wood &quot;Archie&quot;"/>
    <x v="0"/>
    <m/>
    <n v="0"/>
    <n v="0"/>
    <n v="0"/>
    <n v="0"/>
    <s v="Southampton"/>
  </r>
  <r>
    <x v="0"/>
    <n v="3"/>
    <s v="Rouse, Mr. Richard Henry"/>
    <x v="0"/>
    <n v="50"/>
    <n v="0"/>
    <n v="0"/>
    <n v="805"/>
    <n v="0"/>
    <s v="Southampton"/>
  </r>
  <r>
    <x v="1"/>
    <n v="3"/>
    <s v="Turkula, Mrs. (Hedwig)"/>
    <x v="1"/>
    <n v="63"/>
    <n v="0"/>
    <n v="0"/>
    <n v="95875"/>
    <n v="0"/>
    <s v="Southampton"/>
  </r>
  <r>
    <x v="1"/>
    <n v="1"/>
    <s v="Bishop, Mr. Dickinson H"/>
    <x v="0"/>
    <n v="25"/>
    <n v="1"/>
    <n v="0"/>
    <n v="910792"/>
    <n v="1"/>
    <s v="Cherburg"/>
  </r>
  <r>
    <x v="0"/>
    <n v="3"/>
    <s v="Lefebre, Miss. Jeannie"/>
    <x v="1"/>
    <m/>
    <n v="3"/>
    <n v="1"/>
    <n v="254667"/>
    <n v="0"/>
    <s v="Southampton"/>
  </r>
  <r>
    <x v="1"/>
    <n v="1"/>
    <s v="Hoyt, Mrs. Frederick Maxfield (Jane Anne Forby)"/>
    <x v="1"/>
    <n v="35"/>
    <n v="1"/>
    <n v="0"/>
    <n v="90"/>
    <n v="1"/>
    <s v="Southampton"/>
  </r>
  <r>
    <x v="0"/>
    <n v="1"/>
    <s v="Kent, Mr. Edward Austin"/>
    <x v="0"/>
    <n v="58"/>
    <n v="0"/>
    <n v="0"/>
    <n v="297"/>
    <n v="1"/>
    <s v="Cherburg"/>
  </r>
  <r>
    <x v="0"/>
    <n v="3"/>
    <s v="Somerton, Mr. Francis William"/>
    <x v="0"/>
    <n v="30"/>
    <n v="0"/>
    <n v="0"/>
    <n v="805"/>
    <n v="0"/>
    <s v="Southampton"/>
  </r>
  <r>
    <x v="1"/>
    <n v="3"/>
    <s v="Coutts, Master. Eden Leslie &quot;Neville&quot;"/>
    <x v="0"/>
    <n v="9"/>
    <n v="1"/>
    <n v="1"/>
    <n v="159"/>
    <n v="0"/>
    <s v="Southampton"/>
  </r>
  <r>
    <x v="0"/>
    <n v="3"/>
    <s v="Hagland, Mr. Konrad Mathias Reiersen"/>
    <x v="0"/>
    <m/>
    <n v="1"/>
    <n v="0"/>
    <n v="199667"/>
    <n v="0"/>
    <s v="Southampton"/>
  </r>
  <r>
    <x v="0"/>
    <n v="3"/>
    <s v="Windelov, Mr. Einar"/>
    <x v="0"/>
    <n v="21"/>
    <n v="0"/>
    <n v="0"/>
    <n v="725"/>
    <n v="0"/>
    <s v="Southampton"/>
  </r>
  <r>
    <x v="0"/>
    <n v="1"/>
    <s v="Molson, Mr. Harry Markland"/>
    <x v="0"/>
    <n v="55"/>
    <n v="0"/>
    <n v="0"/>
    <n v="305"/>
    <n v="1"/>
    <s v="Southampton"/>
  </r>
  <r>
    <x v="0"/>
    <n v="1"/>
    <s v="Artagaveytia, Mr. Ramon"/>
    <x v="0"/>
    <n v="71"/>
    <n v="0"/>
    <n v="0"/>
    <n v="495042"/>
    <n v="0"/>
    <s v="Cherburg"/>
  </r>
  <r>
    <x v="0"/>
    <n v="3"/>
    <s v="Stanley, Mr. Edward Roland"/>
    <x v="0"/>
    <n v="21"/>
    <n v="0"/>
    <n v="0"/>
    <n v="805"/>
    <n v="0"/>
    <s v="Southampton"/>
  </r>
  <r>
    <x v="0"/>
    <n v="3"/>
    <s v="Yousseff, Mr. Gerious"/>
    <x v="0"/>
    <m/>
    <n v="0"/>
    <n v="0"/>
    <n v="144583"/>
    <n v="0"/>
    <s v="Cherburg"/>
  </r>
  <r>
    <x v="1"/>
    <n v="1"/>
    <s v="Eustis, Miss. Elizabeth Mussey"/>
    <x v="1"/>
    <n v="54"/>
    <n v="1"/>
    <n v="0"/>
    <n v="782667"/>
    <n v="1"/>
    <s v="Cherburg"/>
  </r>
  <r>
    <x v="0"/>
    <n v="3"/>
    <s v="Shellard, Mr. Frederick William"/>
    <x v="0"/>
    <m/>
    <n v="0"/>
    <n v="0"/>
    <n v="151"/>
    <n v="0"/>
    <s v="Southampton"/>
  </r>
  <r>
    <x v="0"/>
    <n v="1"/>
    <s v="Allison, Mrs. Hudson J C (Bessie Waldo Daniels)"/>
    <x v="1"/>
    <n v="25"/>
    <n v="1"/>
    <n v="2"/>
    <n v="15155"/>
    <n v="1"/>
    <s v="Southampton"/>
  </r>
  <r>
    <x v="0"/>
    <n v="3"/>
    <s v="Svensson, Mr. Olof"/>
    <x v="0"/>
    <n v="24"/>
    <n v="0"/>
    <n v="0"/>
    <n v="77958"/>
    <n v="0"/>
    <s v="Southampton"/>
  </r>
  <r>
    <x v="0"/>
    <n v="3"/>
    <s v="Calic, Mr. Petar"/>
    <x v="0"/>
    <n v="17"/>
    <n v="0"/>
    <n v="0"/>
    <n v="86625"/>
    <n v="0"/>
    <s v="Southampton"/>
  </r>
  <r>
    <x v="0"/>
    <n v="3"/>
    <s v="Canavan, Miss. Mary"/>
    <x v="1"/>
    <n v="21"/>
    <n v="0"/>
    <n v="0"/>
    <n v="775"/>
    <n v="0"/>
    <s v="Queenstown"/>
  </r>
  <r>
    <x v="0"/>
    <n v="3"/>
    <s v="O'Sullivan, Miss. Bridget Mary"/>
    <x v="1"/>
    <m/>
    <n v="0"/>
    <n v="0"/>
    <n v="76292"/>
    <n v="0"/>
    <s v="Queenstown"/>
  </r>
  <r>
    <x v="0"/>
    <n v="3"/>
    <s v="Laitinen, Miss. Kristina Sofia"/>
    <x v="1"/>
    <n v="37"/>
    <n v="0"/>
    <n v="0"/>
    <n v="95875"/>
    <n v="0"/>
    <s v="Southampton"/>
  </r>
  <r>
    <x v="1"/>
    <n v="1"/>
    <s v="Maioni, Miss. Roberta"/>
    <x v="1"/>
    <n v="16"/>
    <n v="0"/>
    <n v="0"/>
    <n v="865"/>
    <n v="1"/>
    <s v="Southampton"/>
  </r>
  <r>
    <x v="0"/>
    <n v="1"/>
    <s v="Penasco y Castellana, Mr. Victor de Satode"/>
    <x v="0"/>
    <n v="18"/>
    <n v="1"/>
    <n v="0"/>
    <n v="1089"/>
    <n v="1"/>
    <s v="Cherburg"/>
  </r>
  <r>
    <x v="1"/>
    <n v="2"/>
    <s v="Quick, Mrs. Frederick Charles (Jane Richards)"/>
    <x v="1"/>
    <n v="33"/>
    <n v="0"/>
    <n v="2"/>
    <n v="26"/>
    <n v="0"/>
    <s v="Southampton"/>
  </r>
  <r>
    <x v="1"/>
    <n v="1"/>
    <s v="Bradley, Mr. George (&quot;George Arthur Brayton&quot;)"/>
    <x v="0"/>
    <m/>
    <n v="0"/>
    <n v="0"/>
    <n v="2655"/>
    <n v="0"/>
    <s v="Southampton"/>
  </r>
  <r>
    <x v="0"/>
    <n v="3"/>
    <s v="Olsen, Mr. Henry Margido"/>
    <x v="0"/>
    <n v="28"/>
    <n v="0"/>
    <n v="0"/>
    <n v="22525"/>
    <n v="0"/>
    <s v="Southampton"/>
  </r>
  <r>
    <x v="1"/>
    <n v="3"/>
    <s v="Lang, Mr. Fang"/>
    <x v="0"/>
    <n v="26"/>
    <n v="0"/>
    <n v="0"/>
    <n v="564958"/>
    <n v="0"/>
    <s v="Southampton"/>
  </r>
  <r>
    <x v="1"/>
    <n v="3"/>
    <s v="Daly, Mr. Eugene Patrick"/>
    <x v="0"/>
    <n v="29"/>
    <n v="0"/>
    <n v="0"/>
    <n v="775"/>
    <n v="0"/>
    <s v="Queenstown"/>
  </r>
  <r>
    <x v="0"/>
    <n v="3"/>
    <s v="Webber, Mr. James"/>
    <x v="0"/>
    <m/>
    <n v="0"/>
    <n v="0"/>
    <n v="805"/>
    <n v="0"/>
    <s v="Southampton"/>
  </r>
  <r>
    <x v="1"/>
    <n v="1"/>
    <s v="McGough, Mr. James Robert"/>
    <x v="0"/>
    <n v="36"/>
    <n v="0"/>
    <n v="0"/>
    <n v="262875"/>
    <n v="1"/>
    <s v="Southampton"/>
  </r>
  <r>
    <x v="1"/>
    <n v="1"/>
    <s v="Rothschild, Mrs. Martin (Elizabeth L. Barrett)"/>
    <x v="1"/>
    <n v="54"/>
    <n v="1"/>
    <n v="0"/>
    <n v="594"/>
    <n v="0"/>
    <s v="Cherburg"/>
  </r>
  <r>
    <x v="0"/>
    <n v="3"/>
    <s v="Coleff, Mr. Satio"/>
    <x v="0"/>
    <n v="24"/>
    <n v="0"/>
    <n v="0"/>
    <n v="74958"/>
    <n v="0"/>
    <s v="Southampton"/>
  </r>
  <r>
    <x v="0"/>
    <n v="1"/>
    <s v="Walker, Mr. William Anderson"/>
    <x v="0"/>
    <n v="47"/>
    <n v="0"/>
    <n v="0"/>
    <n v="340208"/>
    <n v="1"/>
    <s v="Southampton"/>
  </r>
  <r>
    <x v="1"/>
    <n v="2"/>
    <s v="Lemore, Mrs. (Amelia Milley)"/>
    <x v="1"/>
    <n v="34"/>
    <n v="0"/>
    <n v="0"/>
    <n v="105"/>
    <n v="1"/>
    <s v="Southampton"/>
  </r>
  <r>
    <x v="0"/>
    <n v="3"/>
    <s v="Ryan, Mr. Patrick"/>
    <x v="0"/>
    <m/>
    <n v="0"/>
    <n v="0"/>
    <n v="2415"/>
    <n v="0"/>
    <s v="Queenstown"/>
  </r>
  <r>
    <x v="1"/>
    <n v="2"/>
    <s v="Angle, Mrs. William A (Florence &quot;Mary&quot; Agnes Hughes)"/>
    <x v="1"/>
    <n v="36"/>
    <n v="1"/>
    <n v="0"/>
    <n v="26"/>
    <n v="0"/>
    <s v="Southampton"/>
  </r>
  <r>
    <x v="0"/>
    <n v="3"/>
    <s v="Pavlovic, Mr. Stefo"/>
    <x v="0"/>
    <n v="32"/>
    <n v="0"/>
    <n v="0"/>
    <n v="78958"/>
    <n v="0"/>
    <s v="Southampton"/>
  </r>
  <r>
    <x v="1"/>
    <n v="1"/>
    <s v="Perreault, Miss. Anne"/>
    <x v="1"/>
    <n v="30"/>
    <n v="0"/>
    <n v="0"/>
    <n v="935"/>
    <n v="1"/>
    <s v="Southampton"/>
  </r>
  <r>
    <x v="0"/>
    <n v="3"/>
    <s v="Vovk, Mr. Janko"/>
    <x v="0"/>
    <n v="22"/>
    <n v="0"/>
    <n v="0"/>
    <n v="78958"/>
    <n v="0"/>
    <s v="Southampton"/>
  </r>
  <r>
    <x v="0"/>
    <n v="3"/>
    <s v="Lahoud, Mr. Sarkis"/>
    <x v="0"/>
    <m/>
    <n v="0"/>
    <n v="0"/>
    <n v="7225"/>
    <n v="0"/>
    <s v="Cherburg"/>
  </r>
  <r>
    <x v="1"/>
    <n v="1"/>
    <s v="Hippach, Mrs. Louis Albert (Ida Sophia Fischer)"/>
    <x v="1"/>
    <n v="44"/>
    <n v="0"/>
    <n v="1"/>
    <n v="579792"/>
    <n v="1"/>
    <s v="Cherburg"/>
  </r>
  <r>
    <x v="0"/>
    <n v="3"/>
    <s v="Kassem, Mr. Fared"/>
    <x v="0"/>
    <m/>
    <n v="0"/>
    <n v="0"/>
    <n v="72292"/>
    <n v="0"/>
    <s v="Cherburg"/>
  </r>
  <r>
    <x v="0"/>
    <n v="3"/>
    <s v="Farrell, Mr. James"/>
    <x v="0"/>
    <n v="405"/>
    <n v="0"/>
    <n v="0"/>
    <n v="775"/>
    <n v="0"/>
    <s v="Queenstown"/>
  </r>
  <r>
    <x v="1"/>
    <n v="2"/>
    <s v="Ridsdale, Miss. Lucy"/>
    <x v="1"/>
    <n v="50"/>
    <n v="0"/>
    <n v="0"/>
    <n v="105"/>
    <n v="0"/>
    <s v="Southampton"/>
  </r>
  <r>
    <x v="0"/>
    <n v="1"/>
    <s v="Farthing, Mr. John"/>
    <x v="0"/>
    <m/>
    <n v="0"/>
    <n v="0"/>
    <n v="2217792"/>
    <n v="1"/>
    <s v="Southampton"/>
  </r>
  <r>
    <x v="0"/>
    <n v="3"/>
    <s v="Salonen, Mr. Johan Werner"/>
    <x v="0"/>
    <n v="39"/>
    <n v="0"/>
    <n v="0"/>
    <n v="7925"/>
    <n v="0"/>
    <s v="Southampton"/>
  </r>
  <r>
    <x v="0"/>
    <n v="2"/>
    <s v="Hocking, Mr. Richard George"/>
    <x v="0"/>
    <n v="23"/>
    <n v="2"/>
    <n v="1"/>
    <n v="115"/>
    <n v="0"/>
    <s v="Southampton"/>
  </r>
  <r>
    <x v="1"/>
    <n v="2"/>
    <s v="Quick, Miss. Phyllis May"/>
    <x v="1"/>
    <n v="2"/>
    <n v="1"/>
    <n v="1"/>
    <n v="26"/>
    <n v="0"/>
    <s v="Southampton"/>
  </r>
  <r>
    <x v="0"/>
    <n v="3"/>
    <s v="Toufik, Mr. Nakli"/>
    <x v="0"/>
    <m/>
    <n v="0"/>
    <n v="0"/>
    <n v="72292"/>
    <n v="0"/>
    <s v="Cherburg"/>
  </r>
  <r>
    <x v="0"/>
    <n v="3"/>
    <s v="Elias, Mr. Joseph Jr"/>
    <x v="0"/>
    <n v="17"/>
    <n v="1"/>
    <n v="1"/>
    <n v="72292"/>
    <n v="0"/>
    <s v="Cherburg"/>
  </r>
  <r>
    <x v="1"/>
    <n v="3"/>
    <s v="Peter, Mrs. Catherine (Catherine Rizk)"/>
    <x v="1"/>
    <m/>
    <n v="0"/>
    <n v="2"/>
    <n v="223583"/>
    <n v="0"/>
    <s v="Cherburg"/>
  </r>
  <r>
    <x v="0"/>
    <n v="3"/>
    <s v="Cacic, Miss. Marija"/>
    <x v="1"/>
    <n v="30"/>
    <n v="0"/>
    <n v="0"/>
    <n v="86625"/>
    <n v="0"/>
    <s v="Southampton"/>
  </r>
  <r>
    <x v="1"/>
    <n v="2"/>
    <s v="Hart, Miss. Eva Miriam"/>
    <x v="1"/>
    <n v="7"/>
    <n v="0"/>
    <n v="2"/>
    <n v="2625"/>
    <n v="0"/>
    <s v="Southampton"/>
  </r>
  <r>
    <x v="0"/>
    <n v="1"/>
    <s v="Butt, Major. Archibald Willingham"/>
    <x v="0"/>
    <n v="45"/>
    <n v="0"/>
    <n v="0"/>
    <n v="2655"/>
    <n v="1"/>
    <s v="Southampton"/>
  </r>
  <r>
    <x v="1"/>
    <n v="1"/>
    <s v="LeRoy, Miss. Bertha"/>
    <x v="1"/>
    <n v="30"/>
    <n v="0"/>
    <n v="0"/>
    <n v="106425"/>
    <n v="0"/>
    <s v="Cherburg"/>
  </r>
  <r>
    <x v="0"/>
    <n v="3"/>
    <s v="Risien, Mr. Samuel Beard"/>
    <x v="0"/>
    <m/>
    <n v="0"/>
    <n v="0"/>
    <n v="145"/>
    <n v="0"/>
    <s v="Southampton"/>
  </r>
  <r>
    <x v="1"/>
    <n v="1"/>
    <s v="Frolicher, Miss. Hedwig Margaritha"/>
    <x v="1"/>
    <n v="22"/>
    <n v="0"/>
    <n v="2"/>
    <n v="495"/>
    <n v="1"/>
    <s v="Cherburg"/>
  </r>
  <r>
    <x v="1"/>
    <n v="1"/>
    <s v="Crosby, Miss. Harriet R"/>
    <x v="1"/>
    <n v="36"/>
    <n v="0"/>
    <n v="2"/>
    <n v="71"/>
    <n v="1"/>
    <s v="Southampton"/>
  </r>
  <r>
    <x v="0"/>
    <n v="3"/>
    <s v="Andersson, Miss. Ingeborg Constanzia"/>
    <x v="1"/>
    <n v="9"/>
    <n v="4"/>
    <n v="2"/>
    <n v="31275"/>
    <n v="0"/>
    <s v="Southampton"/>
  </r>
  <r>
    <x v="0"/>
    <n v="3"/>
    <s v="Andersson, Miss. Sigrid Elisabeth"/>
    <x v="1"/>
    <n v="11"/>
    <n v="4"/>
    <n v="2"/>
    <n v="31275"/>
    <n v="0"/>
    <s v="Southampton"/>
  </r>
  <r>
    <x v="1"/>
    <n v="2"/>
    <s v="Beane, Mr. Edward"/>
    <x v="0"/>
    <n v="32"/>
    <n v="1"/>
    <n v="0"/>
    <n v="26"/>
    <n v="0"/>
    <s v="Southampton"/>
  </r>
  <r>
    <x v="0"/>
    <n v="1"/>
    <s v="Douglas, Mr. Walter Donald"/>
    <x v="0"/>
    <n v="50"/>
    <n v="1"/>
    <n v="0"/>
    <n v="106425"/>
    <n v="1"/>
    <s v="Cherburg"/>
  </r>
  <r>
    <x v="0"/>
    <n v="1"/>
    <s v="Nicholson, Mr. Arthur Ernest"/>
    <x v="0"/>
    <n v="64"/>
    <n v="0"/>
    <n v="0"/>
    <n v="26"/>
    <n v="0"/>
    <s v="Southampton"/>
  </r>
  <r>
    <x v="1"/>
    <n v="2"/>
    <s v="Beane, Mrs. Edward (Ethel Clarke)"/>
    <x v="1"/>
    <n v="19"/>
    <n v="1"/>
    <n v="0"/>
    <n v="26"/>
    <n v="0"/>
    <s v="Southampton"/>
  </r>
  <r>
    <x v="1"/>
    <n v="2"/>
    <s v="Padro y Manent, Mr. Julian"/>
    <x v="0"/>
    <m/>
    <n v="0"/>
    <n v="0"/>
    <n v="138625"/>
    <n v="0"/>
    <s v="Cherburg"/>
  </r>
  <r>
    <x v="0"/>
    <n v="3"/>
    <s v="Goldsmith, Mr. Frank John"/>
    <x v="0"/>
    <n v="33"/>
    <n v="1"/>
    <n v="1"/>
    <n v="20525"/>
    <n v="0"/>
    <s v="Southampton"/>
  </r>
  <r>
    <x v="1"/>
    <n v="2"/>
    <s v="Davies, Master. John Morgan Jr"/>
    <x v="0"/>
    <n v="8"/>
    <n v="1"/>
    <n v="1"/>
    <n v="3675"/>
    <n v="0"/>
    <s v="Southampton"/>
  </r>
  <r>
    <x v="1"/>
    <n v="1"/>
    <s v="Thayer, Mr. John Borland Jr"/>
    <x v="0"/>
    <n v="17"/>
    <n v="0"/>
    <n v="2"/>
    <n v="1108833"/>
    <n v="1"/>
    <s v="Cherburg"/>
  </r>
  <r>
    <x v="0"/>
    <n v="2"/>
    <s v="Sharp, Mr. Percival James R"/>
    <x v="0"/>
    <n v="27"/>
    <n v="0"/>
    <n v="0"/>
    <n v="26"/>
    <n v="0"/>
    <s v="Southampton"/>
  </r>
  <r>
    <x v="0"/>
    <n v="3"/>
    <s v="O'Brien, Mr. Timothy"/>
    <x v="0"/>
    <m/>
    <n v="0"/>
    <n v="0"/>
    <n v="78292"/>
    <n v="0"/>
    <s v="Queenstown"/>
  </r>
  <r>
    <x v="1"/>
    <n v="3"/>
    <s v="Leeni, Mr. Fahim (&quot;Philip Zenni&quot;)"/>
    <x v="0"/>
    <n v="22"/>
    <n v="0"/>
    <n v="0"/>
    <n v="7225"/>
    <n v="0"/>
    <s v="Cherburg"/>
  </r>
  <r>
    <x v="1"/>
    <n v="3"/>
    <s v="Ohman, Miss. Velin"/>
    <x v="1"/>
    <n v="22"/>
    <n v="0"/>
    <n v="0"/>
    <n v="7775"/>
    <n v="0"/>
    <s v="Southampton"/>
  </r>
  <r>
    <x v="0"/>
    <n v="1"/>
    <s v="Wright, Mr. George"/>
    <x v="0"/>
    <n v="62"/>
    <n v="0"/>
    <n v="0"/>
    <n v="2655"/>
    <n v="0"/>
    <s v="Southampton"/>
  </r>
  <r>
    <x v="1"/>
    <n v="1"/>
    <s v="Duff Gordon, Lady. (Lucille Christiana Sutherland) (&quot;Mrs Morgan&quot;)"/>
    <x v="1"/>
    <n v="48"/>
    <n v="1"/>
    <n v="0"/>
    <n v="396"/>
    <n v="1"/>
    <s v="Cherburg"/>
  </r>
  <r>
    <x v="0"/>
    <n v="1"/>
    <s v="Robbins, Mr. Victor"/>
    <x v="0"/>
    <m/>
    <n v="0"/>
    <n v="0"/>
    <n v="227525"/>
    <n v="0"/>
    <s v="Cherburg"/>
  </r>
  <r>
    <x v="1"/>
    <n v="1"/>
    <s v="Taussig, Mrs. Emil (Tillie Mandelbaum)"/>
    <x v="1"/>
    <n v="39"/>
    <n v="1"/>
    <n v="1"/>
    <n v="7965"/>
    <n v="1"/>
    <s v="Southampton"/>
  </r>
  <r>
    <x v="1"/>
    <n v="3"/>
    <s v="de Messemaeker, Mrs. Guillaume Joseph (Emma)"/>
    <x v="1"/>
    <n v="36"/>
    <n v="1"/>
    <n v="0"/>
    <n v="174"/>
    <n v="0"/>
    <s v="Southampton"/>
  </r>
  <r>
    <x v="0"/>
    <n v="3"/>
    <s v="Morrow, Mr. Thomas Rowan"/>
    <x v="0"/>
    <m/>
    <n v="0"/>
    <n v="0"/>
    <n v="775"/>
    <n v="0"/>
    <s v="Queenstown"/>
  </r>
  <r>
    <x v="0"/>
    <n v="3"/>
    <s v="Sivic, Mr. Husein"/>
    <x v="0"/>
    <n v="40"/>
    <n v="0"/>
    <n v="0"/>
    <n v="78958"/>
    <n v="0"/>
    <s v="Southampton"/>
  </r>
  <r>
    <x v="0"/>
    <n v="2"/>
    <s v="Norman, Mr. Robert Douglas"/>
    <x v="0"/>
    <n v="28"/>
    <n v="0"/>
    <n v="0"/>
    <n v="135"/>
    <n v="0"/>
    <s v="Southampton"/>
  </r>
  <r>
    <x v="0"/>
    <n v="3"/>
    <s v="Simmons, Mr. John"/>
    <x v="0"/>
    <m/>
    <n v="0"/>
    <n v="0"/>
    <n v="805"/>
    <n v="0"/>
    <s v="Southampton"/>
  </r>
  <r>
    <x v="0"/>
    <n v="3"/>
    <s v="Meanwell, Miss. (Marion Ogden)"/>
    <x v="1"/>
    <m/>
    <n v="0"/>
    <n v="0"/>
    <n v="805"/>
    <n v="0"/>
    <s v="Southampton"/>
  </r>
  <r>
    <x v="0"/>
    <n v="3"/>
    <s v="Davies, Mr. Alfred J"/>
    <x v="0"/>
    <n v="24"/>
    <n v="2"/>
    <n v="0"/>
    <n v="2415"/>
    <n v="0"/>
    <s v="Southampton"/>
  </r>
  <r>
    <x v="0"/>
    <n v="3"/>
    <s v="Stoytcheff, Mr. Ilia"/>
    <x v="0"/>
    <n v="19"/>
    <n v="0"/>
    <n v="0"/>
    <n v="78958"/>
    <n v="0"/>
    <s v="Southampton"/>
  </r>
  <r>
    <x v="0"/>
    <n v="3"/>
    <s v="Palsson, Mrs. Nils (Alma Cornelia Berglund)"/>
    <x v="1"/>
    <n v="29"/>
    <n v="0"/>
    <n v="4"/>
    <n v="21075"/>
    <n v="0"/>
    <s v="Southampton"/>
  </r>
  <r>
    <x v="0"/>
    <n v="3"/>
    <s v="Doharr, Mr. Tannous"/>
    <x v="0"/>
    <m/>
    <n v="0"/>
    <n v="0"/>
    <n v="72292"/>
    <n v="0"/>
    <s v="Cherburg"/>
  </r>
  <r>
    <x v="1"/>
    <n v="3"/>
    <s v="Jonsson, Mr. Carl"/>
    <x v="0"/>
    <n v="32"/>
    <n v="0"/>
    <n v="0"/>
    <n v="78542"/>
    <n v="0"/>
    <s v="Southampton"/>
  </r>
  <r>
    <x v="1"/>
    <n v="2"/>
    <s v="Harris, Mr. George"/>
    <x v="0"/>
    <n v="62"/>
    <n v="0"/>
    <n v="0"/>
    <n v="105"/>
    <n v="0"/>
    <s v="Southampton"/>
  </r>
  <r>
    <x v="1"/>
    <n v="1"/>
    <s v="Appleton, Mrs. Edward Dale (Charlotte Lamson)"/>
    <x v="1"/>
    <n v="53"/>
    <n v="2"/>
    <n v="0"/>
    <n v="514792"/>
    <n v="1"/>
    <s v="Southampton"/>
  </r>
  <r>
    <x v="1"/>
    <n v="1"/>
    <s v="Flynn, Mr. John Irwin (&quot;Irving&quot;)"/>
    <x v="0"/>
    <n v="36"/>
    <n v="0"/>
    <n v="0"/>
    <n v="263875"/>
    <n v="1"/>
    <s v="Southampton"/>
  </r>
  <r>
    <x v="1"/>
    <n v="3"/>
    <s v="Kelly, Miss. Mary"/>
    <x v="1"/>
    <m/>
    <n v="0"/>
    <n v="0"/>
    <n v="775"/>
    <n v="0"/>
    <s v="Queenstown"/>
  </r>
  <r>
    <x v="0"/>
    <n v="3"/>
    <s v="Rush, Mr. Alfred George John"/>
    <x v="0"/>
    <n v="16"/>
    <n v="0"/>
    <n v="0"/>
    <n v="805"/>
    <n v="0"/>
    <s v="Southampton"/>
  </r>
  <r>
    <x v="0"/>
    <n v="3"/>
    <s v="Patchett, Mr. George"/>
    <x v="0"/>
    <n v="19"/>
    <n v="0"/>
    <n v="0"/>
    <n v="145"/>
    <n v="0"/>
    <s v="Southampton"/>
  </r>
  <r>
    <x v="1"/>
    <n v="2"/>
    <s v="Garside, Miss. Ethel"/>
    <x v="1"/>
    <n v="34"/>
    <n v="0"/>
    <n v="0"/>
    <n v="13"/>
    <n v="0"/>
    <s v="Southampton"/>
  </r>
  <r>
    <x v="1"/>
    <n v="1"/>
    <s v="Silvey, Mrs. William Baird (Alice Munger)"/>
    <x v="1"/>
    <n v="39"/>
    <n v="1"/>
    <n v="0"/>
    <n v="559"/>
    <n v="1"/>
    <s v="Southampton"/>
  </r>
  <r>
    <x v="0"/>
    <n v="3"/>
    <s v="Caram, Mrs. Joseph (Maria Elias)"/>
    <x v="1"/>
    <m/>
    <n v="1"/>
    <n v="0"/>
    <n v="144583"/>
    <n v="0"/>
    <s v="Cherburg"/>
  </r>
  <r>
    <x v="1"/>
    <n v="3"/>
    <s v="Jussila, Mr. Eiriik"/>
    <x v="0"/>
    <n v="32"/>
    <n v="0"/>
    <n v="0"/>
    <n v="7925"/>
    <n v="0"/>
    <s v="Southampton"/>
  </r>
  <r>
    <x v="1"/>
    <n v="2"/>
    <s v="Christy, Miss. Julie Rachel"/>
    <x v="1"/>
    <n v="25"/>
    <n v="1"/>
    <n v="1"/>
    <n v="30"/>
    <n v="0"/>
    <s v="Southampton"/>
  </r>
  <r>
    <x v="1"/>
    <n v="1"/>
    <s v="Thayer, Mrs. John Borland (Marian Longstreth Morris)"/>
    <x v="1"/>
    <n v="39"/>
    <n v="1"/>
    <n v="1"/>
    <n v="1108833"/>
    <n v="1"/>
    <s v="Cherburg"/>
  </r>
  <r>
    <x v="0"/>
    <n v="2"/>
    <s v="Downton, Mr. William James"/>
    <x v="0"/>
    <n v="54"/>
    <n v="0"/>
    <n v="0"/>
    <n v="26"/>
    <n v="0"/>
    <s v="Southampton"/>
  </r>
  <r>
    <x v="0"/>
    <n v="1"/>
    <s v="Ross, Mr. John Hugo"/>
    <x v="0"/>
    <n v="36"/>
    <n v="0"/>
    <n v="0"/>
    <n v="40125"/>
    <n v="1"/>
    <s v="Cherburg"/>
  </r>
  <r>
    <x v="0"/>
    <n v="3"/>
    <s v="Paulner, Mr. Uscher"/>
    <x v="0"/>
    <m/>
    <n v="0"/>
    <n v="0"/>
    <n v="87125"/>
    <n v="0"/>
    <s v="Cherburg"/>
  </r>
  <r>
    <x v="1"/>
    <n v="1"/>
    <s v="Taussig, Miss. Ruth"/>
    <x v="1"/>
    <n v="18"/>
    <n v="0"/>
    <n v="2"/>
    <n v="7965"/>
    <n v="1"/>
    <s v="Southampton"/>
  </r>
  <r>
    <x v="0"/>
    <n v="2"/>
    <s v="Jarvis, Mr. John Denzil"/>
    <x v="0"/>
    <n v="47"/>
    <n v="0"/>
    <n v="0"/>
    <n v="15"/>
    <n v="0"/>
    <s v="Southampton"/>
  </r>
  <r>
    <x v="1"/>
    <n v="1"/>
    <s v="Frolicher-Stehli, Mr. Maxmillian"/>
    <x v="0"/>
    <n v="60"/>
    <n v="1"/>
    <n v="1"/>
    <n v="792"/>
    <n v="1"/>
    <s v="Cherburg"/>
  </r>
  <r>
    <x v="0"/>
    <n v="3"/>
    <s v="Gilinski, Mr. Eliezer"/>
    <x v="0"/>
    <n v="22"/>
    <n v="0"/>
    <n v="0"/>
    <n v="805"/>
    <n v="0"/>
    <s v="Southampton"/>
  </r>
  <r>
    <x v="0"/>
    <n v="3"/>
    <s v="Murdlin, Mr. Joseph"/>
    <x v="0"/>
    <m/>
    <n v="0"/>
    <n v="0"/>
    <n v="805"/>
    <n v="0"/>
    <s v="Southampton"/>
  </r>
  <r>
    <x v="0"/>
    <n v="3"/>
    <s v="Rintamaki, Mr. Matti"/>
    <x v="0"/>
    <n v="35"/>
    <n v="0"/>
    <n v="0"/>
    <n v="7125"/>
    <n v="0"/>
    <s v="Southampton"/>
  </r>
  <r>
    <x v="1"/>
    <n v="1"/>
    <s v="Stephenson, Mrs. Walter Bertram (Martha Eustis)"/>
    <x v="1"/>
    <n v="52"/>
    <n v="1"/>
    <n v="0"/>
    <n v="782667"/>
    <n v="1"/>
    <s v="Cherburg"/>
  </r>
  <r>
    <x v="0"/>
    <n v="3"/>
    <s v="Elsbury, Mr. William James"/>
    <x v="0"/>
    <n v="47"/>
    <n v="0"/>
    <n v="0"/>
    <n v="725"/>
    <n v="0"/>
    <s v="Southampton"/>
  </r>
  <r>
    <x v="0"/>
    <n v="3"/>
    <s v="Bourke, Miss. Mary"/>
    <x v="1"/>
    <m/>
    <n v="0"/>
    <n v="2"/>
    <n v="775"/>
    <n v="0"/>
    <s v="Queenstown"/>
  </r>
  <r>
    <x v="0"/>
    <n v="2"/>
    <s v="Chapman, Mr. John Henry"/>
    <x v="0"/>
    <n v="37"/>
    <n v="1"/>
    <n v="0"/>
    <n v="26"/>
    <n v="0"/>
    <s v="Southampton"/>
  </r>
  <r>
    <x v="0"/>
    <n v="3"/>
    <s v="Van Impe, Mr. Jean Baptiste"/>
    <x v="0"/>
    <n v="36"/>
    <n v="1"/>
    <n v="1"/>
    <n v="2415"/>
    <n v="0"/>
    <s v="Southampton"/>
  </r>
  <r>
    <x v="1"/>
    <n v="2"/>
    <s v="Leitch, Miss. Jessie Wills"/>
    <x v="1"/>
    <m/>
    <n v="0"/>
    <n v="0"/>
    <n v="33"/>
    <n v="0"/>
    <s v="Southampton"/>
  </r>
  <r>
    <x v="0"/>
    <n v="3"/>
    <s v="Johnson, Mr. Alfred"/>
    <x v="0"/>
    <n v="49"/>
    <n v="0"/>
    <n v="0"/>
    <n v="0"/>
    <n v="0"/>
    <s v="Southampton"/>
  </r>
  <r>
    <x v="0"/>
    <n v="3"/>
    <s v="Boulos, Mr. Hanna"/>
    <x v="0"/>
    <m/>
    <n v="0"/>
    <n v="0"/>
    <n v="7225"/>
    <n v="0"/>
    <s v="Cherburg"/>
  </r>
  <r>
    <x v="1"/>
    <n v="1"/>
    <s v="Duff Gordon, Sir. Cosmo Edmund (&quot;Mr Morgan&quot;)"/>
    <x v="0"/>
    <n v="49"/>
    <n v="1"/>
    <n v="0"/>
    <n v="569292"/>
    <n v="1"/>
    <s v="Cherburg"/>
  </r>
  <r>
    <x v="1"/>
    <n v="2"/>
    <s v="Jacobsohn, Mrs. Sidney Samuel (Amy Frances Christy)"/>
    <x v="1"/>
    <n v="24"/>
    <n v="2"/>
    <n v="1"/>
    <n v="27"/>
    <n v="0"/>
    <s v="Southampton"/>
  </r>
  <r>
    <x v="0"/>
    <n v="3"/>
    <s v="Slabenoff, Mr. Petco"/>
    <x v="0"/>
    <m/>
    <n v="0"/>
    <n v="0"/>
    <n v="78958"/>
    <n v="0"/>
    <s v="Southampton"/>
  </r>
  <r>
    <x v="0"/>
    <n v="1"/>
    <s v="Harrington, Mr. Charles H"/>
    <x v="0"/>
    <m/>
    <n v="0"/>
    <n v="0"/>
    <n v="424"/>
    <n v="0"/>
    <s v="Southampton"/>
  </r>
  <r>
    <x v="0"/>
    <n v="3"/>
    <s v="Torber, Mr. Ernst William"/>
    <x v="0"/>
    <n v="44"/>
    <n v="0"/>
    <n v="0"/>
    <n v="805"/>
    <n v="0"/>
    <s v="Southampton"/>
  </r>
  <r>
    <x v="1"/>
    <n v="1"/>
    <s v="Homer, Mr. Harry (&quot;Mr E Haven&quot;)"/>
    <x v="0"/>
    <n v="35"/>
    <n v="0"/>
    <n v="0"/>
    <n v="2655"/>
    <n v="0"/>
    <s v="Cherburg"/>
  </r>
  <r>
    <x v="0"/>
    <n v="3"/>
    <s v="Lindell, Mr. Edvard Bengtsson"/>
    <x v="0"/>
    <n v="36"/>
    <n v="1"/>
    <n v="0"/>
    <n v="1555"/>
    <n v="0"/>
    <s v="Southampton"/>
  </r>
  <r>
    <x v="0"/>
    <n v="3"/>
    <s v="Karaic, Mr. Milan"/>
    <x v="0"/>
    <n v="30"/>
    <n v="0"/>
    <n v="0"/>
    <n v="78958"/>
    <n v="0"/>
    <s v="Southampton"/>
  </r>
  <r>
    <x v="1"/>
    <n v="1"/>
    <s v="Daniel, Mr. Robert Williams"/>
    <x v="0"/>
    <n v="27"/>
    <n v="0"/>
    <n v="0"/>
    <n v="305"/>
    <n v="0"/>
    <s v="Southampton"/>
  </r>
  <r>
    <x v="1"/>
    <n v="2"/>
    <s v="Laroche, Mrs. Joseph (Juliette Marie Louise Lafargue)"/>
    <x v="1"/>
    <n v="22"/>
    <n v="1"/>
    <n v="2"/>
    <n v="415792"/>
    <n v="0"/>
    <s v="Cherburg"/>
  </r>
  <r>
    <x v="1"/>
    <n v="1"/>
    <s v="Shutes, Miss. Elizabeth W"/>
    <x v="1"/>
    <n v="40"/>
    <n v="0"/>
    <n v="0"/>
    <n v="1534625"/>
    <n v="1"/>
    <s v="Southampton"/>
  </r>
  <r>
    <x v="0"/>
    <n v="3"/>
    <s v="Andersson, Mrs. Anders Johan (Alfrida Konstantia Brogren)"/>
    <x v="1"/>
    <n v="39"/>
    <n v="1"/>
    <n v="5"/>
    <n v="31275"/>
    <n v="0"/>
    <s v="Southampton"/>
  </r>
  <r>
    <x v="0"/>
    <n v="3"/>
    <s v="Jardin, Mr. Jose Neto"/>
    <x v="0"/>
    <m/>
    <n v="0"/>
    <n v="0"/>
    <n v="705"/>
    <n v="0"/>
    <s v="Southampton"/>
  </r>
  <r>
    <x v="1"/>
    <n v="3"/>
    <s v="Murphy, Miss. Margaret Jane"/>
    <x v="1"/>
    <m/>
    <n v="1"/>
    <n v="0"/>
    <n v="155"/>
    <n v="0"/>
    <s v="Queenstown"/>
  </r>
  <r>
    <x v="0"/>
    <n v="3"/>
    <s v="Horgan, Mr. John"/>
    <x v="0"/>
    <m/>
    <n v="0"/>
    <n v="0"/>
    <n v="775"/>
    <n v="0"/>
    <s v="Queenstown"/>
  </r>
  <r>
    <x v="0"/>
    <n v="3"/>
    <s v="Brocklebank, Mr. William Alfred"/>
    <x v="0"/>
    <n v="35"/>
    <n v="0"/>
    <n v="0"/>
    <n v="805"/>
    <n v="0"/>
    <s v="Southampton"/>
  </r>
  <r>
    <x v="1"/>
    <n v="2"/>
    <s v="Herman, Miss. Alice"/>
    <x v="1"/>
    <n v="24"/>
    <n v="1"/>
    <n v="2"/>
    <n v="65"/>
    <n v="0"/>
    <s v="Southampton"/>
  </r>
  <r>
    <x v="0"/>
    <n v="3"/>
    <s v="Danbom, Mr. Ernst Gilbert"/>
    <x v="0"/>
    <n v="34"/>
    <n v="1"/>
    <n v="1"/>
    <n v="144"/>
    <n v="0"/>
    <s v="Southampton"/>
  </r>
  <r>
    <x v="0"/>
    <n v="3"/>
    <s v="Lobb, Mrs. William Arthur (Cordelia K Stanlick)"/>
    <x v="1"/>
    <n v="26"/>
    <n v="1"/>
    <n v="0"/>
    <n v="161"/>
    <n v="0"/>
    <s v="Southampton"/>
  </r>
  <r>
    <x v="1"/>
    <n v="2"/>
    <s v="Becker, Miss. Marion Louise"/>
    <x v="1"/>
    <n v="4"/>
    <n v="2"/>
    <n v="1"/>
    <n v="39"/>
    <n v="1"/>
    <s v="Southampton"/>
  </r>
  <r>
    <x v="0"/>
    <n v="2"/>
    <s v="Gavey, Mr. Lawrence"/>
    <x v="0"/>
    <n v="26"/>
    <n v="0"/>
    <n v="0"/>
    <n v="105"/>
    <n v="0"/>
    <s v="Southampton"/>
  </r>
  <r>
    <x v="0"/>
    <n v="3"/>
    <s v="Yasbeck, Mr. Antoni"/>
    <x v="0"/>
    <n v="27"/>
    <n v="1"/>
    <n v="0"/>
    <n v="144542"/>
    <n v="0"/>
    <s v="Cherburg"/>
  </r>
  <r>
    <x v="1"/>
    <n v="1"/>
    <s v="Kimball, Mr. Edwin Nelson Jr"/>
    <x v="0"/>
    <n v="42"/>
    <n v="1"/>
    <n v="0"/>
    <n v="525542"/>
    <n v="1"/>
    <s v="Southampton"/>
  </r>
  <r>
    <x v="1"/>
    <n v="3"/>
    <s v="Nakid, Mr. Sahid"/>
    <x v="0"/>
    <n v="20"/>
    <n v="1"/>
    <n v="1"/>
    <n v="157417"/>
    <n v="0"/>
    <s v="Cherburg"/>
  </r>
  <r>
    <x v="0"/>
    <n v="3"/>
    <s v="Hansen, Mr. Henry Damsgaard"/>
    <x v="0"/>
    <n v="21"/>
    <n v="0"/>
    <n v="0"/>
    <n v="78542"/>
    <n v="0"/>
    <s v="Southampton"/>
  </r>
  <r>
    <x v="0"/>
    <n v="3"/>
    <s v="Bowen, Mr. David John &quot;Dai&quot;"/>
    <x v="0"/>
    <n v="21"/>
    <n v="0"/>
    <n v="0"/>
    <n v="161"/>
    <n v="0"/>
    <s v="Southampton"/>
  </r>
  <r>
    <x v="0"/>
    <n v="1"/>
    <s v="Sutton, Mr. Frederick"/>
    <x v="0"/>
    <n v="61"/>
    <n v="0"/>
    <n v="0"/>
    <n v="323208"/>
    <n v="1"/>
    <s v="Southampton"/>
  </r>
  <r>
    <x v="0"/>
    <n v="2"/>
    <s v="Kirkland, Rev. Charles Leonard"/>
    <x v="0"/>
    <n v="57"/>
    <n v="0"/>
    <n v="0"/>
    <n v="1235"/>
    <n v="0"/>
    <s v="Queenstown"/>
  </r>
  <r>
    <x v="1"/>
    <n v="1"/>
    <s v="Longley, Miss. Gretchen Fiske"/>
    <x v="1"/>
    <n v="21"/>
    <n v="0"/>
    <n v="0"/>
    <n v="779583"/>
    <n v="1"/>
    <s v="Southampton"/>
  </r>
  <r>
    <x v="0"/>
    <n v="3"/>
    <s v="Bostandyeff, Mr. Guentcho"/>
    <x v="0"/>
    <n v="26"/>
    <n v="0"/>
    <n v="0"/>
    <n v="78958"/>
    <n v="0"/>
    <s v="Southampton"/>
  </r>
  <r>
    <x v="0"/>
    <n v="3"/>
    <s v="O'Connell, Mr. Patrick D"/>
    <x v="0"/>
    <m/>
    <n v="0"/>
    <n v="0"/>
    <n v="77333"/>
    <n v="0"/>
    <s v="Queenstown"/>
  </r>
  <r>
    <x v="1"/>
    <n v="1"/>
    <s v="Barkworth, Mr. Algernon Henry Wilson"/>
    <x v="0"/>
    <n v="80"/>
    <n v="0"/>
    <n v="0"/>
    <n v="30"/>
    <n v="1"/>
    <s v="Southampton"/>
  </r>
  <r>
    <x v="0"/>
    <n v="3"/>
    <s v="Lundahl, Mr. Johan Svensson"/>
    <x v="0"/>
    <n v="51"/>
    <n v="0"/>
    <n v="0"/>
    <n v="70542"/>
    <n v="0"/>
    <s v="Southampton"/>
  </r>
  <r>
    <x v="1"/>
    <n v="1"/>
    <s v="Stahelin-Maeglin, Dr. Max"/>
    <x v="0"/>
    <n v="32"/>
    <n v="0"/>
    <n v="0"/>
    <n v="305"/>
    <n v="1"/>
    <s v="Cherburg"/>
  </r>
  <r>
    <x v="0"/>
    <n v="1"/>
    <s v="Parr, Mr. William Henry Marsh"/>
    <x v="0"/>
    <m/>
    <n v="0"/>
    <n v="0"/>
    <n v="0"/>
    <n v="0"/>
    <s v="Southampton"/>
  </r>
  <r>
    <x v="0"/>
    <n v="3"/>
    <s v="Skoog, Miss. Mabel"/>
    <x v="1"/>
    <n v="9"/>
    <n v="3"/>
    <n v="2"/>
    <n v="279"/>
    <n v="0"/>
    <s v="Southampton"/>
  </r>
  <r>
    <x v="1"/>
    <n v="2"/>
    <s v="Davis, Miss. Mary"/>
    <x v="1"/>
    <n v="28"/>
    <n v="0"/>
    <n v="0"/>
    <n v="13"/>
    <n v="0"/>
    <s v="Southampton"/>
  </r>
  <r>
    <x v="0"/>
    <n v="3"/>
    <s v="Leinonen, Mr. Antti Gustaf"/>
    <x v="0"/>
    <n v="32"/>
    <n v="0"/>
    <n v="0"/>
    <n v="7925"/>
    <n v="0"/>
    <s v="Southampton"/>
  </r>
  <r>
    <x v="0"/>
    <n v="2"/>
    <s v="Collyer, Mr. Harvey"/>
    <x v="0"/>
    <n v="31"/>
    <n v="1"/>
    <n v="1"/>
    <n v="2625"/>
    <n v="0"/>
    <s v="Southampton"/>
  </r>
  <r>
    <x v="0"/>
    <n v="3"/>
    <s v="Panula, Mrs. Juha (Maria Emilia Ojala)"/>
    <x v="1"/>
    <n v="41"/>
    <n v="0"/>
    <n v="5"/>
    <n v="396875"/>
    <n v="0"/>
    <s v="Southampton"/>
  </r>
  <r>
    <x v="0"/>
    <n v="3"/>
    <s v="Thorneycroft, Mr. Percival"/>
    <x v="0"/>
    <m/>
    <n v="1"/>
    <n v="0"/>
    <n v="161"/>
    <n v="0"/>
    <s v="Southampton"/>
  </r>
  <r>
    <x v="0"/>
    <n v="3"/>
    <s v="Jensen, Mr. Hans Peder"/>
    <x v="0"/>
    <n v="20"/>
    <n v="0"/>
    <n v="0"/>
    <n v="78542"/>
    <n v="0"/>
    <s v="Southampton"/>
  </r>
  <r>
    <x v="1"/>
    <n v="1"/>
    <s v="Sagesser, Mlle. Emma"/>
    <x v="1"/>
    <n v="24"/>
    <n v="0"/>
    <n v="0"/>
    <n v="693"/>
    <n v="1"/>
    <s v="Cherburg"/>
  </r>
  <r>
    <x v="0"/>
    <n v="3"/>
    <s v="Skoog, Miss. Margit Elizabeth"/>
    <x v="1"/>
    <n v="2"/>
    <n v="3"/>
    <n v="2"/>
    <n v="279"/>
    <n v="0"/>
    <s v="Southampton"/>
  </r>
  <r>
    <x v="1"/>
    <n v="3"/>
    <s v="Foo, Mr. Choong"/>
    <x v="0"/>
    <m/>
    <n v="0"/>
    <n v="0"/>
    <n v="564958"/>
    <n v="0"/>
    <s v="Southampton"/>
  </r>
  <r>
    <x v="1"/>
    <n v="3"/>
    <s v="Baclini, Miss. Eugenie"/>
    <x v="1"/>
    <n v="75"/>
    <n v="2"/>
    <n v="1"/>
    <n v="192583"/>
    <n v="0"/>
    <s v="Cherburg"/>
  </r>
  <r>
    <x v="1"/>
    <n v="1"/>
    <s v="Harper, Mr. Henry Sleeper"/>
    <x v="0"/>
    <n v="48"/>
    <n v="1"/>
    <n v="0"/>
    <n v="767292"/>
    <n v="1"/>
    <s v="Cherburg"/>
  </r>
  <r>
    <x v="0"/>
    <n v="3"/>
    <s v="Cor, Mr. Liudevit"/>
    <x v="0"/>
    <n v="19"/>
    <n v="0"/>
    <n v="0"/>
    <n v="78958"/>
    <n v="0"/>
    <s v="Southampton"/>
  </r>
  <r>
    <x v="1"/>
    <n v="1"/>
    <s v="Simonius-Blumer, Col. Oberst Alfons"/>
    <x v="0"/>
    <n v="56"/>
    <n v="0"/>
    <n v="0"/>
    <n v="355"/>
    <n v="1"/>
    <s v="Cherburg"/>
  </r>
  <r>
    <x v="0"/>
    <n v="3"/>
    <s v="Willey, Mr. Edward"/>
    <x v="0"/>
    <m/>
    <n v="0"/>
    <n v="0"/>
    <n v="755"/>
    <n v="0"/>
    <s v="Southampton"/>
  </r>
  <r>
    <x v="1"/>
    <n v="3"/>
    <s v="Stanley, Miss. Amy Zillah Elsie"/>
    <x v="1"/>
    <n v="23"/>
    <n v="0"/>
    <n v="0"/>
    <n v="755"/>
    <n v="0"/>
    <s v="Southampton"/>
  </r>
  <r>
    <x v="0"/>
    <n v="3"/>
    <s v="Mitkoff, Mr. Mito"/>
    <x v="0"/>
    <m/>
    <n v="0"/>
    <n v="0"/>
    <n v="78958"/>
    <n v="0"/>
    <s v="Southampton"/>
  </r>
  <r>
    <x v="1"/>
    <n v="2"/>
    <s v="Doling, Miss. Elsie"/>
    <x v="1"/>
    <n v="18"/>
    <n v="0"/>
    <n v="1"/>
    <n v="23"/>
    <n v="0"/>
    <s v="Southampton"/>
  </r>
  <r>
    <x v="0"/>
    <n v="3"/>
    <s v="Kalvik, Mr. Johannes Halvorsen"/>
    <x v="0"/>
    <n v="21"/>
    <n v="0"/>
    <n v="0"/>
    <n v="84333"/>
    <n v="0"/>
    <s v="Southampton"/>
  </r>
  <r>
    <x v="1"/>
    <n v="3"/>
    <s v="O'Leary, Miss. Hanora &quot;Norah&quot;"/>
    <x v="1"/>
    <m/>
    <n v="0"/>
    <n v="0"/>
    <n v="78292"/>
    <n v="0"/>
    <s v="Queenstown"/>
  </r>
  <r>
    <x v="0"/>
    <n v="3"/>
    <s v="Hegarty, Miss. Hanora &quot;Nora&quot;"/>
    <x v="1"/>
    <n v="18"/>
    <n v="0"/>
    <n v="0"/>
    <n v="675"/>
    <n v="0"/>
    <s v="Queenstown"/>
  </r>
  <r>
    <x v="0"/>
    <n v="2"/>
    <s v="Hickman, Mr. Leonard Mark"/>
    <x v="0"/>
    <n v="24"/>
    <n v="2"/>
    <n v="0"/>
    <n v="735"/>
    <n v="0"/>
    <s v="Southampton"/>
  </r>
  <r>
    <x v="0"/>
    <n v="3"/>
    <s v="Radeff, Mr. Alexander"/>
    <x v="0"/>
    <m/>
    <n v="0"/>
    <n v="0"/>
    <n v="78958"/>
    <n v="0"/>
    <s v="Southampton"/>
  </r>
  <r>
    <x v="0"/>
    <n v="3"/>
    <s v="Bourke, Mrs. John (Catherine)"/>
    <x v="1"/>
    <n v="32"/>
    <n v="1"/>
    <n v="1"/>
    <n v="155"/>
    <n v="0"/>
    <s v="Queenstown"/>
  </r>
  <r>
    <x v="0"/>
    <n v="2"/>
    <s v="Eitemiller, Mr. George Floyd"/>
    <x v="0"/>
    <n v="23"/>
    <n v="0"/>
    <n v="0"/>
    <n v="13"/>
    <n v="0"/>
    <s v="Southampton"/>
  </r>
  <r>
    <x v="0"/>
    <n v="1"/>
    <s v="Newell, Mr. Arthur Webster"/>
    <x v="0"/>
    <n v="58"/>
    <n v="0"/>
    <n v="2"/>
    <n v="113275"/>
    <n v="1"/>
    <s v="Cherburg"/>
  </r>
  <r>
    <x v="1"/>
    <n v="1"/>
    <s v="Frauenthal, Dr. Henry William"/>
    <x v="0"/>
    <n v="50"/>
    <n v="2"/>
    <n v="0"/>
    <n v="13365"/>
    <n v="0"/>
    <s v="Southampton"/>
  </r>
  <r>
    <x v="0"/>
    <n v="3"/>
    <s v="Badt, Mr. Mohamed"/>
    <x v="0"/>
    <n v="40"/>
    <n v="0"/>
    <n v="0"/>
    <n v="7225"/>
    <n v="0"/>
    <s v="Cherburg"/>
  </r>
  <r>
    <x v="0"/>
    <n v="1"/>
    <s v="Colley, Mr. Edward Pomeroy"/>
    <x v="0"/>
    <n v="47"/>
    <n v="0"/>
    <n v="0"/>
    <n v="255875"/>
    <n v="1"/>
    <s v="Southampton"/>
  </r>
  <r>
    <x v="0"/>
    <n v="3"/>
    <s v="Coleff, Mr. Peju"/>
    <x v="0"/>
    <n v="36"/>
    <n v="0"/>
    <n v="0"/>
    <n v="74958"/>
    <n v="0"/>
    <s v="Southampton"/>
  </r>
  <r>
    <x v="1"/>
    <n v="3"/>
    <s v="Lindqvist, Mr. Eino William"/>
    <x v="0"/>
    <n v="20"/>
    <n v="1"/>
    <n v="0"/>
    <n v="7925"/>
    <n v="0"/>
    <s v="Southampton"/>
  </r>
  <r>
    <x v="0"/>
    <n v="2"/>
    <s v="Hickman, Mr. Lewis"/>
    <x v="0"/>
    <n v="32"/>
    <n v="2"/>
    <n v="0"/>
    <n v="735"/>
    <n v="0"/>
    <s v="Southampton"/>
  </r>
  <r>
    <x v="0"/>
    <n v="2"/>
    <s v="Butler, Mr. Reginald Fenton"/>
    <x v="0"/>
    <n v="25"/>
    <n v="0"/>
    <n v="0"/>
    <n v="13"/>
    <n v="0"/>
    <s v="Southampton"/>
  </r>
  <r>
    <x v="0"/>
    <n v="3"/>
    <s v="Rommetvedt, Mr. Knud Paust"/>
    <x v="0"/>
    <m/>
    <n v="0"/>
    <n v="0"/>
    <n v="7775"/>
    <n v="0"/>
    <s v="Southampton"/>
  </r>
  <r>
    <x v="0"/>
    <n v="3"/>
    <s v="Cook, Mr. Jacob"/>
    <x v="0"/>
    <n v="43"/>
    <n v="0"/>
    <n v="0"/>
    <n v="805"/>
    <n v="0"/>
    <s v="Southampton"/>
  </r>
  <r>
    <x v="1"/>
    <n v="1"/>
    <s v="Taylor, Mrs. Elmer Zebley (Juliet Cummins Wright)"/>
    <x v="1"/>
    <m/>
    <n v="1"/>
    <n v="0"/>
    <n v="52"/>
    <n v="1"/>
    <s v="Southampton"/>
  </r>
  <r>
    <x v="1"/>
    <n v="2"/>
    <s v="Brown, Mrs. Thomas William Solomon (Elizabeth Catherine Ford)"/>
    <x v="1"/>
    <n v="40"/>
    <n v="1"/>
    <n v="1"/>
    <n v="39"/>
    <n v="0"/>
    <s v="Southampton"/>
  </r>
  <r>
    <x v="0"/>
    <n v="1"/>
    <s v="Davidson, Mr. Thornton"/>
    <x v="0"/>
    <n v="31"/>
    <n v="1"/>
    <n v="0"/>
    <n v="52"/>
    <n v="1"/>
    <s v="Southampton"/>
  </r>
  <r>
    <x v="0"/>
    <n v="2"/>
    <s v="Mitchell, Mr. Henry Michael"/>
    <x v="0"/>
    <n v="70"/>
    <n v="0"/>
    <n v="0"/>
    <n v="105"/>
    <n v="0"/>
    <s v="Southampton"/>
  </r>
  <r>
    <x v="1"/>
    <n v="2"/>
    <s v="Wilhelms, Mr. Charles"/>
    <x v="0"/>
    <n v="31"/>
    <n v="0"/>
    <n v="0"/>
    <n v="13"/>
    <n v="0"/>
    <s v="Southampton"/>
  </r>
  <r>
    <x v="0"/>
    <n v="2"/>
    <s v="Watson, Mr. Ennis Hastings"/>
    <x v="0"/>
    <m/>
    <n v="0"/>
    <n v="0"/>
    <n v="0"/>
    <n v="0"/>
    <s v="Southampton"/>
  </r>
  <r>
    <x v="0"/>
    <n v="3"/>
    <s v="Edvardsson, Mr. Gustaf Hjalmar"/>
    <x v="0"/>
    <n v="18"/>
    <n v="0"/>
    <n v="0"/>
    <n v="7775"/>
    <n v="0"/>
    <s v="Southampton"/>
  </r>
  <r>
    <x v="0"/>
    <n v="3"/>
    <s v="Sawyer, Mr. Frederick Charles"/>
    <x v="0"/>
    <n v="245"/>
    <n v="0"/>
    <n v="0"/>
    <n v="805"/>
    <n v="0"/>
    <s v="Southampton"/>
  </r>
  <r>
    <x v="1"/>
    <n v="3"/>
    <s v="Turja, Miss. Anna Sofia"/>
    <x v="1"/>
    <n v="18"/>
    <n v="0"/>
    <n v="0"/>
    <n v="98417"/>
    <n v="0"/>
    <s v="Southampton"/>
  </r>
  <r>
    <x v="0"/>
    <n v="3"/>
    <s v="Goodwin, Mrs. Frederick (Augusta Tyler)"/>
    <x v="1"/>
    <n v="43"/>
    <n v="1"/>
    <n v="6"/>
    <n v="469"/>
    <n v="0"/>
    <s v="Southampton"/>
  </r>
  <r>
    <x v="1"/>
    <n v="1"/>
    <s v="Cardeza, Mr. Thomas Drake Martinez"/>
    <x v="0"/>
    <n v="36"/>
    <n v="0"/>
    <n v="1"/>
    <n v="5123292"/>
    <n v="1"/>
    <s v="Cherburg"/>
  </r>
  <r>
    <x v="0"/>
    <n v="3"/>
    <s v="Peters, Miss. Katie"/>
    <x v="1"/>
    <m/>
    <n v="0"/>
    <n v="0"/>
    <n v="81375"/>
    <n v="0"/>
    <s v="Queenstown"/>
  </r>
  <r>
    <x v="1"/>
    <n v="1"/>
    <s v="Hassab, Mr. Hammad"/>
    <x v="0"/>
    <n v="27"/>
    <n v="0"/>
    <n v="0"/>
    <n v="767292"/>
    <n v="1"/>
    <s v="Cherburg"/>
  </r>
  <r>
    <x v="0"/>
    <n v="3"/>
    <s v="Olsvigen, Mr. Thor Anderson"/>
    <x v="0"/>
    <n v="20"/>
    <n v="0"/>
    <n v="0"/>
    <n v="9225"/>
    <n v="0"/>
    <s v="Southampton"/>
  </r>
  <r>
    <x v="0"/>
    <n v="3"/>
    <s v="Goodwin, Mr. Charles Edward"/>
    <x v="0"/>
    <n v="14"/>
    <n v="5"/>
    <n v="2"/>
    <n v="469"/>
    <n v="0"/>
    <s v="Southampton"/>
  </r>
  <r>
    <x v="0"/>
    <n v="2"/>
    <s v="Brown, Mr. Thomas William Solomon"/>
    <x v="0"/>
    <n v="60"/>
    <n v="1"/>
    <n v="1"/>
    <n v="39"/>
    <n v="0"/>
    <s v="Southampton"/>
  </r>
  <r>
    <x v="0"/>
    <n v="2"/>
    <s v="Laroche, Mr. Joseph Philippe Lemercier"/>
    <x v="0"/>
    <n v="25"/>
    <n v="1"/>
    <n v="2"/>
    <n v="415792"/>
    <n v="0"/>
    <s v="Cherburg"/>
  </r>
  <r>
    <x v="0"/>
    <n v="3"/>
    <s v="Panula, Mr. Jaako Arnold"/>
    <x v="0"/>
    <n v="14"/>
    <n v="4"/>
    <n v="1"/>
    <n v="396875"/>
    <n v="0"/>
    <s v="Southampton"/>
  </r>
  <r>
    <x v="0"/>
    <n v="3"/>
    <s v="Dakic, Mr. Branko"/>
    <x v="0"/>
    <n v="19"/>
    <n v="0"/>
    <n v="0"/>
    <n v="101708"/>
    <n v="0"/>
    <s v="Southampton"/>
  </r>
  <r>
    <x v="0"/>
    <n v="3"/>
    <s v="Fischer, Mr. Eberhard Thelander"/>
    <x v="0"/>
    <n v="18"/>
    <n v="0"/>
    <n v="0"/>
    <n v="77958"/>
    <n v="0"/>
    <s v="Southampton"/>
  </r>
  <r>
    <x v="1"/>
    <n v="1"/>
    <s v="Madill, Miss. Georgette Alexandra"/>
    <x v="1"/>
    <n v="15"/>
    <n v="0"/>
    <n v="1"/>
    <n v="2113375"/>
    <n v="1"/>
    <s v="Southampton"/>
  </r>
  <r>
    <x v="1"/>
    <n v="1"/>
    <s v="Dick, Mr. Albert Adrian"/>
    <x v="0"/>
    <n v="31"/>
    <n v="1"/>
    <n v="0"/>
    <n v="57"/>
    <n v="1"/>
    <s v="Southampton"/>
  </r>
  <r>
    <x v="1"/>
    <n v="3"/>
    <s v="Karun, Miss. Manca"/>
    <x v="1"/>
    <n v="4"/>
    <n v="0"/>
    <n v="1"/>
    <n v="134167"/>
    <n v="0"/>
    <s v="Cherburg"/>
  </r>
  <r>
    <x v="1"/>
    <n v="3"/>
    <s v="Lam, Mr. Ali"/>
    <x v="0"/>
    <m/>
    <n v="0"/>
    <n v="0"/>
    <n v="564958"/>
    <n v="0"/>
    <s v="Southampton"/>
  </r>
  <r>
    <x v="0"/>
    <n v="3"/>
    <s v="Saad, Mr. Khalil"/>
    <x v="0"/>
    <n v="25"/>
    <n v="0"/>
    <n v="0"/>
    <n v="7225"/>
    <n v="0"/>
    <s v="Cherburg"/>
  </r>
  <r>
    <x v="0"/>
    <n v="1"/>
    <s v="Weir, Col. John"/>
    <x v="0"/>
    <n v="60"/>
    <n v="0"/>
    <n v="0"/>
    <n v="2655"/>
    <n v="0"/>
    <s v="Southampton"/>
  </r>
  <r>
    <x v="0"/>
    <n v="2"/>
    <s v="Chapman, Mr. Charles Henry"/>
    <x v="0"/>
    <n v="52"/>
    <n v="0"/>
    <n v="0"/>
    <n v="135"/>
    <n v="0"/>
    <s v="Southampton"/>
  </r>
  <r>
    <x v="0"/>
    <n v="3"/>
    <s v="Kelly, Mr. James"/>
    <x v="0"/>
    <n v="44"/>
    <n v="0"/>
    <n v="0"/>
    <n v="805"/>
    <n v="0"/>
    <s v="Southampton"/>
  </r>
  <r>
    <x v="1"/>
    <n v="3"/>
    <s v="Mullens, Miss. Katherine &quot;Katie&quot;"/>
    <x v="1"/>
    <m/>
    <n v="0"/>
    <n v="0"/>
    <n v="77333"/>
    <n v="0"/>
    <s v="Queenstown"/>
  </r>
  <r>
    <x v="0"/>
    <n v="1"/>
    <s v="Thayer, Mr. John Borland"/>
    <x v="0"/>
    <n v="49"/>
    <n v="1"/>
    <n v="1"/>
    <n v="1108833"/>
    <n v="1"/>
    <s v="Cherburg"/>
  </r>
  <r>
    <x v="0"/>
    <n v="3"/>
    <s v="Humblen, Mr. Adolf Mathias Nicolai Olsen"/>
    <x v="0"/>
    <n v="42"/>
    <n v="0"/>
    <n v="0"/>
    <n v="765"/>
    <n v="1"/>
    <s v="Southampton"/>
  </r>
  <r>
    <x v="1"/>
    <n v="1"/>
    <s v="Astor, Mrs. John Jacob (Madeleine Talmadge Force)"/>
    <x v="1"/>
    <n v="18"/>
    <n v="1"/>
    <n v="0"/>
    <n v="227525"/>
    <n v="1"/>
    <s v="Cherburg"/>
  </r>
  <r>
    <x v="1"/>
    <n v="1"/>
    <s v="Silverthorne, Mr. Spencer Victor"/>
    <x v="0"/>
    <n v="35"/>
    <n v="0"/>
    <n v="0"/>
    <n v="262875"/>
    <n v="1"/>
    <s v="Southampton"/>
  </r>
  <r>
    <x v="0"/>
    <n v="3"/>
    <s v="Barbara, Miss. Saiide"/>
    <x v="1"/>
    <n v="18"/>
    <n v="0"/>
    <n v="1"/>
    <n v="144542"/>
    <n v="0"/>
    <s v="Cherburg"/>
  </r>
  <r>
    <x v="0"/>
    <n v="3"/>
    <s v="Gallagher, Mr. Martin"/>
    <x v="0"/>
    <n v="25"/>
    <n v="0"/>
    <n v="0"/>
    <n v="77417"/>
    <n v="0"/>
    <s v="Queenstown"/>
  </r>
  <r>
    <x v="0"/>
    <n v="3"/>
    <s v="Hansen, Mr. Henrik Juul"/>
    <x v="0"/>
    <n v="26"/>
    <n v="1"/>
    <n v="0"/>
    <n v="78542"/>
    <n v="0"/>
    <s v="Southampton"/>
  </r>
  <r>
    <x v="0"/>
    <n v="2"/>
    <s v="Morley, Mr. Henry Samuel (&quot;Mr Henry Marshall&quot;)"/>
    <x v="0"/>
    <n v="39"/>
    <n v="0"/>
    <n v="0"/>
    <n v="26"/>
    <n v="0"/>
    <s v="Southampton"/>
  </r>
  <r>
    <x v="1"/>
    <n v="2"/>
    <s v="Kelly, Mrs. Florence &quot;Fannie&quot;"/>
    <x v="1"/>
    <n v="45"/>
    <n v="0"/>
    <n v="0"/>
    <n v="135"/>
    <n v="0"/>
    <s v="Southampton"/>
  </r>
  <r>
    <x v="1"/>
    <n v="1"/>
    <s v="Calderhead, Mr. Edward Pennington"/>
    <x v="0"/>
    <n v="42"/>
    <n v="0"/>
    <n v="0"/>
    <n v="262875"/>
    <n v="1"/>
    <s v="Southampton"/>
  </r>
  <r>
    <x v="1"/>
    <n v="1"/>
    <s v="Cleaver, Miss. Alice"/>
    <x v="1"/>
    <n v="22"/>
    <n v="0"/>
    <n v="0"/>
    <n v="15155"/>
    <n v="0"/>
    <s v="Southampton"/>
  </r>
  <r>
    <x v="1"/>
    <n v="3"/>
    <s v="Moubarek, Master. Halim Gonios (&quot;William George&quot;)"/>
    <x v="0"/>
    <m/>
    <n v="1"/>
    <n v="1"/>
    <n v="152458"/>
    <n v="0"/>
    <s v="Cherburg"/>
  </r>
  <r>
    <x v="1"/>
    <n v="1"/>
    <s v="Mayne, Mlle. Berthe Antonine (&quot;Mrs de Villiers&quot;)"/>
    <x v="1"/>
    <n v="24"/>
    <n v="0"/>
    <n v="0"/>
    <n v="495042"/>
    <n v="1"/>
    <s v="Cherburg"/>
  </r>
  <r>
    <x v="0"/>
    <n v="1"/>
    <s v="Klaber, Mr. Herman"/>
    <x v="0"/>
    <m/>
    <n v="0"/>
    <n v="0"/>
    <n v="2655"/>
    <n v="1"/>
    <s v="Southampton"/>
  </r>
  <r>
    <x v="1"/>
    <n v="1"/>
    <s v="Taylor, Mr. Elmer Zebley"/>
    <x v="0"/>
    <n v="48"/>
    <n v="1"/>
    <n v="0"/>
    <n v="52"/>
    <n v="1"/>
    <s v="Southampton"/>
  </r>
  <r>
    <x v="0"/>
    <n v="3"/>
    <s v="Larsson, Mr. August Viktor"/>
    <x v="0"/>
    <n v="29"/>
    <n v="0"/>
    <n v="0"/>
    <n v="94833"/>
    <n v="0"/>
    <s v="Southampton"/>
  </r>
  <r>
    <x v="0"/>
    <n v="2"/>
    <s v="Greenberg, Mr. Samuel"/>
    <x v="0"/>
    <n v="52"/>
    <n v="0"/>
    <n v="0"/>
    <n v="13"/>
    <n v="0"/>
    <s v="Southampton"/>
  </r>
  <r>
    <x v="0"/>
    <n v="3"/>
    <s v="Soholt, Mr. Peter Andreas Lauritz Andersen"/>
    <x v="0"/>
    <n v="19"/>
    <n v="0"/>
    <n v="0"/>
    <n v="765"/>
    <n v="1"/>
    <s v="Southampton"/>
  </r>
  <r>
    <x v="1"/>
    <n v="1"/>
    <s v="Endres, Miss. Caroline Louise"/>
    <x v="1"/>
    <n v="38"/>
    <n v="0"/>
    <n v="0"/>
    <n v="227525"/>
    <n v="1"/>
    <s v="Cherburg"/>
  </r>
  <r>
    <x v="1"/>
    <n v="2"/>
    <s v="Troutt, Miss. Edwina Celia &quot;Winnie&quot;"/>
    <x v="1"/>
    <n v="27"/>
    <n v="0"/>
    <n v="0"/>
    <n v="105"/>
    <n v="1"/>
    <s v="Southampton"/>
  </r>
  <r>
    <x v="0"/>
    <n v="3"/>
    <s v="McEvoy, Mr. Michael"/>
    <x v="0"/>
    <m/>
    <n v="0"/>
    <n v="0"/>
    <n v="155"/>
    <n v="0"/>
    <s v="Queenstown"/>
  </r>
  <r>
    <x v="0"/>
    <n v="3"/>
    <s v="Johnson, Mr. Malkolm Joackim"/>
    <x v="0"/>
    <n v="33"/>
    <n v="0"/>
    <n v="0"/>
    <n v="7775"/>
    <n v="0"/>
    <s v="Southampton"/>
  </r>
  <r>
    <x v="1"/>
    <n v="2"/>
    <s v="Harper, Miss. Annie Jessie &quot;Nina&quot;"/>
    <x v="1"/>
    <n v="6"/>
    <n v="0"/>
    <n v="1"/>
    <n v="33"/>
    <n v="0"/>
    <s v="Southampton"/>
  </r>
  <r>
    <x v="0"/>
    <n v="3"/>
    <s v="Jensen, Mr. Svend Lauritz"/>
    <x v="0"/>
    <n v="17"/>
    <n v="1"/>
    <n v="0"/>
    <n v="70542"/>
    <n v="0"/>
    <s v="Southampton"/>
  </r>
  <r>
    <x v="0"/>
    <n v="2"/>
    <s v="Gillespie, Mr. William Henry"/>
    <x v="0"/>
    <n v="34"/>
    <n v="0"/>
    <n v="0"/>
    <n v="13"/>
    <n v="0"/>
    <s v="Southampton"/>
  </r>
  <r>
    <x v="0"/>
    <n v="2"/>
    <s v="Hodges, Mr. Henry Price"/>
    <x v="0"/>
    <n v="50"/>
    <n v="0"/>
    <n v="0"/>
    <n v="13"/>
    <n v="0"/>
    <s v="Southampton"/>
  </r>
  <r>
    <x v="1"/>
    <n v="1"/>
    <s v="Chambers, Mr. Norman Campbell"/>
    <x v="0"/>
    <n v="27"/>
    <n v="1"/>
    <n v="0"/>
    <n v="531"/>
    <n v="1"/>
    <s v="Southampton"/>
  </r>
  <r>
    <x v="0"/>
    <n v="3"/>
    <s v="Oreskovic, Mr. Luka"/>
    <x v="0"/>
    <n v="20"/>
    <n v="0"/>
    <n v="0"/>
    <n v="86625"/>
    <n v="0"/>
    <s v="Southampton"/>
  </r>
  <r>
    <x v="1"/>
    <n v="2"/>
    <s v="Renouf, Mrs. Peter Henry (Lillian Jefferys)"/>
    <x v="1"/>
    <n v="30"/>
    <n v="3"/>
    <n v="0"/>
    <n v="21"/>
    <n v="0"/>
    <s v="Southampton"/>
  </r>
  <r>
    <x v="1"/>
    <n v="3"/>
    <s v="Mannion, Miss. Margareth"/>
    <x v="1"/>
    <m/>
    <n v="0"/>
    <n v="0"/>
    <n v="77375"/>
    <n v="0"/>
    <s v="Queenstown"/>
  </r>
  <r>
    <x v="0"/>
    <n v="2"/>
    <s v="Bryhl, Mr. Kurt Arnold Gottfrid"/>
    <x v="0"/>
    <n v="25"/>
    <n v="1"/>
    <n v="0"/>
    <n v="26"/>
    <n v="0"/>
    <s v="Southampton"/>
  </r>
  <r>
    <x v="0"/>
    <n v="3"/>
    <s v="Ilmakangas, Miss. Pieta Sofia"/>
    <x v="1"/>
    <n v="25"/>
    <n v="1"/>
    <n v="0"/>
    <n v="7925"/>
    <n v="0"/>
    <s v="Southampton"/>
  </r>
  <r>
    <x v="1"/>
    <n v="1"/>
    <s v="Allen, Miss. Elisabeth Walton"/>
    <x v="1"/>
    <n v="29"/>
    <n v="0"/>
    <n v="0"/>
    <n v="2113375"/>
    <n v="1"/>
    <s v="Southampton"/>
  </r>
  <r>
    <x v="0"/>
    <n v="3"/>
    <s v="Hassan, Mr. Houssein G N"/>
    <x v="0"/>
    <n v="11"/>
    <n v="0"/>
    <n v="0"/>
    <n v="187875"/>
    <n v="0"/>
    <s v="Cherburg"/>
  </r>
  <r>
    <x v="0"/>
    <n v="2"/>
    <s v="Knight, Mr. Robert J"/>
    <x v="0"/>
    <m/>
    <n v="0"/>
    <n v="0"/>
    <n v="0"/>
    <n v="0"/>
    <s v="Southampton"/>
  </r>
  <r>
    <x v="0"/>
    <n v="2"/>
    <s v="Berriman, Mr. William John"/>
    <x v="0"/>
    <n v="23"/>
    <n v="0"/>
    <n v="0"/>
    <n v="13"/>
    <n v="0"/>
    <s v="Southampton"/>
  </r>
  <r>
    <x v="0"/>
    <n v="2"/>
    <s v="Troupiansky, Mr. Moses Aaron"/>
    <x v="0"/>
    <n v="23"/>
    <n v="0"/>
    <n v="0"/>
    <n v="13"/>
    <n v="0"/>
    <s v="Southampton"/>
  </r>
  <r>
    <x v="0"/>
    <n v="3"/>
    <s v="Williams, Mr. Leslie"/>
    <x v="0"/>
    <n v="285"/>
    <n v="0"/>
    <n v="0"/>
    <n v="161"/>
    <n v="0"/>
    <s v="Southampton"/>
  </r>
  <r>
    <x v="0"/>
    <n v="3"/>
    <s v="Ford, Mrs. Edward (Margaret Ann Watson)"/>
    <x v="1"/>
    <n v="48"/>
    <n v="1"/>
    <n v="3"/>
    <n v="34375"/>
    <n v="0"/>
    <s v="Southampton"/>
  </r>
  <r>
    <x v="1"/>
    <n v="1"/>
    <s v="Lesurer, Mr. Gustave J"/>
    <x v="0"/>
    <n v="35"/>
    <n v="0"/>
    <n v="0"/>
    <n v="5123292"/>
    <n v="1"/>
    <s v="Cherburg"/>
  </r>
  <r>
    <x v="0"/>
    <n v="3"/>
    <s v="Ivanoff, Mr. Kanio"/>
    <x v="0"/>
    <m/>
    <n v="0"/>
    <n v="0"/>
    <n v="78958"/>
    <n v="0"/>
    <s v="Southampton"/>
  </r>
  <r>
    <x v="0"/>
    <n v="3"/>
    <s v="Nankoff, Mr. Minko"/>
    <x v="0"/>
    <m/>
    <n v="0"/>
    <n v="0"/>
    <n v="78958"/>
    <n v="0"/>
    <s v="Southampton"/>
  </r>
  <r>
    <x v="1"/>
    <n v="1"/>
    <s v="Hawksford, Mr. Walter James"/>
    <x v="0"/>
    <m/>
    <n v="0"/>
    <n v="0"/>
    <n v="30"/>
    <n v="1"/>
    <s v="Southampton"/>
  </r>
  <r>
    <x v="0"/>
    <n v="1"/>
    <s v="Cavendish, Mr. Tyrell William"/>
    <x v="0"/>
    <n v="36"/>
    <n v="1"/>
    <n v="0"/>
    <n v="7885"/>
    <n v="1"/>
    <s v="Southampton"/>
  </r>
  <r>
    <x v="1"/>
    <n v="1"/>
    <s v="Ryerson, Miss. Susan Parker &quot;Suzette&quot;"/>
    <x v="1"/>
    <n v="21"/>
    <n v="2"/>
    <n v="2"/>
    <n v="262375"/>
    <n v="1"/>
    <s v="Cherburg"/>
  </r>
  <r>
    <x v="0"/>
    <n v="3"/>
    <s v="McNamee, Mr. Neal"/>
    <x v="0"/>
    <n v="24"/>
    <n v="1"/>
    <n v="0"/>
    <n v="161"/>
    <n v="0"/>
    <s v="Southampton"/>
  </r>
  <r>
    <x v="1"/>
    <n v="3"/>
    <s v="Stranden, Mr. Juho"/>
    <x v="0"/>
    <n v="31"/>
    <n v="0"/>
    <n v="0"/>
    <n v="7925"/>
    <n v="0"/>
    <s v="Southampton"/>
  </r>
  <r>
    <x v="0"/>
    <n v="1"/>
    <s v="Crosby, Capt. Edward Gifford"/>
    <x v="0"/>
    <n v="70"/>
    <n v="1"/>
    <n v="1"/>
    <n v="71"/>
    <n v="1"/>
    <s v="Southampton"/>
  </r>
  <r>
    <x v="0"/>
    <n v="3"/>
    <s v="Abbott, Mr. Rossmore Edward"/>
    <x v="0"/>
    <n v="16"/>
    <n v="1"/>
    <n v="1"/>
    <n v="2025"/>
    <n v="0"/>
    <s v="Southampton"/>
  </r>
  <r>
    <x v="1"/>
    <n v="2"/>
    <s v="Sinkkonen, Miss. Anna"/>
    <x v="1"/>
    <n v="30"/>
    <n v="0"/>
    <n v="0"/>
    <n v="13"/>
    <n v="0"/>
    <s v="Southampton"/>
  </r>
  <r>
    <x v="0"/>
    <n v="1"/>
    <s v="Marvin, Mr. Daniel Warner"/>
    <x v="0"/>
    <n v="19"/>
    <n v="1"/>
    <n v="0"/>
    <n v="531"/>
    <n v="1"/>
    <s v="Southampton"/>
  </r>
  <r>
    <x v="0"/>
    <n v="3"/>
    <s v="Connaghton, Mr. Michael"/>
    <x v="0"/>
    <n v="31"/>
    <n v="0"/>
    <n v="0"/>
    <n v="775"/>
    <n v="0"/>
    <s v="Queenstown"/>
  </r>
  <r>
    <x v="1"/>
    <n v="2"/>
    <s v="Wells, Miss. Joan"/>
    <x v="1"/>
    <n v="4"/>
    <n v="1"/>
    <n v="1"/>
    <n v="23"/>
    <n v="0"/>
    <s v="Southampton"/>
  </r>
  <r>
    <x v="1"/>
    <n v="3"/>
    <s v="Moor, Master. Meier"/>
    <x v="0"/>
    <n v="6"/>
    <n v="0"/>
    <n v="1"/>
    <n v="12475"/>
    <n v="1"/>
    <s v="Southampton"/>
  </r>
  <r>
    <x v="0"/>
    <n v="3"/>
    <s v="Vande Velde, Mr. Johannes Joseph"/>
    <x v="0"/>
    <n v="33"/>
    <n v="0"/>
    <n v="0"/>
    <n v="95"/>
    <n v="0"/>
    <s v="Southampton"/>
  </r>
  <r>
    <x v="0"/>
    <n v="3"/>
    <s v="Jonkoff, Mr. Lalio"/>
    <x v="0"/>
    <n v="23"/>
    <n v="0"/>
    <n v="0"/>
    <n v="78958"/>
    <n v="0"/>
    <s v="Southampton"/>
  </r>
  <r>
    <x v="1"/>
    <n v="2"/>
    <s v="Herman, Mrs. Samuel (Jane Laver)"/>
    <x v="1"/>
    <n v="48"/>
    <n v="1"/>
    <n v="2"/>
    <n v="65"/>
    <n v="0"/>
    <s v="Southampton"/>
  </r>
  <r>
    <x v="1"/>
    <n v="2"/>
    <s v="Hamalainen, Master. Viljo"/>
    <x v="0"/>
    <n v="67"/>
    <n v="1"/>
    <n v="1"/>
    <n v="145"/>
    <n v="0"/>
    <s v="Southampton"/>
  </r>
  <r>
    <x v="0"/>
    <n v="3"/>
    <s v="Carlsson, Mr. August Sigfrid"/>
    <x v="0"/>
    <n v="28"/>
    <n v="0"/>
    <n v="0"/>
    <n v="77958"/>
    <n v="0"/>
    <s v="Southampton"/>
  </r>
  <r>
    <x v="0"/>
    <n v="2"/>
    <s v="Bailey, Mr. Percy Andrew"/>
    <x v="0"/>
    <n v="18"/>
    <n v="0"/>
    <n v="0"/>
    <n v="115"/>
    <n v="0"/>
    <s v="Southampton"/>
  </r>
  <r>
    <x v="0"/>
    <n v="3"/>
    <s v="Theobald, Mr. Thomas Leonard"/>
    <x v="0"/>
    <n v="34"/>
    <n v="0"/>
    <n v="0"/>
    <n v="805"/>
    <n v="0"/>
    <s v="Southampton"/>
  </r>
  <r>
    <x v="1"/>
    <n v="1"/>
    <s v="Rothes, the Countess. of (Lucy Noel Martha Dyer-Edwards)"/>
    <x v="1"/>
    <n v="33"/>
    <n v="0"/>
    <n v="0"/>
    <n v="865"/>
    <n v="1"/>
    <s v="Southampton"/>
  </r>
  <r>
    <x v="0"/>
    <n v="3"/>
    <s v="Garfirth, Mr. John"/>
    <x v="0"/>
    <m/>
    <n v="0"/>
    <n v="0"/>
    <n v="145"/>
    <n v="0"/>
    <s v="Southampton"/>
  </r>
  <r>
    <x v="0"/>
    <n v="3"/>
    <s v="Nirva, Mr. Iisakki Antino Aijo"/>
    <x v="0"/>
    <n v="41"/>
    <n v="0"/>
    <n v="0"/>
    <n v="7125"/>
    <n v="0"/>
    <s v="Southampton"/>
  </r>
  <r>
    <x v="1"/>
    <n v="3"/>
    <s v="Barah, Mr. Hanna Assi"/>
    <x v="0"/>
    <n v="20"/>
    <n v="0"/>
    <n v="0"/>
    <n v="72292"/>
    <n v="0"/>
    <s v="Cherburg"/>
  </r>
  <r>
    <x v="1"/>
    <n v="1"/>
    <s v="Carter, Mrs. William Ernest (Lucile Polk)"/>
    <x v="1"/>
    <n v="36"/>
    <n v="1"/>
    <n v="2"/>
    <n v="120"/>
    <n v="1"/>
    <s v="Southampton"/>
  </r>
  <r>
    <x v="0"/>
    <n v="3"/>
    <s v="Eklund, Mr. Hans Linus"/>
    <x v="0"/>
    <n v="16"/>
    <n v="0"/>
    <n v="0"/>
    <n v="7775"/>
    <n v="0"/>
    <s v="Southampton"/>
  </r>
  <r>
    <x v="1"/>
    <n v="1"/>
    <s v="Hogeboom, Mrs. John C (Anna Andrews)"/>
    <x v="1"/>
    <n v="51"/>
    <n v="1"/>
    <n v="0"/>
    <n v="779583"/>
    <n v="1"/>
    <s v="Southampton"/>
  </r>
  <r>
    <x v="0"/>
    <n v="1"/>
    <s v="Brewe, Dr. Arthur Jackson"/>
    <x v="0"/>
    <m/>
    <n v="0"/>
    <n v="0"/>
    <n v="396"/>
    <n v="0"/>
    <s v="Cherburg"/>
  </r>
  <r>
    <x v="0"/>
    <n v="3"/>
    <s v="Mangan, Miss. Mary"/>
    <x v="1"/>
    <n v="305"/>
    <n v="0"/>
    <n v="0"/>
    <n v="775"/>
    <n v="0"/>
    <s v="Queenstown"/>
  </r>
  <r>
    <x v="0"/>
    <n v="3"/>
    <s v="Moran, Mr. Daniel J"/>
    <x v="0"/>
    <m/>
    <n v="1"/>
    <n v="0"/>
    <n v="2415"/>
    <n v="0"/>
    <s v="Queenstown"/>
  </r>
  <r>
    <x v="0"/>
    <n v="3"/>
    <s v="Gronnestad, Mr. Daniel Danielsen"/>
    <x v="0"/>
    <n v="32"/>
    <n v="0"/>
    <n v="0"/>
    <n v="83625"/>
    <n v="0"/>
    <s v="Southampton"/>
  </r>
  <r>
    <x v="0"/>
    <n v="3"/>
    <s v="Lievens, Mr. Rene Aime"/>
    <x v="0"/>
    <n v="24"/>
    <n v="0"/>
    <n v="0"/>
    <n v="95"/>
    <n v="0"/>
    <s v="Southampton"/>
  </r>
  <r>
    <x v="0"/>
    <n v="3"/>
    <s v="Jensen, Mr. Niels Peder"/>
    <x v="0"/>
    <n v="48"/>
    <n v="0"/>
    <n v="0"/>
    <n v="78542"/>
    <n v="0"/>
    <s v="Southampton"/>
  </r>
  <r>
    <x v="0"/>
    <n v="2"/>
    <s v="Mack, Mrs. (Mary)"/>
    <x v="1"/>
    <n v="57"/>
    <n v="0"/>
    <n v="0"/>
    <n v="105"/>
    <n v="1"/>
    <s v="Southampton"/>
  </r>
  <r>
    <x v="0"/>
    <n v="3"/>
    <s v="Elias, Mr. Dibo"/>
    <x v="0"/>
    <m/>
    <n v="0"/>
    <n v="0"/>
    <n v="7225"/>
    <n v="0"/>
    <s v="Cherburg"/>
  </r>
  <r>
    <x v="1"/>
    <n v="2"/>
    <s v="Hocking, Mrs. Elizabeth (Eliza Needs)"/>
    <x v="1"/>
    <n v="54"/>
    <n v="1"/>
    <n v="3"/>
    <n v="23"/>
    <n v="0"/>
    <s v="Southampton"/>
  </r>
  <r>
    <x v="0"/>
    <n v="3"/>
    <s v="Myhrman, Mr. Pehr Fabian Oliver Malkolm"/>
    <x v="0"/>
    <n v="18"/>
    <n v="0"/>
    <n v="0"/>
    <n v="775"/>
    <n v="0"/>
    <s v="Southampton"/>
  </r>
  <r>
    <x v="0"/>
    <n v="3"/>
    <s v="Tobin, Mr. Roger"/>
    <x v="0"/>
    <m/>
    <n v="0"/>
    <n v="0"/>
    <n v="775"/>
    <n v="1"/>
    <s v="Queenstown"/>
  </r>
  <r>
    <x v="1"/>
    <n v="3"/>
    <s v="Emanuel, Miss. Virginia Ethel"/>
    <x v="1"/>
    <n v="5"/>
    <n v="0"/>
    <n v="0"/>
    <n v="12475"/>
    <n v="0"/>
    <s v="Southampton"/>
  </r>
  <r>
    <x v="0"/>
    <n v="3"/>
    <s v="Kilgannon, Mr. Thomas J"/>
    <x v="0"/>
    <m/>
    <n v="0"/>
    <n v="0"/>
    <n v="77375"/>
    <n v="0"/>
    <s v="Queenstown"/>
  </r>
  <r>
    <x v="1"/>
    <n v="1"/>
    <s v="Robert, Mrs. Edward Scott (Elisabeth Walton McMillan)"/>
    <x v="1"/>
    <n v="43"/>
    <n v="0"/>
    <n v="1"/>
    <n v="2113375"/>
    <n v="1"/>
    <s v="Southampton"/>
  </r>
  <r>
    <x v="1"/>
    <n v="3"/>
    <s v="Ayoub, Miss. Banoura"/>
    <x v="1"/>
    <n v="13"/>
    <n v="0"/>
    <n v="0"/>
    <n v="72292"/>
    <n v="0"/>
    <s v="Cherburg"/>
  </r>
  <r>
    <x v="1"/>
    <n v="1"/>
    <s v="Dick, Mrs. Albert Adrian (Vera Gillespie)"/>
    <x v="1"/>
    <n v="17"/>
    <n v="1"/>
    <n v="0"/>
    <n v="57"/>
    <n v="1"/>
    <s v="Southampton"/>
  </r>
  <r>
    <x v="0"/>
    <n v="1"/>
    <s v="Long, Mr. Milton Clyde"/>
    <x v="0"/>
    <n v="29"/>
    <n v="0"/>
    <n v="0"/>
    <n v="30"/>
    <n v="1"/>
    <s v="Southampton"/>
  </r>
  <r>
    <x v="0"/>
    <n v="3"/>
    <s v="Johnston, Mr. Andrew G"/>
    <x v="0"/>
    <m/>
    <n v="1"/>
    <n v="2"/>
    <n v="2345"/>
    <n v="0"/>
    <s v="Southampton"/>
  </r>
  <r>
    <x v="0"/>
    <n v="3"/>
    <s v="Ali, Mr. William"/>
    <x v="0"/>
    <n v="25"/>
    <n v="0"/>
    <n v="0"/>
    <n v="705"/>
    <n v="0"/>
    <s v="Southampton"/>
  </r>
  <r>
    <x v="0"/>
    <n v="3"/>
    <s v="Harmer, Mr. Abraham (David Lishin)"/>
    <x v="0"/>
    <n v="25"/>
    <n v="0"/>
    <n v="0"/>
    <n v="725"/>
    <n v="0"/>
    <s v="Southampton"/>
  </r>
  <r>
    <x v="1"/>
    <n v="3"/>
    <s v="Sjoblom, Miss. Anna Sofia"/>
    <x v="1"/>
    <n v="18"/>
    <n v="0"/>
    <n v="0"/>
    <n v="74958"/>
    <n v="0"/>
    <s v="Southampton"/>
  </r>
  <r>
    <x v="0"/>
    <n v="3"/>
    <s v="Rice, Master. George Hugh"/>
    <x v="0"/>
    <n v="8"/>
    <n v="4"/>
    <n v="1"/>
    <n v="29125"/>
    <n v="0"/>
    <s v="Queenstown"/>
  </r>
  <r>
    <x v="1"/>
    <n v="3"/>
    <s v="Dean, Master. Bertram Vere"/>
    <x v="0"/>
    <n v="1"/>
    <n v="1"/>
    <n v="2"/>
    <n v="20575"/>
    <n v="0"/>
    <s v="Southampton"/>
  </r>
  <r>
    <x v="0"/>
    <n v="1"/>
    <s v="Guggenheim, Mr. Benjamin"/>
    <x v="0"/>
    <n v="46"/>
    <n v="0"/>
    <n v="0"/>
    <n v="792"/>
    <n v="1"/>
    <s v="Cherburg"/>
  </r>
  <r>
    <x v="0"/>
    <n v="3"/>
    <s v="Keane, Mr. Andrew &quot;Andy&quot;"/>
    <x v="0"/>
    <m/>
    <n v="0"/>
    <n v="0"/>
    <n v="775"/>
    <n v="0"/>
    <s v="Queenstown"/>
  </r>
  <r>
    <x v="0"/>
    <n v="2"/>
    <s v="Gaskell, Mr. Alfred"/>
    <x v="0"/>
    <n v="16"/>
    <n v="0"/>
    <n v="0"/>
    <n v="26"/>
    <n v="0"/>
    <s v="Southampton"/>
  </r>
  <r>
    <x v="0"/>
    <n v="3"/>
    <s v="Sage, Miss. Stella Anna"/>
    <x v="1"/>
    <m/>
    <n v="8"/>
    <n v="2"/>
    <n v="6955"/>
    <n v="0"/>
    <s v="Southampton"/>
  </r>
  <r>
    <x v="0"/>
    <n v="1"/>
    <s v="Hoyt, Mr. William Fisher"/>
    <x v="0"/>
    <m/>
    <n v="0"/>
    <n v="0"/>
    <n v="306958"/>
    <n v="0"/>
    <s v="Cherburg"/>
  </r>
  <r>
    <x v="0"/>
    <n v="3"/>
    <s v="Dantcheff, Mr. Ristiu"/>
    <x v="0"/>
    <n v="25"/>
    <n v="0"/>
    <n v="0"/>
    <n v="78958"/>
    <n v="0"/>
    <s v="Southampton"/>
  </r>
  <r>
    <x v="0"/>
    <n v="2"/>
    <s v="Otter, Mr. Richard"/>
    <x v="0"/>
    <n v="39"/>
    <n v="0"/>
    <n v="0"/>
    <n v="13"/>
    <n v="0"/>
    <s v="Southampton"/>
  </r>
  <r>
    <x v="1"/>
    <n v="1"/>
    <s v="Leader, Dr. Alice (Farnham)"/>
    <x v="1"/>
    <n v="49"/>
    <n v="0"/>
    <n v="0"/>
    <n v="259292"/>
    <n v="1"/>
    <s v="Southampton"/>
  </r>
  <r>
    <x v="1"/>
    <n v="3"/>
    <s v="Osman, Mrs. Mara"/>
    <x v="1"/>
    <n v="31"/>
    <n v="0"/>
    <n v="0"/>
    <n v="86833"/>
    <n v="0"/>
    <s v="Southampton"/>
  </r>
  <r>
    <x v="0"/>
    <n v="3"/>
    <s v="Ibrahim Shawah, Mr. Yousseff"/>
    <x v="0"/>
    <n v="30"/>
    <n v="0"/>
    <n v="0"/>
    <n v="72292"/>
    <n v="0"/>
    <s v="Cherburg"/>
  </r>
  <r>
    <x v="0"/>
    <n v="3"/>
    <s v="Van Impe, Mrs. Jean Baptiste (Rosalie Paula Govaert)"/>
    <x v="1"/>
    <n v="30"/>
    <n v="1"/>
    <n v="1"/>
    <n v="2415"/>
    <n v="0"/>
    <s v="Southampton"/>
  </r>
  <r>
    <x v="0"/>
    <n v="2"/>
    <s v="Ponesell, Mr. Martin"/>
    <x v="0"/>
    <n v="34"/>
    <n v="0"/>
    <n v="0"/>
    <n v="13"/>
    <n v="0"/>
    <s v="Southampton"/>
  </r>
  <r>
    <x v="1"/>
    <n v="2"/>
    <s v="Collyer, Mrs. Harvey (Charlotte Annie Tate)"/>
    <x v="1"/>
    <n v="31"/>
    <n v="1"/>
    <n v="1"/>
    <n v="2625"/>
    <n v="0"/>
    <s v="Southampton"/>
  </r>
  <r>
    <x v="1"/>
    <n v="1"/>
    <s v="Carter, Master. William Thornton II"/>
    <x v="0"/>
    <n v="11"/>
    <n v="1"/>
    <n v="2"/>
    <n v="120"/>
    <n v="1"/>
    <s v="Southampton"/>
  </r>
  <r>
    <x v="1"/>
    <n v="3"/>
    <s v="Thomas, Master. Assad Alexander"/>
    <x v="0"/>
    <n v="42"/>
    <n v="0"/>
    <n v="1"/>
    <n v="85167"/>
    <n v="0"/>
    <s v="Cherburg"/>
  </r>
  <r>
    <x v="1"/>
    <n v="3"/>
    <s v="Hedman, Mr. Oskar Arvid"/>
    <x v="0"/>
    <n v="27"/>
    <n v="0"/>
    <n v="0"/>
    <n v="6975"/>
    <n v="0"/>
    <s v="Southampton"/>
  </r>
  <r>
    <x v="0"/>
    <n v="3"/>
    <s v="Johansson, Mr. Karl Johan"/>
    <x v="0"/>
    <n v="31"/>
    <n v="0"/>
    <n v="0"/>
    <n v="7775"/>
    <n v="0"/>
    <s v="Southampton"/>
  </r>
  <r>
    <x v="0"/>
    <n v="1"/>
    <s v="Andrews, Mr. Thomas Jr"/>
    <x v="0"/>
    <n v="39"/>
    <n v="0"/>
    <n v="0"/>
    <n v="0"/>
    <n v="1"/>
    <s v="Southampton"/>
  </r>
  <r>
    <x v="0"/>
    <n v="3"/>
    <s v="Pettersson, Miss. Ellen Natalia"/>
    <x v="1"/>
    <n v="18"/>
    <n v="0"/>
    <n v="0"/>
    <n v="7775"/>
    <n v="0"/>
    <s v="Southampton"/>
  </r>
  <r>
    <x v="0"/>
    <n v="2"/>
    <s v="Meyer, Mr. August"/>
    <x v="0"/>
    <n v="39"/>
    <n v="0"/>
    <n v="0"/>
    <n v="13"/>
    <n v="0"/>
    <s v="Southampton"/>
  </r>
  <r>
    <x v="1"/>
    <n v="1"/>
    <s v="Chambers, Mrs. Norman Campbell (Bertha Griggs)"/>
    <x v="1"/>
    <n v="33"/>
    <n v="1"/>
    <n v="0"/>
    <n v="531"/>
    <n v="1"/>
    <s v="Southampton"/>
  </r>
  <r>
    <x v="0"/>
    <n v="3"/>
    <s v="Alexander, Mr. William"/>
    <x v="0"/>
    <n v="26"/>
    <n v="0"/>
    <n v="0"/>
    <n v="78875"/>
    <n v="0"/>
    <s v="Southampton"/>
  </r>
  <r>
    <x v="0"/>
    <n v="3"/>
    <s v="Lester, Mr. James"/>
    <x v="0"/>
    <n v="39"/>
    <n v="0"/>
    <n v="0"/>
    <n v="2415"/>
    <n v="0"/>
    <s v="Southampton"/>
  </r>
  <r>
    <x v="0"/>
    <n v="2"/>
    <s v="Slemen, Mr. Richard James"/>
    <x v="0"/>
    <n v="35"/>
    <n v="0"/>
    <n v="0"/>
    <n v="105"/>
    <n v="0"/>
    <s v="Southampton"/>
  </r>
  <r>
    <x v="0"/>
    <n v="3"/>
    <s v="Andersson, Miss. Ebba Iris Alfrida"/>
    <x v="1"/>
    <n v="6"/>
    <n v="4"/>
    <n v="2"/>
    <n v="31275"/>
    <n v="0"/>
    <s v="Southampton"/>
  </r>
  <r>
    <x v="0"/>
    <n v="3"/>
    <s v="Tomlin, Mr. Ernest Portage"/>
    <x v="0"/>
    <n v="305"/>
    <n v="0"/>
    <n v="0"/>
    <n v="805"/>
    <n v="0"/>
    <s v="Southampton"/>
  </r>
  <r>
    <x v="0"/>
    <n v="1"/>
    <s v="Fry, Mr. Richard"/>
    <x v="0"/>
    <m/>
    <n v="0"/>
    <n v="0"/>
    <n v="0"/>
    <n v="1"/>
    <s v="Southampton"/>
  </r>
  <r>
    <x v="0"/>
    <n v="3"/>
    <s v="Heininen, Miss. Wendla Maria"/>
    <x v="1"/>
    <n v="23"/>
    <n v="0"/>
    <n v="0"/>
    <n v="7925"/>
    <n v="0"/>
    <s v="Southampton"/>
  </r>
  <r>
    <x v="0"/>
    <n v="2"/>
    <s v="Mallet, Mr. Albert"/>
    <x v="0"/>
    <n v="31"/>
    <n v="1"/>
    <n v="1"/>
    <n v="370042"/>
    <n v="0"/>
    <s v="Cherburg"/>
  </r>
  <r>
    <x v="0"/>
    <n v="3"/>
    <s v="Holm, Mr. John Fredrik Alexander"/>
    <x v="0"/>
    <n v="43"/>
    <n v="0"/>
    <n v="0"/>
    <n v="645"/>
    <n v="0"/>
    <s v="Southampton"/>
  </r>
  <r>
    <x v="0"/>
    <n v="3"/>
    <s v="Skoog, Master. Karl Thorsten"/>
    <x v="0"/>
    <n v="10"/>
    <n v="3"/>
    <n v="2"/>
    <n v="279"/>
    <n v="0"/>
    <s v="Southampton"/>
  </r>
  <r>
    <x v="1"/>
    <n v="1"/>
    <s v="Hays, Mrs. Charles Melville (Clara Jennings Gregg)"/>
    <x v="1"/>
    <n v="52"/>
    <n v="1"/>
    <n v="1"/>
    <n v="935"/>
    <n v="1"/>
    <s v="Southampton"/>
  </r>
  <r>
    <x v="1"/>
    <n v="3"/>
    <s v="Lulic, Mr. Nikola"/>
    <x v="0"/>
    <n v="27"/>
    <n v="0"/>
    <n v="0"/>
    <n v="86625"/>
    <n v="0"/>
    <s v="Southampton"/>
  </r>
  <r>
    <x v="0"/>
    <n v="1"/>
    <s v="Reuchlin, Jonkheer. John George"/>
    <x v="0"/>
    <n v="38"/>
    <n v="0"/>
    <n v="0"/>
    <n v="0"/>
    <n v="0"/>
    <s v="Southampton"/>
  </r>
  <r>
    <x v="1"/>
    <n v="3"/>
    <s v="Moor, Mrs. (Beila)"/>
    <x v="1"/>
    <n v="27"/>
    <n v="0"/>
    <n v="1"/>
    <n v="12475"/>
    <n v="1"/>
    <s v="Southampton"/>
  </r>
  <r>
    <x v="0"/>
    <n v="3"/>
    <s v="Panula, Master. Urho Abraham"/>
    <x v="0"/>
    <n v="2"/>
    <n v="4"/>
    <n v="1"/>
    <n v="396875"/>
    <n v="0"/>
    <s v="Southampton"/>
  </r>
  <r>
    <x v="0"/>
    <n v="3"/>
    <s v="Flynn, Mr. John"/>
    <x v="0"/>
    <m/>
    <n v="0"/>
    <n v="0"/>
    <n v="695"/>
    <n v="0"/>
    <s v="Queenstown"/>
  </r>
  <r>
    <x v="0"/>
    <n v="3"/>
    <s v="Lam, Mr. Len"/>
    <x v="0"/>
    <m/>
    <n v="0"/>
    <n v="0"/>
    <n v="564958"/>
    <n v="0"/>
    <s v="Southampton"/>
  </r>
  <r>
    <x v="1"/>
    <n v="2"/>
    <s v="Mallet, Master. Andre"/>
    <x v="0"/>
    <n v="1"/>
    <n v="0"/>
    <n v="2"/>
    <n v="370042"/>
    <n v="0"/>
    <s v="Cherburg"/>
  </r>
  <r>
    <x v="1"/>
    <n v="3"/>
    <s v="McCormack, Mr. Thomas Joseph"/>
    <x v="0"/>
    <m/>
    <n v="0"/>
    <n v="0"/>
    <n v="775"/>
    <n v="0"/>
    <s v="Queenstown"/>
  </r>
  <r>
    <x v="1"/>
    <n v="1"/>
    <s v="Stone, Mrs. George Nelson (Martha Evelyn)"/>
    <x v="1"/>
    <n v="62"/>
    <n v="0"/>
    <n v="0"/>
    <n v="80"/>
    <n v="1"/>
    <m/>
  </r>
  <r>
    <x v="1"/>
    <n v="3"/>
    <s v="Yasbeck, Mrs. Antoni (Selini Alexander)"/>
    <x v="1"/>
    <n v="15"/>
    <n v="1"/>
    <n v="0"/>
    <n v="144542"/>
    <n v="0"/>
    <s v="Cherburg"/>
  </r>
  <r>
    <x v="1"/>
    <n v="2"/>
    <s v="Richards, Master. George Sibley"/>
    <x v="0"/>
    <n v="83"/>
    <n v="1"/>
    <n v="1"/>
    <n v="1875"/>
    <n v="0"/>
    <s v="Southampton"/>
  </r>
  <r>
    <x v="0"/>
    <n v="3"/>
    <s v="Saad, Mr. Amin"/>
    <x v="0"/>
    <m/>
    <n v="0"/>
    <n v="0"/>
    <n v="72292"/>
    <n v="0"/>
    <s v="Cherburg"/>
  </r>
  <r>
    <x v="0"/>
    <n v="3"/>
    <s v="Augustsson, Mr. Albert"/>
    <x v="0"/>
    <n v="23"/>
    <n v="0"/>
    <n v="0"/>
    <n v="78542"/>
    <n v="0"/>
    <s v="Southampton"/>
  </r>
  <r>
    <x v="0"/>
    <n v="3"/>
    <s v="Allum, Mr. Owen George"/>
    <x v="0"/>
    <n v="18"/>
    <n v="0"/>
    <n v="0"/>
    <n v="83"/>
    <n v="0"/>
    <s v="Southampton"/>
  </r>
  <r>
    <x v="1"/>
    <n v="1"/>
    <s v="Compton, Miss. Sara Rebecca"/>
    <x v="1"/>
    <n v="39"/>
    <n v="1"/>
    <n v="1"/>
    <n v="831583"/>
    <n v="1"/>
    <s v="Cherburg"/>
  </r>
  <r>
    <x v="0"/>
    <n v="3"/>
    <s v="Pasic, Mr. Jakob"/>
    <x v="0"/>
    <n v="21"/>
    <n v="0"/>
    <n v="0"/>
    <n v="86625"/>
    <n v="0"/>
    <s v="Southampton"/>
  </r>
  <r>
    <x v="0"/>
    <n v="3"/>
    <s v="Sirota, Mr. Maurice"/>
    <x v="0"/>
    <m/>
    <n v="0"/>
    <n v="0"/>
    <n v="805"/>
    <n v="0"/>
    <s v="Southampton"/>
  </r>
  <r>
    <x v="1"/>
    <n v="3"/>
    <s v="Chip, Mr. Chang"/>
    <x v="0"/>
    <n v="32"/>
    <n v="0"/>
    <n v="0"/>
    <n v="564958"/>
    <n v="0"/>
    <s v="Southampton"/>
  </r>
  <r>
    <x v="1"/>
    <n v="1"/>
    <s v="Marechal, Mr. Pierre"/>
    <x v="0"/>
    <m/>
    <n v="0"/>
    <n v="0"/>
    <n v="297"/>
    <n v="1"/>
    <s v="Cherburg"/>
  </r>
  <r>
    <x v="0"/>
    <n v="3"/>
    <s v="Alhomaki, Mr. Ilmari Rudolf"/>
    <x v="0"/>
    <n v="20"/>
    <n v="0"/>
    <n v="0"/>
    <n v="7925"/>
    <n v="0"/>
    <s v="Southampton"/>
  </r>
  <r>
    <x v="0"/>
    <n v="2"/>
    <s v="Mudd, Mr. Thomas Charles"/>
    <x v="0"/>
    <n v="16"/>
    <n v="0"/>
    <n v="0"/>
    <n v="105"/>
    <n v="0"/>
    <s v="Southampton"/>
  </r>
  <r>
    <x v="1"/>
    <n v="1"/>
    <s v="Serepeca, Miss. Augusta"/>
    <x v="1"/>
    <n v="30"/>
    <n v="0"/>
    <n v="0"/>
    <n v="31"/>
    <n v="0"/>
    <s v="Cherburg"/>
  </r>
  <r>
    <x v="0"/>
    <n v="3"/>
    <s v="Lemberopolous, Mr. Peter L"/>
    <x v="0"/>
    <n v="345"/>
    <n v="0"/>
    <n v="0"/>
    <n v="64375"/>
    <n v="0"/>
    <s v="Cherburg"/>
  </r>
  <r>
    <x v="0"/>
    <n v="3"/>
    <s v="Culumovic, Mr. Jeso"/>
    <x v="0"/>
    <n v="17"/>
    <n v="0"/>
    <n v="0"/>
    <n v="86625"/>
    <n v="0"/>
    <s v="Southampton"/>
  </r>
  <r>
    <x v="0"/>
    <n v="3"/>
    <s v="Abbing, Mr. Anthony"/>
    <x v="0"/>
    <n v="42"/>
    <n v="0"/>
    <n v="0"/>
    <n v="755"/>
    <n v="0"/>
    <s v="Southampton"/>
  </r>
  <r>
    <x v="0"/>
    <n v="3"/>
    <s v="Sage, Mr. Douglas Bullen"/>
    <x v="0"/>
    <m/>
    <n v="8"/>
    <n v="2"/>
    <n v="6955"/>
    <n v="0"/>
    <s v="Southampton"/>
  </r>
  <r>
    <x v="0"/>
    <n v="3"/>
    <s v="Markoff, Mr. Marin"/>
    <x v="0"/>
    <n v="35"/>
    <n v="0"/>
    <n v="0"/>
    <n v="78958"/>
    <n v="0"/>
    <s v="Cherburg"/>
  </r>
  <r>
    <x v="0"/>
    <n v="2"/>
    <s v="Harper, Rev. John"/>
    <x v="0"/>
    <n v="28"/>
    <n v="0"/>
    <n v="1"/>
    <n v="33"/>
    <n v="0"/>
    <s v="Southampton"/>
  </r>
  <r>
    <x v="1"/>
    <n v="1"/>
    <s v="Goldenberg, Mrs. Samuel L (Edwiga Grabowska)"/>
    <x v="1"/>
    <m/>
    <n v="1"/>
    <n v="0"/>
    <n v="891042"/>
    <n v="1"/>
    <s v="Cherburg"/>
  </r>
  <r>
    <x v="0"/>
    <n v="3"/>
    <s v="Andersson, Master. Sigvard Harald Elias"/>
    <x v="0"/>
    <n v="4"/>
    <n v="4"/>
    <n v="2"/>
    <n v="31275"/>
    <n v="0"/>
    <s v="Southampton"/>
  </r>
  <r>
    <x v="0"/>
    <n v="3"/>
    <s v="Svensson, Mr. Johan"/>
    <x v="0"/>
    <n v="74"/>
    <n v="0"/>
    <n v="0"/>
    <n v="7775"/>
    <n v="0"/>
    <s v="Southampton"/>
  </r>
  <r>
    <x v="0"/>
    <n v="3"/>
    <s v="Boulos, Miss. Nourelain"/>
    <x v="1"/>
    <n v="9"/>
    <n v="1"/>
    <n v="1"/>
    <n v="152458"/>
    <n v="0"/>
    <s v="Cherburg"/>
  </r>
  <r>
    <x v="1"/>
    <n v="1"/>
    <s v="Lines, Miss. Mary Conover"/>
    <x v="1"/>
    <n v="16"/>
    <n v="0"/>
    <n v="1"/>
    <n v="394"/>
    <n v="1"/>
    <s v="Southampton"/>
  </r>
  <r>
    <x v="0"/>
    <n v="2"/>
    <s v="Carter, Mrs. Ernest Courtenay (Lilian Hughes)"/>
    <x v="1"/>
    <n v="44"/>
    <n v="1"/>
    <n v="0"/>
    <n v="26"/>
    <n v="0"/>
    <s v="Southampton"/>
  </r>
  <r>
    <x v="1"/>
    <n v="3"/>
    <s v="Aks, Mrs. Sam (Leah Rosen)"/>
    <x v="1"/>
    <n v="18"/>
    <n v="0"/>
    <n v="1"/>
    <n v="935"/>
    <n v="0"/>
    <s v="Southampton"/>
  </r>
  <r>
    <x v="1"/>
    <n v="1"/>
    <s v="Wick, Mrs. George Dennick (Mary Hitchcock)"/>
    <x v="1"/>
    <n v="45"/>
    <n v="1"/>
    <n v="1"/>
    <n v="1648667"/>
    <n v="0"/>
    <s v="Southampton"/>
  </r>
  <r>
    <x v="1"/>
    <n v="1"/>
    <s v="Daly, Mr. Peter Denis "/>
    <x v="0"/>
    <n v="51"/>
    <n v="0"/>
    <n v="0"/>
    <n v="2655"/>
    <n v="1"/>
    <s v="Southampton"/>
  </r>
  <r>
    <x v="1"/>
    <n v="3"/>
    <s v="Baclini, Mrs. Solomon (Latifa Qurban)"/>
    <x v="1"/>
    <n v="24"/>
    <n v="0"/>
    <n v="3"/>
    <n v="192583"/>
    <n v="0"/>
    <s v="Cherburg"/>
  </r>
  <r>
    <x v="0"/>
    <n v="3"/>
    <s v="Razi, Mr. Raihed"/>
    <x v="0"/>
    <m/>
    <n v="0"/>
    <n v="0"/>
    <n v="72292"/>
    <n v="0"/>
    <s v="Cherburg"/>
  </r>
  <r>
    <x v="0"/>
    <n v="3"/>
    <s v="Hansen, Mr. Claus Peter"/>
    <x v="0"/>
    <n v="41"/>
    <n v="2"/>
    <n v="0"/>
    <n v="141083"/>
    <n v="0"/>
    <s v="Southampton"/>
  </r>
  <r>
    <x v="0"/>
    <n v="2"/>
    <s v="Giles, Mr. Frederick Edward"/>
    <x v="0"/>
    <n v="21"/>
    <n v="1"/>
    <n v="0"/>
    <n v="115"/>
    <n v="0"/>
    <s v="Southampton"/>
  </r>
  <r>
    <x v="1"/>
    <n v="1"/>
    <s v="Swift, Mrs. Frederick Joel (Margaret Welles Barron)"/>
    <x v="1"/>
    <n v="48"/>
    <n v="0"/>
    <n v="0"/>
    <n v="259292"/>
    <n v="1"/>
    <s v="Southampton"/>
  </r>
  <r>
    <x v="0"/>
    <n v="3"/>
    <s v="Sage, Miss. Dorothy Edith &quot;Dolly&quot;"/>
    <x v="1"/>
    <m/>
    <n v="8"/>
    <n v="2"/>
    <n v="6955"/>
    <n v="0"/>
    <s v="Southampton"/>
  </r>
  <r>
    <x v="0"/>
    <n v="2"/>
    <s v="Gill, Mr. John William"/>
    <x v="0"/>
    <n v="24"/>
    <n v="0"/>
    <n v="0"/>
    <n v="13"/>
    <n v="0"/>
    <s v="Southampton"/>
  </r>
  <r>
    <x v="1"/>
    <n v="2"/>
    <s v="Bystrom, Mrs. (Karolina)"/>
    <x v="1"/>
    <n v="42"/>
    <n v="0"/>
    <n v="0"/>
    <n v="13"/>
    <n v="0"/>
    <s v="Southampton"/>
  </r>
  <r>
    <x v="1"/>
    <n v="2"/>
    <s v="Duran y More, Miss. Asuncion"/>
    <x v="1"/>
    <n v="27"/>
    <n v="1"/>
    <n v="0"/>
    <n v="138583"/>
    <n v="0"/>
    <s v="Cherburg"/>
  </r>
  <r>
    <x v="0"/>
    <n v="1"/>
    <s v="Roebling, Mr. Washington Augustus II"/>
    <x v="0"/>
    <n v="31"/>
    <n v="0"/>
    <n v="0"/>
    <n v="504958"/>
    <n v="1"/>
    <s v="Southampton"/>
  </r>
  <r>
    <x v="0"/>
    <n v="3"/>
    <s v="van Melkebeke, Mr. Philemon"/>
    <x v="0"/>
    <m/>
    <n v="0"/>
    <n v="0"/>
    <n v="95"/>
    <n v="0"/>
    <s v="Southampton"/>
  </r>
  <r>
    <x v="1"/>
    <n v="3"/>
    <s v="Johnson, Master. Harold Theodor"/>
    <x v="0"/>
    <n v="4"/>
    <n v="1"/>
    <n v="1"/>
    <n v="111333"/>
    <n v="0"/>
    <s v="Southampton"/>
  </r>
  <r>
    <x v="0"/>
    <n v="3"/>
    <s v="Balkic, Mr. Cerin"/>
    <x v="0"/>
    <n v="26"/>
    <n v="0"/>
    <n v="0"/>
    <n v="78958"/>
    <n v="0"/>
    <s v="Southampton"/>
  </r>
  <r>
    <x v="1"/>
    <n v="1"/>
    <s v="Beckwith, Mrs. Richard Leonard (Sallie Monypeny)"/>
    <x v="1"/>
    <n v="47"/>
    <n v="1"/>
    <n v="1"/>
    <n v="525542"/>
    <n v="1"/>
    <s v="Southampton"/>
  </r>
  <r>
    <x v="0"/>
    <n v="1"/>
    <s v="Carlsson, Mr. Frans Olof"/>
    <x v="0"/>
    <n v="33"/>
    <n v="0"/>
    <n v="0"/>
    <n v="5"/>
    <n v="1"/>
    <s v="Southampton"/>
  </r>
  <r>
    <x v="0"/>
    <n v="3"/>
    <s v="Vander Cruyssen, Mr. Victor"/>
    <x v="0"/>
    <n v="47"/>
    <n v="0"/>
    <n v="0"/>
    <n v="9"/>
    <n v="0"/>
    <s v="Southampton"/>
  </r>
  <r>
    <x v="1"/>
    <n v="2"/>
    <s v="Abelson, Mrs. Samuel (Hannah Wizosky)"/>
    <x v="1"/>
    <n v="28"/>
    <n v="1"/>
    <n v="0"/>
    <n v="24"/>
    <n v="0"/>
    <s v="Cherburg"/>
  </r>
  <r>
    <x v="1"/>
    <n v="3"/>
    <s v="Najib, Miss. Adele Kiamie &quot;Jane&quot;"/>
    <x v="1"/>
    <n v="15"/>
    <n v="0"/>
    <n v="0"/>
    <n v="7225"/>
    <n v="0"/>
    <s v="Cherburg"/>
  </r>
  <r>
    <x v="0"/>
    <n v="3"/>
    <s v="Gustafsson, Mr. Alfred Ossian"/>
    <x v="0"/>
    <n v="20"/>
    <n v="0"/>
    <n v="0"/>
    <n v="98458"/>
    <n v="0"/>
    <s v="Southampton"/>
  </r>
  <r>
    <x v="0"/>
    <n v="3"/>
    <s v="Petroff, Mr. Nedelio"/>
    <x v="0"/>
    <n v="19"/>
    <n v="0"/>
    <n v="0"/>
    <n v="78958"/>
    <n v="0"/>
    <s v="Southampton"/>
  </r>
  <r>
    <x v="0"/>
    <n v="3"/>
    <s v="Laleff, Mr. Kristo"/>
    <x v="0"/>
    <m/>
    <n v="0"/>
    <n v="0"/>
    <n v="78958"/>
    <n v="0"/>
    <s v="Southampton"/>
  </r>
  <r>
    <x v="1"/>
    <n v="1"/>
    <s v="Potter, Mrs. Thomas Jr (Lily Alexenia Wilson)"/>
    <x v="1"/>
    <n v="56"/>
    <n v="0"/>
    <n v="1"/>
    <n v="831583"/>
    <n v="1"/>
    <s v="Cherburg"/>
  </r>
  <r>
    <x v="1"/>
    <n v="2"/>
    <s v="Shelley, Mrs. William (Imanita Parrish Hall)"/>
    <x v="1"/>
    <n v="25"/>
    <n v="0"/>
    <n v="1"/>
    <n v="26"/>
    <n v="0"/>
    <s v="Southampton"/>
  </r>
  <r>
    <x v="0"/>
    <n v="3"/>
    <s v="Markun, Mr. Johann"/>
    <x v="0"/>
    <n v="33"/>
    <n v="0"/>
    <n v="0"/>
    <n v="78958"/>
    <n v="0"/>
    <s v="Southampton"/>
  </r>
  <r>
    <x v="0"/>
    <n v="3"/>
    <s v="Dahlberg, Miss. Gerda Ulrika"/>
    <x v="1"/>
    <n v="22"/>
    <n v="0"/>
    <n v="0"/>
    <n v="105167"/>
    <n v="0"/>
    <s v="Southampton"/>
  </r>
  <r>
    <x v="0"/>
    <n v="2"/>
    <s v="Banfield, Mr. Frederick James"/>
    <x v="0"/>
    <n v="28"/>
    <n v="0"/>
    <n v="0"/>
    <n v="105"/>
    <n v="0"/>
    <s v="Southampton"/>
  </r>
  <r>
    <x v="0"/>
    <n v="3"/>
    <s v="Sutehall, Mr. Henry Jr"/>
    <x v="0"/>
    <n v="25"/>
    <n v="0"/>
    <n v="0"/>
    <n v="705"/>
    <n v="0"/>
    <s v="Southampton"/>
  </r>
  <r>
    <x v="0"/>
    <n v="3"/>
    <s v="Rice, Mrs. William (Margaret Norton)"/>
    <x v="1"/>
    <n v="39"/>
    <n v="0"/>
    <n v="5"/>
    <n v="29125"/>
    <n v="0"/>
    <s v="Queenstown"/>
  </r>
  <r>
    <x v="0"/>
    <n v="2"/>
    <s v="Montvila, Rev. Juozas"/>
    <x v="0"/>
    <n v="27"/>
    <n v="0"/>
    <n v="0"/>
    <n v="13"/>
    <n v="0"/>
    <s v="Southampton"/>
  </r>
  <r>
    <x v="1"/>
    <n v="1"/>
    <s v="Graham, Miss. Margaret Edith"/>
    <x v="1"/>
    <n v="19"/>
    <n v="0"/>
    <n v="0"/>
    <n v="30"/>
    <n v="1"/>
    <s v="Southampton"/>
  </r>
  <r>
    <x v="0"/>
    <n v="3"/>
    <s v="Johnston, Miss. Catherine Helen &quot;Carrie&quot;"/>
    <x v="1"/>
    <m/>
    <n v="1"/>
    <n v="2"/>
    <n v="2345"/>
    <n v="0"/>
    <s v="Southampton"/>
  </r>
  <r>
    <x v="1"/>
    <n v="1"/>
    <s v="Behr, Mr. Karl Howell"/>
    <x v="0"/>
    <n v="26"/>
    <n v="0"/>
    <n v="0"/>
    <n v="30"/>
    <n v="1"/>
    <s v="Cherburg"/>
  </r>
  <r>
    <x v="0"/>
    <n v="3"/>
    <s v="Dooley, Mr. Patrick"/>
    <x v="0"/>
    <n v="32"/>
    <n v="0"/>
    <n v="0"/>
    <n v="775"/>
    <n v="0"/>
    <s v="Queenstow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C6082-07D9-BF43-B68E-5AD324DF086B}" name="TablaDiná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1:J26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enta de Valor" fld="2" subtotal="count" baseField="0" baseItem="0"/>
  </dataFields>
  <formats count="3">
    <format dxfId="14">
      <pivotArea outline="0" collapsedLevelsAreSubtotals="1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FC577-9393-F441-9963-BFB743B0B009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4:J19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Promedio de Valor" fld="2" subtotal="average" baseField="0" baseItem="0" numFmtId="2"/>
  </dataFields>
  <formats count="5">
    <format dxfId="22">
      <pivotArea collapsedLevelsAreSubtotals="1" fieldPosition="0">
        <references count="1">
          <reference field="0" count="0"/>
        </references>
      </pivotArea>
    </format>
    <format dxfId="21">
      <pivotArea outline="0" collapsedLevelsAreSubtotals="1" fieldPosition="0"/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883B9-A23F-714E-AFC7-1F064B88ADC4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7:J12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Valor" fld="2" baseField="0" baseItem="0"/>
  </dataFields>
  <formats count="3">
    <format dxfId="20">
      <pivotArea outline="0" collapsedLevelsAreSubtotals="1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65185-A6CE-B345-AA3C-8F5FA84DB7CB}" name="TablaDiná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14:V18" firstHeaderRow="1" firstDataRow="2" firstDataCol="1"/>
  <pivotFields count="10">
    <pivotField axis="axisCol"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Sobreviv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19C59-4283-8B4C-9C20-C42C161C2C57}" name="Tabla1" displayName="Tabla1" ref="A3:C8" totalsRowShown="0">
  <autoFilter ref="A3:C8" xr:uid="{2E519C59-4283-8B4C-9C20-C42C161C2C57}"/>
  <tableColumns count="3">
    <tableColumn id="1" xr3:uid="{D8DA50E7-100B-5342-9AB8-D3E19D48B3FF}" name="Grupo 1"/>
    <tableColumn id="2" xr3:uid="{F0F5B1F6-AD24-9F4C-BB90-17BB74F52070}" name="Grupo 2"/>
    <tableColumn id="3" xr3:uid="{0C280761-EE2D-7B4C-9EEC-EFCCB62433ED}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7AE97F-E6B7-9C4D-8245-93090F999A6C}" name="Titanic" displayName="Titanic" ref="C7:L898" totalsRowShown="0" headerRowDxfId="1" dataDxfId="0">
  <autoFilter ref="C7:L898" xr:uid="{2F7AE97F-E6B7-9C4D-8245-93090F999A6C}"/>
  <tableColumns count="10">
    <tableColumn id="1" xr3:uid="{EE2AEE81-DA6D-1941-A7FB-D57B3A212C47}" name="Sobrevive" dataDxfId="11"/>
    <tableColumn id="2" xr3:uid="{F446837D-363A-DD45-A84A-875980B9E7F0}" name="Clase" dataDxfId="10"/>
    <tableColumn id="3" xr3:uid="{3946EB7B-A650-E547-850E-CEA8F7AA0A98}" name="Nombre" dataDxfId="9"/>
    <tableColumn id="4" xr3:uid="{001A1530-7381-FF41-BEFA-98518663D50A}" name="Sexo" dataDxfId="8"/>
    <tableColumn id="5" xr3:uid="{8611D726-54B3-6C49-B352-A0ECEC235D79}" name="Edad" dataDxfId="7"/>
    <tableColumn id="6" xr3:uid="{342198BC-E54C-324F-ABFC-D93704FEE5F6}" name="Familia Horizontal" dataDxfId="6"/>
    <tableColumn id="7" xr3:uid="{FDAD2D65-27A4-694F-AE9B-63624DB52A03}" name="Familia Vertical" dataDxfId="5"/>
    <tableColumn id="8" xr3:uid="{54C5FC3A-197B-264A-B608-ABF8380D5B84}" name="Pagado" dataDxfId="4"/>
    <tableColumn id="9" xr3:uid="{88A54A93-CD98-2444-86A8-0AAFA1C52BCF}" name="Cabina" dataDxfId="3"/>
    <tableColumn id="10" xr3:uid="{174B3E4F-90D3-9F4C-9F33-A365E9B66C66}" name="Puer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F0AA-4CC2-984A-85FF-846966765A15}">
  <dimension ref="B2:T38"/>
  <sheetViews>
    <sheetView zoomScale="140" zoomScaleNormal="140" workbookViewId="0">
      <selection activeCell="K5" sqref="K5:P21"/>
    </sheetView>
  </sheetViews>
  <sheetFormatPr baseColWidth="10" defaultRowHeight="16" x14ac:dyDescent="0.2"/>
  <cols>
    <col min="7" max="7" width="15.1640625" customWidth="1"/>
    <col min="11" max="11" width="11.5" bestFit="1" customWidth="1"/>
  </cols>
  <sheetData>
    <row r="2" spans="2:16" x14ac:dyDescent="0.2">
      <c r="K2" s="1" t="s">
        <v>0</v>
      </c>
      <c r="L2" s="1" t="s">
        <v>0</v>
      </c>
      <c r="M2" s="1" t="s">
        <v>1</v>
      </c>
      <c r="N2" s="1" t="s">
        <v>1</v>
      </c>
      <c r="O2" s="1" t="s">
        <v>2</v>
      </c>
      <c r="P2" s="1" t="s">
        <v>2</v>
      </c>
    </row>
    <row r="3" spans="2:16" x14ac:dyDescent="0.2">
      <c r="K3" s="1" t="s">
        <v>36</v>
      </c>
      <c r="L3" s="1" t="s">
        <v>37</v>
      </c>
      <c r="M3" s="1" t="s">
        <v>36</v>
      </c>
      <c r="N3" s="1" t="s">
        <v>37</v>
      </c>
      <c r="O3" s="1" t="s">
        <v>36</v>
      </c>
      <c r="P3" s="1" t="s">
        <v>37</v>
      </c>
    </row>
    <row r="4" spans="2:16" x14ac:dyDescent="0.2">
      <c r="K4" s="1"/>
      <c r="L4" s="1"/>
      <c r="M4" s="1"/>
      <c r="N4" s="1"/>
      <c r="O4" s="1"/>
      <c r="P4" s="1"/>
    </row>
    <row r="5" spans="2:16" x14ac:dyDescent="0.2">
      <c r="C5" s="1" t="s">
        <v>3</v>
      </c>
      <c r="D5" s="1" t="s">
        <v>35</v>
      </c>
      <c r="E5" s="1" t="s">
        <v>38</v>
      </c>
      <c r="H5" s="14" t="s">
        <v>36</v>
      </c>
      <c r="I5" s="14" t="s">
        <v>37</v>
      </c>
      <c r="K5" s="1" t="s">
        <v>39</v>
      </c>
      <c r="L5" s="1" t="s">
        <v>40</v>
      </c>
      <c r="M5" s="1" t="s">
        <v>41</v>
      </c>
      <c r="N5" s="1" t="s">
        <v>42</v>
      </c>
      <c r="O5" s="1" t="s">
        <v>43</v>
      </c>
      <c r="P5" s="1" t="s">
        <v>44</v>
      </c>
    </row>
    <row r="6" spans="2:16" x14ac:dyDescent="0.2">
      <c r="B6" s="10" t="s">
        <v>45</v>
      </c>
      <c r="C6" s="13" t="s">
        <v>0</v>
      </c>
      <c r="D6" s="14" t="s">
        <v>36</v>
      </c>
      <c r="E6" s="11">
        <v>34</v>
      </c>
      <c r="G6" s="13" t="s">
        <v>0</v>
      </c>
      <c r="H6">
        <f>SUM(_xlfn.ANCHORARRAY(K6))</f>
        <v>150</v>
      </c>
      <c r="I6">
        <f>SUM(_xlfn.ANCHORARRAY(L6))</f>
        <v>67</v>
      </c>
      <c r="K6" s="2" cm="1">
        <f t="array" ref="K6:K21">IF(($C$6:$C$21=K2)*($D$6:$D$21=K3), $E$6:$E$21, "")</f>
        <v>34</v>
      </c>
      <c r="L6" s="2" t="str" cm="1">
        <f t="array" ref="L6:L21">IF(($C$6:$C$21=L2)*($D$6:$D$21=L3), $E$6:$E$21, "")</f>
        <v/>
      </c>
      <c r="M6" s="2" t="str" cm="1">
        <f t="array" ref="M6:M21">IF(($C$6:$C$21=M2)*($D$6:$D$21=M3), $E$6:$E$21, "")</f>
        <v/>
      </c>
      <c r="N6" s="2" t="str" cm="1">
        <f t="array" ref="N6:N21">IF(($C$6:$C$21=N2)*($D$6:$D$21=N3), $E$6:$E$21, "")</f>
        <v/>
      </c>
      <c r="O6" s="2" t="str" cm="1">
        <f t="array" ref="O6:O21">IF(($C$6:$C$21=O2)*($D$6:$D$21=O3), $E$6:$E$21, "")</f>
        <v/>
      </c>
      <c r="P6" s="2" t="str" cm="1">
        <f t="array" ref="P6:P21">IF(($C$6:$C$21=P2)*($D$6:$D$21=P3), $E$6:$E$21, "")</f>
        <v/>
      </c>
    </row>
    <row r="7" spans="2:16" x14ac:dyDescent="0.2">
      <c r="B7" s="10"/>
      <c r="C7" s="13" t="s">
        <v>0</v>
      </c>
      <c r="D7" s="14" t="s">
        <v>37</v>
      </c>
      <c r="E7" s="11">
        <v>67</v>
      </c>
      <c r="G7" s="13" t="s">
        <v>1</v>
      </c>
      <c r="H7">
        <f>SUM(_xlfn.ANCHORARRAY(M6))</f>
        <v>89</v>
      </c>
      <c r="I7">
        <f>SUM(_xlfn.ANCHORARRAY(N6))</f>
        <v>144</v>
      </c>
      <c r="K7" s="2" t="str">
        <v/>
      </c>
      <c r="L7" s="2">
        <v>67</v>
      </c>
      <c r="M7" s="2" t="str">
        <v/>
      </c>
      <c r="N7" s="2" t="str">
        <v/>
      </c>
      <c r="O7" s="2" t="str">
        <v/>
      </c>
      <c r="P7" s="2" t="str">
        <v/>
      </c>
    </row>
    <row r="8" spans="2:16" x14ac:dyDescent="0.2">
      <c r="B8" s="10"/>
      <c r="C8" s="13" t="s">
        <v>1</v>
      </c>
      <c r="D8" s="14" t="s">
        <v>37</v>
      </c>
      <c r="E8" s="11">
        <v>23</v>
      </c>
      <c r="G8" s="13" t="s">
        <v>2</v>
      </c>
      <c r="H8">
        <f>SUM(_xlfn.ANCHORARRAY(O6))</f>
        <v>105</v>
      </c>
      <c r="I8">
        <f>SUM(_xlfn.ANCHORARRAY(P6))</f>
        <v>79</v>
      </c>
      <c r="K8" s="2" t="str">
        <v/>
      </c>
      <c r="L8" s="2" t="str">
        <v/>
      </c>
      <c r="M8" s="2" t="str">
        <v/>
      </c>
      <c r="N8" s="2">
        <v>23</v>
      </c>
      <c r="O8" s="2" t="str">
        <v/>
      </c>
      <c r="P8" s="2" t="str">
        <v/>
      </c>
    </row>
    <row r="9" spans="2:16" x14ac:dyDescent="0.2">
      <c r="B9" s="10"/>
      <c r="C9" s="13" t="s">
        <v>0</v>
      </c>
      <c r="D9" s="14" t="s">
        <v>36</v>
      </c>
      <c r="E9" s="11">
        <v>17</v>
      </c>
      <c r="K9" s="2">
        <v>17</v>
      </c>
      <c r="L9" s="2" t="str">
        <v/>
      </c>
      <c r="M9" s="2" t="str">
        <v/>
      </c>
      <c r="N9" s="2" t="str">
        <v/>
      </c>
      <c r="O9" s="2" t="str">
        <v/>
      </c>
      <c r="P9" s="2" t="str">
        <v/>
      </c>
    </row>
    <row r="10" spans="2:16" x14ac:dyDescent="0.2">
      <c r="B10" s="10"/>
      <c r="C10" s="13" t="s">
        <v>1</v>
      </c>
      <c r="D10" s="14" t="s">
        <v>37</v>
      </c>
      <c r="E10" s="11">
        <v>98</v>
      </c>
      <c r="H10" s="14" t="s">
        <v>36</v>
      </c>
      <c r="I10" s="14" t="s">
        <v>37</v>
      </c>
      <c r="K10" s="2" t="str">
        <v/>
      </c>
      <c r="L10" s="2" t="str">
        <v/>
      </c>
      <c r="M10" s="2" t="str">
        <v/>
      </c>
      <c r="N10" s="2">
        <v>98</v>
      </c>
      <c r="O10" s="2" t="str">
        <v/>
      </c>
      <c r="P10" s="2" t="str">
        <v/>
      </c>
    </row>
    <row r="11" spans="2:16" x14ac:dyDescent="0.2">
      <c r="B11" s="10"/>
      <c r="C11" s="13" t="s">
        <v>1</v>
      </c>
      <c r="D11" s="14" t="s">
        <v>36</v>
      </c>
      <c r="E11" s="11">
        <v>23</v>
      </c>
      <c r="G11" s="13" t="s">
        <v>0</v>
      </c>
      <c r="H11" cm="1">
        <f t="array" ref="H11">SUM(_xlfn._xlws.FILTER($E$6:$E$21,($C$6:$C$21=$G11)*($D$6:$D$21=H$10)))</f>
        <v>150</v>
      </c>
      <c r="I11" cm="1">
        <f t="array" ref="I11">SUM(_xlfn._xlws.FILTER($E$6:$E$21,($C$6:$C$21=$G11)*($D$6:$D$21=I$10)))</f>
        <v>67</v>
      </c>
      <c r="K11" s="2" t="str">
        <v/>
      </c>
      <c r="L11" s="2" t="str">
        <v/>
      </c>
      <c r="M11" s="2">
        <v>23</v>
      </c>
      <c r="N11" s="2" t="str">
        <v/>
      </c>
      <c r="O11" s="2" t="str">
        <v/>
      </c>
      <c r="P11" s="2" t="str">
        <v/>
      </c>
    </row>
    <row r="12" spans="2:16" x14ac:dyDescent="0.2">
      <c r="B12" s="10"/>
      <c r="C12" s="13" t="s">
        <v>0</v>
      </c>
      <c r="D12" s="14" t="s">
        <v>36</v>
      </c>
      <c r="E12" s="11">
        <v>45</v>
      </c>
      <c r="G12" s="13" t="s">
        <v>1</v>
      </c>
      <c r="H12" cm="1">
        <f t="array" ref="H12">SUM(_xlfn._xlws.FILTER($E$6:$E$21,($C$6:$C$21=$G12)*($D$6:$D$21=H$10)))</f>
        <v>89</v>
      </c>
      <c r="I12" cm="1">
        <f t="array" ref="I12">SUM(_xlfn._xlws.FILTER($E$6:$E$21,($C$6:$C$21=$G12)*($D$6:$D$21=I$10)))</f>
        <v>144</v>
      </c>
      <c r="K12" s="2">
        <v>45</v>
      </c>
      <c r="L12" s="2" t="str">
        <v/>
      </c>
      <c r="M12" s="2" t="str">
        <v/>
      </c>
      <c r="N12" s="2" t="str">
        <v/>
      </c>
      <c r="O12" s="2" t="str">
        <v/>
      </c>
      <c r="P12" s="2" t="str">
        <v/>
      </c>
    </row>
    <row r="13" spans="2:16" x14ac:dyDescent="0.2">
      <c r="B13" s="10"/>
      <c r="C13" s="13" t="s">
        <v>2</v>
      </c>
      <c r="D13" s="14" t="s">
        <v>37</v>
      </c>
      <c r="E13" s="11">
        <v>23</v>
      </c>
      <c r="G13" s="13" t="s">
        <v>2</v>
      </c>
      <c r="H13" cm="1">
        <f t="array" ref="H13">SUM(_xlfn._xlws.FILTER($E$6:$E$21,($C$6:$C$21=$G13)*($D$6:$D$21=H$10)))</f>
        <v>105</v>
      </c>
      <c r="I13" cm="1">
        <f t="array" ref="I13">SUM(_xlfn._xlws.FILTER($E$6:$E$21,($C$6:$C$21=$G13)*($D$6:$D$21=I$10)))</f>
        <v>79</v>
      </c>
      <c r="K13" s="2" t="str">
        <v/>
      </c>
      <c r="L13" s="2" t="str">
        <v/>
      </c>
      <c r="M13" s="2" t="str">
        <v/>
      </c>
      <c r="N13" s="2" t="str">
        <v/>
      </c>
      <c r="O13" s="2" t="str">
        <v/>
      </c>
      <c r="P13" s="2">
        <v>23</v>
      </c>
    </row>
    <row r="14" spans="2:16" x14ac:dyDescent="0.2">
      <c r="B14" s="10"/>
      <c r="C14" s="13" t="s">
        <v>0</v>
      </c>
      <c r="D14" s="14" t="s">
        <v>36</v>
      </c>
      <c r="E14" s="11">
        <v>11</v>
      </c>
      <c r="K14" s="2">
        <v>11</v>
      </c>
      <c r="L14" s="2" t="str">
        <v/>
      </c>
      <c r="M14" s="2" t="str">
        <v/>
      </c>
      <c r="N14" s="2" t="str">
        <v/>
      </c>
      <c r="O14" s="2" t="str">
        <v/>
      </c>
      <c r="P14" s="2" t="str">
        <v/>
      </c>
    </row>
    <row r="15" spans="2:16" x14ac:dyDescent="0.2">
      <c r="B15" s="10"/>
      <c r="C15" s="13" t="s">
        <v>2</v>
      </c>
      <c r="D15" s="14" t="s">
        <v>37</v>
      </c>
      <c r="E15" s="11">
        <v>56</v>
      </c>
      <c r="K15" s="2" t="str">
        <v/>
      </c>
      <c r="L15" s="2" t="str">
        <v/>
      </c>
      <c r="M15" s="2" t="str">
        <v/>
      </c>
      <c r="N15" s="2" t="str">
        <v/>
      </c>
      <c r="O15" s="2" t="str">
        <v/>
      </c>
      <c r="P15" s="2">
        <v>56</v>
      </c>
    </row>
    <row r="16" spans="2:16" x14ac:dyDescent="0.2">
      <c r="B16" s="10"/>
      <c r="C16" s="13" t="s">
        <v>0</v>
      </c>
      <c r="D16" s="14" t="s">
        <v>36</v>
      </c>
      <c r="E16" s="11">
        <v>43</v>
      </c>
      <c r="K16" s="2">
        <v>43</v>
      </c>
      <c r="L16" s="2" t="str">
        <v/>
      </c>
      <c r="M16" s="2" t="str">
        <v/>
      </c>
      <c r="N16" s="2" t="str">
        <v/>
      </c>
      <c r="O16" s="2" t="str">
        <v/>
      </c>
      <c r="P16" s="2" t="str">
        <v/>
      </c>
    </row>
    <row r="17" spans="2:20" x14ac:dyDescent="0.2">
      <c r="B17" s="10"/>
      <c r="C17" s="13" t="s">
        <v>1</v>
      </c>
      <c r="D17" s="14" t="s">
        <v>36</v>
      </c>
      <c r="E17" s="11">
        <v>21</v>
      </c>
      <c r="K17" s="2" t="str">
        <v/>
      </c>
      <c r="L17" s="2" t="str">
        <v/>
      </c>
      <c r="M17" s="2">
        <v>21</v>
      </c>
      <c r="N17" s="2" t="str">
        <v/>
      </c>
      <c r="O17" s="2" t="str">
        <v/>
      </c>
      <c r="P17" s="2" t="str">
        <v/>
      </c>
    </row>
    <row r="18" spans="2:20" x14ac:dyDescent="0.2">
      <c r="B18" s="10"/>
      <c r="C18" s="13" t="s">
        <v>2</v>
      </c>
      <c r="D18" s="14" t="s">
        <v>36</v>
      </c>
      <c r="E18" s="11">
        <v>18</v>
      </c>
      <c r="K18" s="2" t="str">
        <v/>
      </c>
      <c r="L18" s="2" t="str">
        <v/>
      </c>
      <c r="M18" s="2" t="str">
        <v/>
      </c>
      <c r="N18" s="2" t="str">
        <v/>
      </c>
      <c r="O18" s="2">
        <v>18</v>
      </c>
      <c r="P18" s="2" t="str">
        <v/>
      </c>
    </row>
    <row r="19" spans="2:20" x14ac:dyDescent="0.2">
      <c r="B19" s="10"/>
      <c r="C19" s="13" t="s">
        <v>1</v>
      </c>
      <c r="D19" s="14" t="s">
        <v>37</v>
      </c>
      <c r="E19" s="11">
        <v>23</v>
      </c>
      <c r="K19" s="2" t="str">
        <v/>
      </c>
      <c r="L19" s="2" t="str">
        <v/>
      </c>
      <c r="M19" s="2" t="str">
        <v/>
      </c>
      <c r="N19" s="2">
        <v>23</v>
      </c>
      <c r="O19" s="2" t="str">
        <v/>
      </c>
      <c r="P19" s="2" t="str">
        <v/>
      </c>
    </row>
    <row r="20" spans="2:20" x14ac:dyDescent="0.2">
      <c r="B20" s="10"/>
      <c r="C20" s="13" t="s">
        <v>1</v>
      </c>
      <c r="D20" s="14" t="s">
        <v>36</v>
      </c>
      <c r="E20" s="11">
        <v>45</v>
      </c>
      <c r="K20" s="2" t="str">
        <v/>
      </c>
      <c r="L20" s="2" t="str">
        <v/>
      </c>
      <c r="M20" s="2">
        <v>45</v>
      </c>
      <c r="N20" s="2" t="str">
        <v/>
      </c>
      <c r="O20" s="2" t="str">
        <v/>
      </c>
      <c r="P20" s="2" t="str">
        <v/>
      </c>
    </row>
    <row r="21" spans="2:20" x14ac:dyDescent="0.2">
      <c r="B21" s="10"/>
      <c r="C21" s="13" t="s">
        <v>2</v>
      </c>
      <c r="D21" s="14" t="s">
        <v>36</v>
      </c>
      <c r="E21" s="11">
        <v>87</v>
      </c>
      <c r="K21" s="2" t="str">
        <v/>
      </c>
      <c r="L21" s="2" t="str">
        <v/>
      </c>
      <c r="M21" s="2" t="str">
        <v/>
      </c>
      <c r="N21" s="2" t="str">
        <v/>
      </c>
      <c r="O21" s="2">
        <v>87</v>
      </c>
      <c r="P21" s="2" t="str">
        <v/>
      </c>
      <c r="R21" t="s">
        <v>47</v>
      </c>
    </row>
    <row r="22" spans="2:20" x14ac:dyDescent="0.2">
      <c r="J22" t="s">
        <v>48</v>
      </c>
      <c r="K22">
        <f>SUM(_xlfn.ANCHORARRAY(K6))</f>
        <v>150</v>
      </c>
      <c r="L22">
        <f t="shared" ref="L22:P22" si="0">SUM(_xlfn.ANCHORARRAY(L6))</f>
        <v>67</v>
      </c>
      <c r="M22">
        <f t="shared" si="0"/>
        <v>89</v>
      </c>
      <c r="N22">
        <f t="shared" si="0"/>
        <v>144</v>
      </c>
      <c r="O22">
        <f t="shared" si="0"/>
        <v>105</v>
      </c>
      <c r="P22">
        <f t="shared" si="0"/>
        <v>79</v>
      </c>
    </row>
    <row r="23" spans="2:20" x14ac:dyDescent="0.2">
      <c r="J23" t="s">
        <v>49</v>
      </c>
      <c r="K23" s="12">
        <f>AVERAGE(_xlfn.ANCHORARRAY(K6))</f>
        <v>30</v>
      </c>
      <c r="L23" s="12">
        <f t="shared" ref="L23:P23" si="1">AVERAGE(_xlfn.ANCHORARRAY(L6))</f>
        <v>67</v>
      </c>
      <c r="M23" s="12">
        <f t="shared" si="1"/>
        <v>29.666666666666668</v>
      </c>
      <c r="N23" s="12">
        <f t="shared" si="1"/>
        <v>48</v>
      </c>
      <c r="O23" s="12">
        <f t="shared" si="1"/>
        <v>52.5</v>
      </c>
      <c r="P23" s="12">
        <f t="shared" si="1"/>
        <v>39.5</v>
      </c>
    </row>
    <row r="24" spans="2:20" x14ac:dyDescent="0.2">
      <c r="J24" t="s">
        <v>51</v>
      </c>
      <c r="K24">
        <f>COUNT(_xlfn.ANCHORARRAY(K6))</f>
        <v>5</v>
      </c>
      <c r="L24">
        <f t="shared" ref="L24:P24" si="2">COUNT(_xlfn.ANCHORARRAY(L6))</f>
        <v>1</v>
      </c>
      <c r="M24">
        <f t="shared" si="2"/>
        <v>3</v>
      </c>
      <c r="N24">
        <f t="shared" si="2"/>
        <v>3</v>
      </c>
      <c r="O24">
        <f t="shared" si="2"/>
        <v>2</v>
      </c>
      <c r="P24">
        <f t="shared" si="2"/>
        <v>2</v>
      </c>
    </row>
    <row r="26" spans="2:20" x14ac:dyDescent="0.2">
      <c r="B26" s="8" t="s">
        <v>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8" spans="2:20" x14ac:dyDescent="0.2">
      <c r="C28" s="9" t="s">
        <v>5</v>
      </c>
    </row>
    <row r="30" spans="2:20" x14ac:dyDescent="0.2">
      <c r="B30" t="s">
        <v>22</v>
      </c>
      <c r="D30" s="2" t="s">
        <v>6</v>
      </c>
      <c r="F30" s="5" t="s">
        <v>28</v>
      </c>
      <c r="I30" t="s">
        <v>14</v>
      </c>
      <c r="J30" t="s">
        <v>7</v>
      </c>
      <c r="K30" t="s">
        <v>8</v>
      </c>
      <c r="L30" t="s">
        <v>9</v>
      </c>
      <c r="M30" t="s">
        <v>10</v>
      </c>
      <c r="N30" t="s">
        <v>11</v>
      </c>
      <c r="O30" t="s">
        <v>12</v>
      </c>
      <c r="P30" t="s">
        <v>13</v>
      </c>
      <c r="R30" t="s">
        <v>15</v>
      </c>
      <c r="S30" t="s">
        <v>16</v>
      </c>
      <c r="T30" t="s">
        <v>17</v>
      </c>
    </row>
    <row r="31" spans="2:20" x14ac:dyDescent="0.2">
      <c r="N31" t="s">
        <v>50</v>
      </c>
      <c r="T31" t="s">
        <v>18</v>
      </c>
    </row>
    <row r="32" spans="2:20" x14ac:dyDescent="0.2">
      <c r="T32" t="s">
        <v>19</v>
      </c>
    </row>
    <row r="33" spans="2:20" x14ac:dyDescent="0.2">
      <c r="T33" t="s">
        <v>20</v>
      </c>
    </row>
    <row r="34" spans="2:20" x14ac:dyDescent="0.2">
      <c r="T34" t="s">
        <v>21</v>
      </c>
    </row>
    <row r="36" spans="2:20" x14ac:dyDescent="0.2">
      <c r="B36" t="s">
        <v>27</v>
      </c>
      <c r="D36" s="3" t="s">
        <v>26</v>
      </c>
      <c r="F36" s="4" t="s">
        <v>23</v>
      </c>
      <c r="I36" t="s">
        <v>29</v>
      </c>
      <c r="J36" t="s">
        <v>30</v>
      </c>
      <c r="K36" t="s">
        <v>31</v>
      </c>
      <c r="L36" t="s">
        <v>32</v>
      </c>
      <c r="M36" t="s">
        <v>34</v>
      </c>
      <c r="N36" t="s">
        <v>33</v>
      </c>
    </row>
    <row r="37" spans="2:20" x14ac:dyDescent="0.2">
      <c r="G37" t="s">
        <v>24</v>
      </c>
    </row>
    <row r="38" spans="2:20" x14ac:dyDescent="0.2">
      <c r="G38" t="s">
        <v>25</v>
      </c>
    </row>
  </sheetData>
  <mergeCells count="2">
    <mergeCell ref="B26:T26"/>
    <mergeCell ref="B6:B21"/>
  </mergeCells>
  <conditionalFormatting sqref="H6:I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I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I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:I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2B80-F7A1-6F4F-A706-090A873CADD2}">
  <dimension ref="D6:S33"/>
  <sheetViews>
    <sheetView topLeftCell="C1" zoomScale="160" zoomScaleNormal="160" workbookViewId="0">
      <selection activeCell="J8" sqref="J8"/>
    </sheetView>
  </sheetViews>
  <sheetFormatPr baseColWidth="10" defaultRowHeight="16" x14ac:dyDescent="0.2"/>
  <cols>
    <col min="18" max="18" width="12.1640625" customWidth="1"/>
  </cols>
  <sheetData>
    <row r="6" spans="4:19" x14ac:dyDescent="0.2">
      <c r="D6" s="18" t="s">
        <v>3</v>
      </c>
      <c r="E6" s="19" t="s">
        <v>35</v>
      </c>
      <c r="F6" s="20" t="s">
        <v>38</v>
      </c>
      <c r="I6" s="6" t="s">
        <v>48</v>
      </c>
      <c r="P6" t="s">
        <v>55</v>
      </c>
      <c r="Q6" t="s">
        <v>56</v>
      </c>
      <c r="R6" t="s">
        <v>46</v>
      </c>
    </row>
    <row r="7" spans="4:19" x14ac:dyDescent="0.2">
      <c r="D7" s="13" t="s">
        <v>0</v>
      </c>
      <c r="E7" s="14" t="s">
        <v>36</v>
      </c>
      <c r="F7" s="11">
        <v>34</v>
      </c>
      <c r="I7" s="1"/>
      <c r="J7" s="14" t="str" cm="1">
        <f t="array" ref="J7:K7">TRANSPOSE(_xlfn._xlws.SORT(_xlfn.UNIQUE(E7:E22)))</f>
        <v>X</v>
      </c>
      <c r="K7" s="14" t="str">
        <v>Y</v>
      </c>
    </row>
    <row r="8" spans="4:19" x14ac:dyDescent="0.2">
      <c r="D8" s="13" t="s">
        <v>0</v>
      </c>
      <c r="E8" s="14" t="s">
        <v>37</v>
      </c>
      <c r="F8" s="11">
        <v>67</v>
      </c>
      <c r="I8" s="13" t="str" cm="1">
        <f t="array" ref="I8:I10">_xlfn._xlws.SORT(_xlfn.UNIQUE(D7:D22))</f>
        <v>A</v>
      </c>
      <c r="J8" s="7" cm="1">
        <f t="array" ref="J8">SUM(_xlfn._xlws.FILTER($F$7:$F$22, ($D$7:$D$22=$I8)*($E$7:$E$22=J$7)))</f>
        <v>150</v>
      </c>
      <c r="K8" s="7" cm="1">
        <f t="array" ref="K8">SUM(_xlfn._xlws.FILTER($F$7:$F$22, ($D$7:$D$22=$I8)*($E$7:$E$22=K$7)))</f>
        <v>67</v>
      </c>
      <c r="N8" t="s">
        <v>52</v>
      </c>
      <c r="O8" t="s">
        <v>53</v>
      </c>
      <c r="P8" t="s">
        <v>54</v>
      </c>
      <c r="Q8" t="s">
        <v>57</v>
      </c>
      <c r="R8" t="s">
        <v>58</v>
      </c>
      <c r="S8" t="s">
        <v>59</v>
      </c>
    </row>
    <row r="9" spans="4:19" x14ac:dyDescent="0.2">
      <c r="D9" s="13" t="s">
        <v>1</v>
      </c>
      <c r="E9" s="14" t="s">
        <v>37</v>
      </c>
      <c r="F9" s="11">
        <v>23</v>
      </c>
      <c r="I9" s="13" t="str">
        <v>B</v>
      </c>
      <c r="J9" s="7" cm="1">
        <f t="array" ref="J9">SUM(_xlfn._xlws.FILTER($F$7:$F$22, ($D$7:$D$22=$I9)*($E$7:$E$22=J$7)))</f>
        <v>89</v>
      </c>
      <c r="K9" s="7" cm="1">
        <f t="array" ref="K9">SUM(_xlfn._xlws.FILTER($F$7:$F$22, ($D$7:$D$22=$I9)*($E$7:$E$22=K$7)))</f>
        <v>144</v>
      </c>
    </row>
    <row r="10" spans="4:19" x14ac:dyDescent="0.2">
      <c r="D10" s="13" t="s">
        <v>0</v>
      </c>
      <c r="E10" s="14" t="s">
        <v>36</v>
      </c>
      <c r="F10" s="11">
        <v>17</v>
      </c>
      <c r="I10" s="13" t="str">
        <v>C</v>
      </c>
      <c r="J10" s="7" cm="1">
        <f t="array" ref="J10">SUM(_xlfn._xlws.FILTER($F$7:$F$22, ($D$7:$D$22=$I10)*($E$7:$E$22=J$7)))</f>
        <v>105</v>
      </c>
      <c r="K10" s="7" cm="1">
        <f t="array" ref="K10">SUM(_xlfn._xlws.FILTER($F$7:$F$22, ($D$7:$D$22=$I10)*($E$7:$E$22=K$7)))</f>
        <v>79</v>
      </c>
      <c r="O10" cm="1">
        <f t="array" ref="O10">SUM(_xlfn._xlws.FILTER(F7:F22, (D7:D22="A")*(E7:E22="X")))</f>
        <v>150</v>
      </c>
      <c r="P10" cm="1">
        <f t="array" ref="P10:P14">_xlfn._xlws.FILTER(F7:F22, (D7:D22="A")*(E7:E22="X"))</f>
        <v>34</v>
      </c>
    </row>
    <row r="11" spans="4:19" x14ac:dyDescent="0.2">
      <c r="D11" s="13" t="s">
        <v>1</v>
      </c>
      <c r="E11" s="14" t="s">
        <v>37</v>
      </c>
      <c r="F11" s="11">
        <v>98</v>
      </c>
      <c r="P11">
        <v>17</v>
      </c>
    </row>
    <row r="12" spans="4:19" x14ac:dyDescent="0.2">
      <c r="D12" s="13" t="s">
        <v>1</v>
      </c>
      <c r="E12" s="14" t="s">
        <v>36</v>
      </c>
      <c r="F12" s="11">
        <v>23</v>
      </c>
      <c r="I12" s="3" t="s">
        <v>49</v>
      </c>
      <c r="P12">
        <v>45</v>
      </c>
    </row>
    <row r="13" spans="4:19" x14ac:dyDescent="0.2">
      <c r="D13" s="13" t="s">
        <v>0</v>
      </c>
      <c r="E13" s="14" t="s">
        <v>36</v>
      </c>
      <c r="F13" s="11">
        <v>45</v>
      </c>
      <c r="I13" s="1"/>
      <c r="J13" s="14" t="str" cm="1">
        <f t="array" ref="J13:K13">TRANSPOSE(_xlfn._xlws.SORT(_xlfn.UNIQUE(E7:E22)))</f>
        <v>X</v>
      </c>
      <c r="K13" s="14" t="str">
        <v>Y</v>
      </c>
      <c r="P13">
        <v>11</v>
      </c>
    </row>
    <row r="14" spans="4:19" x14ac:dyDescent="0.2">
      <c r="D14" s="13" t="s">
        <v>2</v>
      </c>
      <c r="E14" s="14" t="s">
        <v>37</v>
      </c>
      <c r="F14" s="11">
        <v>23</v>
      </c>
      <c r="I14" s="13" t="str" cm="1">
        <f t="array" ref="I14:I16">_xlfn._xlws.SORT(_xlfn.UNIQUE(D7:D22))</f>
        <v>A</v>
      </c>
      <c r="J14" s="16" cm="1">
        <f t="array" ref="J14">AVERAGE(_xlfn._xlws.FILTER($F$7:$F$22, ($D$7:$D$22=$I8)*($E$7:$E$22=J$7)))</f>
        <v>30</v>
      </c>
      <c r="K14" s="16" cm="1">
        <f t="array" ref="K14">AVERAGE(_xlfn._xlws.FILTER($F$7:$F$22, ($D$7:$D$22=$I8)*($E$7:$E$22=K$7)))</f>
        <v>67</v>
      </c>
      <c r="P14">
        <v>43</v>
      </c>
    </row>
    <row r="15" spans="4:19" x14ac:dyDescent="0.2">
      <c r="D15" s="13" t="s">
        <v>0</v>
      </c>
      <c r="E15" s="14" t="s">
        <v>36</v>
      </c>
      <c r="F15" s="11">
        <v>11</v>
      </c>
      <c r="I15" s="13" t="str">
        <v>B</v>
      </c>
      <c r="J15" s="16" cm="1">
        <f t="array" ref="J15">AVERAGE(_xlfn._xlws.FILTER($F$7:$F$22, ($D$7:$D$22=$I9)*($E$7:$E$22=J$7)))</f>
        <v>29.666666666666668</v>
      </c>
      <c r="K15" s="16" cm="1">
        <f t="array" ref="K15">AVERAGE(_xlfn._xlws.FILTER($F$7:$F$22, ($D$7:$D$22=$I9)*($E$7:$E$22=K$7)))</f>
        <v>48</v>
      </c>
    </row>
    <row r="16" spans="4:19" x14ac:dyDescent="0.2">
      <c r="D16" s="13" t="s">
        <v>2</v>
      </c>
      <c r="E16" s="14" t="s">
        <v>37</v>
      </c>
      <c r="F16" s="11">
        <v>56</v>
      </c>
      <c r="I16" s="13" t="str">
        <v>C</v>
      </c>
      <c r="J16" s="16" cm="1">
        <f t="array" ref="J16">AVERAGE(_xlfn._xlws.FILTER($F$7:$F$22, ($D$7:$D$22=$I10)*($E$7:$E$22=J$7)))</f>
        <v>52.5</v>
      </c>
      <c r="K16" s="16" cm="1">
        <f t="array" ref="K16">AVERAGE(_xlfn._xlws.FILTER($F$7:$F$22, ($D$7:$D$22=$I10)*($E$7:$E$22=K$7)))</f>
        <v>39.5</v>
      </c>
      <c r="N16" s="17" t="s">
        <v>52</v>
      </c>
      <c r="O16" s="17" t="s">
        <v>60</v>
      </c>
    </row>
    <row r="17" spans="4:17" x14ac:dyDescent="0.2">
      <c r="D17" s="13" t="s">
        <v>0</v>
      </c>
      <c r="E17" s="14" t="s">
        <v>36</v>
      </c>
      <c r="F17" s="11">
        <v>43</v>
      </c>
    </row>
    <row r="18" spans="4:17" x14ac:dyDescent="0.2">
      <c r="D18" s="13" t="s">
        <v>1</v>
      </c>
      <c r="E18" s="14" t="s">
        <v>36</v>
      </c>
      <c r="F18" s="11">
        <v>21</v>
      </c>
      <c r="I18" s="15" t="s">
        <v>51</v>
      </c>
    </row>
    <row r="19" spans="4:17" x14ac:dyDescent="0.2">
      <c r="D19" s="13" t="s">
        <v>2</v>
      </c>
      <c r="E19" s="14" t="s">
        <v>36</v>
      </c>
      <c r="F19" s="11">
        <v>18</v>
      </c>
      <c r="I19" s="1"/>
      <c r="J19" s="14" t="str" cm="1">
        <f t="array" ref="J19:K19">TRANSPOSE(_xlfn._xlws.SORT(_xlfn.UNIQUE(E7:E22)))</f>
        <v>X</v>
      </c>
      <c r="K19" s="14" t="str">
        <v>Y</v>
      </c>
      <c r="N19" t="s">
        <v>61</v>
      </c>
    </row>
    <row r="20" spans="4:17" x14ac:dyDescent="0.2">
      <c r="D20" s="13" t="s">
        <v>1</v>
      </c>
      <c r="E20" s="14" t="s">
        <v>37</v>
      </c>
      <c r="F20" s="11">
        <v>23</v>
      </c>
      <c r="I20" s="13" t="str" cm="1">
        <f t="array" ref="I20:I22">_xlfn._xlws.SORT(_xlfn.UNIQUE(D7:D22))</f>
        <v>A</v>
      </c>
      <c r="J20" s="21" cm="1">
        <f t="array" ref="J20">COUNT(_xlfn._xlws.FILTER($F$7:$F$22,($D$7:$D$22=$I20)*($E$7:$E$22=J$19)))</f>
        <v>5</v>
      </c>
      <c r="K20" s="21" cm="1">
        <f t="array" ref="K20">COUNT(_xlfn._xlws.FILTER($F$7:$F$22,($D$7:$D$22=$I20)*($E$7:$E$22=K$19)))</f>
        <v>1</v>
      </c>
    </row>
    <row r="21" spans="4:17" x14ac:dyDescent="0.2">
      <c r="D21" s="13" t="s">
        <v>1</v>
      </c>
      <c r="E21" s="14" t="s">
        <v>36</v>
      </c>
      <c r="F21" s="11">
        <v>45</v>
      </c>
      <c r="I21" s="13" t="str">
        <v>B</v>
      </c>
      <c r="J21" s="21" cm="1">
        <f t="array" ref="J21">COUNT(_xlfn._xlws.FILTER($F$7:$F$22,($D$7:$D$22=$I21)*($E$7:$E$22=J$19)))</f>
        <v>3</v>
      </c>
      <c r="K21" s="21" cm="1">
        <f t="array" ref="K21">COUNT(_xlfn._xlws.FILTER($F$7:$F$22,($D$7:$D$22=$I21)*($E$7:$E$22=K$19)))</f>
        <v>3</v>
      </c>
      <c r="N21" t="s">
        <v>62</v>
      </c>
    </row>
    <row r="22" spans="4:17" x14ac:dyDescent="0.2">
      <c r="D22" s="13" t="s">
        <v>2</v>
      </c>
      <c r="E22" s="14" t="s">
        <v>36</v>
      </c>
      <c r="F22" s="11">
        <v>87</v>
      </c>
      <c r="I22" s="13" t="str">
        <v>C</v>
      </c>
      <c r="J22" s="21" cm="1">
        <f t="array" ref="J22">COUNT(_xlfn._xlws.FILTER($F$7:$F$22,($D$7:$D$22=$I22)*($E$7:$E$22=J$19)))</f>
        <v>2</v>
      </c>
      <c r="K22" s="21" cm="1">
        <f t="array" ref="K22">COUNT(_xlfn._xlws.FILTER($F$7:$F$22,($D$7:$D$22=$I22)*($E$7:$E$22=K$19)))</f>
        <v>2</v>
      </c>
      <c r="N22" t="s">
        <v>63</v>
      </c>
    </row>
    <row r="24" spans="4:17" x14ac:dyDescent="0.2">
      <c r="N24" t="s">
        <v>14</v>
      </c>
      <c r="O24" t="s">
        <v>64</v>
      </c>
    </row>
    <row r="25" spans="4:17" x14ac:dyDescent="0.2">
      <c r="N25" t="s">
        <v>10</v>
      </c>
      <c r="O25" t="s">
        <v>66</v>
      </c>
    </row>
    <row r="26" spans="4:17" x14ac:dyDescent="0.2">
      <c r="N26" t="s">
        <v>65</v>
      </c>
      <c r="O26" t="s">
        <v>67</v>
      </c>
    </row>
    <row r="28" spans="4:17" x14ac:dyDescent="0.2">
      <c r="O28" t="s">
        <v>48</v>
      </c>
      <c r="P28" t="s">
        <v>49</v>
      </c>
      <c r="Q28" t="s">
        <v>51</v>
      </c>
    </row>
    <row r="29" spans="4:17" x14ac:dyDescent="0.2">
      <c r="N29" t="s">
        <v>39</v>
      </c>
      <c r="O29">
        <v>150</v>
      </c>
      <c r="P29">
        <v>30</v>
      </c>
      <c r="Q29">
        <v>5</v>
      </c>
    </row>
    <row r="31" spans="4:17" x14ac:dyDescent="0.2">
      <c r="O31" t="s">
        <v>68</v>
      </c>
    </row>
    <row r="32" spans="4:17" x14ac:dyDescent="0.2">
      <c r="O32" t="s">
        <v>69</v>
      </c>
    </row>
    <row r="33" spans="15:15" x14ac:dyDescent="0.2">
      <c r="O3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18F2-9BF5-7849-9864-4B88662F0EAD}">
  <dimension ref="A1:C8"/>
  <sheetViews>
    <sheetView workbookViewId="0">
      <selection activeCell="A3" sqref="A3:C8"/>
    </sheetView>
  </sheetViews>
  <sheetFormatPr baseColWidth="10" defaultRowHeight="16" x14ac:dyDescent="0.2"/>
  <sheetData>
    <row r="1" spans="1:3" x14ac:dyDescent="0.2">
      <c r="A1" s="25" t="s">
        <v>76</v>
      </c>
    </row>
    <row r="3" spans="1:3" x14ac:dyDescent="0.2">
      <c r="A3" t="s">
        <v>3</v>
      </c>
      <c r="B3" t="s">
        <v>35</v>
      </c>
      <c r="C3" t="s">
        <v>38</v>
      </c>
    </row>
    <row r="4" spans="1:3" x14ac:dyDescent="0.2">
      <c r="A4" t="s">
        <v>0</v>
      </c>
      <c r="B4" t="s">
        <v>36</v>
      </c>
      <c r="C4">
        <v>34</v>
      </c>
    </row>
    <row r="5" spans="1:3" x14ac:dyDescent="0.2">
      <c r="A5" t="s">
        <v>0</v>
      </c>
      <c r="B5" t="s">
        <v>36</v>
      </c>
      <c r="C5">
        <v>43</v>
      </c>
    </row>
    <row r="6" spans="1:3" x14ac:dyDescent="0.2">
      <c r="A6" t="s">
        <v>0</v>
      </c>
      <c r="B6" t="s">
        <v>36</v>
      </c>
      <c r="C6">
        <v>11</v>
      </c>
    </row>
    <row r="7" spans="1:3" x14ac:dyDescent="0.2">
      <c r="A7" t="s">
        <v>0</v>
      </c>
      <c r="B7" t="s">
        <v>36</v>
      </c>
      <c r="C7">
        <v>17</v>
      </c>
    </row>
    <row r="8" spans="1:3" x14ac:dyDescent="0.2">
      <c r="A8" t="s">
        <v>0</v>
      </c>
      <c r="B8" t="s">
        <v>36</v>
      </c>
      <c r="C8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7835-D59C-0E42-A8B4-E2C35BA9D70D}">
  <dimension ref="B7:J28"/>
  <sheetViews>
    <sheetView zoomScale="170" zoomScaleNormal="170" workbookViewId="0">
      <selection activeCell="H23" sqref="H23:J25"/>
    </sheetView>
  </sheetViews>
  <sheetFormatPr baseColWidth="10" defaultRowHeight="16" x14ac:dyDescent="0.2"/>
  <cols>
    <col min="7" max="7" width="16.83203125" bestFit="1" customWidth="1"/>
    <col min="8" max="8" width="21.5" bestFit="1" customWidth="1"/>
    <col min="9" max="9" width="6.5" customWidth="1"/>
    <col min="10" max="10" width="11.6640625" bestFit="1" customWidth="1"/>
  </cols>
  <sheetData>
    <row r="7" spans="3:10" x14ac:dyDescent="0.2">
      <c r="C7" s="18" t="s">
        <v>3</v>
      </c>
      <c r="D7" s="19" t="s">
        <v>35</v>
      </c>
      <c r="E7" s="20" t="s">
        <v>38</v>
      </c>
      <c r="G7" s="22" t="s">
        <v>74</v>
      </c>
      <c r="H7" s="22" t="s">
        <v>73</v>
      </c>
    </row>
    <row r="8" spans="3:10" x14ac:dyDescent="0.2">
      <c r="C8" s="13" t="s">
        <v>0</v>
      </c>
      <c r="D8" s="14" t="s">
        <v>36</v>
      </c>
      <c r="E8" s="11">
        <v>34</v>
      </c>
      <c r="G8" s="22" t="s">
        <v>71</v>
      </c>
      <c r="H8" s="1" t="s">
        <v>36</v>
      </c>
      <c r="I8" s="1" t="s">
        <v>37</v>
      </c>
      <c r="J8" s="1" t="s">
        <v>72</v>
      </c>
    </row>
    <row r="9" spans="3:10" x14ac:dyDescent="0.2">
      <c r="C9" s="13" t="s">
        <v>0</v>
      </c>
      <c r="D9" s="14" t="s">
        <v>37</v>
      </c>
      <c r="E9" s="11">
        <v>67</v>
      </c>
      <c r="G9" s="23" t="s">
        <v>0</v>
      </c>
      <c r="H9" s="26">
        <v>150</v>
      </c>
      <c r="I9" s="26">
        <v>67</v>
      </c>
      <c r="J9" s="26">
        <v>217</v>
      </c>
    </row>
    <row r="10" spans="3:10" x14ac:dyDescent="0.2">
      <c r="C10" s="13" t="s">
        <v>1</v>
      </c>
      <c r="D10" s="14" t="s">
        <v>37</v>
      </c>
      <c r="E10" s="11">
        <v>23</v>
      </c>
      <c r="G10" s="23" t="s">
        <v>1</v>
      </c>
      <c r="H10" s="26">
        <v>89</v>
      </c>
      <c r="I10" s="26">
        <v>144</v>
      </c>
      <c r="J10" s="26">
        <v>233</v>
      </c>
    </row>
    <row r="11" spans="3:10" x14ac:dyDescent="0.2">
      <c r="C11" s="13" t="s">
        <v>0</v>
      </c>
      <c r="D11" s="14" t="s">
        <v>36</v>
      </c>
      <c r="E11" s="11">
        <v>17</v>
      </c>
      <c r="G11" s="23" t="s">
        <v>2</v>
      </c>
      <c r="H11" s="26">
        <v>105</v>
      </c>
      <c r="I11" s="26">
        <v>79</v>
      </c>
      <c r="J11" s="26">
        <v>184</v>
      </c>
    </row>
    <row r="12" spans="3:10" x14ac:dyDescent="0.2">
      <c r="C12" s="13" t="s">
        <v>1</v>
      </c>
      <c r="D12" s="14" t="s">
        <v>37</v>
      </c>
      <c r="E12" s="11">
        <v>98</v>
      </c>
      <c r="G12" s="23" t="s">
        <v>72</v>
      </c>
      <c r="H12" s="26">
        <v>344</v>
      </c>
      <c r="I12" s="26">
        <v>290</v>
      </c>
      <c r="J12" s="26">
        <v>634</v>
      </c>
    </row>
    <row r="13" spans="3:10" x14ac:dyDescent="0.2">
      <c r="C13" s="13" t="s">
        <v>1</v>
      </c>
      <c r="D13" s="14" t="s">
        <v>36</v>
      </c>
      <c r="E13" s="11">
        <v>23</v>
      </c>
    </row>
    <row r="14" spans="3:10" x14ac:dyDescent="0.2">
      <c r="C14" s="13" t="s">
        <v>0</v>
      </c>
      <c r="D14" s="14" t="s">
        <v>36</v>
      </c>
      <c r="E14" s="11">
        <v>45</v>
      </c>
      <c r="G14" s="22" t="s">
        <v>75</v>
      </c>
      <c r="H14" s="22" t="s">
        <v>73</v>
      </c>
    </row>
    <row r="15" spans="3:10" x14ac:dyDescent="0.2">
      <c r="C15" s="13" t="s">
        <v>2</v>
      </c>
      <c r="D15" s="14" t="s">
        <v>37</v>
      </c>
      <c r="E15" s="11">
        <v>23</v>
      </c>
      <c r="G15" s="22" t="s">
        <v>71</v>
      </c>
      <c r="H15" s="1" t="s">
        <v>36</v>
      </c>
      <c r="I15" s="1" t="s">
        <v>37</v>
      </c>
      <c r="J15" s="1" t="s">
        <v>72</v>
      </c>
    </row>
    <row r="16" spans="3:10" x14ac:dyDescent="0.2">
      <c r="C16" s="13" t="s">
        <v>0</v>
      </c>
      <c r="D16" s="14" t="s">
        <v>36</v>
      </c>
      <c r="E16" s="11">
        <v>11</v>
      </c>
      <c r="G16" s="23" t="s">
        <v>0</v>
      </c>
      <c r="H16" s="27">
        <v>30</v>
      </c>
      <c r="I16" s="27">
        <v>67</v>
      </c>
      <c r="J16" s="27">
        <v>36.166666666666664</v>
      </c>
    </row>
    <row r="17" spans="2:10" x14ac:dyDescent="0.2">
      <c r="C17" s="13" t="s">
        <v>2</v>
      </c>
      <c r="D17" s="14" t="s">
        <v>37</v>
      </c>
      <c r="E17" s="11">
        <v>56</v>
      </c>
      <c r="G17" s="23" t="s">
        <v>1</v>
      </c>
      <c r="H17" s="27">
        <v>29.666666666666668</v>
      </c>
      <c r="I17" s="27">
        <v>48</v>
      </c>
      <c r="J17" s="27">
        <v>38.833333333333336</v>
      </c>
    </row>
    <row r="18" spans="2:10" x14ac:dyDescent="0.2">
      <c r="C18" s="13" t="s">
        <v>0</v>
      </c>
      <c r="D18" s="14" t="s">
        <v>36</v>
      </c>
      <c r="E18" s="11">
        <v>43</v>
      </c>
      <c r="G18" s="23" t="s">
        <v>2</v>
      </c>
      <c r="H18" s="27">
        <v>52.5</v>
      </c>
      <c r="I18" s="27">
        <v>39.5</v>
      </c>
      <c r="J18" s="27">
        <v>46</v>
      </c>
    </row>
    <row r="19" spans="2:10" x14ac:dyDescent="0.2">
      <c r="C19" s="13" t="s">
        <v>1</v>
      </c>
      <c r="D19" s="14" t="s">
        <v>36</v>
      </c>
      <c r="E19" s="11">
        <v>21</v>
      </c>
      <c r="G19" s="23" t="s">
        <v>72</v>
      </c>
      <c r="H19" s="27">
        <v>34.4</v>
      </c>
      <c r="I19" s="27">
        <v>48.333333333333336</v>
      </c>
      <c r="J19" s="27">
        <v>39.625</v>
      </c>
    </row>
    <row r="20" spans="2:10" x14ac:dyDescent="0.2">
      <c r="C20" s="13" t="s">
        <v>2</v>
      </c>
      <c r="D20" s="14" t="s">
        <v>36</v>
      </c>
      <c r="E20" s="11">
        <v>18</v>
      </c>
    </row>
    <row r="21" spans="2:10" x14ac:dyDescent="0.2">
      <c r="C21" s="13" t="s">
        <v>1</v>
      </c>
      <c r="D21" s="14" t="s">
        <v>37</v>
      </c>
      <c r="E21" s="11">
        <v>23</v>
      </c>
      <c r="G21" s="22" t="s">
        <v>77</v>
      </c>
      <c r="H21" s="22" t="s">
        <v>73</v>
      </c>
    </row>
    <row r="22" spans="2:10" x14ac:dyDescent="0.2">
      <c r="C22" s="13" t="s">
        <v>1</v>
      </c>
      <c r="D22" s="14" t="s">
        <v>36</v>
      </c>
      <c r="E22" s="11">
        <v>45</v>
      </c>
      <c r="G22" s="22" t="s">
        <v>71</v>
      </c>
      <c r="H22" s="1" t="s">
        <v>36</v>
      </c>
      <c r="I22" s="1" t="s">
        <v>37</v>
      </c>
      <c r="J22" s="1" t="s">
        <v>72</v>
      </c>
    </row>
    <row r="23" spans="2:10" x14ac:dyDescent="0.2">
      <c r="C23" s="13" t="s">
        <v>2</v>
      </c>
      <c r="D23" s="14" t="s">
        <v>36</v>
      </c>
      <c r="E23" s="11">
        <v>87</v>
      </c>
      <c r="G23" s="23" t="s">
        <v>0</v>
      </c>
      <c r="H23" s="26">
        <v>5</v>
      </c>
      <c r="I23" s="26">
        <v>1</v>
      </c>
      <c r="J23" s="26">
        <v>6</v>
      </c>
    </row>
    <row r="24" spans="2:10" x14ac:dyDescent="0.2">
      <c r="G24" s="23" t="s">
        <v>1</v>
      </c>
      <c r="H24" s="26">
        <v>3</v>
      </c>
      <c r="I24" s="26">
        <v>3</v>
      </c>
      <c r="J24" s="26">
        <v>6</v>
      </c>
    </row>
    <row r="25" spans="2:10" x14ac:dyDescent="0.2">
      <c r="C25" s="5" t="s">
        <v>36</v>
      </c>
      <c r="D25" s="5" t="s">
        <v>37</v>
      </c>
      <c r="G25" s="23" t="s">
        <v>2</v>
      </c>
      <c r="H25" s="26">
        <v>2</v>
      </c>
      <c r="I25" s="26">
        <v>2</v>
      </c>
      <c r="J25" s="26">
        <v>4</v>
      </c>
    </row>
    <row r="26" spans="2:10" x14ac:dyDescent="0.2">
      <c r="B26" s="4" t="s">
        <v>0</v>
      </c>
      <c r="C26">
        <v>150</v>
      </c>
      <c r="D26">
        <v>67</v>
      </c>
      <c r="G26" s="23" t="s">
        <v>72</v>
      </c>
      <c r="H26" s="26">
        <v>10</v>
      </c>
      <c r="I26" s="26">
        <v>6</v>
      </c>
      <c r="J26" s="26">
        <v>16</v>
      </c>
    </row>
    <row r="27" spans="2:10" x14ac:dyDescent="0.2">
      <c r="B27" s="4" t="s">
        <v>1</v>
      </c>
      <c r="C27">
        <v>89</v>
      </c>
      <c r="D27">
        <v>144</v>
      </c>
    </row>
    <row r="28" spans="2:10" x14ac:dyDescent="0.2">
      <c r="B28" s="4" t="s">
        <v>2</v>
      </c>
      <c r="C28">
        <v>105</v>
      </c>
      <c r="D28">
        <v>79</v>
      </c>
    </row>
  </sheetData>
  <conditionalFormatting sqref="C26:D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79CA-690F-124E-9C9E-5A2BAE7F5B33}">
  <dimension ref="C5:Y898"/>
  <sheetViews>
    <sheetView tabSelected="1" topLeftCell="M1" zoomScale="130" zoomScaleNormal="130" workbookViewId="0">
      <selection activeCell="AA33" sqref="AA33"/>
    </sheetView>
  </sheetViews>
  <sheetFormatPr baseColWidth="10" defaultRowHeight="16" x14ac:dyDescent="0.2"/>
  <cols>
    <col min="3" max="3" width="11.33203125" customWidth="1"/>
    <col min="4" max="4" width="8" customWidth="1"/>
    <col min="5" max="5" width="12.6640625" customWidth="1"/>
    <col min="8" max="8" width="18.33203125" customWidth="1"/>
    <col min="9" max="9" width="16.33203125" customWidth="1"/>
    <col min="12" max="12" width="20.1640625" customWidth="1"/>
    <col min="19" max="19" width="24.1640625" customWidth="1"/>
    <col min="20" max="20" width="13.5" customWidth="1"/>
    <col min="21" max="21" width="9.33203125" customWidth="1"/>
    <col min="22" max="22" width="14.33203125" customWidth="1"/>
    <col min="24" max="24" width="20.5" bestFit="1" customWidth="1"/>
  </cols>
  <sheetData>
    <row r="5" spans="3:24" x14ac:dyDescent="0.2">
      <c r="Q5" s="17" t="s">
        <v>52</v>
      </c>
      <c r="R5" s="17" t="s">
        <v>984</v>
      </c>
    </row>
    <row r="7" spans="3:24" x14ac:dyDescent="0.2">
      <c r="C7" s="31" t="s">
        <v>78</v>
      </c>
      <c r="D7" s="31" t="s">
        <v>79</v>
      </c>
      <c r="E7" s="31" t="s">
        <v>80</v>
      </c>
      <c r="F7" s="31" t="s">
        <v>81</v>
      </c>
      <c r="G7" s="31" t="s">
        <v>82</v>
      </c>
      <c r="H7" s="31" t="s">
        <v>83</v>
      </c>
      <c r="I7" s="31" t="s">
        <v>84</v>
      </c>
      <c r="J7" s="31" t="s">
        <v>85</v>
      </c>
      <c r="K7" s="31" t="s">
        <v>86</v>
      </c>
      <c r="L7" s="31" t="s">
        <v>87</v>
      </c>
      <c r="Q7" t="str" cm="1">
        <f t="array" ref="Q7:Q897">Titanic[Sexo]</f>
        <v>Hombre</v>
      </c>
    </row>
    <row r="8" spans="3:24" x14ac:dyDescent="0.2">
      <c r="C8" s="28">
        <v>0</v>
      </c>
      <c r="D8" s="29">
        <v>3</v>
      </c>
      <c r="E8" s="29" t="s">
        <v>88</v>
      </c>
      <c r="F8" s="29" t="s">
        <v>89</v>
      </c>
      <c r="G8" s="29">
        <v>22</v>
      </c>
      <c r="H8" s="29">
        <v>1</v>
      </c>
      <c r="I8" s="29">
        <v>0</v>
      </c>
      <c r="J8" s="29">
        <v>725</v>
      </c>
      <c r="K8" s="29">
        <v>0</v>
      </c>
      <c r="L8" s="29" t="s">
        <v>90</v>
      </c>
      <c r="Q8" t="str">
        <v>Mujer</v>
      </c>
    </row>
    <row r="9" spans="3:24" x14ac:dyDescent="0.2">
      <c r="C9" s="28">
        <v>1</v>
      </c>
      <c r="D9" s="29">
        <v>1</v>
      </c>
      <c r="E9" s="29" t="s">
        <v>91</v>
      </c>
      <c r="F9" s="29" t="s">
        <v>92</v>
      </c>
      <c r="G9" s="29">
        <v>38</v>
      </c>
      <c r="H9" s="29">
        <v>1</v>
      </c>
      <c r="I9" s="29">
        <v>0</v>
      </c>
      <c r="J9" s="29">
        <v>712833</v>
      </c>
      <c r="K9" s="29">
        <v>1</v>
      </c>
      <c r="L9" s="29" t="s">
        <v>93</v>
      </c>
      <c r="Q9" t="str">
        <v>Mujer</v>
      </c>
      <c r="T9" cm="1">
        <f t="array" ref="T9:U9">TRANSPOSE(_xlfn._xlws.SORT(_xlfn.UNIQUE(Titanic[Sobrevive])))</f>
        <v>0</v>
      </c>
      <c r="U9">
        <v>1</v>
      </c>
    </row>
    <row r="10" spans="3:24" x14ac:dyDescent="0.2">
      <c r="C10" s="28">
        <v>1</v>
      </c>
      <c r="D10" s="29">
        <v>3</v>
      </c>
      <c r="E10" s="29" t="s">
        <v>94</v>
      </c>
      <c r="F10" s="29" t="s">
        <v>92</v>
      </c>
      <c r="G10" s="29">
        <v>26</v>
      </c>
      <c r="H10" s="29">
        <v>0</v>
      </c>
      <c r="I10" s="29">
        <v>0</v>
      </c>
      <c r="J10" s="29">
        <v>7925</v>
      </c>
      <c r="K10" s="29">
        <v>0</v>
      </c>
      <c r="L10" s="29" t="s">
        <v>90</v>
      </c>
      <c r="Q10" t="str">
        <v>Mujer</v>
      </c>
      <c r="S10" t="str" cm="1">
        <f t="array" ref="S10:S11">_xlfn._xlws.SORT(_xlfn.UNIQUE(Titanic[Sexo]))</f>
        <v>Hombre</v>
      </c>
      <c r="T10" cm="1">
        <f t="array" ref="T10">COUNT(_xlfn._xlws.FILTER(Titanic[Sobrevive],(Titanic[Sexo]=$S10)*(Titanic[Sobrevive]=T$9)))</f>
        <v>468</v>
      </c>
      <c r="U10" cm="1">
        <f t="array" ref="U10">COUNT(_xlfn._xlws.FILTER(Titanic[Clase],(Titanic[Sexo]=$S10)*(Titanic[Sobrevive]=U$9)))</f>
        <v>109</v>
      </c>
    </row>
    <row r="11" spans="3:24" x14ac:dyDescent="0.2">
      <c r="C11" s="28">
        <v>1</v>
      </c>
      <c r="D11" s="29">
        <v>1</v>
      </c>
      <c r="E11" s="29" t="s">
        <v>95</v>
      </c>
      <c r="F11" s="29" t="s">
        <v>92</v>
      </c>
      <c r="G11" s="29">
        <v>35</v>
      </c>
      <c r="H11" s="29">
        <v>1</v>
      </c>
      <c r="I11" s="29">
        <v>0</v>
      </c>
      <c r="J11" s="29">
        <v>531</v>
      </c>
      <c r="K11" s="29">
        <v>1</v>
      </c>
      <c r="L11" s="29" t="s">
        <v>90</v>
      </c>
      <c r="Q11" t="str">
        <v>Hombre</v>
      </c>
      <c r="S11" t="str">
        <v>Mujer</v>
      </c>
      <c r="T11" cm="1">
        <f t="array" ref="T11">COUNT(_xlfn._xlws.FILTER(Titanic[Sobrevive],(Titanic[Sexo]=$S11)*(Titanic[Sobrevive]=T$9)))</f>
        <v>81</v>
      </c>
      <c r="U11" cm="1">
        <f t="array" ref="U11">COUNT(_xlfn._xlws.FILTER(Titanic[Sobrevive],(Titanic[Sexo]=$S11)*(Titanic[Sobrevive]=U$9)))</f>
        <v>233</v>
      </c>
    </row>
    <row r="12" spans="3:24" x14ac:dyDescent="0.2">
      <c r="C12" s="28">
        <v>0</v>
      </c>
      <c r="D12" s="29">
        <v>3</v>
      </c>
      <c r="E12" s="29" t="s">
        <v>96</v>
      </c>
      <c r="F12" s="29" t="s">
        <v>89</v>
      </c>
      <c r="G12" s="29">
        <v>35</v>
      </c>
      <c r="H12" s="29">
        <v>0</v>
      </c>
      <c r="I12" s="29">
        <v>0</v>
      </c>
      <c r="J12" s="29">
        <v>805</v>
      </c>
      <c r="K12" s="29">
        <v>0</v>
      </c>
      <c r="L12" s="29" t="s">
        <v>90</v>
      </c>
      <c r="Q12" t="str">
        <v>Hombre</v>
      </c>
      <c r="X12" t="s">
        <v>986</v>
      </c>
    </row>
    <row r="13" spans="3:24" x14ac:dyDescent="0.2">
      <c r="C13" s="28">
        <v>0</v>
      </c>
      <c r="D13" s="29">
        <v>3</v>
      </c>
      <c r="E13" s="29" t="s">
        <v>97</v>
      </c>
      <c r="F13" s="29" t="s">
        <v>89</v>
      </c>
      <c r="G13" s="30"/>
      <c r="H13" s="29">
        <v>0</v>
      </c>
      <c r="I13" s="29">
        <v>0</v>
      </c>
      <c r="J13" s="29">
        <v>84583</v>
      </c>
      <c r="K13" s="29">
        <v>0</v>
      </c>
      <c r="L13" s="29" t="s">
        <v>98</v>
      </c>
      <c r="Q13" t="str">
        <v>Hombre</v>
      </c>
    </row>
    <row r="14" spans="3:24" x14ac:dyDescent="0.2">
      <c r="C14" s="28">
        <v>0</v>
      </c>
      <c r="D14" s="29">
        <v>1</v>
      </c>
      <c r="E14" s="29" t="s">
        <v>99</v>
      </c>
      <c r="F14" s="29" t="s">
        <v>89</v>
      </c>
      <c r="G14" s="29">
        <v>54</v>
      </c>
      <c r="H14" s="29">
        <v>0</v>
      </c>
      <c r="I14" s="29">
        <v>0</v>
      </c>
      <c r="J14" s="29">
        <v>518625</v>
      </c>
      <c r="K14" s="29">
        <v>1</v>
      </c>
      <c r="L14" s="29" t="s">
        <v>90</v>
      </c>
      <c r="Q14" t="str">
        <v>Hombre</v>
      </c>
      <c r="S14" s="22" t="s">
        <v>985</v>
      </c>
      <c r="T14" s="22" t="s">
        <v>73</v>
      </c>
    </row>
    <row r="15" spans="3:24" x14ac:dyDescent="0.2">
      <c r="C15" s="28">
        <v>0</v>
      </c>
      <c r="D15" s="29">
        <v>3</v>
      </c>
      <c r="E15" s="29" t="s">
        <v>100</v>
      </c>
      <c r="F15" s="29" t="s">
        <v>89</v>
      </c>
      <c r="G15" s="29">
        <v>2</v>
      </c>
      <c r="H15" s="29">
        <v>3</v>
      </c>
      <c r="I15" s="29">
        <v>1</v>
      </c>
      <c r="J15" s="29">
        <v>21075</v>
      </c>
      <c r="K15" s="29">
        <v>0</v>
      </c>
      <c r="L15" s="29" t="s">
        <v>90</v>
      </c>
      <c r="Q15" t="str">
        <v>Mujer</v>
      </c>
      <c r="S15" s="22" t="s">
        <v>71</v>
      </c>
      <c r="T15">
        <v>0</v>
      </c>
      <c r="U15">
        <v>1</v>
      </c>
      <c r="V15" t="s">
        <v>72</v>
      </c>
    </row>
    <row r="16" spans="3:24" x14ac:dyDescent="0.2">
      <c r="C16" s="28">
        <v>1</v>
      </c>
      <c r="D16" s="29">
        <v>3</v>
      </c>
      <c r="E16" s="29" t="s">
        <v>101</v>
      </c>
      <c r="F16" s="29" t="s">
        <v>92</v>
      </c>
      <c r="G16" s="29">
        <v>27</v>
      </c>
      <c r="H16" s="29">
        <v>0</v>
      </c>
      <c r="I16" s="29">
        <v>2</v>
      </c>
      <c r="J16" s="29">
        <v>111333</v>
      </c>
      <c r="K16" s="29">
        <v>0</v>
      </c>
      <c r="L16" s="29" t="s">
        <v>90</v>
      </c>
      <c r="Q16" t="str">
        <v>Mujer</v>
      </c>
      <c r="S16" s="23" t="s">
        <v>89</v>
      </c>
      <c r="T16" s="24">
        <v>468</v>
      </c>
      <c r="U16" s="24">
        <v>109</v>
      </c>
      <c r="V16" s="24">
        <v>577</v>
      </c>
      <c r="X16" s="32">
        <f>GETPIVOTDATA("Sobrevive",$S$14,"Sobrevive",1,"Sexo","Hombre")/GETPIVOTDATA("Sobrevive",$S$14,"Sexo","Hombre")</f>
        <v>0.18890814558058924</v>
      </c>
    </row>
    <row r="17" spans="3:25" x14ac:dyDescent="0.2">
      <c r="C17" s="28">
        <v>1</v>
      </c>
      <c r="D17" s="29">
        <v>2</v>
      </c>
      <c r="E17" s="29" t="s">
        <v>102</v>
      </c>
      <c r="F17" s="29" t="s">
        <v>92</v>
      </c>
      <c r="G17" s="29">
        <v>14</v>
      </c>
      <c r="H17" s="29">
        <v>1</v>
      </c>
      <c r="I17" s="29">
        <v>0</v>
      </c>
      <c r="J17" s="29">
        <v>300708</v>
      </c>
      <c r="K17" s="29">
        <v>0</v>
      </c>
      <c r="L17" s="29" t="s">
        <v>93</v>
      </c>
      <c r="Q17" t="str">
        <v>Mujer</v>
      </c>
      <c r="S17" s="23" t="s">
        <v>92</v>
      </c>
      <c r="T17" s="24">
        <v>81</v>
      </c>
      <c r="U17" s="24">
        <v>233</v>
      </c>
      <c r="V17" s="24">
        <v>314</v>
      </c>
    </row>
    <row r="18" spans="3:25" x14ac:dyDescent="0.2">
      <c r="C18" s="28">
        <v>1</v>
      </c>
      <c r="D18" s="29">
        <v>3</v>
      </c>
      <c r="E18" s="29" t="s">
        <v>103</v>
      </c>
      <c r="F18" s="29" t="s">
        <v>92</v>
      </c>
      <c r="G18" s="29">
        <v>4</v>
      </c>
      <c r="H18" s="29">
        <v>1</v>
      </c>
      <c r="I18" s="29">
        <v>1</v>
      </c>
      <c r="J18" s="29">
        <v>167</v>
      </c>
      <c r="K18" s="29">
        <v>1</v>
      </c>
      <c r="L18" s="29" t="s">
        <v>90</v>
      </c>
      <c r="Q18" t="str">
        <v>Mujer</v>
      </c>
      <c r="S18" s="23" t="s">
        <v>72</v>
      </c>
      <c r="T18" s="24">
        <v>549</v>
      </c>
      <c r="U18" s="24">
        <v>342</v>
      </c>
      <c r="V18" s="24">
        <v>891</v>
      </c>
    </row>
    <row r="19" spans="3:25" x14ac:dyDescent="0.2">
      <c r="C19" s="28">
        <v>1</v>
      </c>
      <c r="D19" s="29">
        <v>1</v>
      </c>
      <c r="E19" s="29" t="s">
        <v>104</v>
      </c>
      <c r="F19" s="29" t="s">
        <v>92</v>
      </c>
      <c r="G19" s="29">
        <v>58</v>
      </c>
      <c r="H19" s="29">
        <v>0</v>
      </c>
      <c r="I19" s="29">
        <v>0</v>
      </c>
      <c r="J19" s="29">
        <v>2655</v>
      </c>
      <c r="K19" s="29">
        <v>1</v>
      </c>
      <c r="L19" s="29" t="s">
        <v>90</v>
      </c>
      <c r="Q19" t="str">
        <v>Hombre</v>
      </c>
    </row>
    <row r="20" spans="3:25" x14ac:dyDescent="0.2">
      <c r="C20" s="28">
        <v>0</v>
      </c>
      <c r="D20" s="29">
        <v>3</v>
      </c>
      <c r="E20" s="29" t="s">
        <v>105</v>
      </c>
      <c r="F20" s="29" t="s">
        <v>89</v>
      </c>
      <c r="G20" s="29">
        <v>20</v>
      </c>
      <c r="H20" s="29">
        <v>0</v>
      </c>
      <c r="I20" s="29">
        <v>0</v>
      </c>
      <c r="J20" s="29">
        <v>805</v>
      </c>
      <c r="K20" s="29">
        <v>0</v>
      </c>
      <c r="L20" s="29" t="s">
        <v>90</v>
      </c>
      <c r="Q20" t="str">
        <v>Hombre</v>
      </c>
    </row>
    <row r="21" spans="3:25" x14ac:dyDescent="0.2">
      <c r="C21" s="28">
        <v>0</v>
      </c>
      <c r="D21" s="29">
        <v>3</v>
      </c>
      <c r="E21" s="29" t="s">
        <v>106</v>
      </c>
      <c r="F21" s="29" t="s">
        <v>89</v>
      </c>
      <c r="G21" s="29">
        <v>39</v>
      </c>
      <c r="H21" s="29">
        <v>1</v>
      </c>
      <c r="I21" s="29">
        <v>5</v>
      </c>
      <c r="J21" s="29">
        <v>31275</v>
      </c>
      <c r="K21" s="29">
        <v>0</v>
      </c>
      <c r="L21" s="29" t="s">
        <v>90</v>
      </c>
      <c r="Q21" t="str">
        <v>Mujer</v>
      </c>
      <c r="S21" s="23" t="s">
        <v>987</v>
      </c>
      <c r="T21" s="32">
        <f>GETPIVOTDATA("Sobrevive",$S$14,"Sexo","Hombre")/GETPIVOTDATA("Sobrevive",$S$14)</f>
        <v>0.6475869809203143</v>
      </c>
      <c r="V21" t="s">
        <v>989</v>
      </c>
      <c r="W21" s="32">
        <f>GETPIVOTDATA("Sobrevive",$S$14,"Sobrevive",0)/GETPIVOTDATA("Sobrevive",$S$14)</f>
        <v>0.61616161616161613</v>
      </c>
    </row>
    <row r="22" spans="3:25" x14ac:dyDescent="0.2">
      <c r="C22" s="28">
        <v>0</v>
      </c>
      <c r="D22" s="29">
        <v>3</v>
      </c>
      <c r="E22" s="29" t="s">
        <v>107</v>
      </c>
      <c r="F22" s="29" t="s">
        <v>92</v>
      </c>
      <c r="G22" s="29">
        <v>14</v>
      </c>
      <c r="H22" s="29">
        <v>0</v>
      </c>
      <c r="I22" s="29">
        <v>0</v>
      </c>
      <c r="J22" s="29">
        <v>78542</v>
      </c>
      <c r="K22" s="29">
        <v>0</v>
      </c>
      <c r="L22" s="29" t="s">
        <v>90</v>
      </c>
      <c r="Q22" t="str">
        <v>Mujer</v>
      </c>
      <c r="S22" s="23" t="s">
        <v>988</v>
      </c>
      <c r="T22" s="32">
        <f>GETPIVOTDATA("Sobrevive",$S$14,"Sexo","Mujer")/GETPIVOTDATA("Sobrevive",$S$14)</f>
        <v>0.35241301907968575</v>
      </c>
      <c r="V22" t="s">
        <v>990</v>
      </c>
      <c r="W22" s="32">
        <f>GETPIVOTDATA("Sobrevive",$S$14,"Sobrevive",1)/GETPIVOTDATA("Sobrevive",$S$14)</f>
        <v>0.38383838383838381</v>
      </c>
    </row>
    <row r="23" spans="3:25" x14ac:dyDescent="0.2">
      <c r="C23" s="28">
        <v>1</v>
      </c>
      <c r="D23" s="29">
        <v>2</v>
      </c>
      <c r="E23" s="29" t="s">
        <v>108</v>
      </c>
      <c r="F23" s="29" t="s">
        <v>92</v>
      </c>
      <c r="G23" s="29">
        <v>55</v>
      </c>
      <c r="H23" s="29">
        <v>0</v>
      </c>
      <c r="I23" s="29">
        <v>0</v>
      </c>
      <c r="J23" s="29">
        <v>16</v>
      </c>
      <c r="K23" s="29">
        <v>0</v>
      </c>
      <c r="L23" s="29" t="s">
        <v>90</v>
      </c>
      <c r="Q23" t="str">
        <v>Hombre</v>
      </c>
    </row>
    <row r="24" spans="3:25" x14ac:dyDescent="0.2">
      <c r="C24" s="28">
        <v>0</v>
      </c>
      <c r="D24" s="29">
        <v>3</v>
      </c>
      <c r="E24" s="29" t="s">
        <v>109</v>
      </c>
      <c r="F24" s="29" t="s">
        <v>89</v>
      </c>
      <c r="G24" s="29">
        <v>2</v>
      </c>
      <c r="H24" s="29">
        <v>4</v>
      </c>
      <c r="I24" s="29">
        <v>1</v>
      </c>
      <c r="J24" s="29">
        <v>29125</v>
      </c>
      <c r="K24" s="29">
        <v>0</v>
      </c>
      <c r="L24" s="29" t="s">
        <v>98</v>
      </c>
      <c r="Q24" t="str">
        <v>Hombre</v>
      </c>
      <c r="S24" t="s">
        <v>991</v>
      </c>
      <c r="V24" t="s">
        <v>1001</v>
      </c>
      <c r="Y24" t="s">
        <v>998</v>
      </c>
    </row>
    <row r="25" spans="3:25" x14ac:dyDescent="0.2">
      <c r="C25" s="28">
        <v>1</v>
      </c>
      <c r="D25" s="29">
        <v>2</v>
      </c>
      <c r="E25" s="29" t="s">
        <v>110</v>
      </c>
      <c r="F25" s="29" t="s">
        <v>89</v>
      </c>
      <c r="G25" s="30"/>
      <c r="H25" s="29">
        <v>0</v>
      </c>
      <c r="I25" s="29">
        <v>0</v>
      </c>
      <c r="J25" s="29">
        <v>13</v>
      </c>
      <c r="K25" s="29">
        <v>0</v>
      </c>
      <c r="L25" s="29" t="s">
        <v>90</v>
      </c>
      <c r="Q25" t="str">
        <v>Mujer</v>
      </c>
    </row>
    <row r="26" spans="3:25" x14ac:dyDescent="0.2">
      <c r="C26" s="28">
        <v>0</v>
      </c>
      <c r="D26" s="29">
        <v>3</v>
      </c>
      <c r="E26" s="29" t="s">
        <v>111</v>
      </c>
      <c r="F26" s="29" t="s">
        <v>92</v>
      </c>
      <c r="G26" s="29">
        <v>31</v>
      </c>
      <c r="H26" s="29">
        <v>1</v>
      </c>
      <c r="I26" s="29">
        <v>0</v>
      </c>
      <c r="J26" s="29">
        <v>18</v>
      </c>
      <c r="K26" s="29">
        <v>0</v>
      </c>
      <c r="L26" s="29" t="s">
        <v>90</v>
      </c>
      <c r="Q26" t="str">
        <v>Mujer</v>
      </c>
      <c r="S26" s="33" t="s">
        <v>992</v>
      </c>
      <c r="T26" s="32">
        <f>GETPIVOTDATA("Sobrevive",$S$14,"Sobrevive",1,"Sexo","Hombre")/GETPIVOTDATA("Sobrevive",$S$14)</f>
        <v>0.122334455667789</v>
      </c>
    </row>
    <row r="27" spans="3:25" x14ac:dyDescent="0.2">
      <c r="C27" s="28">
        <v>1</v>
      </c>
      <c r="D27" s="29">
        <v>3</v>
      </c>
      <c r="E27" s="29" t="s">
        <v>112</v>
      </c>
      <c r="F27" s="29" t="s">
        <v>92</v>
      </c>
      <c r="G27" s="30"/>
      <c r="H27" s="29">
        <v>0</v>
      </c>
      <c r="I27" s="29">
        <v>0</v>
      </c>
      <c r="J27" s="29">
        <v>7225</v>
      </c>
      <c r="K27" s="29">
        <v>0</v>
      </c>
      <c r="L27" s="29" t="s">
        <v>93</v>
      </c>
      <c r="Q27" t="str">
        <v>Hombre</v>
      </c>
      <c r="S27" s="33" t="s">
        <v>993</v>
      </c>
      <c r="T27" s="32">
        <f>GETPIVOTDATA("Sobrevive",$S$14,"Sobrevive",0,"Sexo","Hombre")/GETPIVOTDATA("Sobrevive",$S$14)</f>
        <v>0.5252525252525253</v>
      </c>
    </row>
    <row r="28" spans="3:25" x14ac:dyDescent="0.2">
      <c r="C28" s="28">
        <v>0</v>
      </c>
      <c r="D28" s="29">
        <v>2</v>
      </c>
      <c r="E28" s="29" t="s">
        <v>113</v>
      </c>
      <c r="F28" s="29" t="s">
        <v>89</v>
      </c>
      <c r="G28" s="29">
        <v>35</v>
      </c>
      <c r="H28" s="29">
        <v>0</v>
      </c>
      <c r="I28" s="29">
        <v>0</v>
      </c>
      <c r="J28" s="29">
        <v>26</v>
      </c>
      <c r="K28" s="29">
        <v>0</v>
      </c>
      <c r="L28" s="29" t="s">
        <v>90</v>
      </c>
      <c r="Q28" t="str">
        <v>Hombre</v>
      </c>
    </row>
    <row r="29" spans="3:25" x14ac:dyDescent="0.2">
      <c r="C29" s="28">
        <v>1</v>
      </c>
      <c r="D29" s="29">
        <v>2</v>
      </c>
      <c r="E29" s="29" t="s">
        <v>114</v>
      </c>
      <c r="F29" s="29" t="s">
        <v>89</v>
      </c>
      <c r="G29" s="29">
        <v>34</v>
      </c>
      <c r="H29" s="29">
        <v>0</v>
      </c>
      <c r="I29" s="29">
        <v>0</v>
      </c>
      <c r="J29" s="29">
        <v>13</v>
      </c>
      <c r="K29" s="29">
        <v>1</v>
      </c>
      <c r="L29" s="29" t="s">
        <v>90</v>
      </c>
      <c r="Q29" t="str">
        <v>Mujer</v>
      </c>
      <c r="S29" s="34" t="s">
        <v>995</v>
      </c>
      <c r="T29" s="32">
        <f>GETPIVOTDATA("Sobrevive",$S$14,"Sobrevive",1,"Sexo","Mujer")/GETPIVOTDATA("Sobrevive",$S$14)</f>
        <v>0.26150392817059481</v>
      </c>
    </row>
    <row r="30" spans="3:25" x14ac:dyDescent="0.2">
      <c r="C30" s="28">
        <v>1</v>
      </c>
      <c r="D30" s="29">
        <v>3</v>
      </c>
      <c r="E30" s="29" t="s">
        <v>115</v>
      </c>
      <c r="F30" s="29" t="s">
        <v>92</v>
      </c>
      <c r="G30" s="29">
        <v>15</v>
      </c>
      <c r="H30" s="29">
        <v>0</v>
      </c>
      <c r="I30" s="29">
        <v>0</v>
      </c>
      <c r="J30" s="29">
        <v>80292</v>
      </c>
      <c r="K30" s="29">
        <v>0</v>
      </c>
      <c r="L30" s="29" t="s">
        <v>98</v>
      </c>
      <c r="Q30" t="str">
        <v>Hombre</v>
      </c>
      <c r="S30" s="34" t="s">
        <v>994</v>
      </c>
      <c r="T30" s="32">
        <f>GETPIVOTDATA("Sobrevive",$S$14,"Sobrevive",0,"Sexo","Mujer")/GETPIVOTDATA("Sobrevive",$S$14)</f>
        <v>9.0909090909090912E-2</v>
      </c>
    </row>
    <row r="31" spans="3:25" x14ac:dyDescent="0.2">
      <c r="C31" s="28">
        <v>1</v>
      </c>
      <c r="D31" s="29">
        <v>1</v>
      </c>
      <c r="E31" s="29" t="s">
        <v>116</v>
      </c>
      <c r="F31" s="29" t="s">
        <v>89</v>
      </c>
      <c r="G31" s="29">
        <v>28</v>
      </c>
      <c r="H31" s="29">
        <v>0</v>
      </c>
      <c r="I31" s="29">
        <v>0</v>
      </c>
      <c r="J31" s="29">
        <v>355</v>
      </c>
      <c r="K31" s="29">
        <v>1</v>
      </c>
      <c r="L31" s="29" t="s">
        <v>90</v>
      </c>
      <c r="Q31" t="str">
        <v>Mujer</v>
      </c>
    </row>
    <row r="32" spans="3:25" x14ac:dyDescent="0.2">
      <c r="C32" s="28">
        <v>0</v>
      </c>
      <c r="D32" s="29">
        <v>3</v>
      </c>
      <c r="E32" s="29" t="s">
        <v>117</v>
      </c>
      <c r="F32" s="29" t="s">
        <v>92</v>
      </c>
      <c r="G32" s="29">
        <v>8</v>
      </c>
      <c r="H32" s="29">
        <v>3</v>
      </c>
      <c r="I32" s="29">
        <v>1</v>
      </c>
      <c r="J32" s="29">
        <v>21075</v>
      </c>
      <c r="K32" s="29">
        <v>0</v>
      </c>
      <c r="L32" s="29" t="s">
        <v>90</v>
      </c>
      <c r="Q32" t="str">
        <v>Mujer</v>
      </c>
      <c r="S32" t="s">
        <v>996</v>
      </c>
      <c r="T32" s="32">
        <f>T26/T21</f>
        <v>0.18890814558058924</v>
      </c>
      <c r="V32" t="s">
        <v>1002</v>
      </c>
      <c r="X32" s="32">
        <f>T32*T21/W21</f>
        <v>0.19854280510018216</v>
      </c>
    </row>
    <row r="33" spans="3:24" x14ac:dyDescent="0.2">
      <c r="C33" s="28">
        <v>1</v>
      </c>
      <c r="D33" s="29">
        <v>3</v>
      </c>
      <c r="E33" s="29" t="s">
        <v>118</v>
      </c>
      <c r="F33" s="29" t="s">
        <v>92</v>
      </c>
      <c r="G33" s="29">
        <v>38</v>
      </c>
      <c r="H33" s="29">
        <v>1</v>
      </c>
      <c r="I33" s="29">
        <v>5</v>
      </c>
      <c r="J33" s="29">
        <v>313875</v>
      </c>
      <c r="K33" s="29">
        <v>0</v>
      </c>
      <c r="L33" s="29" t="s">
        <v>90</v>
      </c>
      <c r="Q33" t="str">
        <v>Hombre</v>
      </c>
      <c r="S33" t="s">
        <v>997</v>
      </c>
      <c r="T33" s="32">
        <f>T27/T21</f>
        <v>0.81109185441941078</v>
      </c>
      <c r="V33" t="s">
        <v>1003</v>
      </c>
      <c r="X33" s="32">
        <f>T33*T21/W22</f>
        <v>1.3684210526315792</v>
      </c>
    </row>
    <row r="34" spans="3:24" x14ac:dyDescent="0.2">
      <c r="C34" s="28">
        <v>0</v>
      </c>
      <c r="D34" s="29">
        <v>3</v>
      </c>
      <c r="E34" s="29" t="s">
        <v>119</v>
      </c>
      <c r="F34" s="29" t="s">
        <v>89</v>
      </c>
      <c r="G34" s="30"/>
      <c r="H34" s="29">
        <v>0</v>
      </c>
      <c r="I34" s="29">
        <v>0</v>
      </c>
      <c r="J34" s="29">
        <v>7225</v>
      </c>
      <c r="K34" s="29">
        <v>0</v>
      </c>
      <c r="L34" s="29" t="s">
        <v>93</v>
      </c>
      <c r="Q34" t="str">
        <v>Hombre</v>
      </c>
    </row>
    <row r="35" spans="3:24" x14ac:dyDescent="0.2">
      <c r="C35" s="28">
        <v>0</v>
      </c>
      <c r="D35" s="29">
        <v>1</v>
      </c>
      <c r="E35" s="29" t="s">
        <v>120</v>
      </c>
      <c r="F35" s="29" t="s">
        <v>89</v>
      </c>
      <c r="G35" s="29">
        <v>19</v>
      </c>
      <c r="H35" s="29">
        <v>3</v>
      </c>
      <c r="I35" s="29">
        <v>2</v>
      </c>
      <c r="J35" s="29">
        <v>263</v>
      </c>
      <c r="K35" s="29">
        <v>1</v>
      </c>
      <c r="L35" s="29" t="s">
        <v>90</v>
      </c>
      <c r="Q35" t="str">
        <v>Mujer</v>
      </c>
      <c r="S35" t="s">
        <v>999</v>
      </c>
    </row>
    <row r="36" spans="3:24" x14ac:dyDescent="0.2">
      <c r="C36" s="28">
        <v>1</v>
      </c>
      <c r="D36" s="29">
        <v>3</v>
      </c>
      <c r="E36" s="29" t="s">
        <v>121</v>
      </c>
      <c r="F36" s="29" t="s">
        <v>92</v>
      </c>
      <c r="G36" s="30"/>
      <c r="H36" s="29">
        <v>0</v>
      </c>
      <c r="I36" s="29">
        <v>0</v>
      </c>
      <c r="J36" s="29">
        <v>78792</v>
      </c>
      <c r="K36" s="29">
        <v>0</v>
      </c>
      <c r="L36" s="29" t="s">
        <v>98</v>
      </c>
      <c r="Q36" t="str">
        <v>Hombre</v>
      </c>
      <c r="S36" t="s">
        <v>1000</v>
      </c>
    </row>
    <row r="37" spans="3:24" x14ac:dyDescent="0.2">
      <c r="C37" s="28">
        <v>0</v>
      </c>
      <c r="D37" s="29">
        <v>3</v>
      </c>
      <c r="E37" s="29" t="s">
        <v>122</v>
      </c>
      <c r="F37" s="29" t="s">
        <v>89</v>
      </c>
      <c r="G37" s="30"/>
      <c r="H37" s="29">
        <v>0</v>
      </c>
      <c r="I37" s="29">
        <v>0</v>
      </c>
      <c r="J37" s="29">
        <v>78958</v>
      </c>
      <c r="K37" s="29">
        <v>0</v>
      </c>
      <c r="L37" s="29" t="s">
        <v>90</v>
      </c>
      <c r="Q37" t="str">
        <v>Hombre</v>
      </c>
    </row>
    <row r="38" spans="3:24" x14ac:dyDescent="0.2">
      <c r="C38" s="28">
        <v>0</v>
      </c>
      <c r="D38" s="29">
        <v>1</v>
      </c>
      <c r="E38" s="29" t="s">
        <v>123</v>
      </c>
      <c r="F38" s="29" t="s">
        <v>89</v>
      </c>
      <c r="G38" s="29">
        <v>40</v>
      </c>
      <c r="H38" s="29">
        <v>0</v>
      </c>
      <c r="I38" s="29">
        <v>0</v>
      </c>
      <c r="J38" s="29">
        <v>277208</v>
      </c>
      <c r="K38" s="29">
        <v>0</v>
      </c>
      <c r="L38" s="29" t="s">
        <v>93</v>
      </c>
      <c r="Q38" t="str">
        <v>Mujer</v>
      </c>
    </row>
    <row r="39" spans="3:24" x14ac:dyDescent="0.2">
      <c r="C39" s="28">
        <v>1</v>
      </c>
      <c r="D39" s="29">
        <v>1</v>
      </c>
      <c r="E39" s="29" t="s">
        <v>124</v>
      </c>
      <c r="F39" s="29" t="s">
        <v>92</v>
      </c>
      <c r="G39" s="30"/>
      <c r="H39" s="29">
        <v>1</v>
      </c>
      <c r="I39" s="29">
        <v>0</v>
      </c>
      <c r="J39" s="29">
        <v>1465208</v>
      </c>
      <c r="K39" s="29">
        <v>1</v>
      </c>
      <c r="L39" s="29" t="s">
        <v>93</v>
      </c>
      <c r="Q39" t="str">
        <v>Mujer</v>
      </c>
    </row>
    <row r="40" spans="3:24" x14ac:dyDescent="0.2">
      <c r="C40" s="28">
        <v>1</v>
      </c>
      <c r="D40" s="29">
        <v>3</v>
      </c>
      <c r="E40" s="29" t="s">
        <v>125</v>
      </c>
      <c r="F40" s="29" t="s">
        <v>92</v>
      </c>
      <c r="G40" s="30"/>
      <c r="H40" s="29">
        <v>0</v>
      </c>
      <c r="I40" s="29">
        <v>0</v>
      </c>
      <c r="J40" s="29">
        <v>775</v>
      </c>
      <c r="K40" s="29">
        <v>0</v>
      </c>
      <c r="L40" s="29" t="s">
        <v>98</v>
      </c>
      <c r="Q40" t="str">
        <v>Hombre</v>
      </c>
    </row>
    <row r="41" spans="3:24" x14ac:dyDescent="0.2">
      <c r="C41" s="28">
        <v>0</v>
      </c>
      <c r="D41" s="29">
        <v>2</v>
      </c>
      <c r="E41" s="29" t="s">
        <v>126</v>
      </c>
      <c r="F41" s="29" t="s">
        <v>89</v>
      </c>
      <c r="G41" s="29">
        <v>66</v>
      </c>
      <c r="H41" s="29">
        <v>0</v>
      </c>
      <c r="I41" s="29">
        <v>0</v>
      </c>
      <c r="J41" s="29">
        <v>105</v>
      </c>
      <c r="K41" s="29">
        <v>0</v>
      </c>
      <c r="L41" s="29" t="s">
        <v>90</v>
      </c>
      <c r="Q41" t="str">
        <v>Hombre</v>
      </c>
    </row>
    <row r="42" spans="3:24" x14ac:dyDescent="0.2">
      <c r="C42" s="28">
        <v>0</v>
      </c>
      <c r="D42" s="29">
        <v>1</v>
      </c>
      <c r="E42" s="29" t="s">
        <v>127</v>
      </c>
      <c r="F42" s="29" t="s">
        <v>89</v>
      </c>
      <c r="G42" s="29">
        <v>28</v>
      </c>
      <c r="H42" s="29">
        <v>1</v>
      </c>
      <c r="I42" s="29">
        <v>0</v>
      </c>
      <c r="J42" s="29">
        <v>821708</v>
      </c>
      <c r="K42" s="29">
        <v>0</v>
      </c>
      <c r="L42" s="29" t="s">
        <v>93</v>
      </c>
      <c r="Q42" t="str">
        <v>Hombre</v>
      </c>
    </row>
    <row r="43" spans="3:24" x14ac:dyDescent="0.2">
      <c r="C43" s="28">
        <v>0</v>
      </c>
      <c r="D43" s="29">
        <v>1</v>
      </c>
      <c r="E43" s="29" t="s">
        <v>128</v>
      </c>
      <c r="F43" s="29" t="s">
        <v>89</v>
      </c>
      <c r="G43" s="29">
        <v>42</v>
      </c>
      <c r="H43" s="29">
        <v>1</v>
      </c>
      <c r="I43" s="29">
        <v>0</v>
      </c>
      <c r="J43" s="29">
        <v>52</v>
      </c>
      <c r="K43" s="29">
        <v>0</v>
      </c>
      <c r="L43" s="29" t="s">
        <v>90</v>
      </c>
      <c r="Q43" t="str">
        <v>Hombre</v>
      </c>
    </row>
    <row r="44" spans="3:24" x14ac:dyDescent="0.2">
      <c r="C44" s="28">
        <v>1</v>
      </c>
      <c r="D44" s="29">
        <v>3</v>
      </c>
      <c r="E44" s="29" t="s">
        <v>129</v>
      </c>
      <c r="F44" s="29" t="s">
        <v>89</v>
      </c>
      <c r="G44" s="30"/>
      <c r="H44" s="29">
        <v>0</v>
      </c>
      <c r="I44" s="29">
        <v>0</v>
      </c>
      <c r="J44" s="29">
        <v>72292</v>
      </c>
      <c r="K44" s="29">
        <v>0</v>
      </c>
      <c r="L44" s="29" t="s">
        <v>93</v>
      </c>
      <c r="Q44" t="str">
        <v>Hombre</v>
      </c>
    </row>
    <row r="45" spans="3:24" x14ac:dyDescent="0.2">
      <c r="C45" s="28">
        <v>0</v>
      </c>
      <c r="D45" s="29">
        <v>3</v>
      </c>
      <c r="E45" s="29" t="s">
        <v>130</v>
      </c>
      <c r="F45" s="29" t="s">
        <v>89</v>
      </c>
      <c r="G45" s="29">
        <v>21</v>
      </c>
      <c r="H45" s="29">
        <v>0</v>
      </c>
      <c r="I45" s="29">
        <v>0</v>
      </c>
      <c r="J45" s="29">
        <v>805</v>
      </c>
      <c r="K45" s="29">
        <v>0</v>
      </c>
      <c r="L45" s="29" t="s">
        <v>90</v>
      </c>
      <c r="Q45" t="str">
        <v>Mujer</v>
      </c>
    </row>
    <row r="46" spans="3:24" x14ac:dyDescent="0.2">
      <c r="C46" s="28">
        <v>0</v>
      </c>
      <c r="D46" s="29">
        <v>3</v>
      </c>
      <c r="E46" s="29" t="s">
        <v>131</v>
      </c>
      <c r="F46" s="29" t="s">
        <v>92</v>
      </c>
      <c r="G46" s="29">
        <v>18</v>
      </c>
      <c r="H46" s="29">
        <v>2</v>
      </c>
      <c r="I46" s="29">
        <v>0</v>
      </c>
      <c r="J46" s="29">
        <v>18</v>
      </c>
      <c r="K46" s="29">
        <v>0</v>
      </c>
      <c r="L46" s="29" t="s">
        <v>90</v>
      </c>
      <c r="Q46" t="str">
        <v>Mujer</v>
      </c>
    </row>
    <row r="47" spans="3:24" x14ac:dyDescent="0.2">
      <c r="C47" s="28">
        <v>1</v>
      </c>
      <c r="D47" s="29">
        <v>3</v>
      </c>
      <c r="E47" s="29" t="s">
        <v>132</v>
      </c>
      <c r="F47" s="29" t="s">
        <v>92</v>
      </c>
      <c r="G47" s="29">
        <v>14</v>
      </c>
      <c r="H47" s="29">
        <v>1</v>
      </c>
      <c r="I47" s="29">
        <v>0</v>
      </c>
      <c r="J47" s="29">
        <v>112417</v>
      </c>
      <c r="K47" s="29">
        <v>0</v>
      </c>
      <c r="L47" s="29" t="s">
        <v>93</v>
      </c>
      <c r="Q47" t="str">
        <v>Mujer</v>
      </c>
    </row>
    <row r="48" spans="3:24" x14ac:dyDescent="0.2">
      <c r="C48" s="28">
        <v>0</v>
      </c>
      <c r="D48" s="29">
        <v>3</v>
      </c>
      <c r="E48" s="29" t="s">
        <v>133</v>
      </c>
      <c r="F48" s="29" t="s">
        <v>92</v>
      </c>
      <c r="G48" s="29">
        <v>40</v>
      </c>
      <c r="H48" s="29">
        <v>1</v>
      </c>
      <c r="I48" s="29">
        <v>0</v>
      </c>
      <c r="J48" s="29">
        <v>9475</v>
      </c>
      <c r="K48" s="29">
        <v>0</v>
      </c>
      <c r="L48" s="29" t="s">
        <v>90</v>
      </c>
      <c r="Q48" t="str">
        <v>Mujer</v>
      </c>
    </row>
    <row r="49" spans="3:17" x14ac:dyDescent="0.2">
      <c r="C49" s="28">
        <v>0</v>
      </c>
      <c r="D49" s="29">
        <v>2</v>
      </c>
      <c r="E49" s="29" t="s">
        <v>134</v>
      </c>
      <c r="F49" s="29" t="s">
        <v>92</v>
      </c>
      <c r="G49" s="29">
        <v>27</v>
      </c>
      <c r="H49" s="29">
        <v>1</v>
      </c>
      <c r="I49" s="29">
        <v>0</v>
      </c>
      <c r="J49" s="29">
        <v>21</v>
      </c>
      <c r="K49" s="29">
        <v>0</v>
      </c>
      <c r="L49" s="29" t="s">
        <v>90</v>
      </c>
      <c r="Q49" t="str">
        <v>Hombre</v>
      </c>
    </row>
    <row r="50" spans="3:17" x14ac:dyDescent="0.2">
      <c r="C50" s="28">
        <v>0</v>
      </c>
      <c r="D50" s="29">
        <v>3</v>
      </c>
      <c r="E50" s="29" t="s">
        <v>135</v>
      </c>
      <c r="F50" s="29" t="s">
        <v>89</v>
      </c>
      <c r="G50" s="30"/>
      <c r="H50" s="29">
        <v>0</v>
      </c>
      <c r="I50" s="29">
        <v>0</v>
      </c>
      <c r="J50" s="29">
        <v>78958</v>
      </c>
      <c r="K50" s="29">
        <v>0</v>
      </c>
      <c r="L50" s="29" t="s">
        <v>93</v>
      </c>
      <c r="Q50" t="str">
        <v>Mujer</v>
      </c>
    </row>
    <row r="51" spans="3:17" x14ac:dyDescent="0.2">
      <c r="C51" s="28">
        <v>1</v>
      </c>
      <c r="D51" s="29">
        <v>2</v>
      </c>
      <c r="E51" s="29" t="s">
        <v>136</v>
      </c>
      <c r="F51" s="29" t="s">
        <v>92</v>
      </c>
      <c r="G51" s="29">
        <v>3</v>
      </c>
      <c r="H51" s="29">
        <v>1</v>
      </c>
      <c r="I51" s="29">
        <v>2</v>
      </c>
      <c r="J51" s="29">
        <v>415792</v>
      </c>
      <c r="K51" s="29">
        <v>0</v>
      </c>
      <c r="L51" s="29" t="s">
        <v>93</v>
      </c>
      <c r="Q51" t="str">
        <v>Mujer</v>
      </c>
    </row>
    <row r="52" spans="3:17" x14ac:dyDescent="0.2">
      <c r="C52" s="28">
        <v>1</v>
      </c>
      <c r="D52" s="29">
        <v>3</v>
      </c>
      <c r="E52" s="29" t="s">
        <v>137</v>
      </c>
      <c r="F52" s="29" t="s">
        <v>92</v>
      </c>
      <c r="G52" s="29">
        <v>19</v>
      </c>
      <c r="H52" s="29">
        <v>0</v>
      </c>
      <c r="I52" s="29">
        <v>0</v>
      </c>
      <c r="J52" s="29">
        <v>78792</v>
      </c>
      <c r="K52" s="29">
        <v>0</v>
      </c>
      <c r="L52" s="29" t="s">
        <v>98</v>
      </c>
      <c r="Q52" t="str">
        <v>Hombre</v>
      </c>
    </row>
    <row r="53" spans="3:17" x14ac:dyDescent="0.2">
      <c r="C53" s="28">
        <v>0</v>
      </c>
      <c r="D53" s="29">
        <v>3</v>
      </c>
      <c r="E53" s="29" t="s">
        <v>138</v>
      </c>
      <c r="F53" s="29" t="s">
        <v>89</v>
      </c>
      <c r="G53" s="30"/>
      <c r="H53" s="29">
        <v>0</v>
      </c>
      <c r="I53" s="29">
        <v>0</v>
      </c>
      <c r="J53" s="29">
        <v>805</v>
      </c>
      <c r="K53" s="29">
        <v>0</v>
      </c>
      <c r="L53" s="29" t="s">
        <v>90</v>
      </c>
      <c r="Q53" t="str">
        <v>Hombre</v>
      </c>
    </row>
    <row r="54" spans="3:17" x14ac:dyDescent="0.2">
      <c r="C54" s="28">
        <v>0</v>
      </c>
      <c r="D54" s="29">
        <v>3</v>
      </c>
      <c r="E54" s="29" t="s">
        <v>139</v>
      </c>
      <c r="F54" s="29" t="s">
        <v>89</v>
      </c>
      <c r="G54" s="30"/>
      <c r="H54" s="29">
        <v>1</v>
      </c>
      <c r="I54" s="29">
        <v>0</v>
      </c>
      <c r="J54" s="29">
        <v>155</v>
      </c>
      <c r="K54" s="29">
        <v>0</v>
      </c>
      <c r="L54" s="29" t="s">
        <v>98</v>
      </c>
      <c r="Q54" t="str">
        <v>Mujer</v>
      </c>
    </row>
    <row r="55" spans="3:17" x14ac:dyDescent="0.2">
      <c r="C55" s="28">
        <v>1</v>
      </c>
      <c r="D55" s="29">
        <v>3</v>
      </c>
      <c r="E55" s="29" t="s">
        <v>140</v>
      </c>
      <c r="F55" s="29" t="s">
        <v>92</v>
      </c>
      <c r="G55" s="30"/>
      <c r="H55" s="29">
        <v>0</v>
      </c>
      <c r="I55" s="29">
        <v>0</v>
      </c>
      <c r="J55" s="29">
        <v>775</v>
      </c>
      <c r="K55" s="29">
        <v>0</v>
      </c>
      <c r="L55" s="29" t="s">
        <v>98</v>
      </c>
      <c r="Q55" t="str">
        <v>Hombre</v>
      </c>
    </row>
    <row r="56" spans="3:17" x14ac:dyDescent="0.2">
      <c r="C56" s="28">
        <v>0</v>
      </c>
      <c r="D56" s="29">
        <v>3</v>
      </c>
      <c r="E56" s="29" t="s">
        <v>141</v>
      </c>
      <c r="F56" s="29" t="s">
        <v>89</v>
      </c>
      <c r="G56" s="30"/>
      <c r="H56" s="29">
        <v>2</v>
      </c>
      <c r="I56" s="29">
        <v>0</v>
      </c>
      <c r="J56" s="29">
        <v>216792</v>
      </c>
      <c r="K56" s="29">
        <v>0</v>
      </c>
      <c r="L56" s="29" t="s">
        <v>93</v>
      </c>
      <c r="Q56" t="str">
        <v>Mujer</v>
      </c>
    </row>
    <row r="57" spans="3:17" x14ac:dyDescent="0.2">
      <c r="C57" s="28">
        <v>0</v>
      </c>
      <c r="D57" s="29">
        <v>3</v>
      </c>
      <c r="E57" s="29" t="s">
        <v>142</v>
      </c>
      <c r="F57" s="29" t="s">
        <v>92</v>
      </c>
      <c r="G57" s="29">
        <v>18</v>
      </c>
      <c r="H57" s="29">
        <v>1</v>
      </c>
      <c r="I57" s="29">
        <v>0</v>
      </c>
      <c r="J57" s="29">
        <v>178</v>
      </c>
      <c r="K57" s="29">
        <v>0</v>
      </c>
      <c r="L57" s="29" t="s">
        <v>90</v>
      </c>
      <c r="Q57" t="str">
        <v>Hombre</v>
      </c>
    </row>
    <row r="58" spans="3:17" x14ac:dyDescent="0.2">
      <c r="C58" s="28">
        <v>0</v>
      </c>
      <c r="D58" s="29">
        <v>3</v>
      </c>
      <c r="E58" s="29" t="s">
        <v>143</v>
      </c>
      <c r="F58" s="29" t="s">
        <v>89</v>
      </c>
      <c r="G58" s="29">
        <v>7</v>
      </c>
      <c r="H58" s="29">
        <v>4</v>
      </c>
      <c r="I58" s="29">
        <v>1</v>
      </c>
      <c r="J58" s="29">
        <v>396875</v>
      </c>
      <c r="K58" s="29">
        <v>0</v>
      </c>
      <c r="L58" s="29" t="s">
        <v>90</v>
      </c>
      <c r="Q58" t="str">
        <v>Hombre</v>
      </c>
    </row>
    <row r="59" spans="3:17" x14ac:dyDescent="0.2">
      <c r="C59" s="28">
        <v>0</v>
      </c>
      <c r="D59" s="29">
        <v>3</v>
      </c>
      <c r="E59" s="29" t="s">
        <v>144</v>
      </c>
      <c r="F59" s="29" t="s">
        <v>89</v>
      </c>
      <c r="G59" s="29">
        <v>21</v>
      </c>
      <c r="H59" s="29">
        <v>0</v>
      </c>
      <c r="I59" s="29">
        <v>0</v>
      </c>
      <c r="J59" s="29">
        <v>78</v>
      </c>
      <c r="K59" s="29">
        <v>0</v>
      </c>
      <c r="L59" s="29" t="s">
        <v>90</v>
      </c>
      <c r="Q59" t="str">
        <v>Mujer</v>
      </c>
    </row>
    <row r="60" spans="3:17" x14ac:dyDescent="0.2">
      <c r="C60" s="28">
        <v>1</v>
      </c>
      <c r="D60" s="29">
        <v>1</v>
      </c>
      <c r="E60" s="29" t="s">
        <v>145</v>
      </c>
      <c r="F60" s="29" t="s">
        <v>92</v>
      </c>
      <c r="G60" s="29">
        <v>49</v>
      </c>
      <c r="H60" s="29">
        <v>1</v>
      </c>
      <c r="I60" s="29">
        <v>0</v>
      </c>
      <c r="J60" s="29">
        <v>767292</v>
      </c>
      <c r="K60" s="29">
        <v>1</v>
      </c>
      <c r="L60" s="29" t="s">
        <v>93</v>
      </c>
      <c r="Q60" t="str">
        <v>Mujer</v>
      </c>
    </row>
    <row r="61" spans="3:17" x14ac:dyDescent="0.2">
      <c r="C61" s="28">
        <v>1</v>
      </c>
      <c r="D61" s="29">
        <v>2</v>
      </c>
      <c r="E61" s="29" t="s">
        <v>146</v>
      </c>
      <c r="F61" s="29" t="s">
        <v>92</v>
      </c>
      <c r="G61" s="29">
        <v>29</v>
      </c>
      <c r="H61" s="29">
        <v>1</v>
      </c>
      <c r="I61" s="29">
        <v>0</v>
      </c>
      <c r="J61" s="29">
        <v>26</v>
      </c>
      <c r="K61" s="29">
        <v>0</v>
      </c>
      <c r="L61" s="29" t="s">
        <v>90</v>
      </c>
      <c r="Q61" t="str">
        <v>Hombre</v>
      </c>
    </row>
    <row r="62" spans="3:17" x14ac:dyDescent="0.2">
      <c r="C62" s="28">
        <v>0</v>
      </c>
      <c r="D62" s="29">
        <v>1</v>
      </c>
      <c r="E62" s="29" t="s">
        <v>147</v>
      </c>
      <c r="F62" s="29" t="s">
        <v>89</v>
      </c>
      <c r="G62" s="29">
        <v>65</v>
      </c>
      <c r="H62" s="29">
        <v>0</v>
      </c>
      <c r="I62" s="29">
        <v>1</v>
      </c>
      <c r="J62" s="29">
        <v>619792</v>
      </c>
      <c r="K62" s="29">
        <v>1</v>
      </c>
      <c r="L62" s="29" t="s">
        <v>93</v>
      </c>
      <c r="Q62" t="str">
        <v>Hombre</v>
      </c>
    </row>
    <row r="63" spans="3:17" x14ac:dyDescent="0.2">
      <c r="C63" s="28">
        <v>1</v>
      </c>
      <c r="D63" s="29">
        <v>1</v>
      </c>
      <c r="E63" s="29" t="s">
        <v>148</v>
      </c>
      <c r="F63" s="29" t="s">
        <v>89</v>
      </c>
      <c r="G63" s="30"/>
      <c r="H63" s="29">
        <v>0</v>
      </c>
      <c r="I63" s="29">
        <v>0</v>
      </c>
      <c r="J63" s="29">
        <v>355</v>
      </c>
      <c r="K63" s="29">
        <v>1</v>
      </c>
      <c r="L63" s="29" t="s">
        <v>90</v>
      </c>
      <c r="Q63" t="str">
        <v>Mujer</v>
      </c>
    </row>
    <row r="64" spans="3:17" x14ac:dyDescent="0.2">
      <c r="C64" s="28">
        <v>1</v>
      </c>
      <c r="D64" s="29">
        <v>2</v>
      </c>
      <c r="E64" s="29" t="s">
        <v>149</v>
      </c>
      <c r="F64" s="29" t="s">
        <v>92</v>
      </c>
      <c r="G64" s="29">
        <v>21</v>
      </c>
      <c r="H64" s="29">
        <v>0</v>
      </c>
      <c r="I64" s="29">
        <v>0</v>
      </c>
      <c r="J64" s="29">
        <v>105</v>
      </c>
      <c r="K64" s="29">
        <v>0</v>
      </c>
      <c r="L64" s="29" t="s">
        <v>90</v>
      </c>
      <c r="Q64" t="str">
        <v>Hombre</v>
      </c>
    </row>
    <row r="65" spans="3:17" x14ac:dyDescent="0.2">
      <c r="C65" s="28">
        <v>0</v>
      </c>
      <c r="D65" s="29">
        <v>3</v>
      </c>
      <c r="E65" s="29" t="s">
        <v>150</v>
      </c>
      <c r="F65" s="29" t="s">
        <v>89</v>
      </c>
      <c r="G65" s="29">
        <v>285</v>
      </c>
      <c r="H65" s="29">
        <v>0</v>
      </c>
      <c r="I65" s="29">
        <v>0</v>
      </c>
      <c r="J65" s="29">
        <v>72292</v>
      </c>
      <c r="K65" s="29">
        <v>0</v>
      </c>
      <c r="L65" s="29" t="s">
        <v>93</v>
      </c>
      <c r="Q65" t="str">
        <v>Mujer</v>
      </c>
    </row>
    <row r="66" spans="3:17" x14ac:dyDescent="0.2">
      <c r="C66" s="28">
        <v>1</v>
      </c>
      <c r="D66" s="29">
        <v>2</v>
      </c>
      <c r="E66" s="29" t="s">
        <v>151</v>
      </c>
      <c r="F66" s="29" t="s">
        <v>92</v>
      </c>
      <c r="G66" s="29">
        <v>5</v>
      </c>
      <c r="H66" s="29">
        <v>1</v>
      </c>
      <c r="I66" s="29">
        <v>2</v>
      </c>
      <c r="J66" s="29">
        <v>2775</v>
      </c>
      <c r="K66" s="29">
        <v>0</v>
      </c>
      <c r="L66" s="29" t="s">
        <v>90</v>
      </c>
      <c r="Q66" t="str">
        <v>Hombre</v>
      </c>
    </row>
    <row r="67" spans="3:17" x14ac:dyDescent="0.2">
      <c r="C67" s="28">
        <v>0</v>
      </c>
      <c r="D67" s="29">
        <v>3</v>
      </c>
      <c r="E67" s="29" t="s">
        <v>152</v>
      </c>
      <c r="F67" s="29" t="s">
        <v>89</v>
      </c>
      <c r="G67" s="29">
        <v>11</v>
      </c>
      <c r="H67" s="29">
        <v>5</v>
      </c>
      <c r="I67" s="29">
        <v>2</v>
      </c>
      <c r="J67" s="29">
        <v>469</v>
      </c>
      <c r="K67" s="29">
        <v>0</v>
      </c>
      <c r="L67" s="29" t="s">
        <v>90</v>
      </c>
      <c r="Q67" t="str">
        <v>Hombre</v>
      </c>
    </row>
    <row r="68" spans="3:17" x14ac:dyDescent="0.2">
      <c r="C68" s="28">
        <v>0</v>
      </c>
      <c r="D68" s="29">
        <v>3</v>
      </c>
      <c r="E68" s="29" t="s">
        <v>153</v>
      </c>
      <c r="F68" s="29" t="s">
        <v>89</v>
      </c>
      <c r="G68" s="29">
        <v>22</v>
      </c>
      <c r="H68" s="29">
        <v>0</v>
      </c>
      <c r="I68" s="29">
        <v>0</v>
      </c>
      <c r="J68" s="29">
        <v>72292</v>
      </c>
      <c r="K68" s="29">
        <v>0</v>
      </c>
      <c r="L68" s="29" t="s">
        <v>93</v>
      </c>
      <c r="Q68" t="str">
        <v>Mujer</v>
      </c>
    </row>
    <row r="69" spans="3:17" x14ac:dyDescent="0.2">
      <c r="C69" s="28">
        <v>1</v>
      </c>
      <c r="D69" s="29">
        <v>1</v>
      </c>
      <c r="E69" s="29" t="s">
        <v>154</v>
      </c>
      <c r="F69" s="29" t="s">
        <v>92</v>
      </c>
      <c r="G69" s="29">
        <v>38</v>
      </c>
      <c r="H69" s="29">
        <v>0</v>
      </c>
      <c r="I69" s="29">
        <v>0</v>
      </c>
      <c r="J69" s="29">
        <v>80</v>
      </c>
      <c r="K69" s="29">
        <v>1</v>
      </c>
      <c r="L69" s="30"/>
      <c r="Q69" t="str">
        <v>Hombre</v>
      </c>
    </row>
    <row r="70" spans="3:17" x14ac:dyDescent="0.2">
      <c r="C70" s="28">
        <v>0</v>
      </c>
      <c r="D70" s="29">
        <v>1</v>
      </c>
      <c r="E70" s="29" t="s">
        <v>155</v>
      </c>
      <c r="F70" s="29" t="s">
        <v>89</v>
      </c>
      <c r="G70" s="29">
        <v>45</v>
      </c>
      <c r="H70" s="29">
        <v>1</v>
      </c>
      <c r="I70" s="29">
        <v>0</v>
      </c>
      <c r="J70" s="29">
        <v>83475</v>
      </c>
      <c r="K70" s="29">
        <v>1</v>
      </c>
      <c r="L70" s="29" t="s">
        <v>90</v>
      </c>
      <c r="Q70" t="str">
        <v>Hombre</v>
      </c>
    </row>
    <row r="71" spans="3:17" x14ac:dyDescent="0.2">
      <c r="C71" s="28">
        <v>0</v>
      </c>
      <c r="D71" s="29">
        <v>3</v>
      </c>
      <c r="E71" s="29" t="s">
        <v>156</v>
      </c>
      <c r="F71" s="29" t="s">
        <v>89</v>
      </c>
      <c r="G71" s="29">
        <v>4</v>
      </c>
      <c r="H71" s="29">
        <v>3</v>
      </c>
      <c r="I71" s="29">
        <v>2</v>
      </c>
      <c r="J71" s="29">
        <v>279</v>
      </c>
      <c r="K71" s="29">
        <v>0</v>
      </c>
      <c r="L71" s="29" t="s">
        <v>90</v>
      </c>
      <c r="Q71" t="str">
        <v>Hombre</v>
      </c>
    </row>
    <row r="72" spans="3:17" x14ac:dyDescent="0.2">
      <c r="C72" s="28">
        <v>0</v>
      </c>
      <c r="D72" s="29">
        <v>1</v>
      </c>
      <c r="E72" s="29" t="s">
        <v>157</v>
      </c>
      <c r="F72" s="29" t="s">
        <v>89</v>
      </c>
      <c r="G72" s="30"/>
      <c r="H72" s="29">
        <v>0</v>
      </c>
      <c r="I72" s="29">
        <v>0</v>
      </c>
      <c r="J72" s="29">
        <v>277208</v>
      </c>
      <c r="K72" s="29">
        <v>0</v>
      </c>
      <c r="L72" s="29" t="s">
        <v>93</v>
      </c>
      <c r="Q72" t="str">
        <v>Hombre</v>
      </c>
    </row>
    <row r="73" spans="3:17" x14ac:dyDescent="0.2">
      <c r="C73" s="28">
        <v>1</v>
      </c>
      <c r="D73" s="29">
        <v>3</v>
      </c>
      <c r="E73" s="29" t="s">
        <v>158</v>
      </c>
      <c r="F73" s="29" t="s">
        <v>89</v>
      </c>
      <c r="G73" s="30"/>
      <c r="H73" s="29">
        <v>1</v>
      </c>
      <c r="I73" s="29">
        <v>1</v>
      </c>
      <c r="J73" s="29">
        <v>152458</v>
      </c>
      <c r="K73" s="29">
        <v>0</v>
      </c>
      <c r="L73" s="29" t="s">
        <v>93</v>
      </c>
      <c r="Q73" t="str">
        <v>Mujer</v>
      </c>
    </row>
    <row r="74" spans="3:17" x14ac:dyDescent="0.2">
      <c r="C74" s="28">
        <v>1</v>
      </c>
      <c r="D74" s="29">
        <v>2</v>
      </c>
      <c r="E74" s="29" t="s">
        <v>159</v>
      </c>
      <c r="F74" s="29" t="s">
        <v>92</v>
      </c>
      <c r="G74" s="29">
        <v>29</v>
      </c>
      <c r="H74" s="29">
        <v>0</v>
      </c>
      <c r="I74" s="29">
        <v>0</v>
      </c>
      <c r="J74" s="29">
        <v>105</v>
      </c>
      <c r="K74" s="29">
        <v>1</v>
      </c>
      <c r="L74" s="29" t="s">
        <v>90</v>
      </c>
      <c r="Q74" t="str">
        <v>Hombre</v>
      </c>
    </row>
    <row r="75" spans="3:17" x14ac:dyDescent="0.2">
      <c r="C75" s="28">
        <v>0</v>
      </c>
      <c r="D75" s="29">
        <v>3</v>
      </c>
      <c r="E75" s="29" t="s">
        <v>160</v>
      </c>
      <c r="F75" s="29" t="s">
        <v>89</v>
      </c>
      <c r="G75" s="29">
        <v>19</v>
      </c>
      <c r="H75" s="29">
        <v>0</v>
      </c>
      <c r="I75" s="29">
        <v>0</v>
      </c>
      <c r="J75" s="29">
        <v>81583</v>
      </c>
      <c r="K75" s="29">
        <v>0</v>
      </c>
      <c r="L75" s="29" t="s">
        <v>90</v>
      </c>
      <c r="Q75" t="str">
        <v>Mujer</v>
      </c>
    </row>
    <row r="76" spans="3:17" x14ac:dyDescent="0.2">
      <c r="C76" s="28">
        <v>1</v>
      </c>
      <c r="D76" s="29">
        <v>3</v>
      </c>
      <c r="E76" s="29" t="s">
        <v>161</v>
      </c>
      <c r="F76" s="29" t="s">
        <v>92</v>
      </c>
      <c r="G76" s="29">
        <v>17</v>
      </c>
      <c r="H76" s="29">
        <v>4</v>
      </c>
      <c r="I76" s="29">
        <v>2</v>
      </c>
      <c r="J76" s="29">
        <v>7925</v>
      </c>
      <c r="K76" s="29">
        <v>0</v>
      </c>
      <c r="L76" s="29" t="s">
        <v>90</v>
      </c>
      <c r="Q76" t="str">
        <v>Hombre</v>
      </c>
    </row>
    <row r="77" spans="3:17" x14ac:dyDescent="0.2">
      <c r="C77" s="28">
        <v>0</v>
      </c>
      <c r="D77" s="29">
        <v>3</v>
      </c>
      <c r="E77" s="29" t="s">
        <v>162</v>
      </c>
      <c r="F77" s="29" t="s">
        <v>89</v>
      </c>
      <c r="G77" s="29">
        <v>26</v>
      </c>
      <c r="H77" s="29">
        <v>2</v>
      </c>
      <c r="I77" s="29">
        <v>0</v>
      </c>
      <c r="J77" s="29">
        <v>86625</v>
      </c>
      <c r="K77" s="29">
        <v>0</v>
      </c>
      <c r="L77" s="29" t="s">
        <v>90</v>
      </c>
      <c r="Q77" t="str">
        <v>Hombre</v>
      </c>
    </row>
    <row r="78" spans="3:17" x14ac:dyDescent="0.2">
      <c r="C78" s="28">
        <v>0</v>
      </c>
      <c r="D78" s="29">
        <v>2</v>
      </c>
      <c r="E78" s="29" t="s">
        <v>163</v>
      </c>
      <c r="F78" s="29" t="s">
        <v>89</v>
      </c>
      <c r="G78" s="29">
        <v>32</v>
      </c>
      <c r="H78" s="29">
        <v>0</v>
      </c>
      <c r="I78" s="29">
        <v>0</v>
      </c>
      <c r="J78" s="29">
        <v>105</v>
      </c>
      <c r="K78" s="29">
        <v>0</v>
      </c>
      <c r="L78" s="29" t="s">
        <v>90</v>
      </c>
      <c r="Q78" t="str">
        <v>Mujer</v>
      </c>
    </row>
    <row r="79" spans="3:17" x14ac:dyDescent="0.2">
      <c r="C79" s="28">
        <v>0</v>
      </c>
      <c r="D79" s="29">
        <v>3</v>
      </c>
      <c r="E79" s="29" t="s">
        <v>164</v>
      </c>
      <c r="F79" s="29" t="s">
        <v>92</v>
      </c>
      <c r="G79" s="29">
        <v>16</v>
      </c>
      <c r="H79" s="29">
        <v>5</v>
      </c>
      <c r="I79" s="29">
        <v>2</v>
      </c>
      <c r="J79" s="29">
        <v>469</v>
      </c>
      <c r="K79" s="29">
        <v>0</v>
      </c>
      <c r="L79" s="29" t="s">
        <v>90</v>
      </c>
      <c r="Q79" t="str">
        <v>Hombre</v>
      </c>
    </row>
    <row r="80" spans="3:17" x14ac:dyDescent="0.2">
      <c r="C80" s="28">
        <v>0</v>
      </c>
      <c r="D80" s="29">
        <v>2</v>
      </c>
      <c r="E80" s="29" t="s">
        <v>165</v>
      </c>
      <c r="F80" s="29" t="s">
        <v>89</v>
      </c>
      <c r="G80" s="29">
        <v>21</v>
      </c>
      <c r="H80" s="29">
        <v>0</v>
      </c>
      <c r="I80" s="29">
        <v>0</v>
      </c>
      <c r="J80" s="29">
        <v>735</v>
      </c>
      <c r="K80" s="29">
        <v>0</v>
      </c>
      <c r="L80" s="29" t="s">
        <v>90</v>
      </c>
      <c r="Q80" t="str">
        <v>Hombre</v>
      </c>
    </row>
    <row r="81" spans="3:17" x14ac:dyDescent="0.2">
      <c r="C81" s="28">
        <v>0</v>
      </c>
      <c r="D81" s="29">
        <v>3</v>
      </c>
      <c r="E81" s="29" t="s">
        <v>166</v>
      </c>
      <c r="F81" s="29" t="s">
        <v>89</v>
      </c>
      <c r="G81" s="29">
        <v>26</v>
      </c>
      <c r="H81" s="29">
        <v>1</v>
      </c>
      <c r="I81" s="29">
        <v>0</v>
      </c>
      <c r="J81" s="29">
        <v>144542</v>
      </c>
      <c r="K81" s="29">
        <v>0</v>
      </c>
      <c r="L81" s="29" t="s">
        <v>93</v>
      </c>
      <c r="Q81" t="str">
        <v>Hombre</v>
      </c>
    </row>
    <row r="82" spans="3:17" x14ac:dyDescent="0.2">
      <c r="C82" s="28">
        <v>1</v>
      </c>
      <c r="D82" s="29">
        <v>3</v>
      </c>
      <c r="E82" s="29" t="s">
        <v>167</v>
      </c>
      <c r="F82" s="29" t="s">
        <v>89</v>
      </c>
      <c r="G82" s="29">
        <v>32</v>
      </c>
      <c r="H82" s="29">
        <v>0</v>
      </c>
      <c r="I82" s="29">
        <v>0</v>
      </c>
      <c r="J82" s="29">
        <v>564958</v>
      </c>
      <c r="K82" s="29">
        <v>0</v>
      </c>
      <c r="L82" s="29" t="s">
        <v>90</v>
      </c>
      <c r="Q82" t="str">
        <v>Hombre</v>
      </c>
    </row>
    <row r="83" spans="3:17" x14ac:dyDescent="0.2">
      <c r="C83" s="28">
        <v>0</v>
      </c>
      <c r="D83" s="29">
        <v>3</v>
      </c>
      <c r="E83" s="29" t="s">
        <v>168</v>
      </c>
      <c r="F83" s="29" t="s">
        <v>89</v>
      </c>
      <c r="G83" s="29">
        <v>25</v>
      </c>
      <c r="H83" s="29">
        <v>0</v>
      </c>
      <c r="I83" s="29">
        <v>0</v>
      </c>
      <c r="J83" s="29">
        <v>765</v>
      </c>
      <c r="K83" s="29">
        <v>1</v>
      </c>
      <c r="L83" s="29" t="s">
        <v>90</v>
      </c>
      <c r="Q83" t="str">
        <v>Hombre</v>
      </c>
    </row>
    <row r="84" spans="3:17" x14ac:dyDescent="0.2">
      <c r="C84" s="28">
        <v>0</v>
      </c>
      <c r="D84" s="29">
        <v>3</v>
      </c>
      <c r="E84" s="29" t="s">
        <v>169</v>
      </c>
      <c r="F84" s="29" t="s">
        <v>89</v>
      </c>
      <c r="G84" s="30"/>
      <c r="H84" s="29">
        <v>0</v>
      </c>
      <c r="I84" s="29">
        <v>0</v>
      </c>
      <c r="J84" s="29">
        <v>78958</v>
      </c>
      <c r="K84" s="29">
        <v>0</v>
      </c>
      <c r="L84" s="29" t="s">
        <v>90</v>
      </c>
      <c r="Q84" t="str">
        <v>Hombre</v>
      </c>
    </row>
    <row r="85" spans="3:17" x14ac:dyDescent="0.2">
      <c r="C85" s="28">
        <v>0</v>
      </c>
      <c r="D85" s="29">
        <v>3</v>
      </c>
      <c r="E85" s="29" t="s">
        <v>170</v>
      </c>
      <c r="F85" s="29" t="s">
        <v>89</v>
      </c>
      <c r="G85" s="30"/>
      <c r="H85" s="29">
        <v>0</v>
      </c>
      <c r="I85" s="29">
        <v>0</v>
      </c>
      <c r="J85" s="29">
        <v>805</v>
      </c>
      <c r="K85" s="29">
        <v>0</v>
      </c>
      <c r="L85" s="29" t="s">
        <v>90</v>
      </c>
      <c r="Q85" t="str">
        <v>Hombre</v>
      </c>
    </row>
    <row r="86" spans="3:17" x14ac:dyDescent="0.2">
      <c r="C86" s="28">
        <v>1</v>
      </c>
      <c r="D86" s="29">
        <v>2</v>
      </c>
      <c r="E86" s="29" t="s">
        <v>171</v>
      </c>
      <c r="F86" s="29" t="s">
        <v>89</v>
      </c>
      <c r="G86" s="29">
        <v>83</v>
      </c>
      <c r="H86" s="29">
        <v>0</v>
      </c>
      <c r="I86" s="29">
        <v>2</v>
      </c>
      <c r="J86" s="29">
        <v>29</v>
      </c>
      <c r="K86" s="29">
        <v>0</v>
      </c>
      <c r="L86" s="29" t="s">
        <v>90</v>
      </c>
      <c r="Q86" t="str">
        <v>Mujer</v>
      </c>
    </row>
    <row r="87" spans="3:17" x14ac:dyDescent="0.2">
      <c r="C87" s="28">
        <v>1</v>
      </c>
      <c r="D87" s="29">
        <v>3</v>
      </c>
      <c r="E87" s="29" t="s">
        <v>172</v>
      </c>
      <c r="F87" s="29" t="s">
        <v>92</v>
      </c>
      <c r="G87" s="29">
        <v>30</v>
      </c>
      <c r="H87" s="29">
        <v>0</v>
      </c>
      <c r="I87" s="29">
        <v>0</v>
      </c>
      <c r="J87" s="29">
        <v>12475</v>
      </c>
      <c r="K87" s="29">
        <v>0</v>
      </c>
      <c r="L87" s="29" t="s">
        <v>90</v>
      </c>
      <c r="Q87" t="str">
        <v>Hombre</v>
      </c>
    </row>
    <row r="88" spans="3:17" x14ac:dyDescent="0.2">
      <c r="C88" s="28">
        <v>0</v>
      </c>
      <c r="D88" s="29">
        <v>3</v>
      </c>
      <c r="E88" s="29" t="s">
        <v>173</v>
      </c>
      <c r="F88" s="29" t="s">
        <v>89</v>
      </c>
      <c r="G88" s="29">
        <v>22</v>
      </c>
      <c r="H88" s="29">
        <v>0</v>
      </c>
      <c r="I88" s="29">
        <v>0</v>
      </c>
      <c r="J88" s="29">
        <v>9</v>
      </c>
      <c r="K88" s="29">
        <v>0</v>
      </c>
      <c r="L88" s="29" t="s">
        <v>90</v>
      </c>
      <c r="Q88" t="str">
        <v>Hombre</v>
      </c>
    </row>
    <row r="89" spans="3:17" x14ac:dyDescent="0.2">
      <c r="C89" s="28">
        <v>1</v>
      </c>
      <c r="D89" s="29">
        <v>3</v>
      </c>
      <c r="E89" s="29" t="s">
        <v>174</v>
      </c>
      <c r="F89" s="29" t="s">
        <v>89</v>
      </c>
      <c r="G89" s="29">
        <v>29</v>
      </c>
      <c r="H89" s="29">
        <v>0</v>
      </c>
      <c r="I89" s="29">
        <v>0</v>
      </c>
      <c r="J89" s="29">
        <v>95</v>
      </c>
      <c r="K89" s="29">
        <v>0</v>
      </c>
      <c r="L89" s="29" t="s">
        <v>90</v>
      </c>
      <c r="Q89" t="str">
        <v>Mujer</v>
      </c>
    </row>
    <row r="90" spans="3:17" x14ac:dyDescent="0.2">
      <c r="C90" s="28">
        <v>1</v>
      </c>
      <c r="D90" s="29">
        <v>3</v>
      </c>
      <c r="E90" s="29" t="s">
        <v>175</v>
      </c>
      <c r="F90" s="29" t="s">
        <v>92</v>
      </c>
      <c r="G90" s="30"/>
      <c r="H90" s="29">
        <v>0</v>
      </c>
      <c r="I90" s="29">
        <v>0</v>
      </c>
      <c r="J90" s="29">
        <v>77875</v>
      </c>
      <c r="K90" s="29">
        <v>0</v>
      </c>
      <c r="L90" s="29" t="s">
        <v>98</v>
      </c>
      <c r="Q90" t="str">
        <v>Hombre</v>
      </c>
    </row>
    <row r="91" spans="3:17" x14ac:dyDescent="0.2">
      <c r="C91" s="28">
        <v>0</v>
      </c>
      <c r="D91" s="29">
        <v>1</v>
      </c>
      <c r="E91" s="29" t="s">
        <v>176</v>
      </c>
      <c r="F91" s="29" t="s">
        <v>89</v>
      </c>
      <c r="G91" s="29">
        <v>28</v>
      </c>
      <c r="H91" s="29">
        <v>0</v>
      </c>
      <c r="I91" s="29">
        <v>0</v>
      </c>
      <c r="J91" s="29">
        <v>471</v>
      </c>
      <c r="K91" s="29">
        <v>0</v>
      </c>
      <c r="L91" s="29" t="s">
        <v>90</v>
      </c>
      <c r="Q91" t="str">
        <v>Mujer</v>
      </c>
    </row>
    <row r="92" spans="3:17" x14ac:dyDescent="0.2">
      <c r="C92" s="28">
        <v>1</v>
      </c>
      <c r="D92" s="29">
        <v>2</v>
      </c>
      <c r="E92" s="29" t="s">
        <v>177</v>
      </c>
      <c r="F92" s="29" t="s">
        <v>92</v>
      </c>
      <c r="G92" s="29">
        <v>17</v>
      </c>
      <c r="H92" s="29">
        <v>0</v>
      </c>
      <c r="I92" s="29">
        <v>0</v>
      </c>
      <c r="J92" s="29">
        <v>105</v>
      </c>
      <c r="K92" s="29">
        <v>0</v>
      </c>
      <c r="L92" s="29" t="s">
        <v>90</v>
      </c>
      <c r="Q92" t="str">
        <v>Mujer</v>
      </c>
    </row>
    <row r="93" spans="3:17" x14ac:dyDescent="0.2">
      <c r="C93" s="28">
        <v>1</v>
      </c>
      <c r="D93" s="29">
        <v>3</v>
      </c>
      <c r="E93" s="29" t="s">
        <v>178</v>
      </c>
      <c r="F93" s="29" t="s">
        <v>92</v>
      </c>
      <c r="G93" s="29">
        <v>33</v>
      </c>
      <c r="H93" s="29">
        <v>3</v>
      </c>
      <c r="I93" s="29">
        <v>0</v>
      </c>
      <c r="J93" s="29">
        <v>1585</v>
      </c>
      <c r="K93" s="29">
        <v>0</v>
      </c>
      <c r="L93" s="29" t="s">
        <v>90</v>
      </c>
      <c r="Q93" t="str">
        <v>Hombre</v>
      </c>
    </row>
    <row r="94" spans="3:17" x14ac:dyDescent="0.2">
      <c r="C94" s="28">
        <v>0</v>
      </c>
      <c r="D94" s="29">
        <v>3</v>
      </c>
      <c r="E94" s="29" t="s">
        <v>179</v>
      </c>
      <c r="F94" s="29" t="s">
        <v>89</v>
      </c>
      <c r="G94" s="29">
        <v>16</v>
      </c>
      <c r="H94" s="29">
        <v>1</v>
      </c>
      <c r="I94" s="29">
        <v>3</v>
      </c>
      <c r="J94" s="29">
        <v>34375</v>
      </c>
      <c r="K94" s="29">
        <v>0</v>
      </c>
      <c r="L94" s="29" t="s">
        <v>90</v>
      </c>
      <c r="Q94" t="str">
        <v>Hombre</v>
      </c>
    </row>
    <row r="95" spans="3:17" x14ac:dyDescent="0.2">
      <c r="C95" s="28">
        <v>0</v>
      </c>
      <c r="D95" s="29">
        <v>3</v>
      </c>
      <c r="E95" s="29" t="s">
        <v>180</v>
      </c>
      <c r="F95" s="29" t="s">
        <v>89</v>
      </c>
      <c r="G95" s="30"/>
      <c r="H95" s="29">
        <v>0</v>
      </c>
      <c r="I95" s="29">
        <v>0</v>
      </c>
      <c r="J95" s="29">
        <v>805</v>
      </c>
      <c r="K95" s="29">
        <v>0</v>
      </c>
      <c r="L95" s="29" t="s">
        <v>90</v>
      </c>
      <c r="Q95" t="str">
        <v>Mujer</v>
      </c>
    </row>
    <row r="96" spans="3:17" x14ac:dyDescent="0.2">
      <c r="C96" s="28">
        <v>1</v>
      </c>
      <c r="D96" s="29">
        <v>1</v>
      </c>
      <c r="E96" s="29" t="s">
        <v>181</v>
      </c>
      <c r="F96" s="29" t="s">
        <v>92</v>
      </c>
      <c r="G96" s="29">
        <v>23</v>
      </c>
      <c r="H96" s="29">
        <v>3</v>
      </c>
      <c r="I96" s="29">
        <v>2</v>
      </c>
      <c r="J96" s="29">
        <v>263</v>
      </c>
      <c r="K96" s="29">
        <v>1</v>
      </c>
      <c r="L96" s="29" t="s">
        <v>90</v>
      </c>
      <c r="Q96" t="str">
        <v>Hombre</v>
      </c>
    </row>
    <row r="97" spans="3:17" x14ac:dyDescent="0.2">
      <c r="C97" s="28">
        <v>0</v>
      </c>
      <c r="D97" s="29">
        <v>3</v>
      </c>
      <c r="E97" s="29" t="s">
        <v>182</v>
      </c>
      <c r="F97" s="29" t="s">
        <v>89</v>
      </c>
      <c r="G97" s="29">
        <v>24</v>
      </c>
      <c r="H97" s="29">
        <v>0</v>
      </c>
      <c r="I97" s="29">
        <v>0</v>
      </c>
      <c r="J97" s="29">
        <v>805</v>
      </c>
      <c r="K97" s="29">
        <v>0</v>
      </c>
      <c r="L97" s="29" t="s">
        <v>90</v>
      </c>
      <c r="Q97" t="str">
        <v>Hombre</v>
      </c>
    </row>
    <row r="98" spans="3:17" x14ac:dyDescent="0.2">
      <c r="C98" s="28">
        <v>0</v>
      </c>
      <c r="D98" s="29">
        <v>3</v>
      </c>
      <c r="E98" s="29" t="s">
        <v>183</v>
      </c>
      <c r="F98" s="29" t="s">
        <v>89</v>
      </c>
      <c r="G98" s="29">
        <v>29</v>
      </c>
      <c r="H98" s="29">
        <v>0</v>
      </c>
      <c r="I98" s="29">
        <v>0</v>
      </c>
      <c r="J98" s="29">
        <v>805</v>
      </c>
      <c r="K98" s="29">
        <v>0</v>
      </c>
      <c r="L98" s="29" t="s">
        <v>90</v>
      </c>
      <c r="Q98" t="str">
        <v>Hombre</v>
      </c>
    </row>
    <row r="99" spans="3:17" x14ac:dyDescent="0.2">
      <c r="C99" s="28">
        <v>0</v>
      </c>
      <c r="D99" s="29">
        <v>3</v>
      </c>
      <c r="E99" s="29" t="s">
        <v>184</v>
      </c>
      <c r="F99" s="29" t="s">
        <v>89</v>
      </c>
      <c r="G99" s="29">
        <v>20</v>
      </c>
      <c r="H99" s="29">
        <v>0</v>
      </c>
      <c r="I99" s="29">
        <v>0</v>
      </c>
      <c r="J99" s="29">
        <v>78542</v>
      </c>
      <c r="K99" s="29">
        <v>0</v>
      </c>
      <c r="L99" s="29" t="s">
        <v>90</v>
      </c>
      <c r="Q99" t="str">
        <v>Hombre</v>
      </c>
    </row>
    <row r="100" spans="3:17" x14ac:dyDescent="0.2">
      <c r="C100" s="28">
        <v>0</v>
      </c>
      <c r="D100" s="29">
        <v>1</v>
      </c>
      <c r="E100" s="29" t="s">
        <v>185</v>
      </c>
      <c r="F100" s="29" t="s">
        <v>89</v>
      </c>
      <c r="G100" s="29">
        <v>46</v>
      </c>
      <c r="H100" s="29">
        <v>1</v>
      </c>
      <c r="I100" s="29">
        <v>0</v>
      </c>
      <c r="J100" s="29">
        <v>61175</v>
      </c>
      <c r="K100" s="29">
        <v>1</v>
      </c>
      <c r="L100" s="29" t="s">
        <v>90</v>
      </c>
      <c r="Q100" t="str">
        <v>Hombre</v>
      </c>
    </row>
    <row r="101" spans="3:17" x14ac:dyDescent="0.2">
      <c r="C101" s="28">
        <v>0</v>
      </c>
      <c r="D101" s="29">
        <v>3</v>
      </c>
      <c r="E101" s="29" t="s">
        <v>186</v>
      </c>
      <c r="F101" s="29" t="s">
        <v>89</v>
      </c>
      <c r="G101" s="29">
        <v>26</v>
      </c>
      <c r="H101" s="29">
        <v>1</v>
      </c>
      <c r="I101" s="29">
        <v>2</v>
      </c>
      <c r="J101" s="29">
        <v>20575</v>
      </c>
      <c r="K101" s="29">
        <v>0</v>
      </c>
      <c r="L101" s="29" t="s">
        <v>90</v>
      </c>
      <c r="Q101" t="str">
        <v>Hombre</v>
      </c>
    </row>
    <row r="102" spans="3:17" x14ac:dyDescent="0.2">
      <c r="C102" s="28">
        <v>0</v>
      </c>
      <c r="D102" s="29">
        <v>3</v>
      </c>
      <c r="E102" s="29" t="s">
        <v>187</v>
      </c>
      <c r="F102" s="29" t="s">
        <v>89</v>
      </c>
      <c r="G102" s="29">
        <v>59</v>
      </c>
      <c r="H102" s="29">
        <v>0</v>
      </c>
      <c r="I102" s="29">
        <v>0</v>
      </c>
      <c r="J102" s="29">
        <v>725</v>
      </c>
      <c r="K102" s="29">
        <v>0</v>
      </c>
      <c r="L102" s="29" t="s">
        <v>90</v>
      </c>
      <c r="Q102" t="str">
        <v>Hombre</v>
      </c>
    </row>
    <row r="103" spans="3:17" x14ac:dyDescent="0.2">
      <c r="C103" s="28">
        <v>0</v>
      </c>
      <c r="D103" s="29">
        <v>3</v>
      </c>
      <c r="E103" s="29" t="s">
        <v>188</v>
      </c>
      <c r="F103" s="29" t="s">
        <v>89</v>
      </c>
      <c r="G103" s="30"/>
      <c r="H103" s="29">
        <v>0</v>
      </c>
      <c r="I103" s="29">
        <v>0</v>
      </c>
      <c r="J103" s="29">
        <v>805</v>
      </c>
      <c r="K103" s="29">
        <v>0</v>
      </c>
      <c r="L103" s="29" t="s">
        <v>90</v>
      </c>
      <c r="Q103" t="str">
        <v>Hombre</v>
      </c>
    </row>
    <row r="104" spans="3:17" x14ac:dyDescent="0.2">
      <c r="C104" s="28">
        <v>0</v>
      </c>
      <c r="D104" s="29">
        <v>1</v>
      </c>
      <c r="E104" s="29" t="s">
        <v>189</v>
      </c>
      <c r="F104" s="29" t="s">
        <v>89</v>
      </c>
      <c r="G104" s="29">
        <v>71</v>
      </c>
      <c r="H104" s="29">
        <v>0</v>
      </c>
      <c r="I104" s="29">
        <v>0</v>
      </c>
      <c r="J104" s="29">
        <v>346542</v>
      </c>
      <c r="K104" s="29">
        <v>1</v>
      </c>
      <c r="L104" s="29" t="s">
        <v>93</v>
      </c>
      <c r="Q104" t="str">
        <v>Hombre</v>
      </c>
    </row>
    <row r="105" spans="3:17" x14ac:dyDescent="0.2">
      <c r="C105" s="28">
        <v>1</v>
      </c>
      <c r="D105" s="29">
        <v>1</v>
      </c>
      <c r="E105" s="29" t="s">
        <v>190</v>
      </c>
      <c r="F105" s="29" t="s">
        <v>89</v>
      </c>
      <c r="G105" s="29">
        <v>23</v>
      </c>
      <c r="H105" s="29">
        <v>0</v>
      </c>
      <c r="I105" s="29">
        <v>1</v>
      </c>
      <c r="J105" s="29">
        <v>633583</v>
      </c>
      <c r="K105" s="29">
        <v>1</v>
      </c>
      <c r="L105" s="29" t="s">
        <v>93</v>
      </c>
      <c r="Q105" t="str">
        <v>Mujer</v>
      </c>
    </row>
    <row r="106" spans="3:17" x14ac:dyDescent="0.2">
      <c r="C106" s="28">
        <v>1</v>
      </c>
      <c r="D106" s="29">
        <v>2</v>
      </c>
      <c r="E106" s="29" t="s">
        <v>191</v>
      </c>
      <c r="F106" s="29" t="s">
        <v>92</v>
      </c>
      <c r="G106" s="29">
        <v>34</v>
      </c>
      <c r="H106" s="29">
        <v>0</v>
      </c>
      <c r="I106" s="29">
        <v>1</v>
      </c>
      <c r="J106" s="29">
        <v>23</v>
      </c>
      <c r="K106" s="29">
        <v>0</v>
      </c>
      <c r="L106" s="29" t="s">
        <v>90</v>
      </c>
      <c r="Q106" t="str">
        <v>Hombre</v>
      </c>
    </row>
    <row r="107" spans="3:17" x14ac:dyDescent="0.2">
      <c r="C107" s="28">
        <v>0</v>
      </c>
      <c r="D107" s="29">
        <v>2</v>
      </c>
      <c r="E107" s="29" t="s">
        <v>192</v>
      </c>
      <c r="F107" s="29" t="s">
        <v>89</v>
      </c>
      <c r="G107" s="29">
        <v>34</v>
      </c>
      <c r="H107" s="29">
        <v>1</v>
      </c>
      <c r="I107" s="29">
        <v>0</v>
      </c>
      <c r="J107" s="29">
        <v>26</v>
      </c>
      <c r="K107" s="29">
        <v>0</v>
      </c>
      <c r="L107" s="29" t="s">
        <v>90</v>
      </c>
      <c r="Q107" t="str">
        <v>Mujer</v>
      </c>
    </row>
    <row r="108" spans="3:17" x14ac:dyDescent="0.2">
      <c r="C108" s="28">
        <v>0</v>
      </c>
      <c r="D108" s="29">
        <v>3</v>
      </c>
      <c r="E108" s="29" t="s">
        <v>193</v>
      </c>
      <c r="F108" s="29" t="s">
        <v>92</v>
      </c>
      <c r="G108" s="29">
        <v>28</v>
      </c>
      <c r="H108" s="29">
        <v>0</v>
      </c>
      <c r="I108" s="29">
        <v>0</v>
      </c>
      <c r="J108" s="29">
        <v>78958</v>
      </c>
      <c r="K108" s="29">
        <v>0</v>
      </c>
      <c r="L108" s="29" t="s">
        <v>90</v>
      </c>
      <c r="Q108" t="str">
        <v>Hombre</v>
      </c>
    </row>
    <row r="109" spans="3:17" x14ac:dyDescent="0.2">
      <c r="C109" s="28">
        <v>0</v>
      </c>
      <c r="D109" s="29">
        <v>3</v>
      </c>
      <c r="E109" s="29" t="s">
        <v>194</v>
      </c>
      <c r="F109" s="29" t="s">
        <v>89</v>
      </c>
      <c r="G109" s="30"/>
      <c r="H109" s="29">
        <v>0</v>
      </c>
      <c r="I109" s="29">
        <v>0</v>
      </c>
      <c r="J109" s="29">
        <v>78958</v>
      </c>
      <c r="K109" s="29">
        <v>0</v>
      </c>
      <c r="L109" s="29" t="s">
        <v>90</v>
      </c>
      <c r="Q109" t="str">
        <v>Hombre</v>
      </c>
    </row>
    <row r="110" spans="3:17" x14ac:dyDescent="0.2">
      <c r="C110" s="28">
        <v>0</v>
      </c>
      <c r="D110" s="29">
        <v>1</v>
      </c>
      <c r="E110" s="29" t="s">
        <v>195</v>
      </c>
      <c r="F110" s="29" t="s">
        <v>89</v>
      </c>
      <c r="G110" s="29">
        <v>21</v>
      </c>
      <c r="H110" s="29">
        <v>0</v>
      </c>
      <c r="I110" s="29">
        <v>1</v>
      </c>
      <c r="J110" s="29">
        <v>772875</v>
      </c>
      <c r="K110" s="29">
        <v>1</v>
      </c>
      <c r="L110" s="29" t="s">
        <v>90</v>
      </c>
      <c r="Q110" t="str">
        <v>Hombre</v>
      </c>
    </row>
    <row r="111" spans="3:17" x14ac:dyDescent="0.2">
      <c r="C111" s="28">
        <v>0</v>
      </c>
      <c r="D111" s="29">
        <v>3</v>
      </c>
      <c r="E111" s="29" t="s">
        <v>196</v>
      </c>
      <c r="F111" s="29" t="s">
        <v>89</v>
      </c>
      <c r="G111" s="29">
        <v>33</v>
      </c>
      <c r="H111" s="29">
        <v>0</v>
      </c>
      <c r="I111" s="29">
        <v>0</v>
      </c>
      <c r="J111" s="29">
        <v>86542</v>
      </c>
      <c r="K111" s="29">
        <v>0</v>
      </c>
      <c r="L111" s="29" t="s">
        <v>90</v>
      </c>
      <c r="Q111" t="str">
        <v>Hombre</v>
      </c>
    </row>
    <row r="112" spans="3:17" x14ac:dyDescent="0.2">
      <c r="C112" s="28">
        <v>0</v>
      </c>
      <c r="D112" s="29">
        <v>3</v>
      </c>
      <c r="E112" s="29" t="s">
        <v>197</v>
      </c>
      <c r="F112" s="29" t="s">
        <v>89</v>
      </c>
      <c r="G112" s="29">
        <v>37</v>
      </c>
      <c r="H112" s="29">
        <v>2</v>
      </c>
      <c r="I112" s="29">
        <v>0</v>
      </c>
      <c r="J112" s="29">
        <v>7925</v>
      </c>
      <c r="K112" s="29">
        <v>0</v>
      </c>
      <c r="L112" s="29" t="s">
        <v>90</v>
      </c>
      <c r="Q112" t="str">
        <v>Hombre</v>
      </c>
    </row>
    <row r="113" spans="3:17" x14ac:dyDescent="0.2">
      <c r="C113" s="28">
        <v>0</v>
      </c>
      <c r="D113" s="29">
        <v>3</v>
      </c>
      <c r="E113" s="29" t="s">
        <v>198</v>
      </c>
      <c r="F113" s="29" t="s">
        <v>89</v>
      </c>
      <c r="G113" s="29">
        <v>28</v>
      </c>
      <c r="H113" s="29">
        <v>0</v>
      </c>
      <c r="I113" s="29">
        <v>0</v>
      </c>
      <c r="J113" s="29">
        <v>78958</v>
      </c>
      <c r="K113" s="29">
        <v>0</v>
      </c>
      <c r="L113" s="29" t="s">
        <v>90</v>
      </c>
      <c r="Q113" t="str">
        <v>Mujer</v>
      </c>
    </row>
    <row r="114" spans="3:17" x14ac:dyDescent="0.2">
      <c r="C114" s="28">
        <v>1</v>
      </c>
      <c r="D114" s="29">
        <v>3</v>
      </c>
      <c r="E114" s="29" t="s">
        <v>199</v>
      </c>
      <c r="F114" s="29" t="s">
        <v>92</v>
      </c>
      <c r="G114" s="29">
        <v>21</v>
      </c>
      <c r="H114" s="29">
        <v>0</v>
      </c>
      <c r="I114" s="29">
        <v>0</v>
      </c>
      <c r="J114" s="29">
        <v>765</v>
      </c>
      <c r="K114" s="29">
        <v>0</v>
      </c>
      <c r="L114" s="29" t="s">
        <v>90</v>
      </c>
      <c r="Q114" t="str">
        <v>Hombre</v>
      </c>
    </row>
    <row r="115" spans="3:17" x14ac:dyDescent="0.2">
      <c r="C115" s="28">
        <v>1</v>
      </c>
      <c r="D115" s="29">
        <v>3</v>
      </c>
      <c r="E115" s="29" t="s">
        <v>200</v>
      </c>
      <c r="F115" s="29" t="s">
        <v>89</v>
      </c>
      <c r="G115" s="30"/>
      <c r="H115" s="29">
        <v>0</v>
      </c>
      <c r="I115" s="29">
        <v>0</v>
      </c>
      <c r="J115" s="29">
        <v>7775</v>
      </c>
      <c r="K115" s="29">
        <v>0</v>
      </c>
      <c r="L115" s="29" t="s">
        <v>90</v>
      </c>
      <c r="Q115" t="str">
        <v>Hombre</v>
      </c>
    </row>
    <row r="116" spans="3:17" x14ac:dyDescent="0.2">
      <c r="C116" s="28">
        <v>0</v>
      </c>
      <c r="D116" s="29">
        <v>3</v>
      </c>
      <c r="E116" s="29" t="s">
        <v>201</v>
      </c>
      <c r="F116" s="29" t="s">
        <v>89</v>
      </c>
      <c r="G116" s="29">
        <v>38</v>
      </c>
      <c r="H116" s="29">
        <v>0</v>
      </c>
      <c r="I116" s="29">
        <v>0</v>
      </c>
      <c r="J116" s="29">
        <v>78958</v>
      </c>
      <c r="K116" s="29">
        <v>0</v>
      </c>
      <c r="L116" s="29" t="s">
        <v>90</v>
      </c>
      <c r="Q116" t="str">
        <v>Mujer</v>
      </c>
    </row>
    <row r="117" spans="3:17" x14ac:dyDescent="0.2">
      <c r="C117" s="28">
        <v>1</v>
      </c>
      <c r="D117" s="29">
        <v>3</v>
      </c>
      <c r="E117" s="29" t="s">
        <v>202</v>
      </c>
      <c r="F117" s="29" t="s">
        <v>92</v>
      </c>
      <c r="G117" s="30"/>
      <c r="H117" s="29">
        <v>1</v>
      </c>
      <c r="I117" s="29">
        <v>0</v>
      </c>
      <c r="J117" s="29">
        <v>2415</v>
      </c>
      <c r="K117" s="29">
        <v>0</v>
      </c>
      <c r="L117" s="29" t="s">
        <v>98</v>
      </c>
      <c r="Q117" t="str">
        <v>Hombre</v>
      </c>
    </row>
    <row r="118" spans="3:17" x14ac:dyDescent="0.2">
      <c r="C118" s="28">
        <v>0</v>
      </c>
      <c r="D118" s="29">
        <v>1</v>
      </c>
      <c r="E118" s="29" t="s">
        <v>203</v>
      </c>
      <c r="F118" s="29" t="s">
        <v>89</v>
      </c>
      <c r="G118" s="29">
        <v>47</v>
      </c>
      <c r="H118" s="29">
        <v>0</v>
      </c>
      <c r="I118" s="29">
        <v>0</v>
      </c>
      <c r="J118" s="29">
        <v>52</v>
      </c>
      <c r="K118" s="29">
        <v>1</v>
      </c>
      <c r="L118" s="29" t="s">
        <v>90</v>
      </c>
      <c r="Q118" t="str">
        <v>Mujer</v>
      </c>
    </row>
    <row r="119" spans="3:17" x14ac:dyDescent="0.2">
      <c r="C119" s="28">
        <v>0</v>
      </c>
      <c r="D119" s="29">
        <v>3</v>
      </c>
      <c r="E119" s="29" t="s">
        <v>204</v>
      </c>
      <c r="F119" s="29" t="s">
        <v>92</v>
      </c>
      <c r="G119" s="29">
        <v>145</v>
      </c>
      <c r="H119" s="29">
        <v>1</v>
      </c>
      <c r="I119" s="29">
        <v>0</v>
      </c>
      <c r="J119" s="29">
        <v>144542</v>
      </c>
      <c r="K119" s="29">
        <v>0</v>
      </c>
      <c r="L119" s="29" t="s">
        <v>93</v>
      </c>
      <c r="Q119" t="str">
        <v>Hombre</v>
      </c>
    </row>
    <row r="120" spans="3:17" x14ac:dyDescent="0.2">
      <c r="C120" s="28">
        <v>0</v>
      </c>
      <c r="D120" s="29">
        <v>3</v>
      </c>
      <c r="E120" s="29" t="s">
        <v>205</v>
      </c>
      <c r="F120" s="29" t="s">
        <v>89</v>
      </c>
      <c r="G120" s="29">
        <v>22</v>
      </c>
      <c r="H120" s="29">
        <v>0</v>
      </c>
      <c r="I120" s="29">
        <v>0</v>
      </c>
      <c r="J120" s="29">
        <v>805</v>
      </c>
      <c r="K120" s="29">
        <v>0</v>
      </c>
      <c r="L120" s="29" t="s">
        <v>90</v>
      </c>
      <c r="Q120" t="str">
        <v>Mujer</v>
      </c>
    </row>
    <row r="121" spans="3:17" x14ac:dyDescent="0.2">
      <c r="C121" s="28">
        <v>0</v>
      </c>
      <c r="D121" s="29">
        <v>3</v>
      </c>
      <c r="E121" s="29" t="s">
        <v>206</v>
      </c>
      <c r="F121" s="29" t="s">
        <v>92</v>
      </c>
      <c r="G121" s="29">
        <v>20</v>
      </c>
      <c r="H121" s="29">
        <v>1</v>
      </c>
      <c r="I121" s="29">
        <v>0</v>
      </c>
      <c r="J121" s="29">
        <v>9825</v>
      </c>
      <c r="K121" s="29">
        <v>0</v>
      </c>
      <c r="L121" s="29" t="s">
        <v>90</v>
      </c>
      <c r="Q121" t="str">
        <v>Mujer</v>
      </c>
    </row>
    <row r="122" spans="3:17" x14ac:dyDescent="0.2">
      <c r="C122" s="28">
        <v>0</v>
      </c>
      <c r="D122" s="29">
        <v>3</v>
      </c>
      <c r="E122" s="29" t="s">
        <v>207</v>
      </c>
      <c r="F122" s="29" t="s">
        <v>92</v>
      </c>
      <c r="G122" s="29">
        <v>17</v>
      </c>
      <c r="H122" s="29">
        <v>0</v>
      </c>
      <c r="I122" s="29">
        <v>0</v>
      </c>
      <c r="J122" s="29">
        <v>144583</v>
      </c>
      <c r="K122" s="29">
        <v>0</v>
      </c>
      <c r="L122" s="29" t="s">
        <v>93</v>
      </c>
      <c r="Q122" t="str">
        <v>Hombre</v>
      </c>
    </row>
    <row r="123" spans="3:17" x14ac:dyDescent="0.2">
      <c r="C123" s="28">
        <v>0</v>
      </c>
      <c r="D123" s="29">
        <v>3</v>
      </c>
      <c r="E123" s="29" t="s">
        <v>208</v>
      </c>
      <c r="F123" s="29" t="s">
        <v>89</v>
      </c>
      <c r="G123" s="29">
        <v>21</v>
      </c>
      <c r="H123" s="29">
        <v>0</v>
      </c>
      <c r="I123" s="29">
        <v>0</v>
      </c>
      <c r="J123" s="29">
        <v>7925</v>
      </c>
      <c r="K123" s="29">
        <v>0</v>
      </c>
      <c r="L123" s="29" t="s">
        <v>90</v>
      </c>
      <c r="Q123" t="str">
        <v>Hombre</v>
      </c>
    </row>
    <row r="124" spans="3:17" x14ac:dyDescent="0.2">
      <c r="C124" s="28">
        <v>0</v>
      </c>
      <c r="D124" s="29">
        <v>3</v>
      </c>
      <c r="E124" s="29" t="s">
        <v>209</v>
      </c>
      <c r="F124" s="29" t="s">
        <v>89</v>
      </c>
      <c r="G124" s="29">
        <v>705</v>
      </c>
      <c r="H124" s="29">
        <v>0</v>
      </c>
      <c r="I124" s="29">
        <v>0</v>
      </c>
      <c r="J124" s="29">
        <v>775</v>
      </c>
      <c r="K124" s="29">
        <v>0</v>
      </c>
      <c r="L124" s="29" t="s">
        <v>98</v>
      </c>
      <c r="Q124" t="str">
        <v>Hombre</v>
      </c>
    </row>
    <row r="125" spans="3:17" x14ac:dyDescent="0.2">
      <c r="C125" s="28">
        <v>0</v>
      </c>
      <c r="D125" s="29">
        <v>2</v>
      </c>
      <c r="E125" s="29" t="s">
        <v>210</v>
      </c>
      <c r="F125" s="29" t="s">
        <v>89</v>
      </c>
      <c r="G125" s="29">
        <v>29</v>
      </c>
      <c r="H125" s="29">
        <v>1</v>
      </c>
      <c r="I125" s="29">
        <v>0</v>
      </c>
      <c r="J125" s="29">
        <v>21</v>
      </c>
      <c r="K125" s="29">
        <v>0</v>
      </c>
      <c r="L125" s="29" t="s">
        <v>90</v>
      </c>
      <c r="Q125" t="str">
        <v>Hombre</v>
      </c>
    </row>
    <row r="126" spans="3:17" x14ac:dyDescent="0.2">
      <c r="C126" s="28">
        <v>0</v>
      </c>
      <c r="D126" s="29">
        <v>1</v>
      </c>
      <c r="E126" s="29" t="s">
        <v>211</v>
      </c>
      <c r="F126" s="29" t="s">
        <v>89</v>
      </c>
      <c r="G126" s="29">
        <v>24</v>
      </c>
      <c r="H126" s="29">
        <v>0</v>
      </c>
      <c r="I126" s="29">
        <v>1</v>
      </c>
      <c r="J126" s="29">
        <v>2475208</v>
      </c>
      <c r="K126" s="29">
        <v>1</v>
      </c>
      <c r="L126" s="29" t="s">
        <v>93</v>
      </c>
      <c r="Q126" t="str">
        <v>Mujer</v>
      </c>
    </row>
    <row r="127" spans="3:17" x14ac:dyDescent="0.2">
      <c r="C127" s="28">
        <v>0</v>
      </c>
      <c r="D127" s="29">
        <v>3</v>
      </c>
      <c r="E127" s="29" t="s">
        <v>212</v>
      </c>
      <c r="F127" s="29" t="s">
        <v>92</v>
      </c>
      <c r="G127" s="29">
        <v>2</v>
      </c>
      <c r="H127" s="29">
        <v>4</v>
      </c>
      <c r="I127" s="29">
        <v>2</v>
      </c>
      <c r="J127" s="29">
        <v>31275</v>
      </c>
      <c r="K127" s="29">
        <v>0</v>
      </c>
      <c r="L127" s="29" t="s">
        <v>90</v>
      </c>
      <c r="Q127" t="str">
        <v>Hombre</v>
      </c>
    </row>
    <row r="128" spans="3:17" x14ac:dyDescent="0.2">
      <c r="C128" s="28">
        <v>0</v>
      </c>
      <c r="D128" s="29">
        <v>2</v>
      </c>
      <c r="E128" s="29" t="s">
        <v>213</v>
      </c>
      <c r="F128" s="29" t="s">
        <v>89</v>
      </c>
      <c r="G128" s="29">
        <v>21</v>
      </c>
      <c r="H128" s="29">
        <v>2</v>
      </c>
      <c r="I128" s="29">
        <v>0</v>
      </c>
      <c r="J128" s="29">
        <v>735</v>
      </c>
      <c r="K128" s="29">
        <v>0</v>
      </c>
      <c r="L128" s="29" t="s">
        <v>90</v>
      </c>
      <c r="Q128" t="str">
        <v>Hombre</v>
      </c>
    </row>
    <row r="129" spans="3:17" x14ac:dyDescent="0.2">
      <c r="C129" s="28">
        <v>0</v>
      </c>
      <c r="D129" s="29">
        <v>3</v>
      </c>
      <c r="E129" s="29" t="s">
        <v>214</v>
      </c>
      <c r="F129" s="29" t="s">
        <v>89</v>
      </c>
      <c r="G129" s="30"/>
      <c r="H129" s="29">
        <v>0</v>
      </c>
      <c r="I129" s="29">
        <v>0</v>
      </c>
      <c r="J129" s="29">
        <v>805</v>
      </c>
      <c r="K129" s="29">
        <v>0</v>
      </c>
      <c r="L129" s="29" t="s">
        <v>90</v>
      </c>
      <c r="Q129" t="str">
        <v>Hombre</v>
      </c>
    </row>
    <row r="130" spans="3:17" x14ac:dyDescent="0.2">
      <c r="C130" s="28">
        <v>0</v>
      </c>
      <c r="D130" s="29">
        <v>2</v>
      </c>
      <c r="E130" s="29" t="s">
        <v>215</v>
      </c>
      <c r="F130" s="29" t="s">
        <v>89</v>
      </c>
      <c r="G130" s="29">
        <v>325</v>
      </c>
      <c r="H130" s="29">
        <v>1</v>
      </c>
      <c r="I130" s="29">
        <v>0</v>
      </c>
      <c r="J130" s="29">
        <v>300708</v>
      </c>
      <c r="K130" s="29">
        <v>0</v>
      </c>
      <c r="L130" s="29" t="s">
        <v>93</v>
      </c>
      <c r="Q130" t="str">
        <v>Mujer</v>
      </c>
    </row>
    <row r="131" spans="3:17" x14ac:dyDescent="0.2">
      <c r="C131" s="28">
        <v>1</v>
      </c>
      <c r="D131" s="29">
        <v>2</v>
      </c>
      <c r="E131" s="29" t="s">
        <v>216</v>
      </c>
      <c r="F131" s="29" t="s">
        <v>92</v>
      </c>
      <c r="G131" s="29">
        <v>325</v>
      </c>
      <c r="H131" s="29">
        <v>0</v>
      </c>
      <c r="I131" s="29">
        <v>0</v>
      </c>
      <c r="J131" s="29">
        <v>13</v>
      </c>
      <c r="K131" s="29">
        <v>1</v>
      </c>
      <c r="L131" s="29" t="s">
        <v>90</v>
      </c>
      <c r="Q131" t="str">
        <v>Hombre</v>
      </c>
    </row>
    <row r="132" spans="3:17" x14ac:dyDescent="0.2">
      <c r="C132" s="28">
        <v>0</v>
      </c>
      <c r="D132" s="29">
        <v>1</v>
      </c>
      <c r="E132" s="29" t="s">
        <v>217</v>
      </c>
      <c r="F132" s="29" t="s">
        <v>89</v>
      </c>
      <c r="G132" s="29">
        <v>54</v>
      </c>
      <c r="H132" s="29">
        <v>0</v>
      </c>
      <c r="I132" s="29">
        <v>1</v>
      </c>
      <c r="J132" s="29">
        <v>772875</v>
      </c>
      <c r="K132" s="29">
        <v>1</v>
      </c>
      <c r="L132" s="29" t="s">
        <v>90</v>
      </c>
      <c r="Q132" t="str">
        <v>Hombre</v>
      </c>
    </row>
    <row r="133" spans="3:17" x14ac:dyDescent="0.2">
      <c r="C133" s="28">
        <v>1</v>
      </c>
      <c r="D133" s="29">
        <v>3</v>
      </c>
      <c r="E133" s="29" t="s">
        <v>218</v>
      </c>
      <c r="F133" s="29" t="s">
        <v>89</v>
      </c>
      <c r="G133" s="29">
        <v>12</v>
      </c>
      <c r="H133" s="29">
        <v>1</v>
      </c>
      <c r="I133" s="29">
        <v>0</v>
      </c>
      <c r="J133" s="29">
        <v>112417</v>
      </c>
      <c r="K133" s="29">
        <v>0</v>
      </c>
      <c r="L133" s="29" t="s">
        <v>93</v>
      </c>
      <c r="Q133" t="str">
        <v>Hombre</v>
      </c>
    </row>
    <row r="134" spans="3:17" x14ac:dyDescent="0.2">
      <c r="C134" s="28">
        <v>0</v>
      </c>
      <c r="D134" s="29">
        <v>3</v>
      </c>
      <c r="E134" s="29" t="s">
        <v>219</v>
      </c>
      <c r="F134" s="29" t="s">
        <v>89</v>
      </c>
      <c r="G134" s="30"/>
      <c r="H134" s="29">
        <v>0</v>
      </c>
      <c r="I134" s="29">
        <v>0</v>
      </c>
      <c r="J134" s="29">
        <v>775</v>
      </c>
      <c r="K134" s="29">
        <v>0</v>
      </c>
      <c r="L134" s="29" t="s">
        <v>98</v>
      </c>
      <c r="Q134" t="str">
        <v>Hombre</v>
      </c>
    </row>
    <row r="135" spans="3:17" x14ac:dyDescent="0.2">
      <c r="C135" s="28">
        <v>1</v>
      </c>
      <c r="D135" s="29">
        <v>3</v>
      </c>
      <c r="E135" s="29" t="s">
        <v>220</v>
      </c>
      <c r="F135" s="29" t="s">
        <v>89</v>
      </c>
      <c r="G135" s="29">
        <v>24</v>
      </c>
      <c r="H135" s="29">
        <v>0</v>
      </c>
      <c r="I135" s="29">
        <v>0</v>
      </c>
      <c r="J135" s="29">
        <v>71417</v>
      </c>
      <c r="K135" s="29">
        <v>0</v>
      </c>
      <c r="L135" s="29" t="s">
        <v>90</v>
      </c>
      <c r="Q135" t="str">
        <v>Mujer</v>
      </c>
    </row>
    <row r="136" spans="3:17" x14ac:dyDescent="0.2">
      <c r="C136" s="28">
        <v>1</v>
      </c>
      <c r="D136" s="29">
        <v>3</v>
      </c>
      <c r="E136" s="29" t="s">
        <v>221</v>
      </c>
      <c r="F136" s="29" t="s">
        <v>92</v>
      </c>
      <c r="G136" s="30"/>
      <c r="H136" s="29">
        <v>1</v>
      </c>
      <c r="I136" s="29">
        <v>1</v>
      </c>
      <c r="J136" s="29">
        <v>223583</v>
      </c>
      <c r="K136" s="29">
        <v>1</v>
      </c>
      <c r="L136" s="29" t="s">
        <v>93</v>
      </c>
      <c r="Q136" t="str">
        <v>Hombre</v>
      </c>
    </row>
    <row r="137" spans="3:17" x14ac:dyDescent="0.2">
      <c r="C137" s="28">
        <v>0</v>
      </c>
      <c r="D137" s="29">
        <v>3</v>
      </c>
      <c r="E137" s="29" t="s">
        <v>222</v>
      </c>
      <c r="F137" s="29" t="s">
        <v>89</v>
      </c>
      <c r="G137" s="29">
        <v>45</v>
      </c>
      <c r="H137" s="29">
        <v>0</v>
      </c>
      <c r="I137" s="29">
        <v>0</v>
      </c>
      <c r="J137" s="29">
        <v>6975</v>
      </c>
      <c r="K137" s="29">
        <v>0</v>
      </c>
      <c r="L137" s="29" t="s">
        <v>90</v>
      </c>
      <c r="Q137" t="str">
        <v>Hombre</v>
      </c>
    </row>
    <row r="138" spans="3:17" x14ac:dyDescent="0.2">
      <c r="C138" s="28">
        <v>0</v>
      </c>
      <c r="D138" s="29">
        <v>3</v>
      </c>
      <c r="E138" s="29" t="s">
        <v>223</v>
      </c>
      <c r="F138" s="29" t="s">
        <v>89</v>
      </c>
      <c r="G138" s="29">
        <v>33</v>
      </c>
      <c r="H138" s="29">
        <v>0</v>
      </c>
      <c r="I138" s="29">
        <v>0</v>
      </c>
      <c r="J138" s="29">
        <v>78958</v>
      </c>
      <c r="K138" s="29">
        <v>0</v>
      </c>
      <c r="L138" s="29" t="s">
        <v>93</v>
      </c>
      <c r="Q138" t="str">
        <v>Hombre</v>
      </c>
    </row>
    <row r="139" spans="3:17" x14ac:dyDescent="0.2">
      <c r="C139" s="28">
        <v>0</v>
      </c>
      <c r="D139" s="29">
        <v>3</v>
      </c>
      <c r="E139" s="29" t="s">
        <v>224</v>
      </c>
      <c r="F139" s="29" t="s">
        <v>89</v>
      </c>
      <c r="G139" s="29">
        <v>20</v>
      </c>
      <c r="H139" s="29">
        <v>0</v>
      </c>
      <c r="I139" s="29">
        <v>0</v>
      </c>
      <c r="J139" s="29">
        <v>705</v>
      </c>
      <c r="K139" s="29">
        <v>0</v>
      </c>
      <c r="L139" s="29" t="s">
        <v>90</v>
      </c>
      <c r="Q139" t="str">
        <v>Mujer</v>
      </c>
    </row>
    <row r="140" spans="3:17" x14ac:dyDescent="0.2">
      <c r="C140" s="28">
        <v>0</v>
      </c>
      <c r="D140" s="29">
        <v>3</v>
      </c>
      <c r="E140" s="29" t="s">
        <v>225</v>
      </c>
      <c r="F140" s="29" t="s">
        <v>92</v>
      </c>
      <c r="G140" s="29">
        <v>47</v>
      </c>
      <c r="H140" s="29">
        <v>1</v>
      </c>
      <c r="I140" s="29">
        <v>0</v>
      </c>
      <c r="J140" s="29">
        <v>145</v>
      </c>
      <c r="K140" s="29">
        <v>0</v>
      </c>
      <c r="L140" s="29" t="s">
        <v>90</v>
      </c>
      <c r="Q140" t="str">
        <v>Mujer</v>
      </c>
    </row>
    <row r="141" spans="3:17" x14ac:dyDescent="0.2">
      <c r="C141" s="28">
        <v>1</v>
      </c>
      <c r="D141" s="29">
        <v>2</v>
      </c>
      <c r="E141" s="29" t="s">
        <v>226</v>
      </c>
      <c r="F141" s="29" t="s">
        <v>92</v>
      </c>
      <c r="G141" s="29">
        <v>29</v>
      </c>
      <c r="H141" s="29">
        <v>1</v>
      </c>
      <c r="I141" s="29">
        <v>0</v>
      </c>
      <c r="J141" s="29">
        <v>26</v>
      </c>
      <c r="K141" s="29">
        <v>0</v>
      </c>
      <c r="L141" s="29" t="s">
        <v>90</v>
      </c>
      <c r="Q141" t="str">
        <v>Hombre</v>
      </c>
    </row>
    <row r="142" spans="3:17" x14ac:dyDescent="0.2">
      <c r="C142" s="28">
        <v>0</v>
      </c>
      <c r="D142" s="29">
        <v>2</v>
      </c>
      <c r="E142" s="29" t="s">
        <v>227</v>
      </c>
      <c r="F142" s="29" t="s">
        <v>89</v>
      </c>
      <c r="G142" s="29">
        <v>25</v>
      </c>
      <c r="H142" s="29">
        <v>0</v>
      </c>
      <c r="I142" s="29">
        <v>0</v>
      </c>
      <c r="J142" s="29">
        <v>13</v>
      </c>
      <c r="K142" s="29">
        <v>0</v>
      </c>
      <c r="L142" s="29" t="s">
        <v>90</v>
      </c>
      <c r="Q142" t="str">
        <v>Hombre</v>
      </c>
    </row>
    <row r="143" spans="3:17" x14ac:dyDescent="0.2">
      <c r="C143" s="28">
        <v>0</v>
      </c>
      <c r="D143" s="29">
        <v>2</v>
      </c>
      <c r="E143" s="29" t="s">
        <v>228</v>
      </c>
      <c r="F143" s="29" t="s">
        <v>89</v>
      </c>
      <c r="G143" s="29">
        <v>23</v>
      </c>
      <c r="H143" s="29">
        <v>0</v>
      </c>
      <c r="I143" s="29">
        <v>0</v>
      </c>
      <c r="J143" s="29">
        <v>150458</v>
      </c>
      <c r="K143" s="29">
        <v>0</v>
      </c>
      <c r="L143" s="29" t="s">
        <v>93</v>
      </c>
      <c r="Q143" t="str">
        <v>Mujer</v>
      </c>
    </row>
    <row r="144" spans="3:17" x14ac:dyDescent="0.2">
      <c r="C144" s="28">
        <v>1</v>
      </c>
      <c r="D144" s="29">
        <v>1</v>
      </c>
      <c r="E144" s="29" t="s">
        <v>229</v>
      </c>
      <c r="F144" s="29" t="s">
        <v>92</v>
      </c>
      <c r="G144" s="29">
        <v>19</v>
      </c>
      <c r="H144" s="29">
        <v>0</v>
      </c>
      <c r="I144" s="29">
        <v>2</v>
      </c>
      <c r="J144" s="29">
        <v>262833</v>
      </c>
      <c r="K144" s="29">
        <v>1</v>
      </c>
      <c r="L144" s="29" t="s">
        <v>90</v>
      </c>
      <c r="Q144" t="str">
        <v>Hombre</v>
      </c>
    </row>
    <row r="145" spans="3:17" x14ac:dyDescent="0.2">
      <c r="C145" s="28">
        <v>0</v>
      </c>
      <c r="D145" s="29">
        <v>1</v>
      </c>
      <c r="E145" s="29" t="s">
        <v>230</v>
      </c>
      <c r="F145" s="29" t="s">
        <v>89</v>
      </c>
      <c r="G145" s="29">
        <v>37</v>
      </c>
      <c r="H145" s="29">
        <v>1</v>
      </c>
      <c r="I145" s="29">
        <v>0</v>
      </c>
      <c r="J145" s="29">
        <v>531</v>
      </c>
      <c r="K145" s="29">
        <v>1</v>
      </c>
      <c r="L145" s="29" t="s">
        <v>90</v>
      </c>
      <c r="Q145" t="str">
        <v>Hombre</v>
      </c>
    </row>
    <row r="146" spans="3:17" x14ac:dyDescent="0.2">
      <c r="C146" s="28">
        <v>0</v>
      </c>
      <c r="D146" s="29">
        <v>3</v>
      </c>
      <c r="E146" s="29" t="s">
        <v>231</v>
      </c>
      <c r="F146" s="29" t="s">
        <v>89</v>
      </c>
      <c r="G146" s="29">
        <v>16</v>
      </c>
      <c r="H146" s="29">
        <v>0</v>
      </c>
      <c r="I146" s="29">
        <v>0</v>
      </c>
      <c r="J146" s="29">
        <v>92167</v>
      </c>
      <c r="K146" s="29">
        <v>0</v>
      </c>
      <c r="L146" s="29" t="s">
        <v>90</v>
      </c>
      <c r="Q146" t="str">
        <v>Hombre</v>
      </c>
    </row>
    <row r="147" spans="3:17" x14ac:dyDescent="0.2">
      <c r="C147" s="28">
        <v>0</v>
      </c>
      <c r="D147" s="29">
        <v>1</v>
      </c>
      <c r="E147" s="29" t="s">
        <v>232</v>
      </c>
      <c r="F147" s="29" t="s">
        <v>89</v>
      </c>
      <c r="G147" s="29">
        <v>24</v>
      </c>
      <c r="H147" s="29">
        <v>0</v>
      </c>
      <c r="I147" s="29">
        <v>0</v>
      </c>
      <c r="J147" s="29">
        <v>792</v>
      </c>
      <c r="K147" s="29">
        <v>1</v>
      </c>
      <c r="L147" s="29" t="s">
        <v>93</v>
      </c>
      <c r="Q147" t="str">
        <v>Mujer</v>
      </c>
    </row>
    <row r="148" spans="3:17" x14ac:dyDescent="0.2">
      <c r="C148" s="28">
        <v>0</v>
      </c>
      <c r="D148" s="29">
        <v>3</v>
      </c>
      <c r="E148" s="29" t="s">
        <v>233</v>
      </c>
      <c r="F148" s="29" t="s">
        <v>92</v>
      </c>
      <c r="G148" s="30"/>
      <c r="H148" s="29">
        <v>0</v>
      </c>
      <c r="I148" s="29">
        <v>2</v>
      </c>
      <c r="J148" s="29">
        <v>152458</v>
      </c>
      <c r="K148" s="29">
        <v>0</v>
      </c>
      <c r="L148" s="29" t="s">
        <v>93</v>
      </c>
      <c r="Q148" t="str">
        <v>Mujer</v>
      </c>
    </row>
    <row r="149" spans="3:17" x14ac:dyDescent="0.2">
      <c r="C149" s="28">
        <v>1</v>
      </c>
      <c r="D149" s="29">
        <v>3</v>
      </c>
      <c r="E149" s="29" t="s">
        <v>234</v>
      </c>
      <c r="F149" s="29" t="s">
        <v>92</v>
      </c>
      <c r="G149" s="29">
        <v>22</v>
      </c>
      <c r="H149" s="29">
        <v>0</v>
      </c>
      <c r="I149" s="29">
        <v>0</v>
      </c>
      <c r="J149" s="29">
        <v>775</v>
      </c>
      <c r="K149" s="29">
        <v>0</v>
      </c>
      <c r="L149" s="29" t="s">
        <v>90</v>
      </c>
      <c r="Q149" t="str">
        <v>Mujer</v>
      </c>
    </row>
    <row r="150" spans="3:17" x14ac:dyDescent="0.2">
      <c r="C150" s="28">
        <v>1</v>
      </c>
      <c r="D150" s="29">
        <v>3</v>
      </c>
      <c r="E150" s="29" t="s">
        <v>235</v>
      </c>
      <c r="F150" s="29" t="s">
        <v>92</v>
      </c>
      <c r="G150" s="29">
        <v>24</v>
      </c>
      <c r="H150" s="29">
        <v>1</v>
      </c>
      <c r="I150" s="29">
        <v>0</v>
      </c>
      <c r="J150" s="29">
        <v>1585</v>
      </c>
      <c r="K150" s="29">
        <v>0</v>
      </c>
      <c r="L150" s="29" t="s">
        <v>90</v>
      </c>
      <c r="Q150" t="str">
        <v>Hombre</v>
      </c>
    </row>
    <row r="151" spans="3:17" x14ac:dyDescent="0.2">
      <c r="C151" s="28">
        <v>0</v>
      </c>
      <c r="D151" s="29">
        <v>3</v>
      </c>
      <c r="E151" s="29" t="s">
        <v>236</v>
      </c>
      <c r="F151" s="29" t="s">
        <v>89</v>
      </c>
      <c r="G151" s="29">
        <v>19</v>
      </c>
      <c r="H151" s="29">
        <v>0</v>
      </c>
      <c r="I151" s="29">
        <v>0</v>
      </c>
      <c r="J151" s="29">
        <v>675</v>
      </c>
      <c r="K151" s="29">
        <v>0</v>
      </c>
      <c r="L151" s="29" t="s">
        <v>98</v>
      </c>
      <c r="Q151" t="str">
        <v>Hombre</v>
      </c>
    </row>
    <row r="152" spans="3:17" x14ac:dyDescent="0.2">
      <c r="C152" s="28">
        <v>0</v>
      </c>
      <c r="D152" s="29">
        <v>2</v>
      </c>
      <c r="E152" s="29" t="s">
        <v>237</v>
      </c>
      <c r="F152" s="29" t="s">
        <v>89</v>
      </c>
      <c r="G152" s="29">
        <v>18</v>
      </c>
      <c r="H152" s="29">
        <v>0</v>
      </c>
      <c r="I152" s="29">
        <v>0</v>
      </c>
      <c r="J152" s="29">
        <v>115</v>
      </c>
      <c r="K152" s="29">
        <v>0</v>
      </c>
      <c r="L152" s="29" t="s">
        <v>90</v>
      </c>
      <c r="Q152" t="str">
        <v>Hombre</v>
      </c>
    </row>
    <row r="153" spans="3:17" x14ac:dyDescent="0.2">
      <c r="C153" s="28">
        <v>0</v>
      </c>
      <c r="D153" s="29">
        <v>2</v>
      </c>
      <c r="E153" s="29" t="s">
        <v>238</v>
      </c>
      <c r="F153" s="29" t="s">
        <v>89</v>
      </c>
      <c r="G153" s="29">
        <v>19</v>
      </c>
      <c r="H153" s="29">
        <v>1</v>
      </c>
      <c r="I153" s="29">
        <v>1</v>
      </c>
      <c r="J153" s="29">
        <v>3675</v>
      </c>
      <c r="K153" s="29">
        <v>0</v>
      </c>
      <c r="L153" s="29" t="s">
        <v>90</v>
      </c>
      <c r="Q153" t="str">
        <v>Hombre</v>
      </c>
    </row>
    <row r="154" spans="3:17" x14ac:dyDescent="0.2">
      <c r="C154" s="28">
        <v>1</v>
      </c>
      <c r="D154" s="29">
        <v>3</v>
      </c>
      <c r="E154" s="29" t="s">
        <v>239</v>
      </c>
      <c r="F154" s="29" t="s">
        <v>89</v>
      </c>
      <c r="G154" s="29">
        <v>27</v>
      </c>
      <c r="H154" s="29">
        <v>0</v>
      </c>
      <c r="I154" s="29">
        <v>0</v>
      </c>
      <c r="J154" s="29">
        <v>77958</v>
      </c>
      <c r="K154" s="29">
        <v>0</v>
      </c>
      <c r="L154" s="29" t="s">
        <v>90</v>
      </c>
      <c r="Q154" t="str">
        <v>Mujer</v>
      </c>
    </row>
    <row r="155" spans="3:17" x14ac:dyDescent="0.2">
      <c r="C155" s="28">
        <v>0</v>
      </c>
      <c r="D155" s="29">
        <v>3</v>
      </c>
      <c r="E155" s="29" t="s">
        <v>240</v>
      </c>
      <c r="F155" s="29" t="s">
        <v>92</v>
      </c>
      <c r="G155" s="29">
        <v>9</v>
      </c>
      <c r="H155" s="29">
        <v>2</v>
      </c>
      <c r="I155" s="29">
        <v>2</v>
      </c>
      <c r="J155" s="29">
        <v>34375</v>
      </c>
      <c r="K155" s="29">
        <v>0</v>
      </c>
      <c r="L155" s="29" t="s">
        <v>90</v>
      </c>
      <c r="Q155" t="str">
        <v>Hombre</v>
      </c>
    </row>
    <row r="156" spans="3:17" x14ac:dyDescent="0.2">
      <c r="C156" s="28">
        <v>0</v>
      </c>
      <c r="D156" s="29">
        <v>2</v>
      </c>
      <c r="E156" s="29" t="s">
        <v>241</v>
      </c>
      <c r="F156" s="29" t="s">
        <v>89</v>
      </c>
      <c r="G156" s="29">
        <v>365</v>
      </c>
      <c r="H156" s="29">
        <v>0</v>
      </c>
      <c r="I156" s="29">
        <v>2</v>
      </c>
      <c r="J156" s="29">
        <v>26</v>
      </c>
      <c r="K156" s="29">
        <v>1</v>
      </c>
      <c r="L156" s="29" t="s">
        <v>90</v>
      </c>
      <c r="Q156" t="str">
        <v>Hombre</v>
      </c>
    </row>
    <row r="157" spans="3:17" x14ac:dyDescent="0.2">
      <c r="C157" s="28">
        <v>0</v>
      </c>
      <c r="D157" s="29">
        <v>2</v>
      </c>
      <c r="E157" s="29" t="s">
        <v>242</v>
      </c>
      <c r="F157" s="29" t="s">
        <v>89</v>
      </c>
      <c r="G157" s="29">
        <v>42</v>
      </c>
      <c r="H157" s="29">
        <v>0</v>
      </c>
      <c r="I157" s="29">
        <v>0</v>
      </c>
      <c r="J157" s="29">
        <v>13</v>
      </c>
      <c r="K157" s="29">
        <v>0</v>
      </c>
      <c r="L157" s="29" t="s">
        <v>90</v>
      </c>
      <c r="Q157" t="str">
        <v>Hombre</v>
      </c>
    </row>
    <row r="158" spans="3:17" x14ac:dyDescent="0.2">
      <c r="C158" s="28">
        <v>0</v>
      </c>
      <c r="D158" s="29">
        <v>2</v>
      </c>
      <c r="E158" s="29" t="s">
        <v>243</v>
      </c>
      <c r="F158" s="29" t="s">
        <v>89</v>
      </c>
      <c r="G158" s="29">
        <v>51</v>
      </c>
      <c r="H158" s="29">
        <v>0</v>
      </c>
      <c r="I158" s="29">
        <v>0</v>
      </c>
      <c r="J158" s="29">
        <v>12525</v>
      </c>
      <c r="K158" s="29">
        <v>0</v>
      </c>
      <c r="L158" s="29" t="s">
        <v>90</v>
      </c>
      <c r="Q158" t="str">
        <v>Mujer</v>
      </c>
    </row>
    <row r="159" spans="3:17" x14ac:dyDescent="0.2">
      <c r="C159" s="28">
        <v>1</v>
      </c>
      <c r="D159" s="29">
        <v>1</v>
      </c>
      <c r="E159" s="29" t="s">
        <v>244</v>
      </c>
      <c r="F159" s="29" t="s">
        <v>92</v>
      </c>
      <c r="G159" s="29">
        <v>22</v>
      </c>
      <c r="H159" s="29">
        <v>1</v>
      </c>
      <c r="I159" s="29">
        <v>0</v>
      </c>
      <c r="J159" s="29">
        <v>666</v>
      </c>
      <c r="K159" s="29">
        <v>1</v>
      </c>
      <c r="L159" s="29" t="s">
        <v>90</v>
      </c>
      <c r="Q159" t="str">
        <v>Hombre</v>
      </c>
    </row>
    <row r="160" spans="3:17" x14ac:dyDescent="0.2">
      <c r="C160" s="28">
        <v>0</v>
      </c>
      <c r="D160" s="29">
        <v>3</v>
      </c>
      <c r="E160" s="29" t="s">
        <v>245</v>
      </c>
      <c r="F160" s="29" t="s">
        <v>89</v>
      </c>
      <c r="G160" s="29">
        <v>555</v>
      </c>
      <c r="H160" s="29">
        <v>0</v>
      </c>
      <c r="I160" s="29">
        <v>0</v>
      </c>
      <c r="J160" s="29">
        <v>805</v>
      </c>
      <c r="K160" s="29">
        <v>0</v>
      </c>
      <c r="L160" s="29" t="s">
        <v>90</v>
      </c>
      <c r="Q160" t="str">
        <v>Hombre</v>
      </c>
    </row>
    <row r="161" spans="3:17" x14ac:dyDescent="0.2">
      <c r="C161" s="28">
        <v>0</v>
      </c>
      <c r="D161" s="29">
        <v>3</v>
      </c>
      <c r="E161" s="29" t="s">
        <v>246</v>
      </c>
      <c r="F161" s="29" t="s">
        <v>89</v>
      </c>
      <c r="G161" s="29">
        <v>405</v>
      </c>
      <c r="H161" s="29">
        <v>0</v>
      </c>
      <c r="I161" s="29">
        <v>2</v>
      </c>
      <c r="J161" s="29">
        <v>145</v>
      </c>
      <c r="K161" s="29">
        <v>0</v>
      </c>
      <c r="L161" s="29" t="s">
        <v>90</v>
      </c>
      <c r="Q161" t="str">
        <v>Hombre</v>
      </c>
    </row>
    <row r="162" spans="3:17" x14ac:dyDescent="0.2">
      <c r="C162" s="28">
        <v>0</v>
      </c>
      <c r="D162" s="29">
        <v>3</v>
      </c>
      <c r="E162" s="29" t="s">
        <v>247</v>
      </c>
      <c r="F162" s="29" t="s">
        <v>89</v>
      </c>
      <c r="G162" s="30"/>
      <c r="H162" s="29">
        <v>0</v>
      </c>
      <c r="I162" s="29">
        <v>0</v>
      </c>
      <c r="J162" s="29">
        <v>73125</v>
      </c>
      <c r="K162" s="29">
        <v>0</v>
      </c>
      <c r="L162" s="29" t="s">
        <v>90</v>
      </c>
      <c r="Q162" t="str">
        <v>Hombre</v>
      </c>
    </row>
    <row r="163" spans="3:17" x14ac:dyDescent="0.2">
      <c r="C163" s="28">
        <v>0</v>
      </c>
      <c r="D163" s="29">
        <v>1</v>
      </c>
      <c r="E163" s="29" t="s">
        <v>248</v>
      </c>
      <c r="F163" s="29" t="s">
        <v>89</v>
      </c>
      <c r="G163" s="29">
        <v>51</v>
      </c>
      <c r="H163" s="29">
        <v>0</v>
      </c>
      <c r="I163" s="29">
        <v>1</v>
      </c>
      <c r="J163" s="29">
        <v>613792</v>
      </c>
      <c r="K163" s="29">
        <v>0</v>
      </c>
      <c r="L163" s="29" t="s">
        <v>93</v>
      </c>
      <c r="Q163" t="str">
        <v>Mujer</v>
      </c>
    </row>
    <row r="164" spans="3:17" x14ac:dyDescent="0.2">
      <c r="C164" s="28">
        <v>1</v>
      </c>
      <c r="D164" s="29">
        <v>3</v>
      </c>
      <c r="E164" s="29" t="s">
        <v>249</v>
      </c>
      <c r="F164" s="29" t="s">
        <v>92</v>
      </c>
      <c r="G164" s="29">
        <v>16</v>
      </c>
      <c r="H164" s="29">
        <v>0</v>
      </c>
      <c r="I164" s="29">
        <v>0</v>
      </c>
      <c r="J164" s="29">
        <v>77333</v>
      </c>
      <c r="K164" s="29">
        <v>0</v>
      </c>
      <c r="L164" s="29" t="s">
        <v>98</v>
      </c>
      <c r="Q164" t="str">
        <v>Hombre</v>
      </c>
    </row>
    <row r="165" spans="3:17" x14ac:dyDescent="0.2">
      <c r="C165" s="28">
        <v>0</v>
      </c>
      <c r="D165" s="29">
        <v>3</v>
      </c>
      <c r="E165" s="29" t="s">
        <v>250</v>
      </c>
      <c r="F165" s="29" t="s">
        <v>89</v>
      </c>
      <c r="G165" s="29">
        <v>30</v>
      </c>
      <c r="H165" s="29">
        <v>0</v>
      </c>
      <c r="I165" s="29">
        <v>0</v>
      </c>
      <c r="J165" s="29">
        <v>805</v>
      </c>
      <c r="K165" s="29">
        <v>0</v>
      </c>
      <c r="L165" s="29" t="s">
        <v>90</v>
      </c>
      <c r="Q165" t="str">
        <v>Hombre</v>
      </c>
    </row>
    <row r="166" spans="3:17" x14ac:dyDescent="0.2">
      <c r="C166" s="28">
        <v>0</v>
      </c>
      <c r="D166" s="29">
        <v>3</v>
      </c>
      <c r="E166" s="29" t="s">
        <v>251</v>
      </c>
      <c r="F166" s="29" t="s">
        <v>89</v>
      </c>
      <c r="G166" s="30"/>
      <c r="H166" s="29">
        <v>0</v>
      </c>
      <c r="I166" s="29">
        <v>0</v>
      </c>
      <c r="J166" s="29">
        <v>86625</v>
      </c>
      <c r="K166" s="29">
        <v>0</v>
      </c>
      <c r="L166" s="29" t="s">
        <v>90</v>
      </c>
      <c r="Q166" t="str">
        <v>Hombre</v>
      </c>
    </row>
    <row r="167" spans="3:17" x14ac:dyDescent="0.2">
      <c r="C167" s="28">
        <v>0</v>
      </c>
      <c r="D167" s="29">
        <v>3</v>
      </c>
      <c r="E167" s="29" t="s">
        <v>252</v>
      </c>
      <c r="F167" s="29" t="s">
        <v>89</v>
      </c>
      <c r="G167" s="30"/>
      <c r="H167" s="29">
        <v>8</v>
      </c>
      <c r="I167" s="29">
        <v>2</v>
      </c>
      <c r="J167" s="29">
        <v>6955</v>
      </c>
      <c r="K167" s="29">
        <v>0</v>
      </c>
      <c r="L167" s="29" t="s">
        <v>90</v>
      </c>
      <c r="Q167" t="str">
        <v>Hombre</v>
      </c>
    </row>
    <row r="168" spans="3:17" x14ac:dyDescent="0.2">
      <c r="C168" s="28">
        <v>0</v>
      </c>
      <c r="D168" s="29">
        <v>3</v>
      </c>
      <c r="E168" s="29" t="s">
        <v>253</v>
      </c>
      <c r="F168" s="29" t="s">
        <v>89</v>
      </c>
      <c r="G168" s="29">
        <v>44</v>
      </c>
      <c r="H168" s="29">
        <v>0</v>
      </c>
      <c r="I168" s="29">
        <v>1</v>
      </c>
      <c r="J168" s="29">
        <v>161</v>
      </c>
      <c r="K168" s="29">
        <v>0</v>
      </c>
      <c r="L168" s="29" t="s">
        <v>90</v>
      </c>
      <c r="Q168" t="str">
        <v>Mujer</v>
      </c>
    </row>
    <row r="169" spans="3:17" x14ac:dyDescent="0.2">
      <c r="C169" s="28">
        <v>1</v>
      </c>
      <c r="D169" s="29">
        <v>2</v>
      </c>
      <c r="E169" s="29" t="s">
        <v>254</v>
      </c>
      <c r="F169" s="29" t="s">
        <v>92</v>
      </c>
      <c r="G169" s="29">
        <v>40</v>
      </c>
      <c r="H169" s="29">
        <v>0</v>
      </c>
      <c r="I169" s="29">
        <v>0</v>
      </c>
      <c r="J169" s="29">
        <v>1575</v>
      </c>
      <c r="K169" s="29">
        <v>0</v>
      </c>
      <c r="L169" s="29" t="s">
        <v>90</v>
      </c>
      <c r="Q169" t="str">
        <v>Hombre</v>
      </c>
    </row>
    <row r="170" spans="3:17" x14ac:dyDescent="0.2">
      <c r="C170" s="28">
        <v>0</v>
      </c>
      <c r="D170" s="29">
        <v>3</v>
      </c>
      <c r="E170" s="29" t="s">
        <v>255</v>
      </c>
      <c r="F170" s="29" t="s">
        <v>89</v>
      </c>
      <c r="G170" s="29">
        <v>26</v>
      </c>
      <c r="H170" s="29">
        <v>0</v>
      </c>
      <c r="I170" s="29">
        <v>0</v>
      </c>
      <c r="J170" s="29">
        <v>7775</v>
      </c>
      <c r="K170" s="29">
        <v>0</v>
      </c>
      <c r="L170" s="29" t="s">
        <v>90</v>
      </c>
      <c r="Q170" t="str">
        <v>Hombre</v>
      </c>
    </row>
    <row r="171" spans="3:17" x14ac:dyDescent="0.2">
      <c r="C171" s="28">
        <v>0</v>
      </c>
      <c r="D171" s="29">
        <v>3</v>
      </c>
      <c r="E171" s="29" t="s">
        <v>256</v>
      </c>
      <c r="F171" s="29" t="s">
        <v>89</v>
      </c>
      <c r="G171" s="29">
        <v>17</v>
      </c>
      <c r="H171" s="29">
        <v>0</v>
      </c>
      <c r="I171" s="29">
        <v>0</v>
      </c>
      <c r="J171" s="29">
        <v>86625</v>
      </c>
      <c r="K171" s="29">
        <v>0</v>
      </c>
      <c r="L171" s="29" t="s">
        <v>90</v>
      </c>
      <c r="Q171" t="str">
        <v>Hombre</v>
      </c>
    </row>
    <row r="172" spans="3:17" x14ac:dyDescent="0.2">
      <c r="C172" s="28">
        <v>0</v>
      </c>
      <c r="D172" s="29">
        <v>3</v>
      </c>
      <c r="E172" s="29" t="s">
        <v>257</v>
      </c>
      <c r="F172" s="29" t="s">
        <v>89</v>
      </c>
      <c r="G172" s="29">
        <v>1</v>
      </c>
      <c r="H172" s="29">
        <v>4</v>
      </c>
      <c r="I172" s="29">
        <v>1</v>
      </c>
      <c r="J172" s="29">
        <v>396875</v>
      </c>
      <c r="K172" s="29">
        <v>0</v>
      </c>
      <c r="L172" s="29" t="s">
        <v>90</v>
      </c>
      <c r="Q172" t="str">
        <v>Hombre</v>
      </c>
    </row>
    <row r="173" spans="3:17" x14ac:dyDescent="0.2">
      <c r="C173" s="28">
        <v>1</v>
      </c>
      <c r="D173" s="29">
        <v>3</v>
      </c>
      <c r="E173" s="29" t="s">
        <v>258</v>
      </c>
      <c r="F173" s="29" t="s">
        <v>89</v>
      </c>
      <c r="G173" s="29">
        <v>9</v>
      </c>
      <c r="H173" s="29">
        <v>0</v>
      </c>
      <c r="I173" s="29">
        <v>2</v>
      </c>
      <c r="J173" s="29">
        <v>20525</v>
      </c>
      <c r="K173" s="29">
        <v>0</v>
      </c>
      <c r="L173" s="29" t="s">
        <v>90</v>
      </c>
      <c r="Q173" t="str">
        <v>Mujer</v>
      </c>
    </row>
    <row r="174" spans="3:17" x14ac:dyDescent="0.2">
      <c r="C174" s="28">
        <v>1</v>
      </c>
      <c r="D174" s="29">
        <v>1</v>
      </c>
      <c r="E174" s="29" t="s">
        <v>259</v>
      </c>
      <c r="F174" s="29" t="s">
        <v>92</v>
      </c>
      <c r="G174" s="30"/>
      <c r="H174" s="29">
        <v>0</v>
      </c>
      <c r="I174" s="29">
        <v>1</v>
      </c>
      <c r="J174" s="29">
        <v>55</v>
      </c>
      <c r="K174" s="29">
        <v>1</v>
      </c>
      <c r="L174" s="29" t="s">
        <v>90</v>
      </c>
      <c r="Q174" t="str">
        <v>Mujer</v>
      </c>
    </row>
    <row r="175" spans="3:17" x14ac:dyDescent="0.2">
      <c r="C175" s="28">
        <v>0</v>
      </c>
      <c r="D175" s="29">
        <v>3</v>
      </c>
      <c r="E175" s="29" t="s">
        <v>260</v>
      </c>
      <c r="F175" s="29" t="s">
        <v>92</v>
      </c>
      <c r="G175" s="29">
        <v>45</v>
      </c>
      <c r="H175" s="29">
        <v>1</v>
      </c>
      <c r="I175" s="29">
        <v>4</v>
      </c>
      <c r="J175" s="29">
        <v>279</v>
      </c>
      <c r="K175" s="29">
        <v>0</v>
      </c>
      <c r="L175" s="29" t="s">
        <v>90</v>
      </c>
      <c r="Q175" t="str">
        <v>Hombre</v>
      </c>
    </row>
    <row r="176" spans="3:17" x14ac:dyDescent="0.2">
      <c r="C176" s="28">
        <v>0</v>
      </c>
      <c r="D176" s="29">
        <v>1</v>
      </c>
      <c r="E176" s="29" t="s">
        <v>261</v>
      </c>
      <c r="F176" s="29" t="s">
        <v>89</v>
      </c>
      <c r="G176" s="30"/>
      <c r="H176" s="29">
        <v>0</v>
      </c>
      <c r="I176" s="29">
        <v>0</v>
      </c>
      <c r="J176" s="29">
        <v>25925</v>
      </c>
      <c r="K176" s="29">
        <v>0</v>
      </c>
      <c r="L176" s="29" t="s">
        <v>90</v>
      </c>
      <c r="Q176" t="str">
        <v>Hombre</v>
      </c>
    </row>
    <row r="177" spans="3:17" x14ac:dyDescent="0.2">
      <c r="C177" s="28">
        <v>0</v>
      </c>
      <c r="D177" s="29">
        <v>3</v>
      </c>
      <c r="E177" s="29" t="s">
        <v>262</v>
      </c>
      <c r="F177" s="29" t="s">
        <v>89</v>
      </c>
      <c r="G177" s="29">
        <v>28</v>
      </c>
      <c r="H177" s="29">
        <v>0</v>
      </c>
      <c r="I177" s="29">
        <v>0</v>
      </c>
      <c r="J177" s="29">
        <v>564958</v>
      </c>
      <c r="K177" s="29">
        <v>0</v>
      </c>
      <c r="L177" s="29" t="s">
        <v>90</v>
      </c>
      <c r="Q177" t="str">
        <v>Hombre</v>
      </c>
    </row>
    <row r="178" spans="3:17" x14ac:dyDescent="0.2">
      <c r="C178" s="28">
        <v>0</v>
      </c>
      <c r="D178" s="29">
        <v>1</v>
      </c>
      <c r="E178" s="29" t="s">
        <v>263</v>
      </c>
      <c r="F178" s="29" t="s">
        <v>89</v>
      </c>
      <c r="G178" s="29">
        <v>61</v>
      </c>
      <c r="H178" s="29">
        <v>0</v>
      </c>
      <c r="I178" s="29">
        <v>0</v>
      </c>
      <c r="J178" s="29">
        <v>335</v>
      </c>
      <c r="K178" s="29">
        <v>1</v>
      </c>
      <c r="L178" s="29" t="s">
        <v>90</v>
      </c>
      <c r="Q178" t="str">
        <v>Hombre</v>
      </c>
    </row>
    <row r="179" spans="3:17" x14ac:dyDescent="0.2">
      <c r="C179" s="28">
        <v>0</v>
      </c>
      <c r="D179" s="29">
        <v>3</v>
      </c>
      <c r="E179" s="29" t="s">
        <v>264</v>
      </c>
      <c r="F179" s="29" t="s">
        <v>89</v>
      </c>
      <c r="G179" s="29">
        <v>4</v>
      </c>
      <c r="H179" s="29">
        <v>4</v>
      </c>
      <c r="I179" s="29">
        <v>1</v>
      </c>
      <c r="J179" s="29">
        <v>29125</v>
      </c>
      <c r="K179" s="29">
        <v>0</v>
      </c>
      <c r="L179" s="29" t="s">
        <v>98</v>
      </c>
      <c r="Q179" t="str">
        <v>Mujer</v>
      </c>
    </row>
    <row r="180" spans="3:17" x14ac:dyDescent="0.2">
      <c r="C180" s="28">
        <v>1</v>
      </c>
      <c r="D180" s="29">
        <v>3</v>
      </c>
      <c r="E180" s="29" t="s">
        <v>265</v>
      </c>
      <c r="F180" s="29" t="s">
        <v>92</v>
      </c>
      <c r="G180" s="29">
        <v>1</v>
      </c>
      <c r="H180" s="29">
        <v>1</v>
      </c>
      <c r="I180" s="29">
        <v>1</v>
      </c>
      <c r="J180" s="29">
        <v>111333</v>
      </c>
      <c r="K180" s="29">
        <v>0</v>
      </c>
      <c r="L180" s="29" t="s">
        <v>90</v>
      </c>
      <c r="Q180" t="str">
        <v>Hombre</v>
      </c>
    </row>
    <row r="181" spans="3:17" x14ac:dyDescent="0.2">
      <c r="C181" s="28">
        <v>0</v>
      </c>
      <c r="D181" s="29">
        <v>3</v>
      </c>
      <c r="E181" s="29" t="s">
        <v>266</v>
      </c>
      <c r="F181" s="29" t="s">
        <v>89</v>
      </c>
      <c r="G181" s="29">
        <v>21</v>
      </c>
      <c r="H181" s="29">
        <v>0</v>
      </c>
      <c r="I181" s="29">
        <v>0</v>
      </c>
      <c r="J181" s="29">
        <v>7925</v>
      </c>
      <c r="K181" s="29">
        <v>0</v>
      </c>
      <c r="L181" s="29" t="s">
        <v>90</v>
      </c>
      <c r="Q181" t="str">
        <v>Hombre</v>
      </c>
    </row>
    <row r="182" spans="3:17" x14ac:dyDescent="0.2">
      <c r="C182" s="28">
        <v>0</v>
      </c>
      <c r="D182" s="29">
        <v>1</v>
      </c>
      <c r="E182" s="29" t="s">
        <v>267</v>
      </c>
      <c r="F182" s="29" t="s">
        <v>89</v>
      </c>
      <c r="G182" s="29">
        <v>56</v>
      </c>
      <c r="H182" s="29">
        <v>0</v>
      </c>
      <c r="I182" s="29">
        <v>0</v>
      </c>
      <c r="J182" s="29">
        <v>306958</v>
      </c>
      <c r="K182" s="29">
        <v>1</v>
      </c>
      <c r="L182" s="29" t="s">
        <v>93</v>
      </c>
      <c r="Q182" t="str">
        <v>Hombre</v>
      </c>
    </row>
    <row r="183" spans="3:17" x14ac:dyDescent="0.2">
      <c r="C183" s="28">
        <v>0</v>
      </c>
      <c r="D183" s="29">
        <v>3</v>
      </c>
      <c r="E183" s="29" t="s">
        <v>268</v>
      </c>
      <c r="F183" s="29" t="s">
        <v>89</v>
      </c>
      <c r="G183" s="29">
        <v>18</v>
      </c>
      <c r="H183" s="29">
        <v>1</v>
      </c>
      <c r="I183" s="29">
        <v>1</v>
      </c>
      <c r="J183" s="29">
        <v>78542</v>
      </c>
      <c r="K183" s="29">
        <v>0</v>
      </c>
      <c r="L183" s="29" t="s">
        <v>90</v>
      </c>
      <c r="Q183" t="str">
        <v>Hombre</v>
      </c>
    </row>
    <row r="184" spans="3:17" x14ac:dyDescent="0.2">
      <c r="C184" s="28">
        <v>0</v>
      </c>
      <c r="D184" s="29">
        <v>3</v>
      </c>
      <c r="E184" s="29" t="s">
        <v>269</v>
      </c>
      <c r="F184" s="29" t="s">
        <v>89</v>
      </c>
      <c r="G184" s="30"/>
      <c r="H184" s="29">
        <v>3</v>
      </c>
      <c r="I184" s="29">
        <v>1</v>
      </c>
      <c r="J184" s="29">
        <v>254667</v>
      </c>
      <c r="K184" s="29">
        <v>0</v>
      </c>
      <c r="L184" s="29" t="s">
        <v>90</v>
      </c>
      <c r="Q184" t="str">
        <v>Mujer</v>
      </c>
    </row>
    <row r="185" spans="3:17" x14ac:dyDescent="0.2">
      <c r="C185" s="28">
        <v>0</v>
      </c>
      <c r="D185" s="29">
        <v>1</v>
      </c>
      <c r="E185" s="29" t="s">
        <v>270</v>
      </c>
      <c r="F185" s="29" t="s">
        <v>92</v>
      </c>
      <c r="G185" s="29">
        <v>50</v>
      </c>
      <c r="H185" s="29">
        <v>0</v>
      </c>
      <c r="I185" s="29">
        <v>0</v>
      </c>
      <c r="J185" s="29">
        <v>287125</v>
      </c>
      <c r="K185" s="29">
        <v>1</v>
      </c>
      <c r="L185" s="29" t="s">
        <v>93</v>
      </c>
      <c r="Q185" t="str">
        <v>Hombre</v>
      </c>
    </row>
    <row r="186" spans="3:17" x14ac:dyDescent="0.2">
      <c r="C186" s="28">
        <v>0</v>
      </c>
      <c r="D186" s="29">
        <v>2</v>
      </c>
      <c r="E186" s="29" t="s">
        <v>271</v>
      </c>
      <c r="F186" s="29" t="s">
        <v>89</v>
      </c>
      <c r="G186" s="29">
        <v>30</v>
      </c>
      <c r="H186" s="29">
        <v>0</v>
      </c>
      <c r="I186" s="29">
        <v>0</v>
      </c>
      <c r="J186" s="29">
        <v>13</v>
      </c>
      <c r="K186" s="29">
        <v>0</v>
      </c>
      <c r="L186" s="29" t="s">
        <v>90</v>
      </c>
      <c r="Q186" t="str">
        <v>Hombre</v>
      </c>
    </row>
    <row r="187" spans="3:17" x14ac:dyDescent="0.2">
      <c r="C187" s="28">
        <v>0</v>
      </c>
      <c r="D187" s="29">
        <v>3</v>
      </c>
      <c r="E187" s="29" t="s">
        <v>272</v>
      </c>
      <c r="F187" s="29" t="s">
        <v>89</v>
      </c>
      <c r="G187" s="29">
        <v>36</v>
      </c>
      <c r="H187" s="29">
        <v>0</v>
      </c>
      <c r="I187" s="29">
        <v>0</v>
      </c>
      <c r="J187" s="29">
        <v>0</v>
      </c>
      <c r="K187" s="29">
        <v>0</v>
      </c>
      <c r="L187" s="29" t="s">
        <v>90</v>
      </c>
      <c r="Q187" t="str">
        <v>Mujer</v>
      </c>
    </row>
    <row r="188" spans="3:17" x14ac:dyDescent="0.2">
      <c r="C188" s="28">
        <v>0</v>
      </c>
      <c r="D188" s="29">
        <v>3</v>
      </c>
      <c r="E188" s="29" t="s">
        <v>273</v>
      </c>
      <c r="F188" s="29" t="s">
        <v>92</v>
      </c>
      <c r="G188" s="30"/>
      <c r="H188" s="29">
        <v>8</v>
      </c>
      <c r="I188" s="29">
        <v>2</v>
      </c>
      <c r="J188" s="29">
        <v>6955</v>
      </c>
      <c r="K188" s="29">
        <v>0</v>
      </c>
      <c r="L188" s="29" t="s">
        <v>90</v>
      </c>
      <c r="Q188" t="str">
        <v>Hombre</v>
      </c>
    </row>
    <row r="189" spans="3:17" x14ac:dyDescent="0.2">
      <c r="C189" s="28">
        <v>0</v>
      </c>
      <c r="D189" s="29">
        <v>2</v>
      </c>
      <c r="E189" s="29" t="s">
        <v>274</v>
      </c>
      <c r="F189" s="29" t="s">
        <v>89</v>
      </c>
      <c r="G189" s="30"/>
      <c r="H189" s="29">
        <v>0</v>
      </c>
      <c r="I189" s="29">
        <v>0</v>
      </c>
      <c r="J189" s="29">
        <v>1505</v>
      </c>
      <c r="K189" s="29">
        <v>0</v>
      </c>
      <c r="L189" s="29" t="s">
        <v>93</v>
      </c>
      <c r="Q189" t="str">
        <v>Hombre</v>
      </c>
    </row>
    <row r="190" spans="3:17" x14ac:dyDescent="0.2">
      <c r="C190" s="28">
        <v>0</v>
      </c>
      <c r="D190" s="29">
        <v>3</v>
      </c>
      <c r="E190" s="29" t="s">
        <v>275</v>
      </c>
      <c r="F190" s="29" t="s">
        <v>89</v>
      </c>
      <c r="G190" s="29">
        <v>9</v>
      </c>
      <c r="H190" s="29">
        <v>4</v>
      </c>
      <c r="I190" s="29">
        <v>2</v>
      </c>
      <c r="J190" s="29">
        <v>313875</v>
      </c>
      <c r="K190" s="29">
        <v>0</v>
      </c>
      <c r="L190" s="29" t="s">
        <v>90</v>
      </c>
      <c r="Q190" t="str">
        <v>Hombre</v>
      </c>
    </row>
    <row r="191" spans="3:17" x14ac:dyDescent="0.2">
      <c r="C191" s="28">
        <v>1</v>
      </c>
      <c r="D191" s="29">
        <v>2</v>
      </c>
      <c r="E191" s="29" t="s">
        <v>276</v>
      </c>
      <c r="F191" s="29" t="s">
        <v>89</v>
      </c>
      <c r="G191" s="29">
        <v>1</v>
      </c>
      <c r="H191" s="29">
        <v>2</v>
      </c>
      <c r="I191" s="29">
        <v>1</v>
      </c>
      <c r="J191" s="29">
        <v>39</v>
      </c>
      <c r="K191" s="29">
        <v>1</v>
      </c>
      <c r="L191" s="29" t="s">
        <v>90</v>
      </c>
      <c r="Q191" t="str">
        <v>Mujer</v>
      </c>
    </row>
    <row r="192" spans="3:17" x14ac:dyDescent="0.2">
      <c r="C192" s="28">
        <v>1</v>
      </c>
      <c r="D192" s="29">
        <v>3</v>
      </c>
      <c r="E192" s="29" t="s">
        <v>277</v>
      </c>
      <c r="F192" s="29" t="s">
        <v>92</v>
      </c>
      <c r="G192" s="29">
        <v>4</v>
      </c>
      <c r="H192" s="29">
        <v>0</v>
      </c>
      <c r="I192" s="29">
        <v>2</v>
      </c>
      <c r="J192" s="29">
        <v>22025</v>
      </c>
      <c r="K192" s="29">
        <v>0</v>
      </c>
      <c r="L192" s="29" t="s">
        <v>90</v>
      </c>
      <c r="Q192" t="str">
        <v>Hombre</v>
      </c>
    </row>
    <row r="193" spans="3:17" x14ac:dyDescent="0.2">
      <c r="C193" s="28">
        <v>0</v>
      </c>
      <c r="D193" s="29">
        <v>1</v>
      </c>
      <c r="E193" s="29" t="s">
        <v>278</v>
      </c>
      <c r="F193" s="29" t="s">
        <v>89</v>
      </c>
      <c r="G193" s="30"/>
      <c r="H193" s="29">
        <v>0</v>
      </c>
      <c r="I193" s="29">
        <v>0</v>
      </c>
      <c r="J193" s="29">
        <v>50</v>
      </c>
      <c r="K193" s="29">
        <v>1</v>
      </c>
      <c r="L193" s="29" t="s">
        <v>90</v>
      </c>
      <c r="Q193" t="str">
        <v>Mujer</v>
      </c>
    </row>
    <row r="194" spans="3:17" x14ac:dyDescent="0.2">
      <c r="C194" s="28">
        <v>1</v>
      </c>
      <c r="D194" s="29">
        <v>3</v>
      </c>
      <c r="E194" s="29" t="s">
        <v>279</v>
      </c>
      <c r="F194" s="29" t="s">
        <v>92</v>
      </c>
      <c r="G194" s="30"/>
      <c r="H194" s="29">
        <v>1</v>
      </c>
      <c r="I194" s="29">
        <v>0</v>
      </c>
      <c r="J194" s="29">
        <v>155</v>
      </c>
      <c r="K194" s="29">
        <v>0</v>
      </c>
      <c r="L194" s="29" t="s">
        <v>98</v>
      </c>
      <c r="Q194" t="str">
        <v>Hombre</v>
      </c>
    </row>
    <row r="195" spans="3:17" x14ac:dyDescent="0.2">
      <c r="C195" s="28">
        <v>1</v>
      </c>
      <c r="D195" s="29">
        <v>1</v>
      </c>
      <c r="E195" s="29" t="s">
        <v>280</v>
      </c>
      <c r="F195" s="29" t="s">
        <v>89</v>
      </c>
      <c r="G195" s="29">
        <v>45</v>
      </c>
      <c r="H195" s="29">
        <v>0</v>
      </c>
      <c r="I195" s="29">
        <v>0</v>
      </c>
      <c r="J195" s="29">
        <v>2655</v>
      </c>
      <c r="K195" s="29">
        <v>0</v>
      </c>
      <c r="L195" s="29" t="s">
        <v>90</v>
      </c>
      <c r="Q195" t="str">
        <v>Hombre</v>
      </c>
    </row>
    <row r="196" spans="3:17" x14ac:dyDescent="0.2">
      <c r="C196" s="28">
        <v>0</v>
      </c>
      <c r="D196" s="29">
        <v>3</v>
      </c>
      <c r="E196" s="29" t="s">
        <v>281</v>
      </c>
      <c r="F196" s="29" t="s">
        <v>89</v>
      </c>
      <c r="G196" s="29">
        <v>40</v>
      </c>
      <c r="H196" s="29">
        <v>1</v>
      </c>
      <c r="I196" s="29">
        <v>1</v>
      </c>
      <c r="J196" s="29">
        <v>155</v>
      </c>
      <c r="K196" s="29">
        <v>0</v>
      </c>
      <c r="L196" s="29" t="s">
        <v>98</v>
      </c>
      <c r="Q196" t="str">
        <v>Hombre</v>
      </c>
    </row>
    <row r="197" spans="3:17" x14ac:dyDescent="0.2">
      <c r="C197" s="28">
        <v>0</v>
      </c>
      <c r="D197" s="29">
        <v>3</v>
      </c>
      <c r="E197" s="29" t="s">
        <v>282</v>
      </c>
      <c r="F197" s="29" t="s">
        <v>89</v>
      </c>
      <c r="G197" s="29">
        <v>36</v>
      </c>
      <c r="H197" s="29">
        <v>0</v>
      </c>
      <c r="I197" s="29">
        <v>0</v>
      </c>
      <c r="J197" s="29">
        <v>78958</v>
      </c>
      <c r="K197" s="29">
        <v>0</v>
      </c>
      <c r="L197" s="29" t="s">
        <v>90</v>
      </c>
      <c r="Q197" t="str">
        <v>Mujer</v>
      </c>
    </row>
    <row r="198" spans="3:17" x14ac:dyDescent="0.2">
      <c r="C198" s="28">
        <v>1</v>
      </c>
      <c r="D198" s="29">
        <v>2</v>
      </c>
      <c r="E198" s="29" t="s">
        <v>283</v>
      </c>
      <c r="F198" s="29" t="s">
        <v>92</v>
      </c>
      <c r="G198" s="29">
        <v>32</v>
      </c>
      <c r="H198" s="29">
        <v>0</v>
      </c>
      <c r="I198" s="29">
        <v>0</v>
      </c>
      <c r="J198" s="29">
        <v>13</v>
      </c>
      <c r="K198" s="29">
        <v>0</v>
      </c>
      <c r="L198" s="29" t="s">
        <v>90</v>
      </c>
      <c r="Q198" t="str">
        <v>Hombre</v>
      </c>
    </row>
    <row r="199" spans="3:17" x14ac:dyDescent="0.2">
      <c r="C199" s="28">
        <v>0</v>
      </c>
      <c r="D199" s="29">
        <v>2</v>
      </c>
      <c r="E199" s="29" t="s">
        <v>284</v>
      </c>
      <c r="F199" s="29" t="s">
        <v>89</v>
      </c>
      <c r="G199" s="29">
        <v>19</v>
      </c>
      <c r="H199" s="29">
        <v>0</v>
      </c>
      <c r="I199" s="29">
        <v>0</v>
      </c>
      <c r="J199" s="29">
        <v>13</v>
      </c>
      <c r="K199" s="29">
        <v>0</v>
      </c>
      <c r="L199" s="29" t="s">
        <v>90</v>
      </c>
      <c r="Q199" t="str">
        <v>Mujer</v>
      </c>
    </row>
    <row r="200" spans="3:17" x14ac:dyDescent="0.2">
      <c r="C200" s="28">
        <v>1</v>
      </c>
      <c r="D200" s="29">
        <v>3</v>
      </c>
      <c r="E200" s="29" t="s">
        <v>285</v>
      </c>
      <c r="F200" s="29" t="s">
        <v>92</v>
      </c>
      <c r="G200" s="29">
        <v>19</v>
      </c>
      <c r="H200" s="29">
        <v>1</v>
      </c>
      <c r="I200" s="29">
        <v>0</v>
      </c>
      <c r="J200" s="29">
        <v>78542</v>
      </c>
      <c r="K200" s="29">
        <v>0</v>
      </c>
      <c r="L200" s="29" t="s">
        <v>90</v>
      </c>
      <c r="Q200" t="str">
        <v>Hombre</v>
      </c>
    </row>
    <row r="201" spans="3:17" x14ac:dyDescent="0.2">
      <c r="C201" s="28">
        <v>1</v>
      </c>
      <c r="D201" s="29">
        <v>2</v>
      </c>
      <c r="E201" s="29" t="s">
        <v>286</v>
      </c>
      <c r="F201" s="29" t="s">
        <v>89</v>
      </c>
      <c r="G201" s="29">
        <v>3</v>
      </c>
      <c r="H201" s="29">
        <v>1</v>
      </c>
      <c r="I201" s="29">
        <v>1</v>
      </c>
      <c r="J201" s="29">
        <v>26</v>
      </c>
      <c r="K201" s="29">
        <v>1</v>
      </c>
      <c r="L201" s="29" t="s">
        <v>90</v>
      </c>
      <c r="Q201" t="str">
        <v>Mujer</v>
      </c>
    </row>
    <row r="202" spans="3:17" x14ac:dyDescent="0.2">
      <c r="C202" s="28">
        <v>1</v>
      </c>
      <c r="D202" s="29">
        <v>1</v>
      </c>
      <c r="E202" s="29" t="s">
        <v>287</v>
      </c>
      <c r="F202" s="29" t="s">
        <v>92</v>
      </c>
      <c r="G202" s="29">
        <v>44</v>
      </c>
      <c r="H202" s="29">
        <v>0</v>
      </c>
      <c r="I202" s="29">
        <v>0</v>
      </c>
      <c r="J202" s="29">
        <v>277208</v>
      </c>
      <c r="K202" s="29">
        <v>1</v>
      </c>
      <c r="L202" s="29" t="s">
        <v>93</v>
      </c>
      <c r="Q202" t="str">
        <v>Mujer</v>
      </c>
    </row>
    <row r="203" spans="3:17" x14ac:dyDescent="0.2">
      <c r="C203" s="28">
        <v>1</v>
      </c>
      <c r="D203" s="29">
        <v>1</v>
      </c>
      <c r="E203" s="29" t="s">
        <v>288</v>
      </c>
      <c r="F203" s="29" t="s">
        <v>92</v>
      </c>
      <c r="G203" s="29">
        <v>58</v>
      </c>
      <c r="H203" s="29">
        <v>0</v>
      </c>
      <c r="I203" s="29">
        <v>0</v>
      </c>
      <c r="J203" s="29">
        <v>1465208</v>
      </c>
      <c r="K203" s="29">
        <v>1</v>
      </c>
      <c r="L203" s="29" t="s">
        <v>93</v>
      </c>
      <c r="Q203" t="str">
        <v>Hombre</v>
      </c>
    </row>
    <row r="204" spans="3:17" x14ac:dyDescent="0.2">
      <c r="C204" s="28">
        <v>0</v>
      </c>
      <c r="D204" s="29">
        <v>3</v>
      </c>
      <c r="E204" s="29" t="s">
        <v>289</v>
      </c>
      <c r="F204" s="29" t="s">
        <v>89</v>
      </c>
      <c r="G204" s="30"/>
      <c r="H204" s="29">
        <v>0</v>
      </c>
      <c r="I204" s="29">
        <v>0</v>
      </c>
      <c r="J204" s="29">
        <v>775</v>
      </c>
      <c r="K204" s="29">
        <v>0</v>
      </c>
      <c r="L204" s="29" t="s">
        <v>98</v>
      </c>
      <c r="Q204" t="str">
        <v>Hombre</v>
      </c>
    </row>
    <row r="205" spans="3:17" x14ac:dyDescent="0.2">
      <c r="C205" s="28">
        <v>0</v>
      </c>
      <c r="D205" s="29">
        <v>3</v>
      </c>
      <c r="E205" s="29" t="s">
        <v>290</v>
      </c>
      <c r="F205" s="29" t="s">
        <v>89</v>
      </c>
      <c r="G205" s="29">
        <v>42</v>
      </c>
      <c r="H205" s="29">
        <v>0</v>
      </c>
      <c r="I205" s="29">
        <v>1</v>
      </c>
      <c r="J205" s="29">
        <v>84042</v>
      </c>
      <c r="K205" s="29">
        <v>0</v>
      </c>
      <c r="L205" s="29" t="s">
        <v>90</v>
      </c>
      <c r="Q205" t="str">
        <v>Mujer</v>
      </c>
    </row>
    <row r="206" spans="3:17" x14ac:dyDescent="0.2">
      <c r="C206" s="28">
        <v>1</v>
      </c>
      <c r="D206" s="29">
        <v>3</v>
      </c>
      <c r="E206" s="29" t="s">
        <v>291</v>
      </c>
      <c r="F206" s="29" t="s">
        <v>92</v>
      </c>
      <c r="G206" s="30"/>
      <c r="H206" s="29">
        <v>0</v>
      </c>
      <c r="I206" s="29">
        <v>0</v>
      </c>
      <c r="J206" s="29">
        <v>775</v>
      </c>
      <c r="K206" s="29">
        <v>0</v>
      </c>
      <c r="L206" s="29" t="s">
        <v>98</v>
      </c>
      <c r="Q206" t="str">
        <v>Mujer</v>
      </c>
    </row>
    <row r="207" spans="3:17" x14ac:dyDescent="0.2">
      <c r="C207" s="28">
        <v>0</v>
      </c>
      <c r="D207" s="29">
        <v>2</v>
      </c>
      <c r="E207" s="29" t="s">
        <v>292</v>
      </c>
      <c r="F207" s="29" t="s">
        <v>92</v>
      </c>
      <c r="G207" s="29">
        <v>24</v>
      </c>
      <c r="H207" s="29">
        <v>0</v>
      </c>
      <c r="I207" s="29">
        <v>0</v>
      </c>
      <c r="J207" s="29">
        <v>13</v>
      </c>
      <c r="K207" s="29">
        <v>0</v>
      </c>
      <c r="L207" s="29" t="s">
        <v>90</v>
      </c>
      <c r="Q207" t="str">
        <v>Hombre</v>
      </c>
    </row>
    <row r="208" spans="3:17" x14ac:dyDescent="0.2">
      <c r="C208" s="28">
        <v>0</v>
      </c>
      <c r="D208" s="29">
        <v>3</v>
      </c>
      <c r="E208" s="29" t="s">
        <v>293</v>
      </c>
      <c r="F208" s="29" t="s">
        <v>89</v>
      </c>
      <c r="G208" s="29">
        <v>28</v>
      </c>
      <c r="H208" s="29">
        <v>0</v>
      </c>
      <c r="I208" s="29">
        <v>0</v>
      </c>
      <c r="J208" s="29">
        <v>95</v>
      </c>
      <c r="K208" s="29">
        <v>0</v>
      </c>
      <c r="L208" s="29" t="s">
        <v>90</v>
      </c>
      <c r="Q208" t="str">
        <v>Hombre</v>
      </c>
    </row>
    <row r="209" spans="3:17" x14ac:dyDescent="0.2">
      <c r="C209" s="28">
        <v>0</v>
      </c>
      <c r="D209" s="29">
        <v>3</v>
      </c>
      <c r="E209" s="29" t="s">
        <v>294</v>
      </c>
      <c r="F209" s="29" t="s">
        <v>89</v>
      </c>
      <c r="G209" s="30"/>
      <c r="H209" s="29">
        <v>8</v>
      </c>
      <c r="I209" s="29">
        <v>2</v>
      </c>
      <c r="J209" s="29">
        <v>6955</v>
      </c>
      <c r="K209" s="29">
        <v>0</v>
      </c>
      <c r="L209" s="29" t="s">
        <v>90</v>
      </c>
      <c r="Q209" t="str">
        <v>Hombre</v>
      </c>
    </row>
    <row r="210" spans="3:17" x14ac:dyDescent="0.2">
      <c r="C210" s="28">
        <v>0</v>
      </c>
      <c r="D210" s="29">
        <v>3</v>
      </c>
      <c r="E210" s="29" t="s">
        <v>295</v>
      </c>
      <c r="F210" s="29" t="s">
        <v>89</v>
      </c>
      <c r="G210" s="29">
        <v>34</v>
      </c>
      <c r="H210" s="29">
        <v>0</v>
      </c>
      <c r="I210" s="29">
        <v>0</v>
      </c>
      <c r="J210" s="29">
        <v>64958</v>
      </c>
      <c r="K210" s="29">
        <v>0</v>
      </c>
      <c r="L210" s="29" t="s">
        <v>90</v>
      </c>
      <c r="Q210" t="str">
        <v>Hombre</v>
      </c>
    </row>
    <row r="211" spans="3:17" x14ac:dyDescent="0.2">
      <c r="C211" s="28">
        <v>0</v>
      </c>
      <c r="D211" s="29">
        <v>3</v>
      </c>
      <c r="E211" s="29" t="s">
        <v>296</v>
      </c>
      <c r="F211" s="29" t="s">
        <v>89</v>
      </c>
      <c r="G211" s="29">
        <v>455</v>
      </c>
      <c r="H211" s="29">
        <v>0</v>
      </c>
      <c r="I211" s="29">
        <v>0</v>
      </c>
      <c r="J211" s="29">
        <v>7225</v>
      </c>
      <c r="K211" s="29">
        <v>0</v>
      </c>
      <c r="L211" s="29" t="s">
        <v>93</v>
      </c>
      <c r="Q211" t="str">
        <v>Hombre</v>
      </c>
    </row>
    <row r="212" spans="3:17" x14ac:dyDescent="0.2">
      <c r="C212" s="28">
        <v>1</v>
      </c>
      <c r="D212" s="29">
        <v>3</v>
      </c>
      <c r="E212" s="29" t="s">
        <v>297</v>
      </c>
      <c r="F212" s="29" t="s">
        <v>89</v>
      </c>
      <c r="G212" s="29">
        <v>18</v>
      </c>
      <c r="H212" s="29">
        <v>0</v>
      </c>
      <c r="I212" s="29">
        <v>0</v>
      </c>
      <c r="J212" s="29">
        <v>805</v>
      </c>
      <c r="K212" s="29">
        <v>0</v>
      </c>
      <c r="L212" s="29" t="s">
        <v>90</v>
      </c>
      <c r="Q212" t="str">
        <v>Mujer</v>
      </c>
    </row>
    <row r="213" spans="3:17" x14ac:dyDescent="0.2">
      <c r="C213" s="28">
        <v>0</v>
      </c>
      <c r="D213" s="29">
        <v>3</v>
      </c>
      <c r="E213" s="29" t="s">
        <v>298</v>
      </c>
      <c r="F213" s="29" t="s">
        <v>92</v>
      </c>
      <c r="G213" s="29">
        <v>2</v>
      </c>
      <c r="H213" s="29">
        <v>0</v>
      </c>
      <c r="I213" s="29">
        <v>1</v>
      </c>
      <c r="J213" s="29">
        <v>104625</v>
      </c>
      <c r="K213" s="29">
        <v>1</v>
      </c>
      <c r="L213" s="29" t="s">
        <v>90</v>
      </c>
      <c r="Q213" t="str">
        <v>Hombre</v>
      </c>
    </row>
    <row r="214" spans="3:17" x14ac:dyDescent="0.2">
      <c r="C214" s="28">
        <v>0</v>
      </c>
      <c r="D214" s="29">
        <v>3</v>
      </c>
      <c r="E214" s="29" t="s">
        <v>299</v>
      </c>
      <c r="F214" s="29" t="s">
        <v>89</v>
      </c>
      <c r="G214" s="29">
        <v>32</v>
      </c>
      <c r="H214" s="29">
        <v>1</v>
      </c>
      <c r="I214" s="29">
        <v>0</v>
      </c>
      <c r="J214" s="29">
        <v>1585</v>
      </c>
      <c r="K214" s="29">
        <v>0</v>
      </c>
      <c r="L214" s="29" t="s">
        <v>90</v>
      </c>
      <c r="Q214" t="str">
        <v>Hombre</v>
      </c>
    </row>
    <row r="215" spans="3:17" x14ac:dyDescent="0.2">
      <c r="C215" s="28">
        <v>1</v>
      </c>
      <c r="D215" s="29">
        <v>3</v>
      </c>
      <c r="E215" s="29" t="s">
        <v>300</v>
      </c>
      <c r="F215" s="29" t="s">
        <v>89</v>
      </c>
      <c r="G215" s="29">
        <v>26</v>
      </c>
      <c r="H215" s="29">
        <v>0</v>
      </c>
      <c r="I215" s="29">
        <v>0</v>
      </c>
      <c r="J215" s="29">
        <v>187875</v>
      </c>
      <c r="K215" s="29">
        <v>0</v>
      </c>
      <c r="L215" s="29" t="s">
        <v>93</v>
      </c>
      <c r="Q215" t="str">
        <v>Mujer</v>
      </c>
    </row>
    <row r="216" spans="3:17" x14ac:dyDescent="0.2">
      <c r="C216" s="28">
        <v>1</v>
      </c>
      <c r="D216" s="29">
        <v>3</v>
      </c>
      <c r="E216" s="29" t="s">
        <v>301</v>
      </c>
      <c r="F216" s="29" t="s">
        <v>92</v>
      </c>
      <c r="G216" s="29">
        <v>16</v>
      </c>
      <c r="H216" s="29">
        <v>0</v>
      </c>
      <c r="I216" s="29">
        <v>0</v>
      </c>
      <c r="J216" s="29">
        <v>775</v>
      </c>
      <c r="K216" s="29">
        <v>0</v>
      </c>
      <c r="L216" s="29" t="s">
        <v>98</v>
      </c>
      <c r="Q216" t="str">
        <v>Hombre</v>
      </c>
    </row>
    <row r="217" spans="3:17" x14ac:dyDescent="0.2">
      <c r="C217" s="28">
        <v>1</v>
      </c>
      <c r="D217" s="29">
        <v>1</v>
      </c>
      <c r="E217" s="29" t="s">
        <v>302</v>
      </c>
      <c r="F217" s="29" t="s">
        <v>89</v>
      </c>
      <c r="G217" s="29">
        <v>40</v>
      </c>
      <c r="H217" s="29">
        <v>0</v>
      </c>
      <c r="I217" s="29">
        <v>0</v>
      </c>
      <c r="J217" s="29">
        <v>31</v>
      </c>
      <c r="K217" s="29">
        <v>1</v>
      </c>
      <c r="L217" s="29" t="s">
        <v>93</v>
      </c>
      <c r="Q217" t="str">
        <v>Hombre</v>
      </c>
    </row>
    <row r="218" spans="3:17" x14ac:dyDescent="0.2">
      <c r="C218" s="28">
        <v>0</v>
      </c>
      <c r="D218" s="29">
        <v>3</v>
      </c>
      <c r="E218" s="29" t="s">
        <v>303</v>
      </c>
      <c r="F218" s="29" t="s">
        <v>89</v>
      </c>
      <c r="G218" s="29">
        <v>24</v>
      </c>
      <c r="H218" s="29">
        <v>0</v>
      </c>
      <c r="I218" s="29">
        <v>0</v>
      </c>
      <c r="J218" s="29">
        <v>705</v>
      </c>
      <c r="K218" s="29">
        <v>0</v>
      </c>
      <c r="L218" s="29" t="s">
        <v>90</v>
      </c>
      <c r="Q218" t="str">
        <v>Mujer</v>
      </c>
    </row>
    <row r="219" spans="3:17" x14ac:dyDescent="0.2">
      <c r="C219" s="28">
        <v>1</v>
      </c>
      <c r="D219" s="29">
        <v>2</v>
      </c>
      <c r="E219" s="29" t="s">
        <v>304</v>
      </c>
      <c r="F219" s="29" t="s">
        <v>92</v>
      </c>
      <c r="G219" s="29">
        <v>35</v>
      </c>
      <c r="H219" s="29">
        <v>0</v>
      </c>
      <c r="I219" s="29">
        <v>0</v>
      </c>
      <c r="J219" s="29">
        <v>21</v>
      </c>
      <c r="K219" s="29">
        <v>0</v>
      </c>
      <c r="L219" s="29" t="s">
        <v>90</v>
      </c>
      <c r="Q219" t="str">
        <v>Hombre</v>
      </c>
    </row>
    <row r="220" spans="3:17" x14ac:dyDescent="0.2">
      <c r="C220" s="28">
        <v>0</v>
      </c>
      <c r="D220" s="29">
        <v>3</v>
      </c>
      <c r="E220" s="29" t="s">
        <v>305</v>
      </c>
      <c r="F220" s="29" t="s">
        <v>89</v>
      </c>
      <c r="G220" s="29">
        <v>22</v>
      </c>
      <c r="H220" s="29">
        <v>0</v>
      </c>
      <c r="I220" s="29">
        <v>0</v>
      </c>
      <c r="J220" s="29">
        <v>725</v>
      </c>
      <c r="K220" s="29">
        <v>0</v>
      </c>
      <c r="L220" s="29" t="s">
        <v>90</v>
      </c>
      <c r="Q220" t="str">
        <v>Hombre</v>
      </c>
    </row>
    <row r="221" spans="3:17" x14ac:dyDescent="0.2">
      <c r="C221" s="28">
        <v>0</v>
      </c>
      <c r="D221" s="29">
        <v>2</v>
      </c>
      <c r="E221" s="29" t="s">
        <v>306</v>
      </c>
      <c r="F221" s="29" t="s">
        <v>89</v>
      </c>
      <c r="G221" s="29">
        <v>30</v>
      </c>
      <c r="H221" s="29">
        <v>0</v>
      </c>
      <c r="I221" s="29">
        <v>0</v>
      </c>
      <c r="J221" s="29">
        <v>13</v>
      </c>
      <c r="K221" s="29">
        <v>0</v>
      </c>
      <c r="L221" s="29" t="s">
        <v>90</v>
      </c>
      <c r="Q221" t="str">
        <v>Hombre</v>
      </c>
    </row>
    <row r="222" spans="3:17" x14ac:dyDescent="0.2">
      <c r="C222" s="28">
        <v>0</v>
      </c>
      <c r="D222" s="29">
        <v>3</v>
      </c>
      <c r="E222" s="29" t="s">
        <v>307</v>
      </c>
      <c r="F222" s="29" t="s">
        <v>89</v>
      </c>
      <c r="G222" s="30"/>
      <c r="H222" s="29">
        <v>1</v>
      </c>
      <c r="I222" s="29">
        <v>0</v>
      </c>
      <c r="J222" s="29">
        <v>775</v>
      </c>
      <c r="K222" s="29">
        <v>0</v>
      </c>
      <c r="L222" s="29" t="s">
        <v>98</v>
      </c>
      <c r="Q222" t="str">
        <v>Mujer</v>
      </c>
    </row>
    <row r="223" spans="3:17" x14ac:dyDescent="0.2">
      <c r="C223" s="28">
        <v>1</v>
      </c>
      <c r="D223" s="29">
        <v>1</v>
      </c>
      <c r="E223" s="29" t="s">
        <v>308</v>
      </c>
      <c r="F223" s="29" t="s">
        <v>92</v>
      </c>
      <c r="G223" s="29">
        <v>31</v>
      </c>
      <c r="H223" s="29">
        <v>1</v>
      </c>
      <c r="I223" s="29">
        <v>0</v>
      </c>
      <c r="J223" s="29">
        <v>113275</v>
      </c>
      <c r="K223" s="29">
        <v>1</v>
      </c>
      <c r="L223" s="29" t="s">
        <v>93</v>
      </c>
      <c r="Q223" t="str">
        <v>Mujer</v>
      </c>
    </row>
    <row r="224" spans="3:17" x14ac:dyDescent="0.2">
      <c r="C224" s="28">
        <v>1</v>
      </c>
      <c r="D224" s="29">
        <v>3</v>
      </c>
      <c r="E224" s="29" t="s">
        <v>309</v>
      </c>
      <c r="F224" s="29" t="s">
        <v>92</v>
      </c>
      <c r="G224" s="29">
        <v>27</v>
      </c>
      <c r="H224" s="29">
        <v>0</v>
      </c>
      <c r="I224" s="29">
        <v>0</v>
      </c>
      <c r="J224" s="29">
        <v>7925</v>
      </c>
      <c r="K224" s="29">
        <v>0</v>
      </c>
      <c r="L224" s="29" t="s">
        <v>90</v>
      </c>
      <c r="Q224" t="str">
        <v>Hombre</v>
      </c>
    </row>
    <row r="225" spans="3:17" x14ac:dyDescent="0.2">
      <c r="C225" s="28">
        <v>0</v>
      </c>
      <c r="D225" s="29">
        <v>2</v>
      </c>
      <c r="E225" s="29" t="s">
        <v>310</v>
      </c>
      <c r="F225" s="29" t="s">
        <v>89</v>
      </c>
      <c r="G225" s="29">
        <v>42</v>
      </c>
      <c r="H225" s="29">
        <v>1</v>
      </c>
      <c r="I225" s="29">
        <v>0</v>
      </c>
      <c r="J225" s="29">
        <v>27</v>
      </c>
      <c r="K225" s="29">
        <v>0</v>
      </c>
      <c r="L225" s="29" t="s">
        <v>90</v>
      </c>
      <c r="Q225" t="str">
        <v>Mujer</v>
      </c>
    </row>
    <row r="226" spans="3:17" x14ac:dyDescent="0.2">
      <c r="C226" s="28">
        <v>1</v>
      </c>
      <c r="D226" s="29">
        <v>1</v>
      </c>
      <c r="E226" s="29" t="s">
        <v>311</v>
      </c>
      <c r="F226" s="29" t="s">
        <v>92</v>
      </c>
      <c r="G226" s="29">
        <v>32</v>
      </c>
      <c r="H226" s="29">
        <v>0</v>
      </c>
      <c r="I226" s="29">
        <v>0</v>
      </c>
      <c r="J226" s="29">
        <v>762917</v>
      </c>
      <c r="K226" s="29">
        <v>1</v>
      </c>
      <c r="L226" s="29" t="s">
        <v>93</v>
      </c>
      <c r="Q226" t="str">
        <v>Hombre</v>
      </c>
    </row>
    <row r="227" spans="3:17" x14ac:dyDescent="0.2">
      <c r="C227" s="28">
        <v>0</v>
      </c>
      <c r="D227" s="29">
        <v>2</v>
      </c>
      <c r="E227" s="29" t="s">
        <v>312</v>
      </c>
      <c r="F227" s="29" t="s">
        <v>89</v>
      </c>
      <c r="G227" s="29">
        <v>30</v>
      </c>
      <c r="H227" s="29">
        <v>0</v>
      </c>
      <c r="I227" s="29">
        <v>0</v>
      </c>
      <c r="J227" s="29">
        <v>105</v>
      </c>
      <c r="K227" s="29">
        <v>0</v>
      </c>
      <c r="L227" s="29" t="s">
        <v>90</v>
      </c>
      <c r="Q227" t="str">
        <v>Hombre</v>
      </c>
    </row>
    <row r="228" spans="3:17" x14ac:dyDescent="0.2">
      <c r="C228" s="28">
        <v>1</v>
      </c>
      <c r="D228" s="29">
        <v>3</v>
      </c>
      <c r="E228" s="29" t="s">
        <v>313</v>
      </c>
      <c r="F228" s="29" t="s">
        <v>89</v>
      </c>
      <c r="G228" s="29">
        <v>16</v>
      </c>
      <c r="H228" s="29">
        <v>0</v>
      </c>
      <c r="I228" s="29">
        <v>0</v>
      </c>
      <c r="J228" s="29">
        <v>805</v>
      </c>
      <c r="K228" s="29">
        <v>0</v>
      </c>
      <c r="L228" s="29" t="s">
        <v>90</v>
      </c>
      <c r="Q228" t="str">
        <v>Hombre</v>
      </c>
    </row>
    <row r="229" spans="3:17" x14ac:dyDescent="0.2">
      <c r="C229" s="28">
        <v>0</v>
      </c>
      <c r="D229" s="29">
        <v>2</v>
      </c>
      <c r="E229" s="29" t="s">
        <v>314</v>
      </c>
      <c r="F229" s="29" t="s">
        <v>89</v>
      </c>
      <c r="G229" s="29">
        <v>27</v>
      </c>
      <c r="H229" s="29">
        <v>0</v>
      </c>
      <c r="I229" s="29">
        <v>0</v>
      </c>
      <c r="J229" s="29">
        <v>13</v>
      </c>
      <c r="K229" s="29">
        <v>0</v>
      </c>
      <c r="L229" s="29" t="s">
        <v>90</v>
      </c>
      <c r="Q229" t="str">
        <v>Hombre</v>
      </c>
    </row>
    <row r="230" spans="3:17" x14ac:dyDescent="0.2">
      <c r="C230" s="28">
        <v>0</v>
      </c>
      <c r="D230" s="29">
        <v>3</v>
      </c>
      <c r="E230" s="29" t="s">
        <v>315</v>
      </c>
      <c r="F230" s="29" t="s">
        <v>89</v>
      </c>
      <c r="G230" s="29">
        <v>51</v>
      </c>
      <c r="H230" s="29">
        <v>0</v>
      </c>
      <c r="I230" s="29">
        <v>0</v>
      </c>
      <c r="J230" s="29">
        <v>805</v>
      </c>
      <c r="K230" s="29">
        <v>0</v>
      </c>
      <c r="L230" s="29" t="s">
        <v>90</v>
      </c>
      <c r="Q230" t="str">
        <v>Hombre</v>
      </c>
    </row>
    <row r="231" spans="3:17" x14ac:dyDescent="0.2">
      <c r="C231" s="28">
        <v>0</v>
      </c>
      <c r="D231" s="29">
        <v>3</v>
      </c>
      <c r="E231" s="29" t="s">
        <v>316</v>
      </c>
      <c r="F231" s="29" t="s">
        <v>89</v>
      </c>
      <c r="G231" s="30"/>
      <c r="H231" s="29">
        <v>0</v>
      </c>
      <c r="I231" s="29">
        <v>0</v>
      </c>
      <c r="J231" s="29">
        <v>78958</v>
      </c>
      <c r="K231" s="29">
        <v>0</v>
      </c>
      <c r="L231" s="29" t="s">
        <v>90</v>
      </c>
      <c r="Q231" t="str">
        <v>Hombre</v>
      </c>
    </row>
    <row r="232" spans="3:17" x14ac:dyDescent="0.2">
      <c r="C232" s="28">
        <v>1</v>
      </c>
      <c r="D232" s="29">
        <v>1</v>
      </c>
      <c r="E232" s="29" t="s">
        <v>317</v>
      </c>
      <c r="F232" s="29" t="s">
        <v>89</v>
      </c>
      <c r="G232" s="29">
        <v>38</v>
      </c>
      <c r="H232" s="29">
        <v>1</v>
      </c>
      <c r="I232" s="29">
        <v>0</v>
      </c>
      <c r="J232" s="29">
        <v>90</v>
      </c>
      <c r="K232" s="29">
        <v>1</v>
      </c>
      <c r="L232" s="29" t="s">
        <v>90</v>
      </c>
      <c r="Q232" t="str">
        <v>Hombre</v>
      </c>
    </row>
    <row r="233" spans="3:17" x14ac:dyDescent="0.2">
      <c r="C233" s="28">
        <v>0</v>
      </c>
      <c r="D233" s="29">
        <v>3</v>
      </c>
      <c r="E233" s="29" t="s">
        <v>318</v>
      </c>
      <c r="F233" s="29" t="s">
        <v>89</v>
      </c>
      <c r="G233" s="29">
        <v>22</v>
      </c>
      <c r="H233" s="29">
        <v>0</v>
      </c>
      <c r="I233" s="29">
        <v>0</v>
      </c>
      <c r="J233" s="29">
        <v>935</v>
      </c>
      <c r="K233" s="29">
        <v>0</v>
      </c>
      <c r="L233" s="29" t="s">
        <v>90</v>
      </c>
      <c r="Q233" t="str">
        <v>Hombre</v>
      </c>
    </row>
    <row r="234" spans="3:17" x14ac:dyDescent="0.2">
      <c r="C234" s="28">
        <v>1</v>
      </c>
      <c r="D234" s="29">
        <v>2</v>
      </c>
      <c r="E234" s="29" t="s">
        <v>319</v>
      </c>
      <c r="F234" s="29" t="s">
        <v>89</v>
      </c>
      <c r="G234" s="29">
        <v>19</v>
      </c>
      <c r="H234" s="29">
        <v>0</v>
      </c>
      <c r="I234" s="29">
        <v>0</v>
      </c>
      <c r="J234" s="29">
        <v>105</v>
      </c>
      <c r="K234" s="29">
        <v>0</v>
      </c>
      <c r="L234" s="29" t="s">
        <v>90</v>
      </c>
      <c r="Q234" t="str">
        <v>Hombre</v>
      </c>
    </row>
    <row r="235" spans="3:17" x14ac:dyDescent="0.2">
      <c r="C235" s="28">
        <v>0</v>
      </c>
      <c r="D235" s="29">
        <v>3</v>
      </c>
      <c r="E235" s="29" t="s">
        <v>320</v>
      </c>
      <c r="F235" s="29" t="s">
        <v>89</v>
      </c>
      <c r="G235" s="29">
        <v>205</v>
      </c>
      <c r="H235" s="29">
        <v>0</v>
      </c>
      <c r="I235" s="29">
        <v>0</v>
      </c>
      <c r="J235" s="29">
        <v>725</v>
      </c>
      <c r="K235" s="29">
        <v>0</v>
      </c>
      <c r="L235" s="29" t="s">
        <v>90</v>
      </c>
      <c r="Q235" t="str">
        <v>Hombre</v>
      </c>
    </row>
    <row r="236" spans="3:17" x14ac:dyDescent="0.2">
      <c r="C236" s="28">
        <v>0</v>
      </c>
      <c r="D236" s="29">
        <v>2</v>
      </c>
      <c r="E236" s="29" t="s">
        <v>321</v>
      </c>
      <c r="F236" s="29" t="s">
        <v>89</v>
      </c>
      <c r="G236" s="29">
        <v>18</v>
      </c>
      <c r="H236" s="29">
        <v>0</v>
      </c>
      <c r="I236" s="29">
        <v>0</v>
      </c>
      <c r="J236" s="29">
        <v>13</v>
      </c>
      <c r="K236" s="29">
        <v>0</v>
      </c>
      <c r="L236" s="29" t="s">
        <v>90</v>
      </c>
      <c r="Q236" t="str">
        <v>Mujer</v>
      </c>
    </row>
    <row r="237" spans="3:17" x14ac:dyDescent="0.2">
      <c r="C237" s="28">
        <v>0</v>
      </c>
      <c r="D237" s="29">
        <v>3</v>
      </c>
      <c r="E237" s="29" t="s">
        <v>322</v>
      </c>
      <c r="F237" s="29" t="s">
        <v>92</v>
      </c>
      <c r="G237" s="30"/>
      <c r="H237" s="29">
        <v>3</v>
      </c>
      <c r="I237" s="29">
        <v>1</v>
      </c>
      <c r="J237" s="29">
        <v>254667</v>
      </c>
      <c r="K237" s="29">
        <v>0</v>
      </c>
      <c r="L237" s="29" t="s">
        <v>90</v>
      </c>
      <c r="Q237" t="str">
        <v>Mujer</v>
      </c>
    </row>
    <row r="238" spans="3:17" x14ac:dyDescent="0.2">
      <c r="C238" s="28">
        <v>1</v>
      </c>
      <c r="D238" s="29">
        <v>1</v>
      </c>
      <c r="E238" s="29" t="s">
        <v>323</v>
      </c>
      <c r="F238" s="29" t="s">
        <v>92</v>
      </c>
      <c r="G238" s="29">
        <v>35</v>
      </c>
      <c r="H238" s="29">
        <v>1</v>
      </c>
      <c r="I238" s="29">
        <v>0</v>
      </c>
      <c r="J238" s="29">
        <v>83475</v>
      </c>
      <c r="K238" s="29">
        <v>1</v>
      </c>
      <c r="L238" s="29" t="s">
        <v>90</v>
      </c>
      <c r="Q238" t="str">
        <v>Hombre</v>
      </c>
    </row>
    <row r="239" spans="3:17" x14ac:dyDescent="0.2">
      <c r="C239" s="28">
        <v>0</v>
      </c>
      <c r="D239" s="29">
        <v>3</v>
      </c>
      <c r="E239" s="29" t="s">
        <v>324</v>
      </c>
      <c r="F239" s="29" t="s">
        <v>89</v>
      </c>
      <c r="G239" s="29">
        <v>29</v>
      </c>
      <c r="H239" s="29">
        <v>0</v>
      </c>
      <c r="I239" s="29">
        <v>0</v>
      </c>
      <c r="J239" s="29">
        <v>7775</v>
      </c>
      <c r="K239" s="29">
        <v>0</v>
      </c>
      <c r="L239" s="29" t="s">
        <v>90</v>
      </c>
      <c r="Q239" t="str">
        <v>Hombre</v>
      </c>
    </row>
    <row r="240" spans="3:17" x14ac:dyDescent="0.2">
      <c r="C240" s="28">
        <v>0</v>
      </c>
      <c r="D240" s="29">
        <v>2</v>
      </c>
      <c r="E240" s="29" t="s">
        <v>325</v>
      </c>
      <c r="F240" s="29" t="s">
        <v>89</v>
      </c>
      <c r="G240" s="29">
        <v>59</v>
      </c>
      <c r="H240" s="29">
        <v>0</v>
      </c>
      <c r="I240" s="29">
        <v>0</v>
      </c>
      <c r="J240" s="29">
        <v>135</v>
      </c>
      <c r="K240" s="29">
        <v>0</v>
      </c>
      <c r="L240" s="29" t="s">
        <v>90</v>
      </c>
      <c r="Q240" t="str">
        <v>Mujer</v>
      </c>
    </row>
    <row r="241" spans="3:17" x14ac:dyDescent="0.2">
      <c r="C241" s="28">
        <v>1</v>
      </c>
      <c r="D241" s="29">
        <v>3</v>
      </c>
      <c r="E241" s="29" t="s">
        <v>326</v>
      </c>
      <c r="F241" s="29" t="s">
        <v>92</v>
      </c>
      <c r="G241" s="29">
        <v>5</v>
      </c>
      <c r="H241" s="29">
        <v>4</v>
      </c>
      <c r="I241" s="29">
        <v>2</v>
      </c>
      <c r="J241" s="29">
        <v>313875</v>
      </c>
      <c r="K241" s="29">
        <v>0</v>
      </c>
      <c r="L241" s="29" t="s">
        <v>90</v>
      </c>
      <c r="Q241" t="str">
        <v>Hombre</v>
      </c>
    </row>
    <row r="242" spans="3:17" x14ac:dyDescent="0.2">
      <c r="C242" s="28">
        <v>0</v>
      </c>
      <c r="D242" s="29">
        <v>2</v>
      </c>
      <c r="E242" s="29" t="s">
        <v>327</v>
      </c>
      <c r="F242" s="29" t="s">
        <v>89</v>
      </c>
      <c r="G242" s="29">
        <v>24</v>
      </c>
      <c r="H242" s="29">
        <v>0</v>
      </c>
      <c r="I242" s="29">
        <v>0</v>
      </c>
      <c r="J242" s="29">
        <v>105</v>
      </c>
      <c r="K242" s="29">
        <v>0</v>
      </c>
      <c r="L242" s="29" t="s">
        <v>90</v>
      </c>
      <c r="Q242" t="str">
        <v>Mujer</v>
      </c>
    </row>
    <row r="243" spans="3:17" x14ac:dyDescent="0.2">
      <c r="C243" s="28">
        <v>0</v>
      </c>
      <c r="D243" s="29">
        <v>3</v>
      </c>
      <c r="E243" s="29" t="s">
        <v>328</v>
      </c>
      <c r="F243" s="29" t="s">
        <v>92</v>
      </c>
      <c r="G243" s="30"/>
      <c r="H243" s="29">
        <v>0</v>
      </c>
      <c r="I243" s="29">
        <v>0</v>
      </c>
      <c r="J243" s="29">
        <v>755</v>
      </c>
      <c r="K243" s="29">
        <v>0</v>
      </c>
      <c r="L243" s="29" t="s">
        <v>90</v>
      </c>
      <c r="Q243" t="str">
        <v>Hombre</v>
      </c>
    </row>
    <row r="244" spans="3:17" x14ac:dyDescent="0.2">
      <c r="C244" s="28">
        <v>0</v>
      </c>
      <c r="D244" s="29">
        <v>2</v>
      </c>
      <c r="E244" s="29" t="s">
        <v>329</v>
      </c>
      <c r="F244" s="29" t="s">
        <v>89</v>
      </c>
      <c r="G244" s="29">
        <v>44</v>
      </c>
      <c r="H244" s="29">
        <v>1</v>
      </c>
      <c r="I244" s="29">
        <v>0</v>
      </c>
      <c r="J244" s="29">
        <v>26</v>
      </c>
      <c r="K244" s="29">
        <v>0</v>
      </c>
      <c r="L244" s="29" t="s">
        <v>90</v>
      </c>
      <c r="Q244" t="str">
        <v>Mujer</v>
      </c>
    </row>
    <row r="245" spans="3:17" x14ac:dyDescent="0.2">
      <c r="C245" s="28">
        <v>1</v>
      </c>
      <c r="D245" s="29">
        <v>2</v>
      </c>
      <c r="E245" s="29" t="s">
        <v>330</v>
      </c>
      <c r="F245" s="29" t="s">
        <v>92</v>
      </c>
      <c r="G245" s="29">
        <v>8</v>
      </c>
      <c r="H245" s="29">
        <v>0</v>
      </c>
      <c r="I245" s="29">
        <v>2</v>
      </c>
      <c r="J245" s="29">
        <v>2625</v>
      </c>
      <c r="K245" s="29">
        <v>0</v>
      </c>
      <c r="L245" s="29" t="s">
        <v>90</v>
      </c>
      <c r="Q245" t="str">
        <v>Hombre</v>
      </c>
    </row>
    <row r="246" spans="3:17" x14ac:dyDescent="0.2">
      <c r="C246" s="28">
        <v>0</v>
      </c>
      <c r="D246" s="29">
        <v>2</v>
      </c>
      <c r="E246" s="29" t="s">
        <v>331</v>
      </c>
      <c r="F246" s="29" t="s">
        <v>89</v>
      </c>
      <c r="G246" s="29">
        <v>19</v>
      </c>
      <c r="H246" s="29">
        <v>0</v>
      </c>
      <c r="I246" s="29">
        <v>0</v>
      </c>
      <c r="J246" s="29">
        <v>105</v>
      </c>
      <c r="K246" s="29">
        <v>0</v>
      </c>
      <c r="L246" s="29" t="s">
        <v>90</v>
      </c>
      <c r="Q246" t="str">
        <v>Hombre</v>
      </c>
    </row>
    <row r="247" spans="3:17" x14ac:dyDescent="0.2">
      <c r="C247" s="28">
        <v>0</v>
      </c>
      <c r="D247" s="29">
        <v>2</v>
      </c>
      <c r="E247" s="29" t="s">
        <v>332</v>
      </c>
      <c r="F247" s="29" t="s">
        <v>89</v>
      </c>
      <c r="G247" s="29">
        <v>33</v>
      </c>
      <c r="H247" s="29">
        <v>0</v>
      </c>
      <c r="I247" s="29">
        <v>0</v>
      </c>
      <c r="J247" s="29">
        <v>12275</v>
      </c>
      <c r="K247" s="29">
        <v>0</v>
      </c>
      <c r="L247" s="29" t="s">
        <v>90</v>
      </c>
      <c r="Q247" t="str">
        <v>Mujer</v>
      </c>
    </row>
    <row r="248" spans="3:17" x14ac:dyDescent="0.2">
      <c r="C248" s="28">
        <v>0</v>
      </c>
      <c r="D248" s="29">
        <v>3</v>
      </c>
      <c r="E248" s="29" t="s">
        <v>333</v>
      </c>
      <c r="F248" s="29" t="s">
        <v>92</v>
      </c>
      <c r="G248" s="30"/>
      <c r="H248" s="29">
        <v>1</v>
      </c>
      <c r="I248" s="29">
        <v>0</v>
      </c>
      <c r="J248" s="29">
        <v>144542</v>
      </c>
      <c r="K248" s="29">
        <v>0</v>
      </c>
      <c r="L248" s="29" t="s">
        <v>93</v>
      </c>
      <c r="Q248" t="str">
        <v>Mujer</v>
      </c>
    </row>
    <row r="249" spans="3:17" x14ac:dyDescent="0.2">
      <c r="C249" s="28">
        <v>1</v>
      </c>
      <c r="D249" s="29">
        <v>3</v>
      </c>
      <c r="E249" s="29" t="s">
        <v>334</v>
      </c>
      <c r="F249" s="29" t="s">
        <v>92</v>
      </c>
      <c r="G249" s="30"/>
      <c r="H249" s="29">
        <v>1</v>
      </c>
      <c r="I249" s="29">
        <v>0</v>
      </c>
      <c r="J249" s="29">
        <v>155</v>
      </c>
      <c r="K249" s="29">
        <v>0</v>
      </c>
      <c r="L249" s="29" t="s">
        <v>98</v>
      </c>
      <c r="Q249" t="str">
        <v>Hombre</v>
      </c>
    </row>
    <row r="250" spans="3:17" x14ac:dyDescent="0.2">
      <c r="C250" s="28">
        <v>0</v>
      </c>
      <c r="D250" s="29">
        <v>2</v>
      </c>
      <c r="E250" s="29" t="s">
        <v>335</v>
      </c>
      <c r="F250" s="29" t="s">
        <v>89</v>
      </c>
      <c r="G250" s="29">
        <v>29</v>
      </c>
      <c r="H250" s="29">
        <v>0</v>
      </c>
      <c r="I250" s="29">
        <v>0</v>
      </c>
      <c r="J250" s="29">
        <v>105</v>
      </c>
      <c r="K250" s="29">
        <v>0</v>
      </c>
      <c r="L250" s="29" t="s">
        <v>90</v>
      </c>
      <c r="Q250" t="str">
        <v>Hombre</v>
      </c>
    </row>
    <row r="251" spans="3:17" x14ac:dyDescent="0.2">
      <c r="C251" s="28">
        <v>0</v>
      </c>
      <c r="D251" s="29">
        <v>3</v>
      </c>
      <c r="E251" s="29" t="s">
        <v>336</v>
      </c>
      <c r="F251" s="29" t="s">
        <v>89</v>
      </c>
      <c r="G251" s="29">
        <v>22</v>
      </c>
      <c r="H251" s="29">
        <v>0</v>
      </c>
      <c r="I251" s="29">
        <v>0</v>
      </c>
      <c r="J251" s="29">
        <v>7125</v>
      </c>
      <c r="K251" s="29">
        <v>0</v>
      </c>
      <c r="L251" s="29" t="s">
        <v>90</v>
      </c>
      <c r="Q251" t="str">
        <v>Hombre</v>
      </c>
    </row>
    <row r="252" spans="3:17" x14ac:dyDescent="0.2">
      <c r="C252" s="28">
        <v>0</v>
      </c>
      <c r="D252" s="29">
        <v>3</v>
      </c>
      <c r="E252" s="29" t="s">
        <v>337</v>
      </c>
      <c r="F252" s="29" t="s">
        <v>89</v>
      </c>
      <c r="G252" s="29">
        <v>30</v>
      </c>
      <c r="H252" s="29">
        <v>0</v>
      </c>
      <c r="I252" s="29">
        <v>0</v>
      </c>
      <c r="J252" s="29">
        <v>7225</v>
      </c>
      <c r="K252" s="29">
        <v>0</v>
      </c>
      <c r="L252" s="29" t="s">
        <v>93</v>
      </c>
      <c r="Q252" t="str">
        <v>Hombre</v>
      </c>
    </row>
    <row r="253" spans="3:17" x14ac:dyDescent="0.2">
      <c r="C253" s="28">
        <v>0</v>
      </c>
      <c r="D253" s="29">
        <v>1</v>
      </c>
      <c r="E253" s="29" t="s">
        <v>338</v>
      </c>
      <c r="F253" s="29" t="s">
        <v>89</v>
      </c>
      <c r="G253" s="29">
        <v>44</v>
      </c>
      <c r="H253" s="29">
        <v>2</v>
      </c>
      <c r="I253" s="29">
        <v>0</v>
      </c>
      <c r="J253" s="29">
        <v>90</v>
      </c>
      <c r="K253" s="29">
        <v>1</v>
      </c>
      <c r="L253" s="29" t="s">
        <v>98</v>
      </c>
      <c r="Q253" t="str">
        <v>Mujer</v>
      </c>
    </row>
    <row r="254" spans="3:17" x14ac:dyDescent="0.2">
      <c r="C254" s="28">
        <v>0</v>
      </c>
      <c r="D254" s="29">
        <v>3</v>
      </c>
      <c r="E254" s="29" t="s">
        <v>339</v>
      </c>
      <c r="F254" s="29" t="s">
        <v>92</v>
      </c>
      <c r="G254" s="29">
        <v>25</v>
      </c>
      <c r="H254" s="29">
        <v>0</v>
      </c>
      <c r="I254" s="29">
        <v>0</v>
      </c>
      <c r="J254" s="29">
        <v>7775</v>
      </c>
      <c r="K254" s="29">
        <v>0</v>
      </c>
      <c r="L254" s="29" t="s">
        <v>90</v>
      </c>
      <c r="Q254" t="str">
        <v>Mujer</v>
      </c>
    </row>
    <row r="255" spans="3:17" x14ac:dyDescent="0.2">
      <c r="C255" s="28">
        <v>1</v>
      </c>
      <c r="D255" s="29">
        <v>2</v>
      </c>
      <c r="E255" s="29" t="s">
        <v>340</v>
      </c>
      <c r="F255" s="29" t="s">
        <v>92</v>
      </c>
      <c r="G255" s="29">
        <v>24</v>
      </c>
      <c r="H255" s="29">
        <v>0</v>
      </c>
      <c r="I255" s="29">
        <v>2</v>
      </c>
      <c r="J255" s="29">
        <v>145</v>
      </c>
      <c r="K255" s="29">
        <v>0</v>
      </c>
      <c r="L255" s="29" t="s">
        <v>90</v>
      </c>
      <c r="Q255" t="str">
        <v>Hombre</v>
      </c>
    </row>
    <row r="256" spans="3:17" x14ac:dyDescent="0.2">
      <c r="C256" s="28">
        <v>1</v>
      </c>
      <c r="D256" s="29">
        <v>1</v>
      </c>
      <c r="E256" s="29" t="s">
        <v>341</v>
      </c>
      <c r="F256" s="29" t="s">
        <v>89</v>
      </c>
      <c r="G256" s="29">
        <v>37</v>
      </c>
      <c r="H256" s="29">
        <v>1</v>
      </c>
      <c r="I256" s="29">
        <v>1</v>
      </c>
      <c r="J256" s="29">
        <v>525542</v>
      </c>
      <c r="K256" s="29">
        <v>1</v>
      </c>
      <c r="L256" s="29" t="s">
        <v>90</v>
      </c>
      <c r="Q256" t="str">
        <v>Hombre</v>
      </c>
    </row>
    <row r="257" spans="3:17" x14ac:dyDescent="0.2">
      <c r="C257" s="28">
        <v>0</v>
      </c>
      <c r="D257" s="29">
        <v>2</v>
      </c>
      <c r="E257" s="29" t="s">
        <v>342</v>
      </c>
      <c r="F257" s="29" t="s">
        <v>89</v>
      </c>
      <c r="G257" s="29">
        <v>54</v>
      </c>
      <c r="H257" s="29">
        <v>1</v>
      </c>
      <c r="I257" s="29">
        <v>0</v>
      </c>
      <c r="J257" s="29">
        <v>26</v>
      </c>
      <c r="K257" s="29">
        <v>0</v>
      </c>
      <c r="L257" s="29" t="s">
        <v>90</v>
      </c>
      <c r="Q257" t="str">
        <v>Hombre</v>
      </c>
    </row>
    <row r="258" spans="3:17" x14ac:dyDescent="0.2">
      <c r="C258" s="28">
        <v>0</v>
      </c>
      <c r="D258" s="29">
        <v>3</v>
      </c>
      <c r="E258" s="29" t="s">
        <v>343</v>
      </c>
      <c r="F258" s="29" t="s">
        <v>89</v>
      </c>
      <c r="G258" s="30"/>
      <c r="H258" s="29">
        <v>0</v>
      </c>
      <c r="I258" s="29">
        <v>0</v>
      </c>
      <c r="J258" s="29">
        <v>725</v>
      </c>
      <c r="K258" s="29">
        <v>0</v>
      </c>
      <c r="L258" s="29" t="s">
        <v>90</v>
      </c>
      <c r="Q258" t="str">
        <v>Mujer</v>
      </c>
    </row>
    <row r="259" spans="3:17" x14ac:dyDescent="0.2">
      <c r="C259" s="28">
        <v>0</v>
      </c>
      <c r="D259" s="29">
        <v>3</v>
      </c>
      <c r="E259" s="29" t="s">
        <v>344</v>
      </c>
      <c r="F259" s="29" t="s">
        <v>92</v>
      </c>
      <c r="G259" s="29">
        <v>29</v>
      </c>
      <c r="H259" s="29">
        <v>1</v>
      </c>
      <c r="I259" s="29">
        <v>1</v>
      </c>
      <c r="J259" s="29">
        <v>104625</v>
      </c>
      <c r="K259" s="29">
        <v>1</v>
      </c>
      <c r="L259" s="29" t="s">
        <v>90</v>
      </c>
      <c r="Q259" t="str">
        <v>Hombre</v>
      </c>
    </row>
    <row r="260" spans="3:17" x14ac:dyDescent="0.2">
      <c r="C260" s="28">
        <v>0</v>
      </c>
      <c r="D260" s="29">
        <v>1</v>
      </c>
      <c r="E260" s="29" t="s">
        <v>345</v>
      </c>
      <c r="F260" s="29" t="s">
        <v>89</v>
      </c>
      <c r="G260" s="29">
        <v>62</v>
      </c>
      <c r="H260" s="29">
        <v>0</v>
      </c>
      <c r="I260" s="29">
        <v>0</v>
      </c>
      <c r="J260" s="29">
        <v>2655</v>
      </c>
      <c r="K260" s="29">
        <v>1</v>
      </c>
      <c r="L260" s="29" t="s">
        <v>90</v>
      </c>
      <c r="Q260" t="str">
        <v>Hombre</v>
      </c>
    </row>
    <row r="261" spans="3:17" x14ac:dyDescent="0.2">
      <c r="C261" s="28">
        <v>0</v>
      </c>
      <c r="D261" s="29">
        <v>3</v>
      </c>
      <c r="E261" s="29" t="s">
        <v>346</v>
      </c>
      <c r="F261" s="29" t="s">
        <v>89</v>
      </c>
      <c r="G261" s="29">
        <v>30</v>
      </c>
      <c r="H261" s="29">
        <v>1</v>
      </c>
      <c r="I261" s="29">
        <v>0</v>
      </c>
      <c r="J261" s="29">
        <v>161</v>
      </c>
      <c r="K261" s="29">
        <v>0</v>
      </c>
      <c r="L261" s="29" t="s">
        <v>90</v>
      </c>
      <c r="Q261" t="str">
        <v>Mujer</v>
      </c>
    </row>
    <row r="262" spans="3:17" x14ac:dyDescent="0.2">
      <c r="C262" s="28">
        <v>0</v>
      </c>
      <c r="D262" s="29">
        <v>3</v>
      </c>
      <c r="E262" s="29" t="s">
        <v>347</v>
      </c>
      <c r="F262" s="29" t="s">
        <v>92</v>
      </c>
      <c r="G262" s="29">
        <v>41</v>
      </c>
      <c r="H262" s="29">
        <v>0</v>
      </c>
      <c r="I262" s="29">
        <v>2</v>
      </c>
      <c r="J262" s="29">
        <v>202125</v>
      </c>
      <c r="K262" s="29">
        <v>0</v>
      </c>
      <c r="L262" s="29" t="s">
        <v>90</v>
      </c>
      <c r="Q262" t="str">
        <v>Mujer</v>
      </c>
    </row>
    <row r="263" spans="3:17" x14ac:dyDescent="0.2">
      <c r="C263" s="28">
        <v>1</v>
      </c>
      <c r="D263" s="29">
        <v>3</v>
      </c>
      <c r="E263" s="29" t="s">
        <v>348</v>
      </c>
      <c r="F263" s="29" t="s">
        <v>92</v>
      </c>
      <c r="G263" s="29">
        <v>29</v>
      </c>
      <c r="H263" s="29">
        <v>0</v>
      </c>
      <c r="I263" s="29">
        <v>2</v>
      </c>
      <c r="J263" s="29">
        <v>152458</v>
      </c>
      <c r="K263" s="29">
        <v>0</v>
      </c>
      <c r="L263" s="29" t="s">
        <v>93</v>
      </c>
      <c r="Q263" t="str">
        <v>Mujer</v>
      </c>
    </row>
    <row r="264" spans="3:17" x14ac:dyDescent="0.2">
      <c r="C264" s="28">
        <v>1</v>
      </c>
      <c r="D264" s="29">
        <v>1</v>
      </c>
      <c r="E264" s="29" t="s">
        <v>349</v>
      </c>
      <c r="F264" s="29" t="s">
        <v>92</v>
      </c>
      <c r="G264" s="30"/>
      <c r="H264" s="29">
        <v>0</v>
      </c>
      <c r="I264" s="29">
        <v>0</v>
      </c>
      <c r="J264" s="29">
        <v>792</v>
      </c>
      <c r="K264" s="29">
        <v>0</v>
      </c>
      <c r="L264" s="29" t="s">
        <v>93</v>
      </c>
      <c r="Q264" t="str">
        <v>Mujer</v>
      </c>
    </row>
    <row r="265" spans="3:17" x14ac:dyDescent="0.2">
      <c r="C265" s="28">
        <v>1</v>
      </c>
      <c r="D265" s="29">
        <v>1</v>
      </c>
      <c r="E265" s="29" t="s">
        <v>350</v>
      </c>
      <c r="F265" s="29" t="s">
        <v>92</v>
      </c>
      <c r="G265" s="29">
        <v>30</v>
      </c>
      <c r="H265" s="29">
        <v>0</v>
      </c>
      <c r="I265" s="29">
        <v>0</v>
      </c>
      <c r="J265" s="29">
        <v>865</v>
      </c>
      <c r="K265" s="29">
        <v>1</v>
      </c>
      <c r="L265" s="29" t="s">
        <v>90</v>
      </c>
      <c r="Q265" t="str">
        <v>Mujer</v>
      </c>
    </row>
    <row r="266" spans="3:17" x14ac:dyDescent="0.2">
      <c r="C266" s="28">
        <v>1</v>
      </c>
      <c r="D266" s="29">
        <v>1</v>
      </c>
      <c r="E266" s="29" t="s">
        <v>351</v>
      </c>
      <c r="F266" s="29" t="s">
        <v>92</v>
      </c>
      <c r="G266" s="29">
        <v>35</v>
      </c>
      <c r="H266" s="29">
        <v>0</v>
      </c>
      <c r="I266" s="29">
        <v>0</v>
      </c>
      <c r="J266" s="29">
        <v>5123292</v>
      </c>
      <c r="K266" s="29">
        <v>0</v>
      </c>
      <c r="L266" s="29" t="s">
        <v>93</v>
      </c>
      <c r="Q266" t="str">
        <v>Mujer</v>
      </c>
    </row>
    <row r="267" spans="3:17" x14ac:dyDescent="0.2">
      <c r="C267" s="28">
        <v>1</v>
      </c>
      <c r="D267" s="29">
        <v>2</v>
      </c>
      <c r="E267" s="29" t="s">
        <v>352</v>
      </c>
      <c r="F267" s="29" t="s">
        <v>92</v>
      </c>
      <c r="G267" s="29">
        <v>50</v>
      </c>
      <c r="H267" s="29">
        <v>0</v>
      </c>
      <c r="I267" s="29">
        <v>1</v>
      </c>
      <c r="J267" s="29">
        <v>26</v>
      </c>
      <c r="K267" s="29">
        <v>0</v>
      </c>
      <c r="L267" s="29" t="s">
        <v>90</v>
      </c>
      <c r="Q267" t="str">
        <v>Hombre</v>
      </c>
    </row>
    <row r="268" spans="3:17" x14ac:dyDescent="0.2">
      <c r="C268" s="28">
        <v>0</v>
      </c>
      <c r="D268" s="29">
        <v>3</v>
      </c>
      <c r="E268" s="29" t="s">
        <v>353</v>
      </c>
      <c r="F268" s="29" t="s">
        <v>89</v>
      </c>
      <c r="G268" s="30"/>
      <c r="H268" s="29">
        <v>0</v>
      </c>
      <c r="I268" s="29">
        <v>0</v>
      </c>
      <c r="J268" s="29">
        <v>775</v>
      </c>
      <c r="K268" s="29">
        <v>0</v>
      </c>
      <c r="L268" s="29" t="s">
        <v>98</v>
      </c>
      <c r="Q268" t="str">
        <v>Hombre</v>
      </c>
    </row>
    <row r="269" spans="3:17" x14ac:dyDescent="0.2">
      <c r="C269" s="28">
        <v>1</v>
      </c>
      <c r="D269" s="29">
        <v>3</v>
      </c>
      <c r="E269" s="29" t="s">
        <v>354</v>
      </c>
      <c r="F269" s="29" t="s">
        <v>89</v>
      </c>
      <c r="G269" s="29">
        <v>3</v>
      </c>
      <c r="H269" s="29">
        <v>4</v>
      </c>
      <c r="I269" s="29">
        <v>2</v>
      </c>
      <c r="J269" s="29">
        <v>313875</v>
      </c>
      <c r="K269" s="29">
        <v>0</v>
      </c>
      <c r="L269" s="29" t="s">
        <v>90</v>
      </c>
      <c r="Q269" t="str">
        <v>Hombre</v>
      </c>
    </row>
    <row r="270" spans="3:17" x14ac:dyDescent="0.2">
      <c r="C270" s="28">
        <v>0</v>
      </c>
      <c r="D270" s="29">
        <v>1</v>
      </c>
      <c r="E270" s="29" t="s">
        <v>355</v>
      </c>
      <c r="F270" s="29" t="s">
        <v>89</v>
      </c>
      <c r="G270" s="29">
        <v>52</v>
      </c>
      <c r="H270" s="29">
        <v>1</v>
      </c>
      <c r="I270" s="29">
        <v>1</v>
      </c>
      <c r="J270" s="29">
        <v>7965</v>
      </c>
      <c r="K270" s="29">
        <v>1</v>
      </c>
      <c r="L270" s="29" t="s">
        <v>90</v>
      </c>
      <c r="Q270" t="str">
        <v>Hombre</v>
      </c>
    </row>
    <row r="271" spans="3:17" x14ac:dyDescent="0.2">
      <c r="C271" s="28">
        <v>0</v>
      </c>
      <c r="D271" s="29">
        <v>1</v>
      </c>
      <c r="E271" s="29" t="s">
        <v>356</v>
      </c>
      <c r="F271" s="29" t="s">
        <v>89</v>
      </c>
      <c r="G271" s="29">
        <v>40</v>
      </c>
      <c r="H271" s="29">
        <v>0</v>
      </c>
      <c r="I271" s="29">
        <v>0</v>
      </c>
      <c r="J271" s="29">
        <v>0</v>
      </c>
      <c r="K271" s="29">
        <v>1</v>
      </c>
      <c r="L271" s="29" t="s">
        <v>90</v>
      </c>
      <c r="Q271" t="str">
        <v>Mujer</v>
      </c>
    </row>
    <row r="272" spans="3:17" x14ac:dyDescent="0.2">
      <c r="C272" s="28">
        <v>0</v>
      </c>
      <c r="D272" s="29">
        <v>3</v>
      </c>
      <c r="E272" s="29" t="s">
        <v>357</v>
      </c>
      <c r="F272" s="29" t="s">
        <v>92</v>
      </c>
      <c r="G272" s="30"/>
      <c r="H272" s="29">
        <v>0</v>
      </c>
      <c r="I272" s="29">
        <v>0</v>
      </c>
      <c r="J272" s="29">
        <v>775</v>
      </c>
      <c r="K272" s="29">
        <v>0</v>
      </c>
      <c r="L272" s="29" t="s">
        <v>98</v>
      </c>
      <c r="Q272" t="str">
        <v>Hombre</v>
      </c>
    </row>
    <row r="273" spans="3:17" x14ac:dyDescent="0.2">
      <c r="C273" s="28">
        <v>0</v>
      </c>
      <c r="D273" s="29">
        <v>2</v>
      </c>
      <c r="E273" s="29" t="s">
        <v>358</v>
      </c>
      <c r="F273" s="29" t="s">
        <v>89</v>
      </c>
      <c r="G273" s="29">
        <v>36</v>
      </c>
      <c r="H273" s="29">
        <v>0</v>
      </c>
      <c r="I273" s="29">
        <v>0</v>
      </c>
      <c r="J273" s="29">
        <v>105</v>
      </c>
      <c r="K273" s="29">
        <v>0</v>
      </c>
      <c r="L273" s="29" t="s">
        <v>90</v>
      </c>
      <c r="Q273" t="str">
        <v>Hombre</v>
      </c>
    </row>
    <row r="274" spans="3:17" x14ac:dyDescent="0.2">
      <c r="C274" s="28">
        <v>0</v>
      </c>
      <c r="D274" s="29">
        <v>3</v>
      </c>
      <c r="E274" s="29" t="s">
        <v>359</v>
      </c>
      <c r="F274" s="29" t="s">
        <v>89</v>
      </c>
      <c r="G274" s="29">
        <v>16</v>
      </c>
      <c r="H274" s="29">
        <v>4</v>
      </c>
      <c r="I274" s="29">
        <v>1</v>
      </c>
      <c r="J274" s="29">
        <v>396875</v>
      </c>
      <c r="K274" s="29">
        <v>0</v>
      </c>
      <c r="L274" s="29" t="s">
        <v>90</v>
      </c>
      <c r="Q274" t="str">
        <v>Hombre</v>
      </c>
    </row>
    <row r="275" spans="3:17" x14ac:dyDescent="0.2">
      <c r="C275" s="28">
        <v>1</v>
      </c>
      <c r="D275" s="29">
        <v>3</v>
      </c>
      <c r="E275" s="29" t="s">
        <v>360</v>
      </c>
      <c r="F275" s="29" t="s">
        <v>89</v>
      </c>
      <c r="G275" s="29">
        <v>25</v>
      </c>
      <c r="H275" s="29">
        <v>1</v>
      </c>
      <c r="I275" s="29">
        <v>0</v>
      </c>
      <c r="J275" s="29">
        <v>7775</v>
      </c>
      <c r="K275" s="29">
        <v>0</v>
      </c>
      <c r="L275" s="29" t="s">
        <v>90</v>
      </c>
      <c r="Q275" t="str">
        <v>Mujer</v>
      </c>
    </row>
    <row r="276" spans="3:17" x14ac:dyDescent="0.2">
      <c r="C276" s="28">
        <v>1</v>
      </c>
      <c r="D276" s="29">
        <v>1</v>
      </c>
      <c r="E276" s="29" t="s">
        <v>361</v>
      </c>
      <c r="F276" s="29" t="s">
        <v>92</v>
      </c>
      <c r="G276" s="29">
        <v>58</v>
      </c>
      <c r="H276" s="29">
        <v>0</v>
      </c>
      <c r="I276" s="29">
        <v>1</v>
      </c>
      <c r="J276" s="29">
        <v>1534625</v>
      </c>
      <c r="K276" s="29">
        <v>1</v>
      </c>
      <c r="L276" s="29" t="s">
        <v>90</v>
      </c>
      <c r="Q276" t="str">
        <v>Mujer</v>
      </c>
    </row>
    <row r="277" spans="3:17" x14ac:dyDescent="0.2">
      <c r="C277" s="28">
        <v>1</v>
      </c>
      <c r="D277" s="29">
        <v>1</v>
      </c>
      <c r="E277" s="29" t="s">
        <v>362</v>
      </c>
      <c r="F277" s="29" t="s">
        <v>92</v>
      </c>
      <c r="G277" s="29">
        <v>35</v>
      </c>
      <c r="H277" s="29">
        <v>0</v>
      </c>
      <c r="I277" s="29">
        <v>0</v>
      </c>
      <c r="J277" s="29">
        <v>1356333</v>
      </c>
      <c r="K277" s="29">
        <v>1</v>
      </c>
      <c r="L277" s="29" t="s">
        <v>90</v>
      </c>
      <c r="Q277" t="str">
        <v>Hombre</v>
      </c>
    </row>
    <row r="278" spans="3:17" x14ac:dyDescent="0.2">
      <c r="C278" s="28">
        <v>0</v>
      </c>
      <c r="D278" s="29">
        <v>1</v>
      </c>
      <c r="E278" s="29" t="s">
        <v>363</v>
      </c>
      <c r="F278" s="29" t="s">
        <v>89</v>
      </c>
      <c r="G278" s="30"/>
      <c r="H278" s="29">
        <v>0</v>
      </c>
      <c r="I278" s="29">
        <v>0</v>
      </c>
      <c r="J278" s="29">
        <v>31</v>
      </c>
      <c r="K278" s="29">
        <v>0</v>
      </c>
      <c r="L278" s="29" t="s">
        <v>90</v>
      </c>
      <c r="Q278" t="str">
        <v>Hombre</v>
      </c>
    </row>
    <row r="279" spans="3:17" x14ac:dyDescent="0.2">
      <c r="C279" s="28">
        <v>1</v>
      </c>
      <c r="D279" s="29">
        <v>3</v>
      </c>
      <c r="E279" s="29" t="s">
        <v>364</v>
      </c>
      <c r="F279" s="29" t="s">
        <v>89</v>
      </c>
      <c r="G279" s="29">
        <v>25</v>
      </c>
      <c r="H279" s="29">
        <v>0</v>
      </c>
      <c r="I279" s="29">
        <v>0</v>
      </c>
      <c r="J279" s="29">
        <v>0</v>
      </c>
      <c r="K279" s="29">
        <v>0</v>
      </c>
      <c r="L279" s="29" t="s">
        <v>90</v>
      </c>
      <c r="Q279" t="str">
        <v>Mujer</v>
      </c>
    </row>
    <row r="280" spans="3:17" x14ac:dyDescent="0.2">
      <c r="C280" s="28">
        <v>1</v>
      </c>
      <c r="D280" s="29">
        <v>2</v>
      </c>
      <c r="E280" s="29" t="s">
        <v>365</v>
      </c>
      <c r="F280" s="29" t="s">
        <v>92</v>
      </c>
      <c r="G280" s="29">
        <v>41</v>
      </c>
      <c r="H280" s="29">
        <v>0</v>
      </c>
      <c r="I280" s="29">
        <v>1</v>
      </c>
      <c r="J280" s="29">
        <v>195</v>
      </c>
      <c r="K280" s="29">
        <v>0</v>
      </c>
      <c r="L280" s="29" t="s">
        <v>90</v>
      </c>
      <c r="Q280" t="str">
        <v>Hombre</v>
      </c>
    </row>
    <row r="281" spans="3:17" x14ac:dyDescent="0.2">
      <c r="C281" s="28">
        <v>0</v>
      </c>
      <c r="D281" s="29">
        <v>1</v>
      </c>
      <c r="E281" s="29" t="s">
        <v>366</v>
      </c>
      <c r="F281" s="29" t="s">
        <v>89</v>
      </c>
      <c r="G281" s="29">
        <v>37</v>
      </c>
      <c r="H281" s="29">
        <v>0</v>
      </c>
      <c r="I281" s="29">
        <v>1</v>
      </c>
      <c r="J281" s="29">
        <v>297</v>
      </c>
      <c r="K281" s="29">
        <v>1</v>
      </c>
      <c r="L281" s="29" t="s">
        <v>93</v>
      </c>
      <c r="Q281" t="str">
        <v>Mujer</v>
      </c>
    </row>
    <row r="282" spans="3:17" x14ac:dyDescent="0.2">
      <c r="C282" s="28">
        <v>1</v>
      </c>
      <c r="D282" s="29">
        <v>3</v>
      </c>
      <c r="E282" s="29" t="s">
        <v>367</v>
      </c>
      <c r="F282" s="29" t="s">
        <v>92</v>
      </c>
      <c r="G282" s="30"/>
      <c r="H282" s="29">
        <v>0</v>
      </c>
      <c r="I282" s="29">
        <v>0</v>
      </c>
      <c r="J282" s="29">
        <v>775</v>
      </c>
      <c r="K282" s="29">
        <v>0</v>
      </c>
      <c r="L282" s="29" t="s">
        <v>98</v>
      </c>
      <c r="Q282" t="str">
        <v>Mujer</v>
      </c>
    </row>
    <row r="283" spans="3:17" x14ac:dyDescent="0.2">
      <c r="C283" s="28">
        <v>1</v>
      </c>
      <c r="D283" s="29">
        <v>1</v>
      </c>
      <c r="E283" s="29" t="s">
        <v>368</v>
      </c>
      <c r="F283" s="29" t="s">
        <v>92</v>
      </c>
      <c r="G283" s="29">
        <v>63</v>
      </c>
      <c r="H283" s="29">
        <v>1</v>
      </c>
      <c r="I283" s="29">
        <v>0</v>
      </c>
      <c r="J283" s="29">
        <v>779583</v>
      </c>
      <c r="K283" s="29">
        <v>1</v>
      </c>
      <c r="L283" s="29" t="s">
        <v>90</v>
      </c>
      <c r="Q283" t="str">
        <v>Mujer</v>
      </c>
    </row>
    <row r="284" spans="3:17" x14ac:dyDescent="0.2">
      <c r="C284" s="28">
        <v>0</v>
      </c>
      <c r="D284" s="29">
        <v>3</v>
      </c>
      <c r="E284" s="29" t="s">
        <v>369</v>
      </c>
      <c r="F284" s="29" t="s">
        <v>92</v>
      </c>
      <c r="G284" s="29">
        <v>45</v>
      </c>
      <c r="H284" s="29">
        <v>0</v>
      </c>
      <c r="I284" s="29">
        <v>0</v>
      </c>
      <c r="J284" s="29">
        <v>775</v>
      </c>
      <c r="K284" s="29">
        <v>0</v>
      </c>
      <c r="L284" s="29" t="s">
        <v>90</v>
      </c>
      <c r="Q284" t="str">
        <v>Hombre</v>
      </c>
    </row>
    <row r="285" spans="3:17" x14ac:dyDescent="0.2">
      <c r="C285" s="28">
        <v>0</v>
      </c>
      <c r="D285" s="29">
        <v>2</v>
      </c>
      <c r="E285" s="29" t="s">
        <v>370</v>
      </c>
      <c r="F285" s="29" t="s">
        <v>89</v>
      </c>
      <c r="G285" s="30"/>
      <c r="H285" s="29">
        <v>0</v>
      </c>
      <c r="I285" s="29">
        <v>0</v>
      </c>
      <c r="J285" s="29">
        <v>0</v>
      </c>
      <c r="K285" s="29">
        <v>0</v>
      </c>
      <c r="L285" s="29" t="s">
        <v>90</v>
      </c>
      <c r="Q285" t="str">
        <v>Hombre</v>
      </c>
    </row>
    <row r="286" spans="3:17" x14ac:dyDescent="0.2">
      <c r="C286" s="28">
        <v>0</v>
      </c>
      <c r="D286" s="29">
        <v>3</v>
      </c>
      <c r="E286" s="29" t="s">
        <v>371</v>
      </c>
      <c r="F286" s="29" t="s">
        <v>89</v>
      </c>
      <c r="G286" s="29">
        <v>7</v>
      </c>
      <c r="H286" s="29">
        <v>4</v>
      </c>
      <c r="I286" s="29">
        <v>1</v>
      </c>
      <c r="J286" s="29">
        <v>29125</v>
      </c>
      <c r="K286" s="29">
        <v>0</v>
      </c>
      <c r="L286" s="29" t="s">
        <v>98</v>
      </c>
      <c r="Q286" t="str">
        <v>Mujer</v>
      </c>
    </row>
    <row r="287" spans="3:17" x14ac:dyDescent="0.2">
      <c r="C287" s="28">
        <v>1</v>
      </c>
      <c r="D287" s="29">
        <v>3</v>
      </c>
      <c r="E287" s="29" t="s">
        <v>372</v>
      </c>
      <c r="F287" s="29" t="s">
        <v>92</v>
      </c>
      <c r="G287" s="29">
        <v>35</v>
      </c>
      <c r="H287" s="29">
        <v>1</v>
      </c>
      <c r="I287" s="29">
        <v>1</v>
      </c>
      <c r="J287" s="29">
        <v>2025</v>
      </c>
      <c r="K287" s="29">
        <v>0</v>
      </c>
      <c r="L287" s="29" t="s">
        <v>90</v>
      </c>
      <c r="Q287" t="str">
        <v>Hombre</v>
      </c>
    </row>
    <row r="288" spans="3:17" x14ac:dyDescent="0.2">
      <c r="C288" s="28">
        <v>0</v>
      </c>
      <c r="D288" s="29">
        <v>3</v>
      </c>
      <c r="E288" s="29" t="s">
        <v>373</v>
      </c>
      <c r="F288" s="29" t="s">
        <v>89</v>
      </c>
      <c r="G288" s="29">
        <v>65</v>
      </c>
      <c r="H288" s="29">
        <v>0</v>
      </c>
      <c r="I288" s="29">
        <v>0</v>
      </c>
      <c r="J288" s="29">
        <v>775</v>
      </c>
      <c r="K288" s="29">
        <v>0</v>
      </c>
      <c r="L288" s="29" t="s">
        <v>98</v>
      </c>
      <c r="Q288" t="str">
        <v>Hombre</v>
      </c>
    </row>
    <row r="289" spans="3:17" x14ac:dyDescent="0.2">
      <c r="C289" s="28">
        <v>0</v>
      </c>
      <c r="D289" s="29">
        <v>3</v>
      </c>
      <c r="E289" s="29" t="s">
        <v>374</v>
      </c>
      <c r="F289" s="29" t="s">
        <v>89</v>
      </c>
      <c r="G289" s="29">
        <v>28</v>
      </c>
      <c r="H289" s="29">
        <v>0</v>
      </c>
      <c r="I289" s="29">
        <v>0</v>
      </c>
      <c r="J289" s="29">
        <v>78542</v>
      </c>
      <c r="K289" s="29">
        <v>0</v>
      </c>
      <c r="L289" s="29" t="s">
        <v>90</v>
      </c>
      <c r="Q289" t="str">
        <v>Hombre</v>
      </c>
    </row>
    <row r="290" spans="3:17" x14ac:dyDescent="0.2">
      <c r="C290" s="28">
        <v>0</v>
      </c>
      <c r="D290" s="29">
        <v>3</v>
      </c>
      <c r="E290" s="29" t="s">
        <v>375</v>
      </c>
      <c r="F290" s="29" t="s">
        <v>89</v>
      </c>
      <c r="G290" s="29">
        <v>16</v>
      </c>
      <c r="H290" s="29">
        <v>0</v>
      </c>
      <c r="I290" s="29">
        <v>0</v>
      </c>
      <c r="J290" s="29">
        <v>95</v>
      </c>
      <c r="K290" s="29">
        <v>0</v>
      </c>
      <c r="L290" s="29" t="s">
        <v>90</v>
      </c>
      <c r="Q290" t="str">
        <v>Hombre</v>
      </c>
    </row>
    <row r="291" spans="3:17" x14ac:dyDescent="0.2">
      <c r="C291" s="28">
        <v>1</v>
      </c>
      <c r="D291" s="29">
        <v>3</v>
      </c>
      <c r="E291" s="29" t="s">
        <v>376</v>
      </c>
      <c r="F291" s="29" t="s">
        <v>89</v>
      </c>
      <c r="G291" s="29">
        <v>19</v>
      </c>
      <c r="H291" s="29">
        <v>0</v>
      </c>
      <c r="I291" s="29">
        <v>0</v>
      </c>
      <c r="J291" s="29">
        <v>805</v>
      </c>
      <c r="K291" s="29">
        <v>0</v>
      </c>
      <c r="L291" s="29" t="s">
        <v>90</v>
      </c>
      <c r="Q291" t="str">
        <v>Hombre</v>
      </c>
    </row>
    <row r="292" spans="3:17" x14ac:dyDescent="0.2">
      <c r="C292" s="28">
        <v>0</v>
      </c>
      <c r="D292" s="29">
        <v>1</v>
      </c>
      <c r="E292" s="29" t="s">
        <v>377</v>
      </c>
      <c r="F292" s="29" t="s">
        <v>89</v>
      </c>
      <c r="G292" s="30"/>
      <c r="H292" s="29">
        <v>0</v>
      </c>
      <c r="I292" s="29">
        <v>0</v>
      </c>
      <c r="J292" s="29">
        <v>26</v>
      </c>
      <c r="K292" s="29">
        <v>1</v>
      </c>
      <c r="L292" s="29" t="s">
        <v>90</v>
      </c>
      <c r="Q292" t="str">
        <v>Hombre</v>
      </c>
    </row>
    <row r="293" spans="3:17" x14ac:dyDescent="0.2">
      <c r="C293" s="28">
        <v>0</v>
      </c>
      <c r="D293" s="29">
        <v>3</v>
      </c>
      <c r="E293" s="29" t="s">
        <v>378</v>
      </c>
      <c r="F293" s="29" t="s">
        <v>89</v>
      </c>
      <c r="G293" s="29">
        <v>33</v>
      </c>
      <c r="H293" s="29">
        <v>0</v>
      </c>
      <c r="I293" s="29">
        <v>0</v>
      </c>
      <c r="J293" s="29">
        <v>86625</v>
      </c>
      <c r="K293" s="29">
        <v>0</v>
      </c>
      <c r="L293" s="29" t="s">
        <v>93</v>
      </c>
      <c r="Q293" t="str">
        <v>Hombre</v>
      </c>
    </row>
    <row r="294" spans="3:17" x14ac:dyDescent="0.2">
      <c r="C294" s="28">
        <v>1</v>
      </c>
      <c r="D294" s="29">
        <v>3</v>
      </c>
      <c r="E294" s="29" t="s">
        <v>379</v>
      </c>
      <c r="F294" s="29" t="s">
        <v>89</v>
      </c>
      <c r="G294" s="29">
        <v>30</v>
      </c>
      <c r="H294" s="29">
        <v>0</v>
      </c>
      <c r="I294" s="29">
        <v>0</v>
      </c>
      <c r="J294" s="29">
        <v>95</v>
      </c>
      <c r="K294" s="29">
        <v>0</v>
      </c>
      <c r="L294" s="29" t="s">
        <v>90</v>
      </c>
      <c r="Q294" t="str">
        <v>Hombre</v>
      </c>
    </row>
    <row r="295" spans="3:17" x14ac:dyDescent="0.2">
      <c r="C295" s="28">
        <v>0</v>
      </c>
      <c r="D295" s="29">
        <v>3</v>
      </c>
      <c r="E295" s="29" t="s">
        <v>380</v>
      </c>
      <c r="F295" s="29" t="s">
        <v>89</v>
      </c>
      <c r="G295" s="29">
        <v>22</v>
      </c>
      <c r="H295" s="29">
        <v>0</v>
      </c>
      <c r="I295" s="29">
        <v>0</v>
      </c>
      <c r="J295" s="29">
        <v>78958</v>
      </c>
      <c r="K295" s="29">
        <v>0</v>
      </c>
      <c r="L295" s="29" t="s">
        <v>90</v>
      </c>
      <c r="Q295" t="str">
        <v>Hombre</v>
      </c>
    </row>
    <row r="296" spans="3:17" x14ac:dyDescent="0.2">
      <c r="C296" s="28">
        <v>1</v>
      </c>
      <c r="D296" s="29">
        <v>2</v>
      </c>
      <c r="E296" s="29" t="s">
        <v>381</v>
      </c>
      <c r="F296" s="29" t="s">
        <v>89</v>
      </c>
      <c r="G296" s="29">
        <v>42</v>
      </c>
      <c r="H296" s="29">
        <v>0</v>
      </c>
      <c r="I296" s="29">
        <v>0</v>
      </c>
      <c r="J296" s="29">
        <v>13</v>
      </c>
      <c r="K296" s="29">
        <v>0</v>
      </c>
      <c r="L296" s="29" t="s">
        <v>90</v>
      </c>
      <c r="Q296" t="str">
        <v>Mujer</v>
      </c>
    </row>
    <row r="297" spans="3:17" x14ac:dyDescent="0.2">
      <c r="C297" s="28">
        <v>1</v>
      </c>
      <c r="D297" s="29">
        <v>3</v>
      </c>
      <c r="E297" s="29" t="s">
        <v>382</v>
      </c>
      <c r="F297" s="29" t="s">
        <v>92</v>
      </c>
      <c r="G297" s="29">
        <v>22</v>
      </c>
      <c r="H297" s="29">
        <v>0</v>
      </c>
      <c r="I297" s="29">
        <v>0</v>
      </c>
      <c r="J297" s="29">
        <v>775</v>
      </c>
      <c r="K297" s="29">
        <v>0</v>
      </c>
      <c r="L297" s="29" t="s">
        <v>98</v>
      </c>
      <c r="Q297" t="str">
        <v>Mujer</v>
      </c>
    </row>
    <row r="298" spans="3:17" x14ac:dyDescent="0.2">
      <c r="C298" s="28">
        <v>1</v>
      </c>
      <c r="D298" s="29">
        <v>1</v>
      </c>
      <c r="E298" s="29" t="s">
        <v>383</v>
      </c>
      <c r="F298" s="29" t="s">
        <v>92</v>
      </c>
      <c r="G298" s="29">
        <v>26</v>
      </c>
      <c r="H298" s="29">
        <v>0</v>
      </c>
      <c r="I298" s="29">
        <v>0</v>
      </c>
      <c r="J298" s="29">
        <v>7885</v>
      </c>
      <c r="K298" s="29">
        <v>0</v>
      </c>
      <c r="L298" s="29" t="s">
        <v>90</v>
      </c>
      <c r="Q298" t="str">
        <v>Mujer</v>
      </c>
    </row>
    <row r="299" spans="3:17" x14ac:dyDescent="0.2">
      <c r="C299" s="28">
        <v>1</v>
      </c>
      <c r="D299" s="29">
        <v>1</v>
      </c>
      <c r="E299" s="29" t="s">
        <v>384</v>
      </c>
      <c r="F299" s="29" t="s">
        <v>92</v>
      </c>
      <c r="G299" s="29">
        <v>19</v>
      </c>
      <c r="H299" s="29">
        <v>1</v>
      </c>
      <c r="I299" s="29">
        <v>0</v>
      </c>
      <c r="J299" s="29">
        <v>910792</v>
      </c>
      <c r="K299" s="29">
        <v>1</v>
      </c>
      <c r="L299" s="29" t="s">
        <v>93</v>
      </c>
      <c r="Q299" t="str">
        <v>Hombre</v>
      </c>
    </row>
    <row r="300" spans="3:17" x14ac:dyDescent="0.2">
      <c r="C300" s="28">
        <v>0</v>
      </c>
      <c r="D300" s="29">
        <v>2</v>
      </c>
      <c r="E300" s="29" t="s">
        <v>385</v>
      </c>
      <c r="F300" s="29" t="s">
        <v>89</v>
      </c>
      <c r="G300" s="29">
        <v>36</v>
      </c>
      <c r="H300" s="29">
        <v>0</v>
      </c>
      <c r="I300" s="29">
        <v>0</v>
      </c>
      <c r="J300" s="29">
        <v>12875</v>
      </c>
      <c r="K300" s="29">
        <v>1</v>
      </c>
      <c r="L300" s="29" t="s">
        <v>93</v>
      </c>
      <c r="Q300" t="str">
        <v>Mujer</v>
      </c>
    </row>
    <row r="301" spans="3:17" x14ac:dyDescent="0.2">
      <c r="C301" s="28">
        <v>0</v>
      </c>
      <c r="D301" s="29">
        <v>3</v>
      </c>
      <c r="E301" s="29" t="s">
        <v>386</v>
      </c>
      <c r="F301" s="29" t="s">
        <v>92</v>
      </c>
      <c r="G301" s="29">
        <v>24</v>
      </c>
      <c r="H301" s="29">
        <v>0</v>
      </c>
      <c r="I301" s="29">
        <v>0</v>
      </c>
      <c r="J301" s="29">
        <v>885</v>
      </c>
      <c r="K301" s="29">
        <v>0</v>
      </c>
      <c r="L301" s="29" t="s">
        <v>90</v>
      </c>
      <c r="Q301" t="str">
        <v>Hombre</v>
      </c>
    </row>
    <row r="302" spans="3:17" x14ac:dyDescent="0.2">
      <c r="C302" s="28">
        <v>0</v>
      </c>
      <c r="D302" s="29">
        <v>3</v>
      </c>
      <c r="E302" s="29" t="s">
        <v>387</v>
      </c>
      <c r="F302" s="29" t="s">
        <v>89</v>
      </c>
      <c r="G302" s="29">
        <v>24</v>
      </c>
      <c r="H302" s="29">
        <v>0</v>
      </c>
      <c r="I302" s="29">
        <v>0</v>
      </c>
      <c r="J302" s="29">
        <v>78958</v>
      </c>
      <c r="K302" s="29">
        <v>0</v>
      </c>
      <c r="L302" s="29" t="s">
        <v>90</v>
      </c>
      <c r="Q302" t="str">
        <v>Hombre</v>
      </c>
    </row>
    <row r="303" spans="3:17" x14ac:dyDescent="0.2">
      <c r="C303" s="28">
        <v>0</v>
      </c>
      <c r="D303" s="29">
        <v>1</v>
      </c>
      <c r="E303" s="29" t="s">
        <v>388</v>
      </c>
      <c r="F303" s="29" t="s">
        <v>89</v>
      </c>
      <c r="G303" s="30"/>
      <c r="H303" s="29">
        <v>0</v>
      </c>
      <c r="I303" s="29">
        <v>0</v>
      </c>
      <c r="J303" s="29">
        <v>277208</v>
      </c>
      <c r="K303" s="29">
        <v>0</v>
      </c>
      <c r="L303" s="29" t="s">
        <v>93</v>
      </c>
      <c r="Q303" t="str">
        <v>Hombre</v>
      </c>
    </row>
    <row r="304" spans="3:17" x14ac:dyDescent="0.2">
      <c r="C304" s="28">
        <v>0</v>
      </c>
      <c r="D304" s="29">
        <v>3</v>
      </c>
      <c r="E304" s="29" t="s">
        <v>389</v>
      </c>
      <c r="F304" s="29" t="s">
        <v>89</v>
      </c>
      <c r="G304" s="29">
        <v>235</v>
      </c>
      <c r="H304" s="29">
        <v>0</v>
      </c>
      <c r="I304" s="29">
        <v>0</v>
      </c>
      <c r="J304" s="29">
        <v>72292</v>
      </c>
      <c r="K304" s="29">
        <v>0</v>
      </c>
      <c r="L304" s="29" t="s">
        <v>93</v>
      </c>
      <c r="Q304" t="str">
        <v>Mujer</v>
      </c>
    </row>
    <row r="305" spans="3:17" x14ac:dyDescent="0.2">
      <c r="C305" s="28">
        <v>0</v>
      </c>
      <c r="D305" s="29">
        <v>1</v>
      </c>
      <c r="E305" s="29" t="s">
        <v>390</v>
      </c>
      <c r="F305" s="29" t="s">
        <v>92</v>
      </c>
      <c r="G305" s="29">
        <v>2</v>
      </c>
      <c r="H305" s="29">
        <v>1</v>
      </c>
      <c r="I305" s="29">
        <v>2</v>
      </c>
      <c r="J305" s="29">
        <v>15155</v>
      </c>
      <c r="K305" s="29">
        <v>1</v>
      </c>
      <c r="L305" s="29" t="s">
        <v>90</v>
      </c>
      <c r="Q305" t="str">
        <v>Hombre</v>
      </c>
    </row>
    <row r="306" spans="3:17" x14ac:dyDescent="0.2">
      <c r="C306" s="28">
        <v>1</v>
      </c>
      <c r="D306" s="29">
        <v>1</v>
      </c>
      <c r="E306" s="29" t="s">
        <v>391</v>
      </c>
      <c r="F306" s="29" t="s">
        <v>89</v>
      </c>
      <c r="G306" s="30"/>
      <c r="H306" s="29">
        <v>0</v>
      </c>
      <c r="I306" s="29">
        <v>0</v>
      </c>
      <c r="J306" s="29">
        <v>305</v>
      </c>
      <c r="K306" s="29">
        <v>1</v>
      </c>
      <c r="L306" s="29" t="s">
        <v>90</v>
      </c>
      <c r="Q306" t="str">
        <v>Mujer</v>
      </c>
    </row>
    <row r="307" spans="3:17" x14ac:dyDescent="0.2">
      <c r="C307" s="28">
        <v>1</v>
      </c>
      <c r="D307" s="29">
        <v>1</v>
      </c>
      <c r="E307" s="29" t="s">
        <v>392</v>
      </c>
      <c r="F307" s="29" t="s">
        <v>92</v>
      </c>
      <c r="G307" s="29">
        <v>50</v>
      </c>
      <c r="H307" s="29">
        <v>0</v>
      </c>
      <c r="I307" s="29">
        <v>1</v>
      </c>
      <c r="J307" s="29">
        <v>2475208</v>
      </c>
      <c r="K307" s="29">
        <v>1</v>
      </c>
      <c r="L307" s="29" t="s">
        <v>93</v>
      </c>
      <c r="Q307" t="str">
        <v>Mujer</v>
      </c>
    </row>
    <row r="308" spans="3:17" x14ac:dyDescent="0.2">
      <c r="C308" s="28">
        <v>1</v>
      </c>
      <c r="D308" s="29">
        <v>3</v>
      </c>
      <c r="E308" s="29" t="s">
        <v>393</v>
      </c>
      <c r="F308" s="29" t="s">
        <v>92</v>
      </c>
      <c r="G308" s="30"/>
      <c r="H308" s="29">
        <v>0</v>
      </c>
      <c r="I308" s="29">
        <v>0</v>
      </c>
      <c r="J308" s="29">
        <v>775</v>
      </c>
      <c r="K308" s="29">
        <v>0</v>
      </c>
      <c r="L308" s="29" t="s">
        <v>98</v>
      </c>
      <c r="Q308" t="str">
        <v>Hombre</v>
      </c>
    </row>
    <row r="309" spans="3:17" x14ac:dyDescent="0.2">
      <c r="C309" s="28">
        <v>1</v>
      </c>
      <c r="D309" s="29">
        <v>3</v>
      </c>
      <c r="E309" s="29" t="s">
        <v>394</v>
      </c>
      <c r="F309" s="29" t="s">
        <v>89</v>
      </c>
      <c r="G309" s="30"/>
      <c r="H309" s="29">
        <v>2</v>
      </c>
      <c r="I309" s="29">
        <v>0</v>
      </c>
      <c r="J309" s="29">
        <v>2325</v>
      </c>
      <c r="K309" s="29">
        <v>0</v>
      </c>
      <c r="L309" s="29" t="s">
        <v>98</v>
      </c>
      <c r="Q309" t="str">
        <v>Hombre</v>
      </c>
    </row>
    <row r="310" spans="3:17" x14ac:dyDescent="0.2">
      <c r="C310" s="28">
        <v>0</v>
      </c>
      <c r="D310" s="29">
        <v>3</v>
      </c>
      <c r="E310" s="29" t="s">
        <v>395</v>
      </c>
      <c r="F310" s="29" t="s">
        <v>89</v>
      </c>
      <c r="G310" s="29">
        <v>19</v>
      </c>
      <c r="H310" s="29">
        <v>0</v>
      </c>
      <c r="I310" s="29">
        <v>0</v>
      </c>
      <c r="J310" s="29">
        <v>0</v>
      </c>
      <c r="K310" s="29">
        <v>0</v>
      </c>
      <c r="L310" s="29" t="s">
        <v>90</v>
      </c>
      <c r="Q310" t="str">
        <v>Mujer</v>
      </c>
    </row>
    <row r="311" spans="3:17" x14ac:dyDescent="0.2">
      <c r="C311" s="28">
        <v>1</v>
      </c>
      <c r="D311" s="29">
        <v>2</v>
      </c>
      <c r="E311" s="29" t="s">
        <v>396</v>
      </c>
      <c r="F311" s="29" t="s">
        <v>92</v>
      </c>
      <c r="G311" s="30"/>
      <c r="H311" s="29">
        <v>0</v>
      </c>
      <c r="I311" s="29">
        <v>0</v>
      </c>
      <c r="J311" s="29">
        <v>1235</v>
      </c>
      <c r="K311" s="29">
        <v>1</v>
      </c>
      <c r="L311" s="29" t="s">
        <v>98</v>
      </c>
      <c r="Q311" t="str">
        <v>Hombre</v>
      </c>
    </row>
    <row r="312" spans="3:17" x14ac:dyDescent="0.2">
      <c r="C312" s="28">
        <v>0</v>
      </c>
      <c r="D312" s="29">
        <v>3</v>
      </c>
      <c r="E312" s="29" t="s">
        <v>397</v>
      </c>
      <c r="F312" s="29" t="s">
        <v>89</v>
      </c>
      <c r="G312" s="30"/>
      <c r="H312" s="29">
        <v>0</v>
      </c>
      <c r="I312" s="29">
        <v>0</v>
      </c>
      <c r="J312" s="29">
        <v>805</v>
      </c>
      <c r="K312" s="29">
        <v>0</v>
      </c>
      <c r="L312" s="29" t="s">
        <v>90</v>
      </c>
      <c r="Q312" t="str">
        <v>Hombre</v>
      </c>
    </row>
    <row r="313" spans="3:17" x14ac:dyDescent="0.2">
      <c r="C313" s="28">
        <v>1</v>
      </c>
      <c r="D313" s="29">
        <v>1</v>
      </c>
      <c r="E313" s="29" t="s">
        <v>398</v>
      </c>
      <c r="F313" s="29" t="s">
        <v>89</v>
      </c>
      <c r="G313" s="29">
        <v>92</v>
      </c>
      <c r="H313" s="29">
        <v>1</v>
      </c>
      <c r="I313" s="29">
        <v>2</v>
      </c>
      <c r="J313" s="29">
        <v>15155</v>
      </c>
      <c r="K313" s="29">
        <v>1</v>
      </c>
      <c r="L313" s="29" t="s">
        <v>90</v>
      </c>
      <c r="Q313" t="str">
        <v>Mujer</v>
      </c>
    </row>
    <row r="314" spans="3:17" x14ac:dyDescent="0.2">
      <c r="C314" s="28">
        <v>1</v>
      </c>
      <c r="D314" s="29">
        <v>1</v>
      </c>
      <c r="E314" s="29" t="s">
        <v>399</v>
      </c>
      <c r="F314" s="29" t="s">
        <v>92</v>
      </c>
      <c r="G314" s="30"/>
      <c r="H314" s="29">
        <v>0</v>
      </c>
      <c r="I314" s="29">
        <v>0</v>
      </c>
      <c r="J314" s="29">
        <v>1108833</v>
      </c>
      <c r="K314" s="29">
        <v>0</v>
      </c>
      <c r="L314" s="29" t="s">
        <v>93</v>
      </c>
      <c r="Q314" t="str">
        <v>Mujer</v>
      </c>
    </row>
    <row r="315" spans="3:17" x14ac:dyDescent="0.2">
      <c r="C315" s="28">
        <v>1</v>
      </c>
      <c r="D315" s="29">
        <v>1</v>
      </c>
      <c r="E315" s="29" t="s">
        <v>400</v>
      </c>
      <c r="F315" s="29" t="s">
        <v>92</v>
      </c>
      <c r="G315" s="29">
        <v>17</v>
      </c>
      <c r="H315" s="29">
        <v>1</v>
      </c>
      <c r="I315" s="29">
        <v>0</v>
      </c>
      <c r="J315" s="29">
        <v>1089</v>
      </c>
      <c r="K315" s="29">
        <v>1</v>
      </c>
      <c r="L315" s="29" t="s">
        <v>93</v>
      </c>
      <c r="Q315" t="str">
        <v>Hombre</v>
      </c>
    </row>
    <row r="316" spans="3:17" x14ac:dyDescent="0.2">
      <c r="C316" s="28">
        <v>0</v>
      </c>
      <c r="D316" s="29">
        <v>2</v>
      </c>
      <c r="E316" s="29" t="s">
        <v>401</v>
      </c>
      <c r="F316" s="29" t="s">
        <v>89</v>
      </c>
      <c r="G316" s="29">
        <v>30</v>
      </c>
      <c r="H316" s="29">
        <v>1</v>
      </c>
      <c r="I316" s="29">
        <v>0</v>
      </c>
      <c r="J316" s="29">
        <v>24</v>
      </c>
      <c r="K316" s="29">
        <v>0</v>
      </c>
      <c r="L316" s="29" t="s">
        <v>93</v>
      </c>
      <c r="Q316" t="str">
        <v>Mujer</v>
      </c>
    </row>
    <row r="317" spans="3:17" x14ac:dyDescent="0.2">
      <c r="C317" s="28">
        <v>1</v>
      </c>
      <c r="D317" s="29">
        <v>1</v>
      </c>
      <c r="E317" s="29" t="s">
        <v>402</v>
      </c>
      <c r="F317" s="29" t="s">
        <v>92</v>
      </c>
      <c r="G317" s="29">
        <v>30</v>
      </c>
      <c r="H317" s="29">
        <v>0</v>
      </c>
      <c r="I317" s="29">
        <v>0</v>
      </c>
      <c r="J317" s="29">
        <v>569292</v>
      </c>
      <c r="K317" s="29">
        <v>1</v>
      </c>
      <c r="L317" s="29" t="s">
        <v>93</v>
      </c>
      <c r="Q317" t="str">
        <v>Mujer</v>
      </c>
    </row>
    <row r="318" spans="3:17" x14ac:dyDescent="0.2">
      <c r="C318" s="28">
        <v>1</v>
      </c>
      <c r="D318" s="29">
        <v>1</v>
      </c>
      <c r="E318" s="29" t="s">
        <v>403</v>
      </c>
      <c r="F318" s="29" t="s">
        <v>92</v>
      </c>
      <c r="G318" s="29">
        <v>24</v>
      </c>
      <c r="H318" s="29">
        <v>0</v>
      </c>
      <c r="I318" s="29">
        <v>0</v>
      </c>
      <c r="J318" s="29">
        <v>831583</v>
      </c>
      <c r="K318" s="29">
        <v>1</v>
      </c>
      <c r="L318" s="29" t="s">
        <v>93</v>
      </c>
      <c r="Q318" t="str">
        <v>Mujer</v>
      </c>
    </row>
    <row r="319" spans="3:17" x14ac:dyDescent="0.2">
      <c r="C319" s="28">
        <v>1</v>
      </c>
      <c r="D319" s="29">
        <v>1</v>
      </c>
      <c r="E319" s="29" t="s">
        <v>404</v>
      </c>
      <c r="F319" s="29" t="s">
        <v>92</v>
      </c>
      <c r="G319" s="29">
        <v>18</v>
      </c>
      <c r="H319" s="29">
        <v>2</v>
      </c>
      <c r="I319" s="29">
        <v>2</v>
      </c>
      <c r="J319" s="29">
        <v>262375</v>
      </c>
      <c r="K319" s="29">
        <v>1</v>
      </c>
      <c r="L319" s="29" t="s">
        <v>93</v>
      </c>
      <c r="Q319" t="str">
        <v>Mujer</v>
      </c>
    </row>
    <row r="320" spans="3:17" x14ac:dyDescent="0.2">
      <c r="C320" s="28">
        <v>0</v>
      </c>
      <c r="D320" s="29">
        <v>2</v>
      </c>
      <c r="E320" s="29" t="s">
        <v>405</v>
      </c>
      <c r="F320" s="29" t="s">
        <v>92</v>
      </c>
      <c r="G320" s="29">
        <v>26</v>
      </c>
      <c r="H320" s="29">
        <v>1</v>
      </c>
      <c r="I320" s="29">
        <v>1</v>
      </c>
      <c r="J320" s="29">
        <v>26</v>
      </c>
      <c r="K320" s="29">
        <v>0</v>
      </c>
      <c r="L320" s="29" t="s">
        <v>90</v>
      </c>
      <c r="Q320" t="str">
        <v>Hombre</v>
      </c>
    </row>
    <row r="321" spans="3:17" x14ac:dyDescent="0.2">
      <c r="C321" s="28">
        <v>0</v>
      </c>
      <c r="D321" s="29">
        <v>3</v>
      </c>
      <c r="E321" s="29" t="s">
        <v>406</v>
      </c>
      <c r="F321" s="29" t="s">
        <v>89</v>
      </c>
      <c r="G321" s="29">
        <v>28</v>
      </c>
      <c r="H321" s="29">
        <v>0</v>
      </c>
      <c r="I321" s="29">
        <v>0</v>
      </c>
      <c r="J321" s="29">
        <v>78958</v>
      </c>
      <c r="K321" s="29">
        <v>0</v>
      </c>
      <c r="L321" s="29" t="s">
        <v>90</v>
      </c>
      <c r="Q321" t="str">
        <v>Hombre</v>
      </c>
    </row>
    <row r="322" spans="3:17" x14ac:dyDescent="0.2">
      <c r="C322" s="28">
        <v>0</v>
      </c>
      <c r="D322" s="29">
        <v>2</v>
      </c>
      <c r="E322" s="29" t="s">
        <v>407</v>
      </c>
      <c r="F322" s="29" t="s">
        <v>89</v>
      </c>
      <c r="G322" s="29">
        <v>43</v>
      </c>
      <c r="H322" s="29">
        <v>1</v>
      </c>
      <c r="I322" s="29">
        <v>1</v>
      </c>
      <c r="J322" s="29">
        <v>2625</v>
      </c>
      <c r="K322" s="29">
        <v>0</v>
      </c>
      <c r="L322" s="29" t="s">
        <v>90</v>
      </c>
      <c r="Q322" t="str">
        <v>Mujer</v>
      </c>
    </row>
    <row r="323" spans="3:17" x14ac:dyDescent="0.2">
      <c r="C323" s="28">
        <v>1</v>
      </c>
      <c r="D323" s="29">
        <v>3</v>
      </c>
      <c r="E323" s="29" t="s">
        <v>408</v>
      </c>
      <c r="F323" s="29" t="s">
        <v>92</v>
      </c>
      <c r="G323" s="29">
        <v>26</v>
      </c>
      <c r="H323" s="29">
        <v>0</v>
      </c>
      <c r="I323" s="29">
        <v>0</v>
      </c>
      <c r="J323" s="29">
        <v>78542</v>
      </c>
      <c r="K323" s="29">
        <v>0</v>
      </c>
      <c r="L323" s="29" t="s">
        <v>90</v>
      </c>
      <c r="Q323" t="str">
        <v>Mujer</v>
      </c>
    </row>
    <row r="324" spans="3:17" x14ac:dyDescent="0.2">
      <c r="C324" s="28">
        <v>1</v>
      </c>
      <c r="D324" s="29">
        <v>2</v>
      </c>
      <c r="E324" s="29" t="s">
        <v>409</v>
      </c>
      <c r="F324" s="29" t="s">
        <v>92</v>
      </c>
      <c r="G324" s="29">
        <v>24</v>
      </c>
      <c r="H324" s="29">
        <v>1</v>
      </c>
      <c r="I324" s="29">
        <v>0</v>
      </c>
      <c r="J324" s="29">
        <v>26</v>
      </c>
      <c r="K324" s="29">
        <v>0</v>
      </c>
      <c r="L324" s="29" t="s">
        <v>90</v>
      </c>
      <c r="Q324" t="str">
        <v>Hombre</v>
      </c>
    </row>
    <row r="325" spans="3:17" x14ac:dyDescent="0.2">
      <c r="C325" s="28">
        <v>0</v>
      </c>
      <c r="D325" s="29">
        <v>2</v>
      </c>
      <c r="E325" s="29" t="s">
        <v>410</v>
      </c>
      <c r="F325" s="29" t="s">
        <v>89</v>
      </c>
      <c r="G325" s="29">
        <v>54</v>
      </c>
      <c r="H325" s="29">
        <v>0</v>
      </c>
      <c r="I325" s="29">
        <v>0</v>
      </c>
      <c r="J325" s="29">
        <v>14</v>
      </c>
      <c r="K325" s="29">
        <v>0</v>
      </c>
      <c r="L325" s="29" t="s">
        <v>90</v>
      </c>
      <c r="Q325" t="str">
        <v>Mujer</v>
      </c>
    </row>
    <row r="326" spans="3:17" x14ac:dyDescent="0.2">
      <c r="C326" s="28">
        <v>1</v>
      </c>
      <c r="D326" s="29">
        <v>1</v>
      </c>
      <c r="E326" s="29" t="s">
        <v>411</v>
      </c>
      <c r="F326" s="29" t="s">
        <v>92</v>
      </c>
      <c r="G326" s="29">
        <v>31</v>
      </c>
      <c r="H326" s="29">
        <v>0</v>
      </c>
      <c r="I326" s="29">
        <v>2</v>
      </c>
      <c r="J326" s="29">
        <v>1648667</v>
      </c>
      <c r="K326" s="29">
        <v>1</v>
      </c>
      <c r="L326" s="29" t="s">
        <v>90</v>
      </c>
      <c r="Q326" t="str">
        <v>Mujer</v>
      </c>
    </row>
    <row r="327" spans="3:17" x14ac:dyDescent="0.2">
      <c r="C327" s="28">
        <v>1</v>
      </c>
      <c r="D327" s="29">
        <v>1</v>
      </c>
      <c r="E327" s="29" t="s">
        <v>412</v>
      </c>
      <c r="F327" s="29" t="s">
        <v>92</v>
      </c>
      <c r="G327" s="29">
        <v>40</v>
      </c>
      <c r="H327" s="29">
        <v>1</v>
      </c>
      <c r="I327" s="29">
        <v>1</v>
      </c>
      <c r="J327" s="29">
        <v>1345</v>
      </c>
      <c r="K327" s="29">
        <v>1</v>
      </c>
      <c r="L327" s="29" t="s">
        <v>93</v>
      </c>
      <c r="Q327" t="str">
        <v>Hombre</v>
      </c>
    </row>
    <row r="328" spans="3:17" x14ac:dyDescent="0.2">
      <c r="C328" s="28">
        <v>0</v>
      </c>
      <c r="D328" s="29">
        <v>3</v>
      </c>
      <c r="E328" s="29" t="s">
        <v>413</v>
      </c>
      <c r="F328" s="29" t="s">
        <v>89</v>
      </c>
      <c r="G328" s="29">
        <v>22</v>
      </c>
      <c r="H328" s="29">
        <v>0</v>
      </c>
      <c r="I328" s="29">
        <v>0</v>
      </c>
      <c r="J328" s="29">
        <v>725</v>
      </c>
      <c r="K328" s="29">
        <v>0</v>
      </c>
      <c r="L328" s="29" t="s">
        <v>90</v>
      </c>
      <c r="Q328" t="str">
        <v>Hombre</v>
      </c>
    </row>
    <row r="329" spans="3:17" x14ac:dyDescent="0.2">
      <c r="C329" s="28">
        <v>0</v>
      </c>
      <c r="D329" s="29">
        <v>3</v>
      </c>
      <c r="E329" s="29" t="s">
        <v>414</v>
      </c>
      <c r="F329" s="29" t="s">
        <v>89</v>
      </c>
      <c r="G329" s="29">
        <v>27</v>
      </c>
      <c r="H329" s="29">
        <v>0</v>
      </c>
      <c r="I329" s="29">
        <v>0</v>
      </c>
      <c r="J329" s="29">
        <v>78958</v>
      </c>
      <c r="K329" s="29">
        <v>0</v>
      </c>
      <c r="L329" s="29" t="s">
        <v>90</v>
      </c>
      <c r="Q329" t="str">
        <v>Mujer</v>
      </c>
    </row>
    <row r="330" spans="3:17" x14ac:dyDescent="0.2">
      <c r="C330" s="28">
        <v>1</v>
      </c>
      <c r="D330" s="29">
        <v>2</v>
      </c>
      <c r="E330" s="29" t="s">
        <v>415</v>
      </c>
      <c r="F330" s="29" t="s">
        <v>92</v>
      </c>
      <c r="G330" s="29">
        <v>30</v>
      </c>
      <c r="H330" s="29">
        <v>0</v>
      </c>
      <c r="I330" s="29">
        <v>0</v>
      </c>
      <c r="J330" s="29">
        <v>1235</v>
      </c>
      <c r="K330" s="29">
        <v>0</v>
      </c>
      <c r="L330" s="29" t="s">
        <v>98</v>
      </c>
      <c r="Q330" t="str">
        <v>Mujer</v>
      </c>
    </row>
    <row r="331" spans="3:17" x14ac:dyDescent="0.2">
      <c r="C331" s="28">
        <v>1</v>
      </c>
      <c r="D331" s="29">
        <v>2</v>
      </c>
      <c r="E331" s="29" t="s">
        <v>416</v>
      </c>
      <c r="F331" s="29" t="s">
        <v>92</v>
      </c>
      <c r="G331" s="29">
        <v>22</v>
      </c>
      <c r="H331" s="29">
        <v>1</v>
      </c>
      <c r="I331" s="29">
        <v>1</v>
      </c>
      <c r="J331" s="29">
        <v>29</v>
      </c>
      <c r="K331" s="29">
        <v>0</v>
      </c>
      <c r="L331" s="29" t="s">
        <v>90</v>
      </c>
      <c r="Q331" t="str">
        <v>Hombre</v>
      </c>
    </row>
    <row r="332" spans="3:17" x14ac:dyDescent="0.2">
      <c r="C332" s="28">
        <v>0</v>
      </c>
      <c r="D332" s="29">
        <v>3</v>
      </c>
      <c r="E332" s="29" t="s">
        <v>417</v>
      </c>
      <c r="F332" s="29" t="s">
        <v>89</v>
      </c>
      <c r="G332" s="30"/>
      <c r="H332" s="29">
        <v>8</v>
      </c>
      <c r="I332" s="29">
        <v>2</v>
      </c>
      <c r="J332" s="29">
        <v>6955</v>
      </c>
      <c r="K332" s="29">
        <v>0</v>
      </c>
      <c r="L332" s="29" t="s">
        <v>90</v>
      </c>
      <c r="Q332" t="str">
        <v>Mujer</v>
      </c>
    </row>
    <row r="333" spans="3:17" x14ac:dyDescent="0.2">
      <c r="C333" s="28">
        <v>1</v>
      </c>
      <c r="D333" s="29">
        <v>1</v>
      </c>
      <c r="E333" s="29" t="s">
        <v>418</v>
      </c>
      <c r="F333" s="29" t="s">
        <v>92</v>
      </c>
      <c r="G333" s="29">
        <v>36</v>
      </c>
      <c r="H333" s="29">
        <v>0</v>
      </c>
      <c r="I333" s="29">
        <v>0</v>
      </c>
      <c r="J333" s="29">
        <v>1356333</v>
      </c>
      <c r="K333" s="29">
        <v>1</v>
      </c>
      <c r="L333" s="29" t="s">
        <v>93</v>
      </c>
      <c r="Q333" t="str">
        <v>Hombre</v>
      </c>
    </row>
    <row r="334" spans="3:17" x14ac:dyDescent="0.2">
      <c r="C334" s="28">
        <v>0</v>
      </c>
      <c r="D334" s="29">
        <v>3</v>
      </c>
      <c r="E334" s="29" t="s">
        <v>419</v>
      </c>
      <c r="F334" s="29" t="s">
        <v>89</v>
      </c>
      <c r="G334" s="29">
        <v>61</v>
      </c>
      <c r="H334" s="29">
        <v>0</v>
      </c>
      <c r="I334" s="29">
        <v>0</v>
      </c>
      <c r="J334" s="29">
        <v>62375</v>
      </c>
      <c r="K334" s="29">
        <v>0</v>
      </c>
      <c r="L334" s="29" t="s">
        <v>90</v>
      </c>
      <c r="Q334" t="str">
        <v>Mujer</v>
      </c>
    </row>
    <row r="335" spans="3:17" x14ac:dyDescent="0.2">
      <c r="C335" s="28">
        <v>1</v>
      </c>
      <c r="D335" s="29">
        <v>2</v>
      </c>
      <c r="E335" s="29" t="s">
        <v>420</v>
      </c>
      <c r="F335" s="29" t="s">
        <v>92</v>
      </c>
      <c r="G335" s="29">
        <v>36</v>
      </c>
      <c r="H335" s="29">
        <v>0</v>
      </c>
      <c r="I335" s="29">
        <v>0</v>
      </c>
      <c r="J335" s="29">
        <v>13</v>
      </c>
      <c r="K335" s="29">
        <v>1</v>
      </c>
      <c r="L335" s="29" t="s">
        <v>90</v>
      </c>
      <c r="Q335" t="str">
        <v>Mujer</v>
      </c>
    </row>
    <row r="336" spans="3:17" x14ac:dyDescent="0.2">
      <c r="C336" s="28">
        <v>1</v>
      </c>
      <c r="D336" s="29">
        <v>3</v>
      </c>
      <c r="E336" s="29" t="s">
        <v>421</v>
      </c>
      <c r="F336" s="29" t="s">
        <v>92</v>
      </c>
      <c r="G336" s="29">
        <v>31</v>
      </c>
      <c r="H336" s="29">
        <v>1</v>
      </c>
      <c r="I336" s="29">
        <v>1</v>
      </c>
      <c r="J336" s="29">
        <v>20525</v>
      </c>
      <c r="K336" s="29">
        <v>0</v>
      </c>
      <c r="L336" s="29" t="s">
        <v>90</v>
      </c>
      <c r="Q336" t="str">
        <v>Mujer</v>
      </c>
    </row>
    <row r="337" spans="3:17" x14ac:dyDescent="0.2">
      <c r="C337" s="28">
        <v>1</v>
      </c>
      <c r="D337" s="29">
        <v>1</v>
      </c>
      <c r="E337" s="29" t="s">
        <v>422</v>
      </c>
      <c r="F337" s="29" t="s">
        <v>92</v>
      </c>
      <c r="G337" s="29">
        <v>16</v>
      </c>
      <c r="H337" s="29">
        <v>0</v>
      </c>
      <c r="I337" s="29">
        <v>1</v>
      </c>
      <c r="J337" s="29">
        <v>579792</v>
      </c>
      <c r="K337" s="29">
        <v>1</v>
      </c>
      <c r="L337" s="29" t="s">
        <v>93</v>
      </c>
      <c r="Q337" t="str">
        <v>Mujer</v>
      </c>
    </row>
    <row r="338" spans="3:17" x14ac:dyDescent="0.2">
      <c r="C338" s="28">
        <v>1</v>
      </c>
      <c r="D338" s="29">
        <v>3</v>
      </c>
      <c r="E338" s="29" t="s">
        <v>423</v>
      </c>
      <c r="F338" s="29" t="s">
        <v>92</v>
      </c>
      <c r="G338" s="30"/>
      <c r="H338" s="29">
        <v>2</v>
      </c>
      <c r="I338" s="29">
        <v>0</v>
      </c>
      <c r="J338" s="29">
        <v>2325</v>
      </c>
      <c r="K338" s="29">
        <v>0</v>
      </c>
      <c r="L338" s="29" t="s">
        <v>98</v>
      </c>
      <c r="Q338" t="str">
        <v>Hombre</v>
      </c>
    </row>
    <row r="339" spans="3:17" x14ac:dyDescent="0.2">
      <c r="C339" s="28">
        <v>0</v>
      </c>
      <c r="D339" s="29">
        <v>1</v>
      </c>
      <c r="E339" s="29" t="s">
        <v>424</v>
      </c>
      <c r="F339" s="29" t="s">
        <v>89</v>
      </c>
      <c r="G339" s="29">
        <v>455</v>
      </c>
      <c r="H339" s="29">
        <v>0</v>
      </c>
      <c r="I339" s="29">
        <v>0</v>
      </c>
      <c r="J339" s="29">
        <v>285</v>
      </c>
      <c r="K339" s="29">
        <v>1</v>
      </c>
      <c r="L339" s="29" t="s">
        <v>90</v>
      </c>
      <c r="Q339" t="str">
        <v>Hombre</v>
      </c>
    </row>
    <row r="340" spans="3:17" x14ac:dyDescent="0.2">
      <c r="C340" s="28">
        <v>0</v>
      </c>
      <c r="D340" s="29">
        <v>1</v>
      </c>
      <c r="E340" s="29" t="s">
        <v>425</v>
      </c>
      <c r="F340" s="29" t="s">
        <v>89</v>
      </c>
      <c r="G340" s="29">
        <v>38</v>
      </c>
      <c r="H340" s="29">
        <v>0</v>
      </c>
      <c r="I340" s="29">
        <v>1</v>
      </c>
      <c r="J340" s="29">
        <v>1534625</v>
      </c>
      <c r="K340" s="29">
        <v>1</v>
      </c>
      <c r="L340" s="29" t="s">
        <v>90</v>
      </c>
      <c r="Q340" t="str">
        <v>Hombre</v>
      </c>
    </row>
    <row r="341" spans="3:17" x14ac:dyDescent="0.2">
      <c r="C341" s="28">
        <v>0</v>
      </c>
      <c r="D341" s="29">
        <v>3</v>
      </c>
      <c r="E341" s="29" t="s">
        <v>426</v>
      </c>
      <c r="F341" s="29" t="s">
        <v>89</v>
      </c>
      <c r="G341" s="29">
        <v>16</v>
      </c>
      <c r="H341" s="29">
        <v>2</v>
      </c>
      <c r="I341" s="29">
        <v>0</v>
      </c>
      <c r="J341" s="29">
        <v>18</v>
      </c>
      <c r="K341" s="29">
        <v>0</v>
      </c>
      <c r="L341" s="29" t="s">
        <v>90</v>
      </c>
      <c r="Q341" t="str">
        <v>Mujer</v>
      </c>
    </row>
    <row r="342" spans="3:17" x14ac:dyDescent="0.2">
      <c r="C342" s="28">
        <v>1</v>
      </c>
      <c r="D342" s="29">
        <v>1</v>
      </c>
      <c r="E342" s="29" t="s">
        <v>427</v>
      </c>
      <c r="F342" s="29" t="s">
        <v>92</v>
      </c>
      <c r="G342" s="30"/>
      <c r="H342" s="29">
        <v>1</v>
      </c>
      <c r="I342" s="29">
        <v>0</v>
      </c>
      <c r="J342" s="29">
        <v>13365</v>
      </c>
      <c r="K342" s="29">
        <v>0</v>
      </c>
      <c r="L342" s="29" t="s">
        <v>90</v>
      </c>
      <c r="Q342" t="str">
        <v>Hombre</v>
      </c>
    </row>
    <row r="343" spans="3:17" x14ac:dyDescent="0.2">
      <c r="C343" s="28">
        <v>0</v>
      </c>
      <c r="D343" s="29">
        <v>3</v>
      </c>
      <c r="E343" s="29" t="s">
        <v>428</v>
      </c>
      <c r="F343" s="29" t="s">
        <v>89</v>
      </c>
      <c r="G343" s="30"/>
      <c r="H343" s="29">
        <v>0</v>
      </c>
      <c r="I343" s="29">
        <v>0</v>
      </c>
      <c r="J343" s="29">
        <v>78958</v>
      </c>
      <c r="K343" s="29">
        <v>0</v>
      </c>
      <c r="L343" s="29" t="s">
        <v>90</v>
      </c>
      <c r="Q343" t="str">
        <v>Hombre</v>
      </c>
    </row>
    <row r="344" spans="3:17" x14ac:dyDescent="0.2">
      <c r="C344" s="28">
        <v>0</v>
      </c>
      <c r="D344" s="29">
        <v>1</v>
      </c>
      <c r="E344" s="29" t="s">
        <v>429</v>
      </c>
      <c r="F344" s="29" t="s">
        <v>89</v>
      </c>
      <c r="G344" s="29">
        <v>29</v>
      </c>
      <c r="H344" s="29">
        <v>1</v>
      </c>
      <c r="I344" s="29">
        <v>0</v>
      </c>
      <c r="J344" s="29">
        <v>666</v>
      </c>
      <c r="K344" s="29">
        <v>1</v>
      </c>
      <c r="L344" s="29" t="s">
        <v>90</v>
      </c>
      <c r="Q344" t="str">
        <v>Mujer</v>
      </c>
    </row>
    <row r="345" spans="3:17" x14ac:dyDescent="0.2">
      <c r="C345" s="28">
        <v>1</v>
      </c>
      <c r="D345" s="29">
        <v>1</v>
      </c>
      <c r="E345" s="29" t="s">
        <v>430</v>
      </c>
      <c r="F345" s="29" t="s">
        <v>92</v>
      </c>
      <c r="G345" s="29">
        <v>41</v>
      </c>
      <c r="H345" s="29">
        <v>0</v>
      </c>
      <c r="I345" s="29">
        <v>0</v>
      </c>
      <c r="J345" s="29">
        <v>1345</v>
      </c>
      <c r="K345" s="29">
        <v>1</v>
      </c>
      <c r="L345" s="29" t="s">
        <v>93</v>
      </c>
      <c r="Q345" t="str">
        <v>Hombre</v>
      </c>
    </row>
    <row r="346" spans="3:17" x14ac:dyDescent="0.2">
      <c r="C346" s="28">
        <v>1</v>
      </c>
      <c r="D346" s="29">
        <v>3</v>
      </c>
      <c r="E346" s="29" t="s">
        <v>431</v>
      </c>
      <c r="F346" s="29" t="s">
        <v>89</v>
      </c>
      <c r="G346" s="29">
        <v>45</v>
      </c>
      <c r="H346" s="29">
        <v>0</v>
      </c>
      <c r="I346" s="29">
        <v>0</v>
      </c>
      <c r="J346" s="29">
        <v>805</v>
      </c>
      <c r="K346" s="29">
        <v>0</v>
      </c>
      <c r="L346" s="29" t="s">
        <v>90</v>
      </c>
      <c r="Q346" t="str">
        <v>Hombre</v>
      </c>
    </row>
    <row r="347" spans="3:17" x14ac:dyDescent="0.2">
      <c r="C347" s="28">
        <v>0</v>
      </c>
      <c r="D347" s="29">
        <v>1</v>
      </c>
      <c r="E347" s="29" t="s">
        <v>432</v>
      </c>
      <c r="F347" s="29" t="s">
        <v>89</v>
      </c>
      <c r="G347" s="29">
        <v>45</v>
      </c>
      <c r="H347" s="29">
        <v>0</v>
      </c>
      <c r="I347" s="29">
        <v>0</v>
      </c>
      <c r="J347" s="29">
        <v>355</v>
      </c>
      <c r="K347" s="29">
        <v>1</v>
      </c>
      <c r="L347" s="29" t="s">
        <v>90</v>
      </c>
      <c r="Q347" t="str">
        <v>Hombre</v>
      </c>
    </row>
    <row r="348" spans="3:17" x14ac:dyDescent="0.2">
      <c r="C348" s="28">
        <v>1</v>
      </c>
      <c r="D348" s="29">
        <v>2</v>
      </c>
      <c r="E348" s="29" t="s">
        <v>433</v>
      </c>
      <c r="F348" s="29" t="s">
        <v>89</v>
      </c>
      <c r="G348" s="29">
        <v>2</v>
      </c>
      <c r="H348" s="29">
        <v>1</v>
      </c>
      <c r="I348" s="29">
        <v>1</v>
      </c>
      <c r="J348" s="29">
        <v>26</v>
      </c>
      <c r="K348" s="29">
        <v>1</v>
      </c>
      <c r="L348" s="29" t="s">
        <v>90</v>
      </c>
      <c r="Q348" t="str">
        <v>Mujer</v>
      </c>
    </row>
    <row r="349" spans="3:17" x14ac:dyDescent="0.2">
      <c r="C349" s="28">
        <v>1</v>
      </c>
      <c r="D349" s="29">
        <v>1</v>
      </c>
      <c r="E349" s="29" t="s">
        <v>434</v>
      </c>
      <c r="F349" s="29" t="s">
        <v>92</v>
      </c>
      <c r="G349" s="29">
        <v>24</v>
      </c>
      <c r="H349" s="29">
        <v>3</v>
      </c>
      <c r="I349" s="29">
        <v>2</v>
      </c>
      <c r="J349" s="29">
        <v>263</v>
      </c>
      <c r="K349" s="29">
        <v>1</v>
      </c>
      <c r="L349" s="29" t="s">
        <v>90</v>
      </c>
      <c r="Q349" t="str">
        <v>Hombre</v>
      </c>
    </row>
    <row r="350" spans="3:17" x14ac:dyDescent="0.2">
      <c r="C350" s="28">
        <v>0</v>
      </c>
      <c r="D350" s="29">
        <v>2</v>
      </c>
      <c r="E350" s="29" t="s">
        <v>435</v>
      </c>
      <c r="F350" s="29" t="s">
        <v>89</v>
      </c>
      <c r="G350" s="29">
        <v>28</v>
      </c>
      <c r="H350" s="29">
        <v>0</v>
      </c>
      <c r="I350" s="29">
        <v>0</v>
      </c>
      <c r="J350" s="29">
        <v>13</v>
      </c>
      <c r="K350" s="29">
        <v>0</v>
      </c>
      <c r="L350" s="29" t="s">
        <v>90</v>
      </c>
      <c r="Q350" t="str">
        <v>Hombre</v>
      </c>
    </row>
    <row r="351" spans="3:17" x14ac:dyDescent="0.2">
      <c r="C351" s="28">
        <v>0</v>
      </c>
      <c r="D351" s="29">
        <v>2</v>
      </c>
      <c r="E351" s="29" t="s">
        <v>436</v>
      </c>
      <c r="F351" s="29" t="s">
        <v>89</v>
      </c>
      <c r="G351" s="29">
        <v>25</v>
      </c>
      <c r="H351" s="29">
        <v>0</v>
      </c>
      <c r="I351" s="29">
        <v>0</v>
      </c>
      <c r="J351" s="29">
        <v>13</v>
      </c>
      <c r="K351" s="29">
        <v>0</v>
      </c>
      <c r="L351" s="29" t="s">
        <v>90</v>
      </c>
      <c r="Q351" t="str">
        <v>Hombre</v>
      </c>
    </row>
    <row r="352" spans="3:17" x14ac:dyDescent="0.2">
      <c r="C352" s="28">
        <v>0</v>
      </c>
      <c r="D352" s="29">
        <v>2</v>
      </c>
      <c r="E352" s="29" t="s">
        <v>437</v>
      </c>
      <c r="F352" s="29" t="s">
        <v>89</v>
      </c>
      <c r="G352" s="29">
        <v>36</v>
      </c>
      <c r="H352" s="29">
        <v>0</v>
      </c>
      <c r="I352" s="29">
        <v>0</v>
      </c>
      <c r="J352" s="29">
        <v>13</v>
      </c>
      <c r="K352" s="29">
        <v>0</v>
      </c>
      <c r="L352" s="29" t="s">
        <v>90</v>
      </c>
      <c r="Q352" t="str">
        <v>Mujer</v>
      </c>
    </row>
    <row r="353" spans="3:17" x14ac:dyDescent="0.2">
      <c r="C353" s="28">
        <v>1</v>
      </c>
      <c r="D353" s="29">
        <v>2</v>
      </c>
      <c r="E353" s="29" t="s">
        <v>438</v>
      </c>
      <c r="F353" s="29" t="s">
        <v>92</v>
      </c>
      <c r="G353" s="29">
        <v>24</v>
      </c>
      <c r="H353" s="29">
        <v>0</v>
      </c>
      <c r="I353" s="29">
        <v>0</v>
      </c>
      <c r="J353" s="29">
        <v>13</v>
      </c>
      <c r="K353" s="29">
        <v>1</v>
      </c>
      <c r="L353" s="29" t="s">
        <v>90</v>
      </c>
      <c r="Q353" t="str">
        <v>Mujer</v>
      </c>
    </row>
    <row r="354" spans="3:17" x14ac:dyDescent="0.2">
      <c r="C354" s="28">
        <v>1</v>
      </c>
      <c r="D354" s="29">
        <v>2</v>
      </c>
      <c r="E354" s="29" t="s">
        <v>439</v>
      </c>
      <c r="F354" s="29" t="s">
        <v>92</v>
      </c>
      <c r="G354" s="29">
        <v>40</v>
      </c>
      <c r="H354" s="29">
        <v>0</v>
      </c>
      <c r="I354" s="29">
        <v>0</v>
      </c>
      <c r="J354" s="29">
        <v>13</v>
      </c>
      <c r="K354" s="29">
        <v>0</v>
      </c>
      <c r="L354" s="29" t="s">
        <v>90</v>
      </c>
      <c r="Q354" t="str">
        <v>Mujer</v>
      </c>
    </row>
    <row r="355" spans="3:17" x14ac:dyDescent="0.2">
      <c r="C355" s="28">
        <v>1</v>
      </c>
      <c r="D355" s="29">
        <v>3</v>
      </c>
      <c r="E355" s="29" t="s">
        <v>440</v>
      </c>
      <c r="F355" s="29" t="s">
        <v>92</v>
      </c>
      <c r="G355" s="30"/>
      <c r="H355" s="29">
        <v>1</v>
      </c>
      <c r="I355" s="29">
        <v>0</v>
      </c>
      <c r="J355" s="29">
        <v>161</v>
      </c>
      <c r="K355" s="29">
        <v>0</v>
      </c>
      <c r="L355" s="29" t="s">
        <v>90</v>
      </c>
      <c r="Q355" t="str">
        <v>Hombre</v>
      </c>
    </row>
    <row r="356" spans="3:17" x14ac:dyDescent="0.2">
      <c r="C356" s="28">
        <v>1</v>
      </c>
      <c r="D356" s="29">
        <v>3</v>
      </c>
      <c r="E356" s="29" t="s">
        <v>441</v>
      </c>
      <c r="F356" s="29" t="s">
        <v>89</v>
      </c>
      <c r="G356" s="29">
        <v>3</v>
      </c>
      <c r="H356" s="29">
        <v>1</v>
      </c>
      <c r="I356" s="29">
        <v>1</v>
      </c>
      <c r="J356" s="29">
        <v>159</v>
      </c>
      <c r="K356" s="29">
        <v>0</v>
      </c>
      <c r="L356" s="29" t="s">
        <v>90</v>
      </c>
      <c r="Q356" t="str">
        <v>Hombre</v>
      </c>
    </row>
    <row r="357" spans="3:17" x14ac:dyDescent="0.2">
      <c r="C357" s="28">
        <v>0</v>
      </c>
      <c r="D357" s="29">
        <v>3</v>
      </c>
      <c r="E357" s="29" t="s">
        <v>442</v>
      </c>
      <c r="F357" s="29" t="s">
        <v>89</v>
      </c>
      <c r="G357" s="29">
        <v>42</v>
      </c>
      <c r="H357" s="29">
        <v>0</v>
      </c>
      <c r="I357" s="29">
        <v>0</v>
      </c>
      <c r="J357" s="29">
        <v>86625</v>
      </c>
      <c r="K357" s="29">
        <v>0</v>
      </c>
      <c r="L357" s="29" t="s">
        <v>90</v>
      </c>
      <c r="Q357" t="str">
        <v>Hombre</v>
      </c>
    </row>
    <row r="358" spans="3:17" x14ac:dyDescent="0.2">
      <c r="C358" s="28">
        <v>0</v>
      </c>
      <c r="D358" s="29">
        <v>3</v>
      </c>
      <c r="E358" s="29" t="s">
        <v>443</v>
      </c>
      <c r="F358" s="29" t="s">
        <v>89</v>
      </c>
      <c r="G358" s="29">
        <v>23</v>
      </c>
      <c r="H358" s="29">
        <v>0</v>
      </c>
      <c r="I358" s="29">
        <v>0</v>
      </c>
      <c r="J358" s="29">
        <v>9225</v>
      </c>
      <c r="K358" s="29">
        <v>0</v>
      </c>
      <c r="L358" s="29" t="s">
        <v>90</v>
      </c>
      <c r="Q358" t="str">
        <v>Hombre</v>
      </c>
    </row>
    <row r="359" spans="3:17" x14ac:dyDescent="0.2">
      <c r="C359" s="28">
        <v>0</v>
      </c>
      <c r="D359" s="29">
        <v>1</v>
      </c>
      <c r="E359" s="29" t="s">
        <v>444</v>
      </c>
      <c r="F359" s="29" t="s">
        <v>89</v>
      </c>
      <c r="G359" s="30"/>
      <c r="H359" s="29">
        <v>0</v>
      </c>
      <c r="I359" s="29">
        <v>0</v>
      </c>
      <c r="J359" s="29">
        <v>35</v>
      </c>
      <c r="K359" s="29">
        <v>1</v>
      </c>
      <c r="L359" s="29" t="s">
        <v>90</v>
      </c>
      <c r="Q359" t="str">
        <v>Hombre</v>
      </c>
    </row>
    <row r="360" spans="3:17" x14ac:dyDescent="0.2">
      <c r="C360" s="28">
        <v>0</v>
      </c>
      <c r="D360" s="29">
        <v>3</v>
      </c>
      <c r="E360" s="29" t="s">
        <v>445</v>
      </c>
      <c r="F360" s="29" t="s">
        <v>89</v>
      </c>
      <c r="G360" s="29">
        <v>15</v>
      </c>
      <c r="H360" s="29">
        <v>1</v>
      </c>
      <c r="I360" s="29">
        <v>1</v>
      </c>
      <c r="J360" s="29">
        <v>72292</v>
      </c>
      <c r="K360" s="29">
        <v>0</v>
      </c>
      <c r="L360" s="29" t="s">
        <v>93</v>
      </c>
      <c r="Q360" t="str">
        <v>Hombre</v>
      </c>
    </row>
    <row r="361" spans="3:17" x14ac:dyDescent="0.2">
      <c r="C361" s="28">
        <v>0</v>
      </c>
      <c r="D361" s="29">
        <v>3</v>
      </c>
      <c r="E361" s="29" t="s">
        <v>446</v>
      </c>
      <c r="F361" s="29" t="s">
        <v>89</v>
      </c>
      <c r="G361" s="29">
        <v>25</v>
      </c>
      <c r="H361" s="29">
        <v>1</v>
      </c>
      <c r="I361" s="29">
        <v>0</v>
      </c>
      <c r="J361" s="29">
        <v>178</v>
      </c>
      <c r="K361" s="29">
        <v>0</v>
      </c>
      <c r="L361" s="29" t="s">
        <v>90</v>
      </c>
      <c r="Q361" t="str">
        <v>Hombre</v>
      </c>
    </row>
    <row r="362" spans="3:17" x14ac:dyDescent="0.2">
      <c r="C362" s="28">
        <v>0</v>
      </c>
      <c r="D362" s="29">
        <v>3</v>
      </c>
      <c r="E362" s="29" t="s">
        <v>447</v>
      </c>
      <c r="F362" s="29" t="s">
        <v>89</v>
      </c>
      <c r="G362" s="30"/>
      <c r="H362" s="29">
        <v>0</v>
      </c>
      <c r="I362" s="29">
        <v>0</v>
      </c>
      <c r="J362" s="29">
        <v>7225</v>
      </c>
      <c r="K362" s="29">
        <v>0</v>
      </c>
      <c r="L362" s="29" t="s">
        <v>93</v>
      </c>
      <c r="Q362" t="str">
        <v>Hombre</v>
      </c>
    </row>
    <row r="363" spans="3:17" x14ac:dyDescent="0.2">
      <c r="C363" s="28">
        <v>0</v>
      </c>
      <c r="D363" s="29">
        <v>3</v>
      </c>
      <c r="E363" s="29" t="s">
        <v>448</v>
      </c>
      <c r="F363" s="29" t="s">
        <v>89</v>
      </c>
      <c r="G363" s="29">
        <v>28</v>
      </c>
      <c r="H363" s="29">
        <v>0</v>
      </c>
      <c r="I363" s="29">
        <v>0</v>
      </c>
      <c r="J363" s="29">
        <v>95</v>
      </c>
      <c r="K363" s="29">
        <v>0</v>
      </c>
      <c r="L363" s="29" t="s">
        <v>90</v>
      </c>
      <c r="Q363" t="str">
        <v>Mujer</v>
      </c>
    </row>
    <row r="364" spans="3:17" x14ac:dyDescent="0.2">
      <c r="C364" s="28">
        <v>1</v>
      </c>
      <c r="D364" s="29">
        <v>1</v>
      </c>
      <c r="E364" s="29" t="s">
        <v>449</v>
      </c>
      <c r="F364" s="29" t="s">
        <v>92</v>
      </c>
      <c r="G364" s="29">
        <v>22</v>
      </c>
      <c r="H364" s="29">
        <v>0</v>
      </c>
      <c r="I364" s="29">
        <v>1</v>
      </c>
      <c r="J364" s="29">
        <v>55</v>
      </c>
      <c r="K364" s="29">
        <v>1</v>
      </c>
      <c r="L364" s="29" t="s">
        <v>90</v>
      </c>
      <c r="Q364" t="str">
        <v>Mujer</v>
      </c>
    </row>
    <row r="365" spans="3:17" x14ac:dyDescent="0.2">
      <c r="C365" s="28">
        <v>0</v>
      </c>
      <c r="D365" s="29">
        <v>2</v>
      </c>
      <c r="E365" s="29" t="s">
        <v>450</v>
      </c>
      <c r="F365" s="29" t="s">
        <v>92</v>
      </c>
      <c r="G365" s="29">
        <v>38</v>
      </c>
      <c r="H365" s="29">
        <v>0</v>
      </c>
      <c r="I365" s="29">
        <v>0</v>
      </c>
      <c r="J365" s="29">
        <v>13</v>
      </c>
      <c r="K365" s="29">
        <v>0</v>
      </c>
      <c r="L365" s="29" t="s">
        <v>90</v>
      </c>
      <c r="Q365" t="str">
        <v>Mujer</v>
      </c>
    </row>
    <row r="366" spans="3:17" x14ac:dyDescent="0.2">
      <c r="C366" s="28">
        <v>1</v>
      </c>
      <c r="D366" s="29">
        <v>3</v>
      </c>
      <c r="E366" s="29" t="s">
        <v>451</v>
      </c>
      <c r="F366" s="29" t="s">
        <v>92</v>
      </c>
      <c r="G366" s="30"/>
      <c r="H366" s="29">
        <v>0</v>
      </c>
      <c r="I366" s="29">
        <v>0</v>
      </c>
      <c r="J366" s="29">
        <v>78792</v>
      </c>
      <c r="K366" s="29">
        <v>0</v>
      </c>
      <c r="L366" s="29" t="s">
        <v>98</v>
      </c>
      <c r="Q366" t="str">
        <v>Mujer</v>
      </c>
    </row>
    <row r="367" spans="3:17" x14ac:dyDescent="0.2">
      <c r="C367" s="28">
        <v>1</v>
      </c>
      <c r="D367" s="29">
        <v>3</v>
      </c>
      <c r="E367" s="29" t="s">
        <v>452</v>
      </c>
      <c r="F367" s="29" t="s">
        <v>92</v>
      </c>
      <c r="G367" s="30"/>
      <c r="H367" s="29">
        <v>0</v>
      </c>
      <c r="I367" s="29">
        <v>0</v>
      </c>
      <c r="J367" s="29">
        <v>78792</v>
      </c>
      <c r="K367" s="29">
        <v>0</v>
      </c>
      <c r="L367" s="29" t="s">
        <v>98</v>
      </c>
      <c r="Q367" t="str">
        <v>Hombre</v>
      </c>
    </row>
    <row r="368" spans="3:17" x14ac:dyDescent="0.2">
      <c r="C368" s="28">
        <v>0</v>
      </c>
      <c r="D368" s="29">
        <v>3</v>
      </c>
      <c r="E368" s="29" t="s">
        <v>453</v>
      </c>
      <c r="F368" s="29" t="s">
        <v>89</v>
      </c>
      <c r="G368" s="29">
        <v>40</v>
      </c>
      <c r="H368" s="29">
        <v>1</v>
      </c>
      <c r="I368" s="29">
        <v>4</v>
      </c>
      <c r="J368" s="29">
        <v>279</v>
      </c>
      <c r="K368" s="29">
        <v>0</v>
      </c>
      <c r="L368" s="29" t="s">
        <v>90</v>
      </c>
      <c r="Q368" t="str">
        <v>Hombre</v>
      </c>
    </row>
    <row r="369" spans="3:17" x14ac:dyDescent="0.2">
      <c r="C369" s="28">
        <v>0</v>
      </c>
      <c r="D369" s="29">
        <v>2</v>
      </c>
      <c r="E369" s="29" t="s">
        <v>454</v>
      </c>
      <c r="F369" s="29" t="s">
        <v>89</v>
      </c>
      <c r="G369" s="29">
        <v>29</v>
      </c>
      <c r="H369" s="29">
        <v>1</v>
      </c>
      <c r="I369" s="29">
        <v>0</v>
      </c>
      <c r="J369" s="29">
        <v>277208</v>
      </c>
      <c r="K369" s="29">
        <v>0</v>
      </c>
      <c r="L369" s="29" t="s">
        <v>93</v>
      </c>
      <c r="Q369" t="str">
        <v>Mujer</v>
      </c>
    </row>
    <row r="370" spans="3:17" x14ac:dyDescent="0.2">
      <c r="C370" s="28">
        <v>0</v>
      </c>
      <c r="D370" s="29">
        <v>3</v>
      </c>
      <c r="E370" s="29" t="s">
        <v>455</v>
      </c>
      <c r="F370" s="29" t="s">
        <v>92</v>
      </c>
      <c r="G370" s="29">
        <v>45</v>
      </c>
      <c r="H370" s="29">
        <v>0</v>
      </c>
      <c r="I370" s="29">
        <v>1</v>
      </c>
      <c r="J370" s="29">
        <v>144542</v>
      </c>
      <c r="K370" s="29">
        <v>0</v>
      </c>
      <c r="L370" s="29" t="s">
        <v>93</v>
      </c>
      <c r="Q370" t="str">
        <v>Hombre</v>
      </c>
    </row>
    <row r="371" spans="3:17" x14ac:dyDescent="0.2">
      <c r="C371" s="28">
        <v>0</v>
      </c>
      <c r="D371" s="29">
        <v>3</v>
      </c>
      <c r="E371" s="29" t="s">
        <v>456</v>
      </c>
      <c r="F371" s="29" t="s">
        <v>89</v>
      </c>
      <c r="G371" s="29">
        <v>35</v>
      </c>
      <c r="H371" s="29">
        <v>0</v>
      </c>
      <c r="I371" s="29">
        <v>0</v>
      </c>
      <c r="J371" s="29">
        <v>705</v>
      </c>
      <c r="K371" s="29">
        <v>0</v>
      </c>
      <c r="L371" s="29" t="s">
        <v>90</v>
      </c>
      <c r="Q371" t="str">
        <v>Hombre</v>
      </c>
    </row>
    <row r="372" spans="3:17" x14ac:dyDescent="0.2">
      <c r="C372" s="28">
        <v>0</v>
      </c>
      <c r="D372" s="29">
        <v>3</v>
      </c>
      <c r="E372" s="29" t="s">
        <v>457</v>
      </c>
      <c r="F372" s="29" t="s">
        <v>89</v>
      </c>
      <c r="G372" s="30"/>
      <c r="H372" s="29">
        <v>1</v>
      </c>
      <c r="I372" s="29">
        <v>0</v>
      </c>
      <c r="J372" s="29">
        <v>155</v>
      </c>
      <c r="K372" s="29">
        <v>0</v>
      </c>
      <c r="L372" s="29" t="s">
        <v>98</v>
      </c>
      <c r="Q372" t="str">
        <v>Hombre</v>
      </c>
    </row>
    <row r="373" spans="3:17" x14ac:dyDescent="0.2">
      <c r="C373" s="28">
        <v>0</v>
      </c>
      <c r="D373" s="29">
        <v>3</v>
      </c>
      <c r="E373" s="29" t="s">
        <v>458</v>
      </c>
      <c r="F373" s="29" t="s">
        <v>89</v>
      </c>
      <c r="G373" s="29">
        <v>30</v>
      </c>
      <c r="H373" s="29">
        <v>0</v>
      </c>
      <c r="I373" s="29">
        <v>0</v>
      </c>
      <c r="J373" s="29">
        <v>725</v>
      </c>
      <c r="K373" s="29">
        <v>0</v>
      </c>
      <c r="L373" s="29" t="s">
        <v>90</v>
      </c>
      <c r="Q373" t="str">
        <v>Mujer</v>
      </c>
    </row>
    <row r="374" spans="3:17" x14ac:dyDescent="0.2">
      <c r="C374" s="28">
        <v>1</v>
      </c>
      <c r="D374" s="29">
        <v>1</v>
      </c>
      <c r="E374" s="29" t="s">
        <v>459</v>
      </c>
      <c r="F374" s="29" t="s">
        <v>92</v>
      </c>
      <c r="G374" s="29">
        <v>60</v>
      </c>
      <c r="H374" s="29">
        <v>1</v>
      </c>
      <c r="I374" s="29">
        <v>0</v>
      </c>
      <c r="J374" s="29">
        <v>7525</v>
      </c>
      <c r="K374" s="29">
        <v>1</v>
      </c>
      <c r="L374" s="29" t="s">
        <v>93</v>
      </c>
      <c r="Q374" t="str">
        <v>Mujer</v>
      </c>
    </row>
    <row r="375" spans="3:17" x14ac:dyDescent="0.2">
      <c r="C375" s="28">
        <v>1</v>
      </c>
      <c r="D375" s="29">
        <v>3</v>
      </c>
      <c r="E375" s="29" t="s">
        <v>460</v>
      </c>
      <c r="F375" s="29" t="s">
        <v>92</v>
      </c>
      <c r="G375" s="30"/>
      <c r="H375" s="29">
        <v>0</v>
      </c>
      <c r="I375" s="29">
        <v>0</v>
      </c>
      <c r="J375" s="29">
        <v>72292</v>
      </c>
      <c r="K375" s="29">
        <v>0</v>
      </c>
      <c r="L375" s="29" t="s">
        <v>93</v>
      </c>
      <c r="Q375" t="str">
        <v>Mujer</v>
      </c>
    </row>
    <row r="376" spans="3:17" x14ac:dyDescent="0.2">
      <c r="C376" s="28">
        <v>1</v>
      </c>
      <c r="D376" s="29">
        <v>3</v>
      </c>
      <c r="E376" s="29" t="s">
        <v>461</v>
      </c>
      <c r="F376" s="29" t="s">
        <v>92</v>
      </c>
      <c r="G376" s="30"/>
      <c r="H376" s="29">
        <v>0</v>
      </c>
      <c r="I376" s="29">
        <v>0</v>
      </c>
      <c r="J376" s="29">
        <v>775</v>
      </c>
      <c r="K376" s="29">
        <v>0</v>
      </c>
      <c r="L376" s="29" t="s">
        <v>98</v>
      </c>
      <c r="Q376" t="str">
        <v>Mujer</v>
      </c>
    </row>
    <row r="377" spans="3:17" x14ac:dyDescent="0.2">
      <c r="C377" s="28">
        <v>1</v>
      </c>
      <c r="D377" s="29">
        <v>1</v>
      </c>
      <c r="E377" s="29" t="s">
        <v>462</v>
      </c>
      <c r="F377" s="29" t="s">
        <v>92</v>
      </c>
      <c r="G377" s="29">
        <v>24</v>
      </c>
      <c r="H377" s="29">
        <v>0</v>
      </c>
      <c r="I377" s="29">
        <v>0</v>
      </c>
      <c r="J377" s="29">
        <v>693</v>
      </c>
      <c r="K377" s="29">
        <v>1</v>
      </c>
      <c r="L377" s="29" t="s">
        <v>93</v>
      </c>
      <c r="Q377" t="str">
        <v>Hombre</v>
      </c>
    </row>
    <row r="378" spans="3:17" x14ac:dyDescent="0.2">
      <c r="C378" s="28">
        <v>1</v>
      </c>
      <c r="D378" s="29">
        <v>1</v>
      </c>
      <c r="E378" s="29" t="s">
        <v>463</v>
      </c>
      <c r="F378" s="29" t="s">
        <v>89</v>
      </c>
      <c r="G378" s="29">
        <v>25</v>
      </c>
      <c r="H378" s="29">
        <v>1</v>
      </c>
      <c r="I378" s="29">
        <v>0</v>
      </c>
      <c r="J378" s="29">
        <v>554417</v>
      </c>
      <c r="K378" s="29">
        <v>1</v>
      </c>
      <c r="L378" s="29" t="s">
        <v>93</v>
      </c>
      <c r="Q378" t="str">
        <v>Hombre</v>
      </c>
    </row>
    <row r="379" spans="3:17" x14ac:dyDescent="0.2">
      <c r="C379" s="28">
        <v>0</v>
      </c>
      <c r="D379" s="29">
        <v>3</v>
      </c>
      <c r="E379" s="29" t="s">
        <v>464</v>
      </c>
      <c r="F379" s="29" t="s">
        <v>89</v>
      </c>
      <c r="G379" s="29">
        <v>18</v>
      </c>
      <c r="H379" s="29">
        <v>1</v>
      </c>
      <c r="I379" s="29">
        <v>0</v>
      </c>
      <c r="J379" s="29">
        <v>64958</v>
      </c>
      <c r="K379" s="29">
        <v>0</v>
      </c>
      <c r="L379" s="29" t="s">
        <v>90</v>
      </c>
      <c r="Q379" t="str">
        <v>Hombre</v>
      </c>
    </row>
    <row r="380" spans="3:17" x14ac:dyDescent="0.2">
      <c r="C380" s="28">
        <v>0</v>
      </c>
      <c r="D380" s="29">
        <v>3</v>
      </c>
      <c r="E380" s="29" t="s">
        <v>465</v>
      </c>
      <c r="F380" s="29" t="s">
        <v>89</v>
      </c>
      <c r="G380" s="29">
        <v>19</v>
      </c>
      <c r="H380" s="29">
        <v>0</v>
      </c>
      <c r="I380" s="29">
        <v>0</v>
      </c>
      <c r="J380" s="29">
        <v>805</v>
      </c>
      <c r="K380" s="29">
        <v>0</v>
      </c>
      <c r="L380" s="29" t="s">
        <v>90</v>
      </c>
      <c r="Q380" t="str">
        <v>Hombre</v>
      </c>
    </row>
    <row r="381" spans="3:17" x14ac:dyDescent="0.2">
      <c r="C381" s="28">
        <v>0</v>
      </c>
      <c r="D381" s="29">
        <v>1</v>
      </c>
      <c r="E381" s="29" t="s">
        <v>466</v>
      </c>
      <c r="F381" s="29" t="s">
        <v>89</v>
      </c>
      <c r="G381" s="29">
        <v>22</v>
      </c>
      <c r="H381" s="29">
        <v>0</v>
      </c>
      <c r="I381" s="29">
        <v>0</v>
      </c>
      <c r="J381" s="29">
        <v>1356333</v>
      </c>
      <c r="K381" s="29">
        <v>0</v>
      </c>
      <c r="L381" s="29" t="s">
        <v>93</v>
      </c>
      <c r="Q381" t="str">
        <v>Mujer</v>
      </c>
    </row>
    <row r="382" spans="3:17" x14ac:dyDescent="0.2">
      <c r="C382" s="28">
        <v>0</v>
      </c>
      <c r="D382" s="29">
        <v>3</v>
      </c>
      <c r="E382" s="29" t="s">
        <v>467</v>
      </c>
      <c r="F382" s="29" t="s">
        <v>92</v>
      </c>
      <c r="G382" s="29">
        <v>3</v>
      </c>
      <c r="H382" s="29">
        <v>3</v>
      </c>
      <c r="I382" s="29">
        <v>1</v>
      </c>
      <c r="J382" s="29">
        <v>21075</v>
      </c>
      <c r="K382" s="29">
        <v>0</v>
      </c>
      <c r="L382" s="29" t="s">
        <v>90</v>
      </c>
      <c r="Q382" t="str">
        <v>Mujer</v>
      </c>
    </row>
    <row r="383" spans="3:17" x14ac:dyDescent="0.2">
      <c r="C383" s="28">
        <v>1</v>
      </c>
      <c r="D383" s="29">
        <v>1</v>
      </c>
      <c r="E383" s="29" t="s">
        <v>468</v>
      </c>
      <c r="F383" s="29" t="s">
        <v>92</v>
      </c>
      <c r="G383" s="30"/>
      <c r="H383" s="29">
        <v>1</v>
      </c>
      <c r="I383" s="29">
        <v>0</v>
      </c>
      <c r="J383" s="29">
        <v>821708</v>
      </c>
      <c r="K383" s="29">
        <v>0</v>
      </c>
      <c r="L383" s="29" t="s">
        <v>93</v>
      </c>
      <c r="Q383" t="str">
        <v>Mujer</v>
      </c>
    </row>
    <row r="384" spans="3:17" x14ac:dyDescent="0.2">
      <c r="C384" s="28">
        <v>1</v>
      </c>
      <c r="D384" s="29">
        <v>3</v>
      </c>
      <c r="E384" s="29" t="s">
        <v>469</v>
      </c>
      <c r="F384" s="29" t="s">
        <v>92</v>
      </c>
      <c r="G384" s="29">
        <v>22</v>
      </c>
      <c r="H384" s="29">
        <v>0</v>
      </c>
      <c r="I384" s="29">
        <v>0</v>
      </c>
      <c r="J384" s="29">
        <v>725</v>
      </c>
      <c r="K384" s="29">
        <v>0</v>
      </c>
      <c r="L384" s="29" t="s">
        <v>90</v>
      </c>
      <c r="Q384" t="str">
        <v>Hombre</v>
      </c>
    </row>
    <row r="385" spans="3:17" x14ac:dyDescent="0.2">
      <c r="C385" s="28">
        <v>0</v>
      </c>
      <c r="D385" s="29">
        <v>1</v>
      </c>
      <c r="E385" s="29" t="s">
        <v>470</v>
      </c>
      <c r="F385" s="29" t="s">
        <v>89</v>
      </c>
      <c r="G385" s="29">
        <v>27</v>
      </c>
      <c r="H385" s="29">
        <v>0</v>
      </c>
      <c r="I385" s="29">
        <v>2</v>
      </c>
      <c r="J385" s="29">
        <v>2115</v>
      </c>
      <c r="K385" s="29">
        <v>1</v>
      </c>
      <c r="L385" s="29" t="s">
        <v>93</v>
      </c>
      <c r="Q385" t="str">
        <v>Hombre</v>
      </c>
    </row>
    <row r="386" spans="3:17" x14ac:dyDescent="0.2">
      <c r="C386" s="28">
        <v>0</v>
      </c>
      <c r="D386" s="29">
        <v>3</v>
      </c>
      <c r="E386" s="29" t="s">
        <v>471</v>
      </c>
      <c r="F386" s="29" t="s">
        <v>89</v>
      </c>
      <c r="G386" s="29">
        <v>20</v>
      </c>
      <c r="H386" s="29">
        <v>0</v>
      </c>
      <c r="I386" s="29">
        <v>0</v>
      </c>
      <c r="J386" s="29">
        <v>40125</v>
      </c>
      <c r="K386" s="29">
        <v>0</v>
      </c>
      <c r="L386" s="29" t="s">
        <v>93</v>
      </c>
      <c r="Q386" t="str">
        <v>Hombre</v>
      </c>
    </row>
    <row r="387" spans="3:17" x14ac:dyDescent="0.2">
      <c r="C387" s="28">
        <v>0</v>
      </c>
      <c r="D387" s="29">
        <v>3</v>
      </c>
      <c r="E387" s="29" t="s">
        <v>472</v>
      </c>
      <c r="F387" s="29" t="s">
        <v>89</v>
      </c>
      <c r="G387" s="29">
        <v>19</v>
      </c>
      <c r="H387" s="29">
        <v>0</v>
      </c>
      <c r="I387" s="29">
        <v>0</v>
      </c>
      <c r="J387" s="29">
        <v>7775</v>
      </c>
      <c r="K387" s="29">
        <v>0</v>
      </c>
      <c r="L387" s="29" t="s">
        <v>90</v>
      </c>
      <c r="Q387" t="str">
        <v>Mujer</v>
      </c>
    </row>
    <row r="388" spans="3:17" x14ac:dyDescent="0.2">
      <c r="C388" s="28">
        <v>1</v>
      </c>
      <c r="D388" s="29">
        <v>1</v>
      </c>
      <c r="E388" s="29" t="s">
        <v>473</v>
      </c>
      <c r="F388" s="29" t="s">
        <v>92</v>
      </c>
      <c r="G388" s="29">
        <v>42</v>
      </c>
      <c r="H388" s="29">
        <v>0</v>
      </c>
      <c r="I388" s="29">
        <v>0</v>
      </c>
      <c r="J388" s="29">
        <v>227525</v>
      </c>
      <c r="K388" s="29">
        <v>0</v>
      </c>
      <c r="L388" s="29" t="s">
        <v>93</v>
      </c>
      <c r="Q388" t="str">
        <v>Mujer</v>
      </c>
    </row>
    <row r="389" spans="3:17" x14ac:dyDescent="0.2">
      <c r="C389" s="28">
        <v>1</v>
      </c>
      <c r="D389" s="29">
        <v>3</v>
      </c>
      <c r="E389" s="29" t="s">
        <v>474</v>
      </c>
      <c r="F389" s="29" t="s">
        <v>92</v>
      </c>
      <c r="G389" s="29">
        <v>1</v>
      </c>
      <c r="H389" s="29">
        <v>0</v>
      </c>
      <c r="I389" s="29">
        <v>2</v>
      </c>
      <c r="J389" s="29">
        <v>157417</v>
      </c>
      <c r="K389" s="29">
        <v>0</v>
      </c>
      <c r="L389" s="29" t="s">
        <v>93</v>
      </c>
      <c r="Q389" t="str">
        <v>Hombre</v>
      </c>
    </row>
    <row r="390" spans="3:17" x14ac:dyDescent="0.2">
      <c r="C390" s="28">
        <v>0</v>
      </c>
      <c r="D390" s="29">
        <v>3</v>
      </c>
      <c r="E390" s="29" t="s">
        <v>475</v>
      </c>
      <c r="F390" s="29" t="s">
        <v>89</v>
      </c>
      <c r="G390" s="29">
        <v>32</v>
      </c>
      <c r="H390" s="29">
        <v>0</v>
      </c>
      <c r="I390" s="29">
        <v>0</v>
      </c>
      <c r="J390" s="29">
        <v>7925</v>
      </c>
      <c r="K390" s="29">
        <v>0</v>
      </c>
      <c r="L390" s="29" t="s">
        <v>90</v>
      </c>
      <c r="Q390" t="str">
        <v>Mujer</v>
      </c>
    </row>
    <row r="391" spans="3:17" x14ac:dyDescent="0.2">
      <c r="C391" s="28">
        <v>1</v>
      </c>
      <c r="D391" s="29">
        <v>1</v>
      </c>
      <c r="E391" s="29" t="s">
        <v>476</v>
      </c>
      <c r="F391" s="29" t="s">
        <v>92</v>
      </c>
      <c r="G391" s="29">
        <v>35</v>
      </c>
      <c r="H391" s="29">
        <v>1</v>
      </c>
      <c r="I391" s="29">
        <v>0</v>
      </c>
      <c r="J391" s="29">
        <v>52</v>
      </c>
      <c r="K391" s="29">
        <v>0</v>
      </c>
      <c r="L391" s="29" t="s">
        <v>90</v>
      </c>
      <c r="Q391" t="str">
        <v>Hombre</v>
      </c>
    </row>
    <row r="392" spans="3:17" x14ac:dyDescent="0.2">
      <c r="C392" s="28">
        <v>0</v>
      </c>
      <c r="D392" s="29">
        <v>3</v>
      </c>
      <c r="E392" s="29" t="s">
        <v>477</v>
      </c>
      <c r="F392" s="29" t="s">
        <v>89</v>
      </c>
      <c r="G392" s="30"/>
      <c r="H392" s="29">
        <v>0</v>
      </c>
      <c r="I392" s="29">
        <v>0</v>
      </c>
      <c r="J392" s="29">
        <v>78958</v>
      </c>
      <c r="K392" s="29">
        <v>0</v>
      </c>
      <c r="L392" s="29" t="s">
        <v>90</v>
      </c>
      <c r="Q392" t="str">
        <v>Hombre</v>
      </c>
    </row>
    <row r="393" spans="3:17" x14ac:dyDescent="0.2">
      <c r="C393" s="28">
        <v>0</v>
      </c>
      <c r="D393" s="29">
        <v>2</v>
      </c>
      <c r="E393" s="29" t="s">
        <v>478</v>
      </c>
      <c r="F393" s="29" t="s">
        <v>89</v>
      </c>
      <c r="G393" s="29">
        <v>18</v>
      </c>
      <c r="H393" s="29">
        <v>0</v>
      </c>
      <c r="I393" s="29">
        <v>0</v>
      </c>
      <c r="J393" s="29">
        <v>735</v>
      </c>
      <c r="K393" s="29">
        <v>0</v>
      </c>
      <c r="L393" s="29" t="s">
        <v>90</v>
      </c>
      <c r="Q393" t="str">
        <v>Hombre</v>
      </c>
    </row>
    <row r="394" spans="3:17" x14ac:dyDescent="0.2">
      <c r="C394" s="28">
        <v>0</v>
      </c>
      <c r="D394" s="29">
        <v>3</v>
      </c>
      <c r="E394" s="29" t="s">
        <v>479</v>
      </c>
      <c r="F394" s="29" t="s">
        <v>89</v>
      </c>
      <c r="G394" s="29">
        <v>1</v>
      </c>
      <c r="H394" s="29">
        <v>5</v>
      </c>
      <c r="I394" s="29">
        <v>2</v>
      </c>
      <c r="J394" s="29">
        <v>469</v>
      </c>
      <c r="K394" s="29">
        <v>0</v>
      </c>
      <c r="L394" s="29" t="s">
        <v>90</v>
      </c>
      <c r="Q394" t="str">
        <v>Mujer</v>
      </c>
    </row>
    <row r="395" spans="3:17" x14ac:dyDescent="0.2">
      <c r="C395" s="28">
        <v>1</v>
      </c>
      <c r="D395" s="29">
        <v>2</v>
      </c>
      <c r="E395" s="29" t="s">
        <v>480</v>
      </c>
      <c r="F395" s="29" t="s">
        <v>92</v>
      </c>
      <c r="G395" s="29">
        <v>36</v>
      </c>
      <c r="H395" s="29">
        <v>0</v>
      </c>
      <c r="I395" s="29">
        <v>0</v>
      </c>
      <c r="J395" s="29">
        <v>13</v>
      </c>
      <c r="K395" s="29">
        <v>0</v>
      </c>
      <c r="L395" s="29" t="s">
        <v>90</v>
      </c>
      <c r="Q395" t="str">
        <v>Hombre</v>
      </c>
    </row>
    <row r="396" spans="3:17" x14ac:dyDescent="0.2">
      <c r="C396" s="28">
        <v>0</v>
      </c>
      <c r="D396" s="29">
        <v>3</v>
      </c>
      <c r="E396" s="29" t="s">
        <v>481</v>
      </c>
      <c r="F396" s="29" t="s">
        <v>89</v>
      </c>
      <c r="G396" s="30"/>
      <c r="H396" s="29">
        <v>0</v>
      </c>
      <c r="I396" s="29">
        <v>0</v>
      </c>
      <c r="J396" s="29">
        <v>77292</v>
      </c>
      <c r="K396" s="29">
        <v>0</v>
      </c>
      <c r="L396" s="29" t="s">
        <v>98</v>
      </c>
      <c r="Q396" t="str">
        <v>Mujer</v>
      </c>
    </row>
    <row r="397" spans="3:17" x14ac:dyDescent="0.2">
      <c r="C397" s="28">
        <v>1</v>
      </c>
      <c r="D397" s="29">
        <v>2</v>
      </c>
      <c r="E397" s="29" t="s">
        <v>482</v>
      </c>
      <c r="F397" s="29" t="s">
        <v>92</v>
      </c>
      <c r="G397" s="29">
        <v>17</v>
      </c>
      <c r="H397" s="29">
        <v>0</v>
      </c>
      <c r="I397" s="29">
        <v>0</v>
      </c>
      <c r="J397" s="29">
        <v>12</v>
      </c>
      <c r="K397" s="29">
        <v>0</v>
      </c>
      <c r="L397" s="29" t="s">
        <v>93</v>
      </c>
      <c r="Q397" t="str">
        <v>Hombre</v>
      </c>
    </row>
    <row r="398" spans="3:17" x14ac:dyDescent="0.2">
      <c r="C398" s="28">
        <v>1</v>
      </c>
      <c r="D398" s="29">
        <v>1</v>
      </c>
      <c r="E398" s="29" t="s">
        <v>483</v>
      </c>
      <c r="F398" s="29" t="s">
        <v>89</v>
      </c>
      <c r="G398" s="29">
        <v>36</v>
      </c>
      <c r="H398" s="29">
        <v>1</v>
      </c>
      <c r="I398" s="29">
        <v>2</v>
      </c>
      <c r="J398" s="29">
        <v>120</v>
      </c>
      <c r="K398" s="29">
        <v>1</v>
      </c>
      <c r="L398" s="29" t="s">
        <v>90</v>
      </c>
      <c r="Q398" t="str">
        <v>Hombre</v>
      </c>
    </row>
    <row r="399" spans="3:17" x14ac:dyDescent="0.2">
      <c r="C399" s="28">
        <v>1</v>
      </c>
      <c r="D399" s="29">
        <v>3</v>
      </c>
      <c r="E399" s="29" t="s">
        <v>484</v>
      </c>
      <c r="F399" s="29" t="s">
        <v>89</v>
      </c>
      <c r="G399" s="29">
        <v>21</v>
      </c>
      <c r="H399" s="29">
        <v>0</v>
      </c>
      <c r="I399" s="29">
        <v>0</v>
      </c>
      <c r="J399" s="29">
        <v>77958</v>
      </c>
      <c r="K399" s="29">
        <v>0</v>
      </c>
      <c r="L399" s="29" t="s">
        <v>90</v>
      </c>
      <c r="Q399" t="str">
        <v>Hombre</v>
      </c>
    </row>
    <row r="400" spans="3:17" x14ac:dyDescent="0.2">
      <c r="C400" s="28">
        <v>0</v>
      </c>
      <c r="D400" s="29">
        <v>3</v>
      </c>
      <c r="E400" s="29" t="s">
        <v>485</v>
      </c>
      <c r="F400" s="29" t="s">
        <v>89</v>
      </c>
      <c r="G400" s="29">
        <v>28</v>
      </c>
      <c r="H400" s="29">
        <v>2</v>
      </c>
      <c r="I400" s="29">
        <v>0</v>
      </c>
      <c r="J400" s="29">
        <v>7925</v>
      </c>
      <c r="K400" s="29">
        <v>0</v>
      </c>
      <c r="L400" s="29" t="s">
        <v>90</v>
      </c>
      <c r="Q400" t="str">
        <v>Mujer</v>
      </c>
    </row>
    <row r="401" spans="3:17" x14ac:dyDescent="0.2">
      <c r="C401" s="28">
        <v>1</v>
      </c>
      <c r="D401" s="29">
        <v>1</v>
      </c>
      <c r="E401" s="29" t="s">
        <v>486</v>
      </c>
      <c r="F401" s="29" t="s">
        <v>92</v>
      </c>
      <c r="G401" s="29">
        <v>23</v>
      </c>
      <c r="H401" s="29">
        <v>1</v>
      </c>
      <c r="I401" s="29">
        <v>0</v>
      </c>
      <c r="J401" s="29">
        <v>113275</v>
      </c>
      <c r="K401" s="29">
        <v>1</v>
      </c>
      <c r="L401" s="29" t="s">
        <v>93</v>
      </c>
      <c r="Q401" t="str">
        <v>Mujer</v>
      </c>
    </row>
    <row r="402" spans="3:17" x14ac:dyDescent="0.2">
      <c r="C402" s="28">
        <v>1</v>
      </c>
      <c r="D402" s="29">
        <v>3</v>
      </c>
      <c r="E402" s="29" t="s">
        <v>487</v>
      </c>
      <c r="F402" s="29" t="s">
        <v>92</v>
      </c>
      <c r="G402" s="29">
        <v>24</v>
      </c>
      <c r="H402" s="29">
        <v>0</v>
      </c>
      <c r="I402" s="29">
        <v>2</v>
      </c>
      <c r="J402" s="29">
        <v>167</v>
      </c>
      <c r="K402" s="29">
        <v>1</v>
      </c>
      <c r="L402" s="29" t="s">
        <v>90</v>
      </c>
      <c r="Q402" t="str">
        <v>Hombre</v>
      </c>
    </row>
    <row r="403" spans="3:17" x14ac:dyDescent="0.2">
      <c r="C403" s="28">
        <v>0</v>
      </c>
      <c r="D403" s="29">
        <v>3</v>
      </c>
      <c r="E403" s="29" t="s">
        <v>488</v>
      </c>
      <c r="F403" s="29" t="s">
        <v>89</v>
      </c>
      <c r="G403" s="29">
        <v>22</v>
      </c>
      <c r="H403" s="29">
        <v>0</v>
      </c>
      <c r="I403" s="29">
        <v>0</v>
      </c>
      <c r="J403" s="29">
        <v>77958</v>
      </c>
      <c r="K403" s="29">
        <v>0</v>
      </c>
      <c r="L403" s="29" t="s">
        <v>90</v>
      </c>
      <c r="Q403" t="str">
        <v>Mujer</v>
      </c>
    </row>
    <row r="404" spans="3:17" x14ac:dyDescent="0.2">
      <c r="C404" s="28">
        <v>0</v>
      </c>
      <c r="D404" s="29">
        <v>3</v>
      </c>
      <c r="E404" s="29" t="s">
        <v>489</v>
      </c>
      <c r="F404" s="29" t="s">
        <v>92</v>
      </c>
      <c r="G404" s="29">
        <v>31</v>
      </c>
      <c r="H404" s="29">
        <v>0</v>
      </c>
      <c r="I404" s="29">
        <v>0</v>
      </c>
      <c r="J404" s="29">
        <v>78542</v>
      </c>
      <c r="K404" s="29">
        <v>0</v>
      </c>
      <c r="L404" s="29" t="s">
        <v>90</v>
      </c>
      <c r="Q404" t="str">
        <v>Hombre</v>
      </c>
    </row>
    <row r="405" spans="3:17" x14ac:dyDescent="0.2">
      <c r="C405" s="28">
        <v>0</v>
      </c>
      <c r="D405" s="29">
        <v>2</v>
      </c>
      <c r="E405" s="29" t="s">
        <v>490</v>
      </c>
      <c r="F405" s="29" t="s">
        <v>89</v>
      </c>
      <c r="G405" s="29">
        <v>46</v>
      </c>
      <c r="H405" s="29">
        <v>0</v>
      </c>
      <c r="I405" s="29">
        <v>0</v>
      </c>
      <c r="J405" s="29">
        <v>26</v>
      </c>
      <c r="K405" s="29">
        <v>0</v>
      </c>
      <c r="L405" s="29" t="s">
        <v>90</v>
      </c>
      <c r="Q405" t="str">
        <v>Hombre</v>
      </c>
    </row>
    <row r="406" spans="3:17" x14ac:dyDescent="0.2">
      <c r="C406" s="28">
        <v>0</v>
      </c>
      <c r="D406" s="29">
        <v>2</v>
      </c>
      <c r="E406" s="29" t="s">
        <v>491</v>
      </c>
      <c r="F406" s="29" t="s">
        <v>89</v>
      </c>
      <c r="G406" s="29">
        <v>23</v>
      </c>
      <c r="H406" s="29">
        <v>0</v>
      </c>
      <c r="I406" s="29">
        <v>0</v>
      </c>
      <c r="J406" s="29">
        <v>105</v>
      </c>
      <c r="K406" s="29">
        <v>0</v>
      </c>
      <c r="L406" s="29" t="s">
        <v>90</v>
      </c>
      <c r="Q406" t="str">
        <v>Mujer</v>
      </c>
    </row>
    <row r="407" spans="3:17" x14ac:dyDescent="0.2">
      <c r="C407" s="28">
        <v>1</v>
      </c>
      <c r="D407" s="29">
        <v>2</v>
      </c>
      <c r="E407" s="29" t="s">
        <v>492</v>
      </c>
      <c r="F407" s="29" t="s">
        <v>92</v>
      </c>
      <c r="G407" s="29">
        <v>28</v>
      </c>
      <c r="H407" s="29">
        <v>0</v>
      </c>
      <c r="I407" s="29">
        <v>0</v>
      </c>
      <c r="J407" s="29">
        <v>1265</v>
      </c>
      <c r="K407" s="29">
        <v>0</v>
      </c>
      <c r="L407" s="29" t="s">
        <v>90</v>
      </c>
      <c r="Q407" t="str">
        <v>Hombre</v>
      </c>
    </row>
    <row r="408" spans="3:17" x14ac:dyDescent="0.2">
      <c r="C408" s="28">
        <v>1</v>
      </c>
      <c r="D408" s="29">
        <v>3</v>
      </c>
      <c r="E408" s="29" t="s">
        <v>493</v>
      </c>
      <c r="F408" s="29" t="s">
        <v>89</v>
      </c>
      <c r="G408" s="29">
        <v>39</v>
      </c>
      <c r="H408" s="29">
        <v>0</v>
      </c>
      <c r="I408" s="29">
        <v>0</v>
      </c>
      <c r="J408" s="29">
        <v>7925</v>
      </c>
      <c r="K408" s="29">
        <v>0</v>
      </c>
      <c r="L408" s="29" t="s">
        <v>90</v>
      </c>
      <c r="Q408" t="str">
        <v>Hombre</v>
      </c>
    </row>
    <row r="409" spans="3:17" x14ac:dyDescent="0.2">
      <c r="C409" s="28">
        <v>0</v>
      </c>
      <c r="D409" s="29">
        <v>3</v>
      </c>
      <c r="E409" s="29" t="s">
        <v>494</v>
      </c>
      <c r="F409" s="29" t="s">
        <v>89</v>
      </c>
      <c r="G409" s="29">
        <v>26</v>
      </c>
      <c r="H409" s="29">
        <v>0</v>
      </c>
      <c r="I409" s="29">
        <v>0</v>
      </c>
      <c r="J409" s="29">
        <v>805</v>
      </c>
      <c r="K409" s="29">
        <v>0</v>
      </c>
      <c r="L409" s="29" t="s">
        <v>90</v>
      </c>
      <c r="Q409" t="str">
        <v>Mujer</v>
      </c>
    </row>
    <row r="410" spans="3:17" x14ac:dyDescent="0.2">
      <c r="C410" s="28">
        <v>0</v>
      </c>
      <c r="D410" s="29">
        <v>3</v>
      </c>
      <c r="E410" s="29" t="s">
        <v>495</v>
      </c>
      <c r="F410" s="29" t="s">
        <v>92</v>
      </c>
      <c r="G410" s="29">
        <v>21</v>
      </c>
      <c r="H410" s="29">
        <v>1</v>
      </c>
      <c r="I410" s="29">
        <v>0</v>
      </c>
      <c r="J410" s="29">
        <v>9825</v>
      </c>
      <c r="K410" s="29">
        <v>0</v>
      </c>
      <c r="L410" s="29" t="s">
        <v>90</v>
      </c>
      <c r="Q410" t="str">
        <v>Hombre</v>
      </c>
    </row>
    <row r="411" spans="3:17" x14ac:dyDescent="0.2">
      <c r="C411" s="28">
        <v>0</v>
      </c>
      <c r="D411" s="29">
        <v>3</v>
      </c>
      <c r="E411" s="29" t="s">
        <v>496</v>
      </c>
      <c r="F411" s="29" t="s">
        <v>89</v>
      </c>
      <c r="G411" s="29">
        <v>28</v>
      </c>
      <c r="H411" s="29">
        <v>1</v>
      </c>
      <c r="I411" s="29">
        <v>0</v>
      </c>
      <c r="J411" s="29">
        <v>1585</v>
      </c>
      <c r="K411" s="29">
        <v>0</v>
      </c>
      <c r="L411" s="29" t="s">
        <v>90</v>
      </c>
      <c r="Q411" t="str">
        <v>Mujer</v>
      </c>
    </row>
    <row r="412" spans="3:17" x14ac:dyDescent="0.2">
      <c r="C412" s="28">
        <v>0</v>
      </c>
      <c r="D412" s="29">
        <v>3</v>
      </c>
      <c r="E412" s="29" t="s">
        <v>497</v>
      </c>
      <c r="F412" s="29" t="s">
        <v>92</v>
      </c>
      <c r="G412" s="29">
        <v>20</v>
      </c>
      <c r="H412" s="29">
        <v>0</v>
      </c>
      <c r="I412" s="29">
        <v>0</v>
      </c>
      <c r="J412" s="29">
        <v>86625</v>
      </c>
      <c r="K412" s="29">
        <v>0</v>
      </c>
      <c r="L412" s="29" t="s">
        <v>90</v>
      </c>
      <c r="Q412" t="str">
        <v>Hombre</v>
      </c>
    </row>
    <row r="413" spans="3:17" x14ac:dyDescent="0.2">
      <c r="C413" s="28">
        <v>0</v>
      </c>
      <c r="D413" s="29">
        <v>2</v>
      </c>
      <c r="E413" s="29" t="s">
        <v>498</v>
      </c>
      <c r="F413" s="29" t="s">
        <v>89</v>
      </c>
      <c r="G413" s="29">
        <v>34</v>
      </c>
      <c r="H413" s="29">
        <v>1</v>
      </c>
      <c r="I413" s="29">
        <v>0</v>
      </c>
      <c r="J413" s="29">
        <v>21</v>
      </c>
      <c r="K413" s="29">
        <v>0</v>
      </c>
      <c r="L413" s="29" t="s">
        <v>90</v>
      </c>
      <c r="Q413" t="str">
        <v>Hombre</v>
      </c>
    </row>
    <row r="414" spans="3:17" x14ac:dyDescent="0.2">
      <c r="C414" s="28">
        <v>0</v>
      </c>
      <c r="D414" s="29">
        <v>3</v>
      </c>
      <c r="E414" s="29" t="s">
        <v>499</v>
      </c>
      <c r="F414" s="29" t="s">
        <v>89</v>
      </c>
      <c r="G414" s="29">
        <v>51</v>
      </c>
      <c r="H414" s="29">
        <v>0</v>
      </c>
      <c r="I414" s="29">
        <v>0</v>
      </c>
      <c r="J414" s="29">
        <v>775</v>
      </c>
      <c r="K414" s="29">
        <v>0</v>
      </c>
      <c r="L414" s="29" t="s">
        <v>90</v>
      </c>
      <c r="Q414" t="str">
        <v>Hombre</v>
      </c>
    </row>
    <row r="415" spans="3:17" x14ac:dyDescent="0.2">
      <c r="C415" s="28">
        <v>1</v>
      </c>
      <c r="D415" s="29">
        <v>2</v>
      </c>
      <c r="E415" s="29" t="s">
        <v>500</v>
      </c>
      <c r="F415" s="29" t="s">
        <v>89</v>
      </c>
      <c r="G415" s="29">
        <v>3</v>
      </c>
      <c r="H415" s="29">
        <v>1</v>
      </c>
      <c r="I415" s="29">
        <v>1</v>
      </c>
      <c r="J415" s="29">
        <v>1875</v>
      </c>
      <c r="K415" s="29">
        <v>0</v>
      </c>
      <c r="L415" s="29" t="s">
        <v>90</v>
      </c>
      <c r="Q415" t="str">
        <v>Hombre</v>
      </c>
    </row>
    <row r="416" spans="3:17" x14ac:dyDescent="0.2">
      <c r="C416" s="28">
        <v>0</v>
      </c>
      <c r="D416" s="29">
        <v>3</v>
      </c>
      <c r="E416" s="29" t="s">
        <v>501</v>
      </c>
      <c r="F416" s="29" t="s">
        <v>89</v>
      </c>
      <c r="G416" s="29">
        <v>21</v>
      </c>
      <c r="H416" s="29">
        <v>0</v>
      </c>
      <c r="I416" s="29">
        <v>0</v>
      </c>
      <c r="J416" s="29">
        <v>7775</v>
      </c>
      <c r="K416" s="29">
        <v>0</v>
      </c>
      <c r="L416" s="29" t="s">
        <v>90</v>
      </c>
      <c r="Q416" t="str">
        <v>Mujer</v>
      </c>
    </row>
    <row r="417" spans="3:17" x14ac:dyDescent="0.2">
      <c r="C417" s="28">
        <v>0</v>
      </c>
      <c r="D417" s="29">
        <v>3</v>
      </c>
      <c r="E417" s="29" t="s">
        <v>502</v>
      </c>
      <c r="F417" s="29" t="s">
        <v>92</v>
      </c>
      <c r="G417" s="30"/>
      <c r="H417" s="29">
        <v>3</v>
      </c>
      <c r="I417" s="29">
        <v>1</v>
      </c>
      <c r="J417" s="29">
        <v>254667</v>
      </c>
      <c r="K417" s="29">
        <v>0</v>
      </c>
      <c r="L417" s="29" t="s">
        <v>90</v>
      </c>
      <c r="Q417" t="str">
        <v>Hombre</v>
      </c>
    </row>
    <row r="418" spans="3:17" x14ac:dyDescent="0.2">
      <c r="C418" s="28">
        <v>0</v>
      </c>
      <c r="D418" s="29">
        <v>3</v>
      </c>
      <c r="E418" s="29" t="s">
        <v>503</v>
      </c>
      <c r="F418" s="29" t="s">
        <v>89</v>
      </c>
      <c r="G418" s="30"/>
      <c r="H418" s="29">
        <v>0</v>
      </c>
      <c r="I418" s="29">
        <v>0</v>
      </c>
      <c r="J418" s="29">
        <v>78958</v>
      </c>
      <c r="K418" s="29">
        <v>0</v>
      </c>
      <c r="L418" s="29" t="s">
        <v>90</v>
      </c>
      <c r="Q418" t="str">
        <v>Hombre</v>
      </c>
    </row>
    <row r="419" spans="3:17" x14ac:dyDescent="0.2">
      <c r="C419" s="28">
        <v>0</v>
      </c>
      <c r="D419" s="29">
        <v>3</v>
      </c>
      <c r="E419" s="29" t="s">
        <v>504</v>
      </c>
      <c r="F419" s="29" t="s">
        <v>89</v>
      </c>
      <c r="G419" s="30"/>
      <c r="H419" s="29">
        <v>0</v>
      </c>
      <c r="I419" s="29">
        <v>0</v>
      </c>
      <c r="J419" s="29">
        <v>68583</v>
      </c>
      <c r="K419" s="29">
        <v>0</v>
      </c>
      <c r="L419" s="29" t="s">
        <v>98</v>
      </c>
      <c r="Q419" t="str">
        <v>Mujer</v>
      </c>
    </row>
    <row r="420" spans="3:17" x14ac:dyDescent="0.2">
      <c r="C420" s="28">
        <v>1</v>
      </c>
      <c r="D420" s="29">
        <v>1</v>
      </c>
      <c r="E420" s="29" t="s">
        <v>505</v>
      </c>
      <c r="F420" s="29" t="s">
        <v>92</v>
      </c>
      <c r="G420" s="29">
        <v>33</v>
      </c>
      <c r="H420" s="29">
        <v>1</v>
      </c>
      <c r="I420" s="29">
        <v>0</v>
      </c>
      <c r="J420" s="29">
        <v>90</v>
      </c>
      <c r="K420" s="29">
        <v>1</v>
      </c>
      <c r="L420" s="29" t="s">
        <v>98</v>
      </c>
      <c r="Q420" t="str">
        <v>Hombre</v>
      </c>
    </row>
    <row r="421" spans="3:17" x14ac:dyDescent="0.2">
      <c r="C421" s="28">
        <v>0</v>
      </c>
      <c r="D421" s="29">
        <v>2</v>
      </c>
      <c r="E421" s="29" t="s">
        <v>506</v>
      </c>
      <c r="F421" s="29" t="s">
        <v>89</v>
      </c>
      <c r="G421" s="30"/>
      <c r="H421" s="29">
        <v>0</v>
      </c>
      <c r="I421" s="29">
        <v>0</v>
      </c>
      <c r="J421" s="29">
        <v>0</v>
      </c>
      <c r="K421" s="29">
        <v>0</v>
      </c>
      <c r="L421" s="29" t="s">
        <v>90</v>
      </c>
      <c r="Q421" t="str">
        <v>Hombre</v>
      </c>
    </row>
    <row r="422" spans="3:17" x14ac:dyDescent="0.2">
      <c r="C422" s="28">
        <v>1</v>
      </c>
      <c r="D422" s="29">
        <v>3</v>
      </c>
      <c r="E422" s="29" t="s">
        <v>507</v>
      </c>
      <c r="F422" s="29" t="s">
        <v>89</v>
      </c>
      <c r="G422" s="29">
        <v>44</v>
      </c>
      <c r="H422" s="29">
        <v>0</v>
      </c>
      <c r="I422" s="29">
        <v>0</v>
      </c>
      <c r="J422" s="29">
        <v>7925</v>
      </c>
      <c r="K422" s="29">
        <v>0</v>
      </c>
      <c r="L422" s="29" t="s">
        <v>90</v>
      </c>
      <c r="Q422" t="str">
        <v>Mujer</v>
      </c>
    </row>
    <row r="423" spans="3:17" x14ac:dyDescent="0.2">
      <c r="C423" s="28">
        <v>0</v>
      </c>
      <c r="D423" s="29">
        <v>3</v>
      </c>
      <c r="E423" s="29" t="s">
        <v>508</v>
      </c>
      <c r="F423" s="29" t="s">
        <v>92</v>
      </c>
      <c r="G423" s="30"/>
      <c r="H423" s="29">
        <v>0</v>
      </c>
      <c r="I423" s="29">
        <v>0</v>
      </c>
      <c r="J423" s="29">
        <v>805</v>
      </c>
      <c r="K423" s="29">
        <v>0</v>
      </c>
      <c r="L423" s="29" t="s">
        <v>90</v>
      </c>
      <c r="Q423" t="str">
        <v>Mujer</v>
      </c>
    </row>
    <row r="424" spans="3:17" x14ac:dyDescent="0.2">
      <c r="C424" s="28">
        <v>1</v>
      </c>
      <c r="D424" s="29">
        <v>2</v>
      </c>
      <c r="E424" s="29" t="s">
        <v>509</v>
      </c>
      <c r="F424" s="29" t="s">
        <v>92</v>
      </c>
      <c r="G424" s="29">
        <v>34</v>
      </c>
      <c r="H424" s="29">
        <v>1</v>
      </c>
      <c r="I424" s="29">
        <v>1</v>
      </c>
      <c r="J424" s="29">
        <v>325</v>
      </c>
      <c r="K424" s="29">
        <v>0</v>
      </c>
      <c r="L424" s="29" t="s">
        <v>90</v>
      </c>
      <c r="Q424" t="str">
        <v>Mujer</v>
      </c>
    </row>
    <row r="425" spans="3:17" x14ac:dyDescent="0.2">
      <c r="C425" s="28">
        <v>1</v>
      </c>
      <c r="D425" s="29">
        <v>2</v>
      </c>
      <c r="E425" s="29" t="s">
        <v>510</v>
      </c>
      <c r="F425" s="29" t="s">
        <v>92</v>
      </c>
      <c r="G425" s="29">
        <v>18</v>
      </c>
      <c r="H425" s="29">
        <v>0</v>
      </c>
      <c r="I425" s="29">
        <v>2</v>
      </c>
      <c r="J425" s="29">
        <v>13</v>
      </c>
      <c r="K425" s="29">
        <v>0</v>
      </c>
      <c r="L425" s="29" t="s">
        <v>90</v>
      </c>
      <c r="Q425" t="str">
        <v>Hombre</v>
      </c>
    </row>
    <row r="426" spans="3:17" x14ac:dyDescent="0.2">
      <c r="C426" s="28">
        <v>0</v>
      </c>
      <c r="D426" s="29">
        <v>2</v>
      </c>
      <c r="E426" s="29" t="s">
        <v>511</v>
      </c>
      <c r="F426" s="29" t="s">
        <v>89</v>
      </c>
      <c r="G426" s="29">
        <v>30</v>
      </c>
      <c r="H426" s="29">
        <v>0</v>
      </c>
      <c r="I426" s="29">
        <v>0</v>
      </c>
      <c r="J426" s="29">
        <v>13</v>
      </c>
      <c r="K426" s="29">
        <v>0</v>
      </c>
      <c r="L426" s="29" t="s">
        <v>90</v>
      </c>
      <c r="Q426" t="str">
        <v>Mujer</v>
      </c>
    </row>
    <row r="427" spans="3:17" x14ac:dyDescent="0.2">
      <c r="C427" s="28">
        <v>0</v>
      </c>
      <c r="D427" s="29">
        <v>3</v>
      </c>
      <c r="E427" s="29" t="s">
        <v>512</v>
      </c>
      <c r="F427" s="29" t="s">
        <v>92</v>
      </c>
      <c r="G427" s="29">
        <v>10</v>
      </c>
      <c r="H427" s="29">
        <v>0</v>
      </c>
      <c r="I427" s="29">
        <v>2</v>
      </c>
      <c r="J427" s="29">
        <v>2415</v>
      </c>
      <c r="K427" s="29">
        <v>0</v>
      </c>
      <c r="L427" s="29" t="s">
        <v>90</v>
      </c>
      <c r="Q427" t="str">
        <v>Hombre</v>
      </c>
    </row>
    <row r="428" spans="3:17" x14ac:dyDescent="0.2">
      <c r="C428" s="28">
        <v>0</v>
      </c>
      <c r="D428" s="29">
        <v>3</v>
      </c>
      <c r="E428" s="29" t="s">
        <v>513</v>
      </c>
      <c r="F428" s="29" t="s">
        <v>89</v>
      </c>
      <c r="G428" s="30"/>
      <c r="H428" s="29">
        <v>0</v>
      </c>
      <c r="I428" s="29">
        <v>0</v>
      </c>
      <c r="J428" s="29">
        <v>78958</v>
      </c>
      <c r="K428" s="29">
        <v>0</v>
      </c>
      <c r="L428" s="29" t="s">
        <v>93</v>
      </c>
      <c r="Q428" t="str">
        <v>Hombre</v>
      </c>
    </row>
    <row r="429" spans="3:17" x14ac:dyDescent="0.2">
      <c r="C429" s="28">
        <v>0</v>
      </c>
      <c r="D429" s="29">
        <v>3</v>
      </c>
      <c r="E429" s="29" t="s">
        <v>514</v>
      </c>
      <c r="F429" s="29" t="s">
        <v>89</v>
      </c>
      <c r="G429" s="29">
        <v>21</v>
      </c>
      <c r="H429" s="29">
        <v>0</v>
      </c>
      <c r="I429" s="29">
        <v>0</v>
      </c>
      <c r="J429" s="29">
        <v>77333</v>
      </c>
      <c r="K429" s="29">
        <v>0</v>
      </c>
      <c r="L429" s="29" t="s">
        <v>98</v>
      </c>
      <c r="Q429" t="str">
        <v>Hombre</v>
      </c>
    </row>
    <row r="430" spans="3:17" x14ac:dyDescent="0.2">
      <c r="C430" s="28">
        <v>0</v>
      </c>
      <c r="D430" s="29">
        <v>3</v>
      </c>
      <c r="E430" s="29" t="s">
        <v>515</v>
      </c>
      <c r="F430" s="29" t="s">
        <v>89</v>
      </c>
      <c r="G430" s="29">
        <v>29</v>
      </c>
      <c r="H430" s="29">
        <v>0</v>
      </c>
      <c r="I430" s="29">
        <v>0</v>
      </c>
      <c r="J430" s="29">
        <v>7875</v>
      </c>
      <c r="K430" s="29">
        <v>0</v>
      </c>
      <c r="L430" s="29" t="s">
        <v>90</v>
      </c>
      <c r="Q430" t="str">
        <v>Mujer</v>
      </c>
    </row>
    <row r="431" spans="3:17" x14ac:dyDescent="0.2">
      <c r="C431" s="28">
        <v>0</v>
      </c>
      <c r="D431" s="29">
        <v>3</v>
      </c>
      <c r="E431" s="29" t="s">
        <v>516</v>
      </c>
      <c r="F431" s="29" t="s">
        <v>92</v>
      </c>
      <c r="G431" s="29">
        <v>28</v>
      </c>
      <c r="H431" s="29">
        <v>1</v>
      </c>
      <c r="I431" s="29">
        <v>1</v>
      </c>
      <c r="J431" s="29">
        <v>144</v>
      </c>
      <c r="K431" s="29">
        <v>0</v>
      </c>
      <c r="L431" s="29" t="s">
        <v>90</v>
      </c>
      <c r="Q431" t="str">
        <v>Hombre</v>
      </c>
    </row>
    <row r="432" spans="3:17" x14ac:dyDescent="0.2">
      <c r="C432" s="28">
        <v>0</v>
      </c>
      <c r="D432" s="29">
        <v>3</v>
      </c>
      <c r="E432" s="29" t="s">
        <v>517</v>
      </c>
      <c r="F432" s="29" t="s">
        <v>89</v>
      </c>
      <c r="G432" s="29">
        <v>18</v>
      </c>
      <c r="H432" s="29">
        <v>1</v>
      </c>
      <c r="I432" s="29">
        <v>1</v>
      </c>
      <c r="J432" s="29">
        <v>202125</v>
      </c>
      <c r="K432" s="29">
        <v>0</v>
      </c>
      <c r="L432" s="29" t="s">
        <v>90</v>
      </c>
      <c r="Q432" t="str">
        <v>Hombre</v>
      </c>
    </row>
    <row r="433" spans="3:17" x14ac:dyDescent="0.2">
      <c r="C433" s="28">
        <v>0</v>
      </c>
      <c r="D433" s="29">
        <v>3</v>
      </c>
      <c r="E433" s="29" t="s">
        <v>518</v>
      </c>
      <c r="F433" s="29" t="s">
        <v>89</v>
      </c>
      <c r="G433" s="30"/>
      <c r="H433" s="29">
        <v>0</v>
      </c>
      <c r="I433" s="29">
        <v>0</v>
      </c>
      <c r="J433" s="29">
        <v>725</v>
      </c>
      <c r="K433" s="29">
        <v>0</v>
      </c>
      <c r="L433" s="29" t="s">
        <v>90</v>
      </c>
      <c r="Q433" t="str">
        <v>Mujer</v>
      </c>
    </row>
    <row r="434" spans="3:17" x14ac:dyDescent="0.2">
      <c r="C434" s="28">
        <v>1</v>
      </c>
      <c r="D434" s="29">
        <v>2</v>
      </c>
      <c r="E434" s="29" t="s">
        <v>519</v>
      </c>
      <c r="F434" s="29" t="s">
        <v>92</v>
      </c>
      <c r="G434" s="29">
        <v>28</v>
      </c>
      <c r="H434" s="29">
        <v>1</v>
      </c>
      <c r="I434" s="29">
        <v>0</v>
      </c>
      <c r="J434" s="29">
        <v>26</v>
      </c>
      <c r="K434" s="29">
        <v>0</v>
      </c>
      <c r="L434" s="29" t="s">
        <v>90</v>
      </c>
      <c r="Q434" t="str">
        <v>Mujer</v>
      </c>
    </row>
    <row r="435" spans="3:17" x14ac:dyDescent="0.2">
      <c r="C435" s="28">
        <v>1</v>
      </c>
      <c r="D435" s="29">
        <v>2</v>
      </c>
      <c r="E435" s="29" t="s">
        <v>520</v>
      </c>
      <c r="F435" s="29" t="s">
        <v>92</v>
      </c>
      <c r="G435" s="29">
        <v>19</v>
      </c>
      <c r="H435" s="29">
        <v>0</v>
      </c>
      <c r="I435" s="29">
        <v>0</v>
      </c>
      <c r="J435" s="29">
        <v>26</v>
      </c>
      <c r="K435" s="29">
        <v>0</v>
      </c>
      <c r="L435" s="29" t="s">
        <v>90</v>
      </c>
      <c r="Q435" t="str">
        <v>Hombre</v>
      </c>
    </row>
    <row r="436" spans="3:17" x14ac:dyDescent="0.2">
      <c r="C436" s="28">
        <v>0</v>
      </c>
      <c r="D436" s="29">
        <v>3</v>
      </c>
      <c r="E436" s="29" t="s">
        <v>521</v>
      </c>
      <c r="F436" s="29" t="s">
        <v>89</v>
      </c>
      <c r="G436" s="30"/>
      <c r="H436" s="29">
        <v>0</v>
      </c>
      <c r="I436" s="29">
        <v>0</v>
      </c>
      <c r="J436" s="29">
        <v>775</v>
      </c>
      <c r="K436" s="29">
        <v>0</v>
      </c>
      <c r="L436" s="29" t="s">
        <v>98</v>
      </c>
      <c r="Q436" t="str">
        <v>Hombre</v>
      </c>
    </row>
    <row r="437" spans="3:17" x14ac:dyDescent="0.2">
      <c r="C437" s="28">
        <v>1</v>
      </c>
      <c r="D437" s="29">
        <v>3</v>
      </c>
      <c r="E437" s="29" t="s">
        <v>522</v>
      </c>
      <c r="F437" s="29" t="s">
        <v>89</v>
      </c>
      <c r="G437" s="29">
        <v>32</v>
      </c>
      <c r="H437" s="29">
        <v>0</v>
      </c>
      <c r="I437" s="29">
        <v>0</v>
      </c>
      <c r="J437" s="29">
        <v>805</v>
      </c>
      <c r="K437" s="29">
        <v>1</v>
      </c>
      <c r="L437" s="29" t="s">
        <v>90</v>
      </c>
      <c r="Q437" t="str">
        <v>Hombre</v>
      </c>
    </row>
    <row r="438" spans="3:17" x14ac:dyDescent="0.2">
      <c r="C438" s="28">
        <v>1</v>
      </c>
      <c r="D438" s="29">
        <v>1</v>
      </c>
      <c r="E438" s="29" t="s">
        <v>523</v>
      </c>
      <c r="F438" s="29" t="s">
        <v>89</v>
      </c>
      <c r="G438" s="29">
        <v>28</v>
      </c>
      <c r="H438" s="29">
        <v>0</v>
      </c>
      <c r="I438" s="29">
        <v>0</v>
      </c>
      <c r="J438" s="29">
        <v>2655</v>
      </c>
      <c r="K438" s="29">
        <v>1</v>
      </c>
      <c r="L438" s="29" t="s">
        <v>90</v>
      </c>
      <c r="Q438" t="str">
        <v>Mujer</v>
      </c>
    </row>
    <row r="439" spans="3:17" x14ac:dyDescent="0.2">
      <c r="C439" s="28">
        <v>1</v>
      </c>
      <c r="D439" s="29">
        <v>3</v>
      </c>
      <c r="E439" s="29" t="s">
        <v>524</v>
      </c>
      <c r="F439" s="29" t="s">
        <v>92</v>
      </c>
      <c r="G439" s="30"/>
      <c r="H439" s="29">
        <v>1</v>
      </c>
      <c r="I439" s="29">
        <v>0</v>
      </c>
      <c r="J439" s="29">
        <v>161</v>
      </c>
      <c r="K439" s="29">
        <v>0</v>
      </c>
      <c r="L439" s="29" t="s">
        <v>90</v>
      </c>
      <c r="Q439" t="str">
        <v>Mujer</v>
      </c>
    </row>
    <row r="440" spans="3:17" x14ac:dyDescent="0.2">
      <c r="C440" s="28">
        <v>1</v>
      </c>
      <c r="D440" s="29">
        <v>2</v>
      </c>
      <c r="E440" s="29" t="s">
        <v>525</v>
      </c>
      <c r="F440" s="29" t="s">
        <v>92</v>
      </c>
      <c r="G440" s="29">
        <v>42</v>
      </c>
      <c r="H440" s="29">
        <v>1</v>
      </c>
      <c r="I440" s="29">
        <v>0</v>
      </c>
      <c r="J440" s="29">
        <v>26</v>
      </c>
      <c r="K440" s="29">
        <v>0</v>
      </c>
      <c r="L440" s="29" t="s">
        <v>90</v>
      </c>
      <c r="Q440" t="str">
        <v>Hombre</v>
      </c>
    </row>
    <row r="441" spans="3:17" x14ac:dyDescent="0.2">
      <c r="C441" s="28">
        <v>0</v>
      </c>
      <c r="D441" s="29">
        <v>3</v>
      </c>
      <c r="E441" s="29" t="s">
        <v>526</v>
      </c>
      <c r="F441" s="29" t="s">
        <v>89</v>
      </c>
      <c r="G441" s="29">
        <v>17</v>
      </c>
      <c r="H441" s="29">
        <v>0</v>
      </c>
      <c r="I441" s="29">
        <v>0</v>
      </c>
      <c r="J441" s="29">
        <v>7125</v>
      </c>
      <c r="K441" s="29">
        <v>0</v>
      </c>
      <c r="L441" s="29" t="s">
        <v>90</v>
      </c>
      <c r="Q441" t="str">
        <v>Hombre</v>
      </c>
    </row>
    <row r="442" spans="3:17" x14ac:dyDescent="0.2">
      <c r="C442" s="28">
        <v>0</v>
      </c>
      <c r="D442" s="29">
        <v>1</v>
      </c>
      <c r="E442" s="29" t="s">
        <v>527</v>
      </c>
      <c r="F442" s="29" t="s">
        <v>89</v>
      </c>
      <c r="G442" s="29">
        <v>50</v>
      </c>
      <c r="H442" s="29">
        <v>1</v>
      </c>
      <c r="I442" s="29">
        <v>0</v>
      </c>
      <c r="J442" s="29">
        <v>559</v>
      </c>
      <c r="K442" s="29">
        <v>1</v>
      </c>
      <c r="L442" s="29" t="s">
        <v>90</v>
      </c>
      <c r="Q442" t="str">
        <v>Mujer</v>
      </c>
    </row>
    <row r="443" spans="3:17" x14ac:dyDescent="0.2">
      <c r="C443" s="28">
        <v>1</v>
      </c>
      <c r="D443" s="29">
        <v>1</v>
      </c>
      <c r="E443" s="29" t="s">
        <v>528</v>
      </c>
      <c r="F443" s="29" t="s">
        <v>92</v>
      </c>
      <c r="G443" s="29">
        <v>14</v>
      </c>
      <c r="H443" s="29">
        <v>1</v>
      </c>
      <c r="I443" s="29">
        <v>2</v>
      </c>
      <c r="J443" s="29">
        <v>120</v>
      </c>
      <c r="K443" s="29">
        <v>1</v>
      </c>
      <c r="L443" s="29" t="s">
        <v>90</v>
      </c>
      <c r="Q443" t="str">
        <v>Mujer</v>
      </c>
    </row>
    <row r="444" spans="3:17" x14ac:dyDescent="0.2">
      <c r="C444" s="28">
        <v>0</v>
      </c>
      <c r="D444" s="29">
        <v>3</v>
      </c>
      <c r="E444" s="29" t="s">
        <v>529</v>
      </c>
      <c r="F444" s="29" t="s">
        <v>92</v>
      </c>
      <c r="G444" s="29">
        <v>21</v>
      </c>
      <c r="H444" s="29">
        <v>2</v>
      </c>
      <c r="I444" s="29">
        <v>2</v>
      </c>
      <c r="J444" s="29">
        <v>34375</v>
      </c>
      <c r="K444" s="29">
        <v>0</v>
      </c>
      <c r="L444" s="29" t="s">
        <v>90</v>
      </c>
      <c r="Q444" t="str">
        <v>Mujer</v>
      </c>
    </row>
    <row r="445" spans="3:17" x14ac:dyDescent="0.2">
      <c r="C445" s="28">
        <v>1</v>
      </c>
      <c r="D445" s="29">
        <v>2</v>
      </c>
      <c r="E445" s="29" t="s">
        <v>530</v>
      </c>
      <c r="F445" s="29" t="s">
        <v>92</v>
      </c>
      <c r="G445" s="29">
        <v>24</v>
      </c>
      <c r="H445" s="29">
        <v>2</v>
      </c>
      <c r="I445" s="29">
        <v>3</v>
      </c>
      <c r="J445" s="29">
        <v>1875</v>
      </c>
      <c r="K445" s="29">
        <v>0</v>
      </c>
      <c r="L445" s="29" t="s">
        <v>90</v>
      </c>
      <c r="Q445" t="str">
        <v>Hombre</v>
      </c>
    </row>
    <row r="446" spans="3:17" x14ac:dyDescent="0.2">
      <c r="C446" s="28">
        <v>0</v>
      </c>
      <c r="D446" s="29">
        <v>1</v>
      </c>
      <c r="E446" s="29" t="s">
        <v>531</v>
      </c>
      <c r="F446" s="29" t="s">
        <v>89</v>
      </c>
      <c r="G446" s="29">
        <v>64</v>
      </c>
      <c r="H446" s="29">
        <v>1</v>
      </c>
      <c r="I446" s="29">
        <v>4</v>
      </c>
      <c r="J446" s="29">
        <v>263</v>
      </c>
      <c r="K446" s="29">
        <v>1</v>
      </c>
      <c r="L446" s="29" t="s">
        <v>90</v>
      </c>
      <c r="Q446" t="str">
        <v>Hombre</v>
      </c>
    </row>
    <row r="447" spans="3:17" x14ac:dyDescent="0.2">
      <c r="C447" s="28">
        <v>0</v>
      </c>
      <c r="D447" s="29">
        <v>2</v>
      </c>
      <c r="E447" s="29" t="s">
        <v>532</v>
      </c>
      <c r="F447" s="29" t="s">
        <v>89</v>
      </c>
      <c r="G447" s="29">
        <v>31</v>
      </c>
      <c r="H447" s="29">
        <v>0</v>
      </c>
      <c r="I447" s="29">
        <v>0</v>
      </c>
      <c r="J447" s="29">
        <v>105</v>
      </c>
      <c r="K447" s="29">
        <v>0</v>
      </c>
      <c r="L447" s="29" t="s">
        <v>90</v>
      </c>
      <c r="Q447" t="str">
        <v>Mujer</v>
      </c>
    </row>
    <row r="448" spans="3:17" x14ac:dyDescent="0.2">
      <c r="C448" s="28">
        <v>1</v>
      </c>
      <c r="D448" s="29">
        <v>2</v>
      </c>
      <c r="E448" s="29" t="s">
        <v>533</v>
      </c>
      <c r="F448" s="29" t="s">
        <v>92</v>
      </c>
      <c r="G448" s="29">
        <v>45</v>
      </c>
      <c r="H448" s="29">
        <v>1</v>
      </c>
      <c r="I448" s="29">
        <v>1</v>
      </c>
      <c r="J448" s="29">
        <v>2625</v>
      </c>
      <c r="K448" s="29">
        <v>0</v>
      </c>
      <c r="L448" s="29" t="s">
        <v>90</v>
      </c>
      <c r="Q448" t="str">
        <v>Hombre</v>
      </c>
    </row>
    <row r="449" spans="3:17" x14ac:dyDescent="0.2">
      <c r="C449" s="28">
        <v>0</v>
      </c>
      <c r="D449" s="29">
        <v>3</v>
      </c>
      <c r="E449" s="29" t="s">
        <v>534</v>
      </c>
      <c r="F449" s="29" t="s">
        <v>89</v>
      </c>
      <c r="G449" s="29">
        <v>20</v>
      </c>
      <c r="H449" s="29">
        <v>0</v>
      </c>
      <c r="I449" s="29">
        <v>0</v>
      </c>
      <c r="J449" s="29">
        <v>95</v>
      </c>
      <c r="K449" s="29">
        <v>0</v>
      </c>
      <c r="L449" s="29" t="s">
        <v>90</v>
      </c>
      <c r="Q449" t="str">
        <v>Hombre</v>
      </c>
    </row>
    <row r="450" spans="3:17" x14ac:dyDescent="0.2">
      <c r="C450" s="28">
        <v>0</v>
      </c>
      <c r="D450" s="29">
        <v>3</v>
      </c>
      <c r="E450" s="29" t="s">
        <v>535</v>
      </c>
      <c r="F450" s="29" t="s">
        <v>89</v>
      </c>
      <c r="G450" s="29">
        <v>25</v>
      </c>
      <c r="H450" s="29">
        <v>1</v>
      </c>
      <c r="I450" s="29">
        <v>0</v>
      </c>
      <c r="J450" s="29">
        <v>7775</v>
      </c>
      <c r="K450" s="29">
        <v>0</v>
      </c>
      <c r="L450" s="29" t="s">
        <v>90</v>
      </c>
      <c r="Q450" t="str">
        <v>Mujer</v>
      </c>
    </row>
    <row r="451" spans="3:17" x14ac:dyDescent="0.2">
      <c r="C451" s="28">
        <v>1</v>
      </c>
      <c r="D451" s="29">
        <v>2</v>
      </c>
      <c r="E451" s="29" t="s">
        <v>536</v>
      </c>
      <c r="F451" s="29" t="s">
        <v>92</v>
      </c>
      <c r="G451" s="29">
        <v>28</v>
      </c>
      <c r="H451" s="29">
        <v>0</v>
      </c>
      <c r="I451" s="29">
        <v>0</v>
      </c>
      <c r="J451" s="29">
        <v>13</v>
      </c>
      <c r="K451" s="29">
        <v>0</v>
      </c>
      <c r="L451" s="29" t="s">
        <v>90</v>
      </c>
      <c r="Q451" t="str">
        <v>Hombre</v>
      </c>
    </row>
    <row r="452" spans="3:17" x14ac:dyDescent="0.2">
      <c r="C452" s="28">
        <v>1</v>
      </c>
      <c r="D452" s="29">
        <v>3</v>
      </c>
      <c r="E452" s="29" t="s">
        <v>537</v>
      </c>
      <c r="F452" s="29" t="s">
        <v>89</v>
      </c>
      <c r="G452" s="30"/>
      <c r="H452" s="29">
        <v>0</v>
      </c>
      <c r="I452" s="29">
        <v>0</v>
      </c>
      <c r="J452" s="29">
        <v>81125</v>
      </c>
      <c r="K452" s="29">
        <v>0</v>
      </c>
      <c r="L452" s="29" t="s">
        <v>90</v>
      </c>
      <c r="Q452" t="str">
        <v>Hombre</v>
      </c>
    </row>
    <row r="453" spans="3:17" x14ac:dyDescent="0.2">
      <c r="C453" s="28">
        <v>1</v>
      </c>
      <c r="D453" s="29">
        <v>1</v>
      </c>
      <c r="E453" s="29" t="s">
        <v>538</v>
      </c>
      <c r="F453" s="29" t="s">
        <v>89</v>
      </c>
      <c r="G453" s="29">
        <v>4</v>
      </c>
      <c r="H453" s="29">
        <v>0</v>
      </c>
      <c r="I453" s="29">
        <v>2</v>
      </c>
      <c r="J453" s="29">
        <v>818583</v>
      </c>
      <c r="K453" s="29">
        <v>1</v>
      </c>
      <c r="L453" s="29" t="s">
        <v>90</v>
      </c>
      <c r="Q453" t="str">
        <v>Mujer</v>
      </c>
    </row>
    <row r="454" spans="3:17" x14ac:dyDescent="0.2">
      <c r="C454" s="28">
        <v>1</v>
      </c>
      <c r="D454" s="29">
        <v>2</v>
      </c>
      <c r="E454" s="29" t="s">
        <v>539</v>
      </c>
      <c r="F454" s="29" t="s">
        <v>92</v>
      </c>
      <c r="G454" s="29">
        <v>13</v>
      </c>
      <c r="H454" s="29">
        <v>0</v>
      </c>
      <c r="I454" s="29">
        <v>1</v>
      </c>
      <c r="J454" s="29">
        <v>195</v>
      </c>
      <c r="K454" s="29">
        <v>0</v>
      </c>
      <c r="L454" s="29" t="s">
        <v>90</v>
      </c>
      <c r="Q454" t="str">
        <v>Hombre</v>
      </c>
    </row>
    <row r="455" spans="3:17" x14ac:dyDescent="0.2">
      <c r="C455" s="28">
        <v>1</v>
      </c>
      <c r="D455" s="29">
        <v>1</v>
      </c>
      <c r="E455" s="29" t="s">
        <v>540</v>
      </c>
      <c r="F455" s="29" t="s">
        <v>89</v>
      </c>
      <c r="G455" s="29">
        <v>34</v>
      </c>
      <c r="H455" s="29">
        <v>0</v>
      </c>
      <c r="I455" s="29">
        <v>0</v>
      </c>
      <c r="J455" s="29">
        <v>2655</v>
      </c>
      <c r="K455" s="29">
        <v>0</v>
      </c>
      <c r="L455" s="29" t="s">
        <v>90</v>
      </c>
      <c r="Q455" t="str">
        <v>Mujer</v>
      </c>
    </row>
    <row r="456" spans="3:17" x14ac:dyDescent="0.2">
      <c r="C456" s="28">
        <v>1</v>
      </c>
      <c r="D456" s="29">
        <v>3</v>
      </c>
      <c r="E456" s="29" t="s">
        <v>541</v>
      </c>
      <c r="F456" s="29" t="s">
        <v>92</v>
      </c>
      <c r="G456" s="29">
        <v>5</v>
      </c>
      <c r="H456" s="29">
        <v>2</v>
      </c>
      <c r="I456" s="29">
        <v>1</v>
      </c>
      <c r="J456" s="29">
        <v>192583</v>
      </c>
      <c r="K456" s="29">
        <v>0</v>
      </c>
      <c r="L456" s="29" t="s">
        <v>93</v>
      </c>
      <c r="Q456" t="str">
        <v>Hombre</v>
      </c>
    </row>
    <row r="457" spans="3:17" x14ac:dyDescent="0.2">
      <c r="C457" s="28">
        <v>1</v>
      </c>
      <c r="D457" s="29">
        <v>1</v>
      </c>
      <c r="E457" s="29" t="s">
        <v>542</v>
      </c>
      <c r="F457" s="29" t="s">
        <v>89</v>
      </c>
      <c r="G457" s="29">
        <v>52</v>
      </c>
      <c r="H457" s="29">
        <v>0</v>
      </c>
      <c r="I457" s="29">
        <v>0</v>
      </c>
      <c r="J457" s="29">
        <v>305</v>
      </c>
      <c r="K457" s="29">
        <v>1</v>
      </c>
      <c r="L457" s="29" t="s">
        <v>90</v>
      </c>
      <c r="Q457" t="str">
        <v>Hombre</v>
      </c>
    </row>
    <row r="458" spans="3:17" x14ac:dyDescent="0.2">
      <c r="C458" s="28">
        <v>0</v>
      </c>
      <c r="D458" s="29">
        <v>2</v>
      </c>
      <c r="E458" s="29" t="s">
        <v>543</v>
      </c>
      <c r="F458" s="29" t="s">
        <v>89</v>
      </c>
      <c r="G458" s="29">
        <v>36</v>
      </c>
      <c r="H458" s="29">
        <v>1</v>
      </c>
      <c r="I458" s="29">
        <v>2</v>
      </c>
      <c r="J458" s="29">
        <v>2775</v>
      </c>
      <c r="K458" s="29">
        <v>0</v>
      </c>
      <c r="L458" s="29" t="s">
        <v>90</v>
      </c>
      <c r="Q458" t="str">
        <v>Hombre</v>
      </c>
    </row>
    <row r="459" spans="3:17" x14ac:dyDescent="0.2">
      <c r="C459" s="28">
        <v>0</v>
      </c>
      <c r="D459" s="29">
        <v>3</v>
      </c>
      <c r="E459" s="29" t="s">
        <v>544</v>
      </c>
      <c r="F459" s="29" t="s">
        <v>89</v>
      </c>
      <c r="G459" s="30"/>
      <c r="H459" s="29">
        <v>1</v>
      </c>
      <c r="I459" s="29">
        <v>0</v>
      </c>
      <c r="J459" s="29">
        <v>199667</v>
      </c>
      <c r="K459" s="29">
        <v>0</v>
      </c>
      <c r="L459" s="29" t="s">
        <v>90</v>
      </c>
      <c r="Q459" t="str">
        <v>Hombre</v>
      </c>
    </row>
    <row r="460" spans="3:17" x14ac:dyDescent="0.2">
      <c r="C460" s="28">
        <v>0</v>
      </c>
      <c r="D460" s="29">
        <v>1</v>
      </c>
      <c r="E460" s="29" t="s">
        <v>545</v>
      </c>
      <c r="F460" s="29" t="s">
        <v>89</v>
      </c>
      <c r="G460" s="29">
        <v>30</v>
      </c>
      <c r="H460" s="29">
        <v>0</v>
      </c>
      <c r="I460" s="29">
        <v>0</v>
      </c>
      <c r="J460" s="29">
        <v>2775</v>
      </c>
      <c r="K460" s="29">
        <v>1</v>
      </c>
      <c r="L460" s="29" t="s">
        <v>93</v>
      </c>
      <c r="Q460" t="str">
        <v>Hombre</v>
      </c>
    </row>
    <row r="461" spans="3:17" x14ac:dyDescent="0.2">
      <c r="C461" s="28">
        <v>1</v>
      </c>
      <c r="D461" s="29">
        <v>1</v>
      </c>
      <c r="E461" s="29" t="s">
        <v>546</v>
      </c>
      <c r="F461" s="29" t="s">
        <v>89</v>
      </c>
      <c r="G461" s="29">
        <v>49</v>
      </c>
      <c r="H461" s="29">
        <v>1</v>
      </c>
      <c r="I461" s="29">
        <v>0</v>
      </c>
      <c r="J461" s="29">
        <v>891042</v>
      </c>
      <c r="K461" s="29">
        <v>1</v>
      </c>
      <c r="L461" s="29" t="s">
        <v>93</v>
      </c>
      <c r="Q461" t="str">
        <v>Hombre</v>
      </c>
    </row>
    <row r="462" spans="3:17" x14ac:dyDescent="0.2">
      <c r="C462" s="28">
        <v>0</v>
      </c>
      <c r="D462" s="29">
        <v>3</v>
      </c>
      <c r="E462" s="29" t="s">
        <v>547</v>
      </c>
      <c r="F462" s="29" t="s">
        <v>89</v>
      </c>
      <c r="G462" s="30"/>
      <c r="H462" s="29">
        <v>0</v>
      </c>
      <c r="I462" s="29">
        <v>0</v>
      </c>
      <c r="J462" s="29">
        <v>805</v>
      </c>
      <c r="K462" s="29">
        <v>0</v>
      </c>
      <c r="L462" s="29" t="s">
        <v>90</v>
      </c>
      <c r="Q462" t="str">
        <v>Hombre</v>
      </c>
    </row>
    <row r="463" spans="3:17" x14ac:dyDescent="0.2">
      <c r="C463" s="28">
        <v>1</v>
      </c>
      <c r="D463" s="29">
        <v>3</v>
      </c>
      <c r="E463" s="29" t="s">
        <v>548</v>
      </c>
      <c r="F463" s="29" t="s">
        <v>89</v>
      </c>
      <c r="G463" s="29">
        <v>29</v>
      </c>
      <c r="H463" s="29">
        <v>0</v>
      </c>
      <c r="I463" s="29">
        <v>0</v>
      </c>
      <c r="J463" s="29">
        <v>78958</v>
      </c>
      <c r="K463" s="29">
        <v>0</v>
      </c>
      <c r="L463" s="29" t="s">
        <v>93</v>
      </c>
      <c r="Q463" t="str">
        <v>Hombre</v>
      </c>
    </row>
    <row r="464" spans="3:17" x14ac:dyDescent="0.2">
      <c r="C464" s="28">
        <v>0</v>
      </c>
      <c r="D464" s="29">
        <v>1</v>
      </c>
      <c r="E464" s="29" t="s">
        <v>549</v>
      </c>
      <c r="F464" s="29" t="s">
        <v>89</v>
      </c>
      <c r="G464" s="29">
        <v>65</v>
      </c>
      <c r="H464" s="29">
        <v>0</v>
      </c>
      <c r="I464" s="29">
        <v>0</v>
      </c>
      <c r="J464" s="29">
        <v>2655</v>
      </c>
      <c r="K464" s="29">
        <v>1</v>
      </c>
      <c r="L464" s="29" t="s">
        <v>90</v>
      </c>
      <c r="Q464" t="str">
        <v>Mujer</v>
      </c>
    </row>
    <row r="465" spans="3:17" x14ac:dyDescent="0.2">
      <c r="C465" s="28">
        <v>1</v>
      </c>
      <c r="D465" s="29">
        <v>1</v>
      </c>
      <c r="E465" s="29" t="s">
        <v>550</v>
      </c>
      <c r="F465" s="29" t="s">
        <v>92</v>
      </c>
      <c r="G465" s="30"/>
      <c r="H465" s="29">
        <v>1</v>
      </c>
      <c r="I465" s="29">
        <v>0</v>
      </c>
      <c r="J465" s="29">
        <v>518625</v>
      </c>
      <c r="K465" s="29">
        <v>1</v>
      </c>
      <c r="L465" s="29" t="s">
        <v>90</v>
      </c>
      <c r="Q465" t="str">
        <v>Mujer</v>
      </c>
    </row>
    <row r="466" spans="3:17" x14ac:dyDescent="0.2">
      <c r="C466" s="28">
        <v>1</v>
      </c>
      <c r="D466" s="29">
        <v>2</v>
      </c>
      <c r="E466" s="29" t="s">
        <v>551</v>
      </c>
      <c r="F466" s="29" t="s">
        <v>92</v>
      </c>
      <c r="G466" s="29">
        <v>50</v>
      </c>
      <c r="H466" s="29">
        <v>0</v>
      </c>
      <c r="I466" s="29">
        <v>0</v>
      </c>
      <c r="J466" s="29">
        <v>105</v>
      </c>
      <c r="K466" s="29">
        <v>0</v>
      </c>
      <c r="L466" s="29" t="s">
        <v>90</v>
      </c>
      <c r="Q466" t="str">
        <v>Hombre</v>
      </c>
    </row>
    <row r="467" spans="3:17" x14ac:dyDescent="0.2">
      <c r="C467" s="28">
        <v>0</v>
      </c>
      <c r="D467" s="29">
        <v>3</v>
      </c>
      <c r="E467" s="29" t="s">
        <v>552</v>
      </c>
      <c r="F467" s="29" t="s">
        <v>89</v>
      </c>
      <c r="G467" s="30"/>
      <c r="H467" s="29">
        <v>0</v>
      </c>
      <c r="I467" s="29">
        <v>0</v>
      </c>
      <c r="J467" s="29">
        <v>775</v>
      </c>
      <c r="K467" s="29">
        <v>0</v>
      </c>
      <c r="L467" s="29" t="s">
        <v>98</v>
      </c>
      <c r="Q467" t="str">
        <v>Hombre</v>
      </c>
    </row>
    <row r="468" spans="3:17" x14ac:dyDescent="0.2">
      <c r="C468" s="28">
        <v>1</v>
      </c>
      <c r="D468" s="29">
        <v>1</v>
      </c>
      <c r="E468" s="29" t="s">
        <v>553</v>
      </c>
      <c r="F468" s="29" t="s">
        <v>89</v>
      </c>
      <c r="G468" s="29">
        <v>48</v>
      </c>
      <c r="H468" s="29">
        <v>0</v>
      </c>
      <c r="I468" s="29">
        <v>0</v>
      </c>
      <c r="J468" s="29">
        <v>2655</v>
      </c>
      <c r="K468" s="29">
        <v>1</v>
      </c>
      <c r="L468" s="29" t="s">
        <v>90</v>
      </c>
      <c r="Q468" t="str">
        <v>Hombre</v>
      </c>
    </row>
    <row r="469" spans="3:17" x14ac:dyDescent="0.2">
      <c r="C469" s="28">
        <v>0</v>
      </c>
      <c r="D469" s="29">
        <v>3</v>
      </c>
      <c r="E469" s="29" t="s">
        <v>554</v>
      </c>
      <c r="F469" s="29" t="s">
        <v>89</v>
      </c>
      <c r="G469" s="29">
        <v>34</v>
      </c>
      <c r="H469" s="29">
        <v>0</v>
      </c>
      <c r="I469" s="29">
        <v>0</v>
      </c>
      <c r="J469" s="29">
        <v>805</v>
      </c>
      <c r="K469" s="29">
        <v>0</v>
      </c>
      <c r="L469" s="29" t="s">
        <v>90</v>
      </c>
      <c r="Q469" t="str">
        <v>Hombre</v>
      </c>
    </row>
    <row r="470" spans="3:17" x14ac:dyDescent="0.2">
      <c r="C470" s="28">
        <v>0</v>
      </c>
      <c r="D470" s="29">
        <v>1</v>
      </c>
      <c r="E470" s="29" t="s">
        <v>555</v>
      </c>
      <c r="F470" s="29" t="s">
        <v>89</v>
      </c>
      <c r="G470" s="29">
        <v>47</v>
      </c>
      <c r="H470" s="29">
        <v>0</v>
      </c>
      <c r="I470" s="29">
        <v>0</v>
      </c>
      <c r="J470" s="29">
        <v>385</v>
      </c>
      <c r="K470" s="29">
        <v>1</v>
      </c>
      <c r="L470" s="29" t="s">
        <v>90</v>
      </c>
      <c r="Q470" t="str">
        <v>Hombre</v>
      </c>
    </row>
    <row r="471" spans="3:17" x14ac:dyDescent="0.2">
      <c r="C471" s="28">
        <v>0</v>
      </c>
      <c r="D471" s="29">
        <v>2</v>
      </c>
      <c r="E471" s="29" t="s">
        <v>556</v>
      </c>
      <c r="F471" s="29" t="s">
        <v>89</v>
      </c>
      <c r="G471" s="29">
        <v>48</v>
      </c>
      <c r="H471" s="29">
        <v>0</v>
      </c>
      <c r="I471" s="29">
        <v>0</v>
      </c>
      <c r="J471" s="29">
        <v>13</v>
      </c>
      <c r="K471" s="29">
        <v>0</v>
      </c>
      <c r="L471" s="29" t="s">
        <v>90</v>
      </c>
      <c r="Q471" t="str">
        <v>Hombre</v>
      </c>
    </row>
    <row r="472" spans="3:17" x14ac:dyDescent="0.2">
      <c r="C472" s="28">
        <v>0</v>
      </c>
      <c r="D472" s="29">
        <v>3</v>
      </c>
      <c r="E472" s="29" t="s">
        <v>557</v>
      </c>
      <c r="F472" s="29" t="s">
        <v>89</v>
      </c>
      <c r="G472" s="30"/>
      <c r="H472" s="29">
        <v>0</v>
      </c>
      <c r="I472" s="29">
        <v>0</v>
      </c>
      <c r="J472" s="29">
        <v>805</v>
      </c>
      <c r="K472" s="29">
        <v>0</v>
      </c>
      <c r="L472" s="29" t="s">
        <v>90</v>
      </c>
      <c r="Q472" t="str">
        <v>Hombre</v>
      </c>
    </row>
    <row r="473" spans="3:17" x14ac:dyDescent="0.2">
      <c r="C473" s="28">
        <v>0</v>
      </c>
      <c r="D473" s="29">
        <v>3</v>
      </c>
      <c r="E473" s="29" t="s">
        <v>558</v>
      </c>
      <c r="F473" s="29" t="s">
        <v>89</v>
      </c>
      <c r="G473" s="29">
        <v>38</v>
      </c>
      <c r="H473" s="29">
        <v>0</v>
      </c>
      <c r="I473" s="29">
        <v>0</v>
      </c>
      <c r="J473" s="29">
        <v>705</v>
      </c>
      <c r="K473" s="29">
        <v>0</v>
      </c>
      <c r="L473" s="29" t="s">
        <v>90</v>
      </c>
      <c r="Q473" t="str">
        <v>Hombre</v>
      </c>
    </row>
    <row r="474" spans="3:17" x14ac:dyDescent="0.2">
      <c r="C474" s="28">
        <v>0</v>
      </c>
      <c r="D474" s="29">
        <v>2</v>
      </c>
      <c r="E474" s="29" t="s">
        <v>559</v>
      </c>
      <c r="F474" s="29" t="s">
        <v>89</v>
      </c>
      <c r="G474" s="30"/>
      <c r="H474" s="29">
        <v>0</v>
      </c>
      <c r="I474" s="29">
        <v>0</v>
      </c>
      <c r="J474" s="29">
        <v>0</v>
      </c>
      <c r="K474" s="29">
        <v>0</v>
      </c>
      <c r="L474" s="29" t="s">
        <v>90</v>
      </c>
      <c r="Q474" t="str">
        <v>Hombre</v>
      </c>
    </row>
    <row r="475" spans="3:17" x14ac:dyDescent="0.2">
      <c r="C475" s="28">
        <v>0</v>
      </c>
      <c r="D475" s="29">
        <v>1</v>
      </c>
      <c r="E475" s="29" t="s">
        <v>560</v>
      </c>
      <c r="F475" s="29" t="s">
        <v>89</v>
      </c>
      <c r="G475" s="29">
        <v>56</v>
      </c>
      <c r="H475" s="29">
        <v>0</v>
      </c>
      <c r="I475" s="29">
        <v>0</v>
      </c>
      <c r="J475" s="29">
        <v>2655</v>
      </c>
      <c r="K475" s="29">
        <v>0</v>
      </c>
      <c r="L475" s="29" t="s">
        <v>90</v>
      </c>
      <c r="Q475" t="str">
        <v>Hombre</v>
      </c>
    </row>
    <row r="476" spans="3:17" x14ac:dyDescent="0.2">
      <c r="C476" s="28">
        <v>0</v>
      </c>
      <c r="D476" s="29">
        <v>3</v>
      </c>
      <c r="E476" s="29" t="s">
        <v>561</v>
      </c>
      <c r="F476" s="29" t="s">
        <v>89</v>
      </c>
      <c r="G476" s="30"/>
      <c r="H476" s="29">
        <v>0</v>
      </c>
      <c r="I476" s="29">
        <v>0</v>
      </c>
      <c r="J476" s="29">
        <v>7725</v>
      </c>
      <c r="K476" s="29">
        <v>0</v>
      </c>
      <c r="L476" s="29" t="s">
        <v>98</v>
      </c>
      <c r="Q476" t="str">
        <v>Mujer</v>
      </c>
    </row>
    <row r="477" spans="3:17" x14ac:dyDescent="0.2">
      <c r="C477" s="28">
        <v>1</v>
      </c>
      <c r="D477" s="29">
        <v>3</v>
      </c>
      <c r="E477" s="29" t="s">
        <v>562</v>
      </c>
      <c r="F477" s="29" t="s">
        <v>92</v>
      </c>
      <c r="G477" s="29">
        <v>75</v>
      </c>
      <c r="H477" s="29">
        <v>2</v>
      </c>
      <c r="I477" s="29">
        <v>1</v>
      </c>
      <c r="J477" s="29">
        <v>192583</v>
      </c>
      <c r="K477" s="29">
        <v>0</v>
      </c>
      <c r="L477" s="29" t="s">
        <v>93</v>
      </c>
      <c r="Q477" t="str">
        <v>Hombre</v>
      </c>
    </row>
    <row r="478" spans="3:17" x14ac:dyDescent="0.2">
      <c r="C478" s="28">
        <v>0</v>
      </c>
      <c r="D478" s="29">
        <v>3</v>
      </c>
      <c r="E478" s="29" t="s">
        <v>563</v>
      </c>
      <c r="F478" s="29" t="s">
        <v>89</v>
      </c>
      <c r="G478" s="30"/>
      <c r="H478" s="29">
        <v>0</v>
      </c>
      <c r="I478" s="29">
        <v>0</v>
      </c>
      <c r="J478" s="29">
        <v>725</v>
      </c>
      <c r="K478" s="29">
        <v>0</v>
      </c>
      <c r="L478" s="29" t="s">
        <v>90</v>
      </c>
      <c r="Q478" t="str">
        <v>Hombre</v>
      </c>
    </row>
    <row r="479" spans="3:17" x14ac:dyDescent="0.2">
      <c r="C479" s="28">
        <v>0</v>
      </c>
      <c r="D479" s="29">
        <v>3</v>
      </c>
      <c r="E479" s="29" t="s">
        <v>564</v>
      </c>
      <c r="F479" s="29" t="s">
        <v>89</v>
      </c>
      <c r="G479" s="29">
        <v>38</v>
      </c>
      <c r="H479" s="29">
        <v>0</v>
      </c>
      <c r="I479" s="29">
        <v>0</v>
      </c>
      <c r="J479" s="29">
        <v>86625</v>
      </c>
      <c r="K479" s="29">
        <v>0</v>
      </c>
      <c r="L479" s="29" t="s">
        <v>90</v>
      </c>
      <c r="Q479" t="str">
        <v>Mujer</v>
      </c>
    </row>
    <row r="480" spans="3:17" x14ac:dyDescent="0.2">
      <c r="C480" s="28">
        <v>1</v>
      </c>
      <c r="D480" s="29">
        <v>2</v>
      </c>
      <c r="E480" s="29" t="s">
        <v>565</v>
      </c>
      <c r="F480" s="29" t="s">
        <v>92</v>
      </c>
      <c r="G480" s="29">
        <v>33</v>
      </c>
      <c r="H480" s="29">
        <v>1</v>
      </c>
      <c r="I480" s="29">
        <v>2</v>
      </c>
      <c r="J480" s="29">
        <v>2775</v>
      </c>
      <c r="K480" s="29">
        <v>0</v>
      </c>
      <c r="L480" s="29" t="s">
        <v>90</v>
      </c>
      <c r="Q480" t="str">
        <v>Mujer</v>
      </c>
    </row>
    <row r="481" spans="3:17" x14ac:dyDescent="0.2">
      <c r="C481" s="28">
        <v>1</v>
      </c>
      <c r="D481" s="29">
        <v>2</v>
      </c>
      <c r="E481" s="29" t="s">
        <v>566</v>
      </c>
      <c r="F481" s="29" t="s">
        <v>92</v>
      </c>
      <c r="G481" s="29">
        <v>23</v>
      </c>
      <c r="H481" s="29">
        <v>0</v>
      </c>
      <c r="I481" s="29">
        <v>0</v>
      </c>
      <c r="J481" s="29">
        <v>137917</v>
      </c>
      <c r="K481" s="29">
        <v>1</v>
      </c>
      <c r="L481" s="29" t="s">
        <v>93</v>
      </c>
      <c r="Q481" t="str">
        <v>Mujer</v>
      </c>
    </row>
    <row r="482" spans="3:17" x14ac:dyDescent="0.2">
      <c r="C482" s="28">
        <v>0</v>
      </c>
      <c r="D482" s="29">
        <v>3</v>
      </c>
      <c r="E482" s="29" t="s">
        <v>567</v>
      </c>
      <c r="F482" s="29" t="s">
        <v>92</v>
      </c>
      <c r="G482" s="29">
        <v>22</v>
      </c>
      <c r="H482" s="29">
        <v>0</v>
      </c>
      <c r="I482" s="29">
        <v>0</v>
      </c>
      <c r="J482" s="29">
        <v>98375</v>
      </c>
      <c r="K482" s="29">
        <v>0</v>
      </c>
      <c r="L482" s="29" t="s">
        <v>90</v>
      </c>
      <c r="Q482" t="str">
        <v>Hombre</v>
      </c>
    </row>
    <row r="483" spans="3:17" x14ac:dyDescent="0.2">
      <c r="C483" s="28">
        <v>0</v>
      </c>
      <c r="D483" s="29">
        <v>1</v>
      </c>
      <c r="E483" s="29" t="s">
        <v>568</v>
      </c>
      <c r="F483" s="29" t="s">
        <v>89</v>
      </c>
      <c r="G483" s="30"/>
      <c r="H483" s="29">
        <v>0</v>
      </c>
      <c r="I483" s="29">
        <v>0</v>
      </c>
      <c r="J483" s="29">
        <v>52</v>
      </c>
      <c r="K483" s="29">
        <v>1</v>
      </c>
      <c r="L483" s="29" t="s">
        <v>90</v>
      </c>
      <c r="Q483" t="str">
        <v>Hombre</v>
      </c>
    </row>
    <row r="484" spans="3:17" x14ac:dyDescent="0.2">
      <c r="C484" s="28">
        <v>0</v>
      </c>
      <c r="D484" s="29">
        <v>2</v>
      </c>
      <c r="E484" s="29" t="s">
        <v>569</v>
      </c>
      <c r="F484" s="29" t="s">
        <v>89</v>
      </c>
      <c r="G484" s="29">
        <v>34</v>
      </c>
      <c r="H484" s="29">
        <v>1</v>
      </c>
      <c r="I484" s="29">
        <v>0</v>
      </c>
      <c r="J484" s="29">
        <v>21</v>
      </c>
      <c r="K484" s="29">
        <v>0</v>
      </c>
      <c r="L484" s="29" t="s">
        <v>90</v>
      </c>
      <c r="Q484" t="str">
        <v>Hombre</v>
      </c>
    </row>
    <row r="485" spans="3:17" x14ac:dyDescent="0.2">
      <c r="C485" s="28">
        <v>0</v>
      </c>
      <c r="D485" s="29">
        <v>3</v>
      </c>
      <c r="E485" s="29" t="s">
        <v>570</v>
      </c>
      <c r="F485" s="29" t="s">
        <v>89</v>
      </c>
      <c r="G485" s="29">
        <v>29</v>
      </c>
      <c r="H485" s="29">
        <v>1</v>
      </c>
      <c r="I485" s="29">
        <v>0</v>
      </c>
      <c r="J485" s="29">
        <v>70458</v>
      </c>
      <c r="K485" s="29">
        <v>0</v>
      </c>
      <c r="L485" s="29" t="s">
        <v>90</v>
      </c>
      <c r="Q485" t="str">
        <v>Hombre</v>
      </c>
    </row>
    <row r="486" spans="3:17" x14ac:dyDescent="0.2">
      <c r="C486" s="28">
        <v>0</v>
      </c>
      <c r="D486" s="29">
        <v>3</v>
      </c>
      <c r="E486" s="29" t="s">
        <v>571</v>
      </c>
      <c r="F486" s="29" t="s">
        <v>89</v>
      </c>
      <c r="G486" s="29">
        <v>22</v>
      </c>
      <c r="H486" s="29">
        <v>0</v>
      </c>
      <c r="I486" s="29">
        <v>0</v>
      </c>
      <c r="J486" s="29">
        <v>75208</v>
      </c>
      <c r="K486" s="29">
        <v>0</v>
      </c>
      <c r="L486" s="29" t="s">
        <v>90</v>
      </c>
      <c r="Q486" t="str">
        <v>Mujer</v>
      </c>
    </row>
    <row r="487" spans="3:17" x14ac:dyDescent="0.2">
      <c r="C487" s="28">
        <v>1</v>
      </c>
      <c r="D487" s="29">
        <v>3</v>
      </c>
      <c r="E487" s="29" t="s">
        <v>572</v>
      </c>
      <c r="F487" s="29" t="s">
        <v>92</v>
      </c>
      <c r="G487" s="29">
        <v>2</v>
      </c>
      <c r="H487" s="29">
        <v>0</v>
      </c>
      <c r="I487" s="29">
        <v>1</v>
      </c>
      <c r="J487" s="29">
        <v>122875</v>
      </c>
      <c r="K487" s="29">
        <v>0</v>
      </c>
      <c r="L487" s="29" t="s">
        <v>90</v>
      </c>
      <c r="Q487" t="str">
        <v>Hombre</v>
      </c>
    </row>
    <row r="488" spans="3:17" x14ac:dyDescent="0.2">
      <c r="C488" s="28">
        <v>0</v>
      </c>
      <c r="D488" s="29">
        <v>3</v>
      </c>
      <c r="E488" s="29" t="s">
        <v>573</v>
      </c>
      <c r="F488" s="29" t="s">
        <v>89</v>
      </c>
      <c r="G488" s="29">
        <v>9</v>
      </c>
      <c r="H488" s="29">
        <v>5</v>
      </c>
      <c r="I488" s="29">
        <v>2</v>
      </c>
      <c r="J488" s="29">
        <v>469</v>
      </c>
      <c r="K488" s="29">
        <v>0</v>
      </c>
      <c r="L488" s="29" t="s">
        <v>90</v>
      </c>
      <c r="Q488" t="str">
        <v>Hombre</v>
      </c>
    </row>
    <row r="489" spans="3:17" x14ac:dyDescent="0.2">
      <c r="C489" s="28">
        <v>0</v>
      </c>
      <c r="D489" s="29">
        <v>2</v>
      </c>
      <c r="E489" s="29" t="s">
        <v>574</v>
      </c>
      <c r="F489" s="29" t="s">
        <v>89</v>
      </c>
      <c r="G489" s="30"/>
      <c r="H489" s="29">
        <v>0</v>
      </c>
      <c r="I489" s="29">
        <v>0</v>
      </c>
      <c r="J489" s="29">
        <v>0</v>
      </c>
      <c r="K489" s="29">
        <v>0</v>
      </c>
      <c r="L489" s="29" t="s">
        <v>90</v>
      </c>
      <c r="Q489" t="str">
        <v>Hombre</v>
      </c>
    </row>
    <row r="490" spans="3:17" x14ac:dyDescent="0.2">
      <c r="C490" s="28">
        <v>0</v>
      </c>
      <c r="D490" s="29">
        <v>3</v>
      </c>
      <c r="E490" s="29" t="s">
        <v>575</v>
      </c>
      <c r="F490" s="29" t="s">
        <v>89</v>
      </c>
      <c r="G490" s="29">
        <v>50</v>
      </c>
      <c r="H490" s="29">
        <v>0</v>
      </c>
      <c r="I490" s="29">
        <v>0</v>
      </c>
      <c r="J490" s="29">
        <v>805</v>
      </c>
      <c r="K490" s="29">
        <v>0</v>
      </c>
      <c r="L490" s="29" t="s">
        <v>90</v>
      </c>
      <c r="Q490" t="str">
        <v>Mujer</v>
      </c>
    </row>
    <row r="491" spans="3:17" x14ac:dyDescent="0.2">
      <c r="C491" s="28">
        <v>1</v>
      </c>
      <c r="D491" s="29">
        <v>3</v>
      </c>
      <c r="E491" s="29" t="s">
        <v>576</v>
      </c>
      <c r="F491" s="29" t="s">
        <v>92</v>
      </c>
      <c r="G491" s="29">
        <v>63</v>
      </c>
      <c r="H491" s="29">
        <v>0</v>
      </c>
      <c r="I491" s="29">
        <v>0</v>
      </c>
      <c r="J491" s="29">
        <v>95875</v>
      </c>
      <c r="K491" s="29">
        <v>0</v>
      </c>
      <c r="L491" s="29" t="s">
        <v>90</v>
      </c>
      <c r="Q491" t="str">
        <v>Hombre</v>
      </c>
    </row>
    <row r="492" spans="3:17" x14ac:dyDescent="0.2">
      <c r="C492" s="28">
        <v>1</v>
      </c>
      <c r="D492" s="29">
        <v>1</v>
      </c>
      <c r="E492" s="29" t="s">
        <v>577</v>
      </c>
      <c r="F492" s="29" t="s">
        <v>89</v>
      </c>
      <c r="G492" s="29">
        <v>25</v>
      </c>
      <c r="H492" s="29">
        <v>1</v>
      </c>
      <c r="I492" s="29">
        <v>0</v>
      </c>
      <c r="J492" s="29">
        <v>910792</v>
      </c>
      <c r="K492" s="29">
        <v>1</v>
      </c>
      <c r="L492" s="29" t="s">
        <v>93</v>
      </c>
      <c r="Q492" t="str">
        <v>Mujer</v>
      </c>
    </row>
    <row r="493" spans="3:17" x14ac:dyDescent="0.2">
      <c r="C493" s="28">
        <v>0</v>
      </c>
      <c r="D493" s="29">
        <v>3</v>
      </c>
      <c r="E493" s="29" t="s">
        <v>578</v>
      </c>
      <c r="F493" s="29" t="s">
        <v>92</v>
      </c>
      <c r="G493" s="30"/>
      <c r="H493" s="29">
        <v>3</v>
      </c>
      <c r="I493" s="29">
        <v>1</v>
      </c>
      <c r="J493" s="29">
        <v>254667</v>
      </c>
      <c r="K493" s="29">
        <v>0</v>
      </c>
      <c r="L493" s="29" t="s">
        <v>90</v>
      </c>
      <c r="Q493" t="str">
        <v>Mujer</v>
      </c>
    </row>
    <row r="494" spans="3:17" x14ac:dyDescent="0.2">
      <c r="C494" s="28">
        <v>1</v>
      </c>
      <c r="D494" s="29">
        <v>1</v>
      </c>
      <c r="E494" s="29" t="s">
        <v>579</v>
      </c>
      <c r="F494" s="29" t="s">
        <v>92</v>
      </c>
      <c r="G494" s="29">
        <v>35</v>
      </c>
      <c r="H494" s="29">
        <v>1</v>
      </c>
      <c r="I494" s="29">
        <v>0</v>
      </c>
      <c r="J494" s="29">
        <v>90</v>
      </c>
      <c r="K494" s="29">
        <v>1</v>
      </c>
      <c r="L494" s="29" t="s">
        <v>90</v>
      </c>
      <c r="Q494" t="str">
        <v>Hombre</v>
      </c>
    </row>
    <row r="495" spans="3:17" x14ac:dyDescent="0.2">
      <c r="C495" s="28">
        <v>0</v>
      </c>
      <c r="D495" s="29">
        <v>1</v>
      </c>
      <c r="E495" s="29" t="s">
        <v>580</v>
      </c>
      <c r="F495" s="29" t="s">
        <v>89</v>
      </c>
      <c r="G495" s="29">
        <v>58</v>
      </c>
      <c r="H495" s="29">
        <v>0</v>
      </c>
      <c r="I495" s="29">
        <v>0</v>
      </c>
      <c r="J495" s="29">
        <v>297</v>
      </c>
      <c r="K495" s="29">
        <v>1</v>
      </c>
      <c r="L495" s="29" t="s">
        <v>93</v>
      </c>
      <c r="Q495" t="str">
        <v>Hombre</v>
      </c>
    </row>
    <row r="496" spans="3:17" x14ac:dyDescent="0.2">
      <c r="C496" s="28">
        <v>0</v>
      </c>
      <c r="D496" s="29">
        <v>3</v>
      </c>
      <c r="E496" s="29" t="s">
        <v>581</v>
      </c>
      <c r="F496" s="29" t="s">
        <v>89</v>
      </c>
      <c r="G496" s="29">
        <v>30</v>
      </c>
      <c r="H496" s="29">
        <v>0</v>
      </c>
      <c r="I496" s="29">
        <v>0</v>
      </c>
      <c r="J496" s="29">
        <v>805</v>
      </c>
      <c r="K496" s="29">
        <v>0</v>
      </c>
      <c r="L496" s="29" t="s">
        <v>90</v>
      </c>
      <c r="Q496" t="str">
        <v>Hombre</v>
      </c>
    </row>
    <row r="497" spans="3:17" x14ac:dyDescent="0.2">
      <c r="C497" s="28">
        <v>1</v>
      </c>
      <c r="D497" s="29">
        <v>3</v>
      </c>
      <c r="E497" s="29" t="s">
        <v>582</v>
      </c>
      <c r="F497" s="29" t="s">
        <v>89</v>
      </c>
      <c r="G497" s="29">
        <v>9</v>
      </c>
      <c r="H497" s="29">
        <v>1</v>
      </c>
      <c r="I497" s="29">
        <v>1</v>
      </c>
      <c r="J497" s="29">
        <v>159</v>
      </c>
      <c r="K497" s="29">
        <v>0</v>
      </c>
      <c r="L497" s="29" t="s">
        <v>90</v>
      </c>
      <c r="Q497" t="str">
        <v>Hombre</v>
      </c>
    </row>
    <row r="498" spans="3:17" x14ac:dyDescent="0.2">
      <c r="C498" s="28">
        <v>0</v>
      </c>
      <c r="D498" s="29">
        <v>3</v>
      </c>
      <c r="E498" s="29" t="s">
        <v>583</v>
      </c>
      <c r="F498" s="29" t="s">
        <v>89</v>
      </c>
      <c r="G498" s="30"/>
      <c r="H498" s="29">
        <v>1</v>
      </c>
      <c r="I498" s="29">
        <v>0</v>
      </c>
      <c r="J498" s="29">
        <v>199667</v>
      </c>
      <c r="K498" s="29">
        <v>0</v>
      </c>
      <c r="L498" s="29" t="s">
        <v>90</v>
      </c>
      <c r="Q498" t="str">
        <v>Hombre</v>
      </c>
    </row>
    <row r="499" spans="3:17" x14ac:dyDescent="0.2">
      <c r="C499" s="28">
        <v>0</v>
      </c>
      <c r="D499" s="29">
        <v>3</v>
      </c>
      <c r="E499" s="29" t="s">
        <v>584</v>
      </c>
      <c r="F499" s="29" t="s">
        <v>89</v>
      </c>
      <c r="G499" s="29">
        <v>21</v>
      </c>
      <c r="H499" s="29">
        <v>0</v>
      </c>
      <c r="I499" s="29">
        <v>0</v>
      </c>
      <c r="J499" s="29">
        <v>725</v>
      </c>
      <c r="K499" s="29">
        <v>0</v>
      </c>
      <c r="L499" s="29" t="s">
        <v>90</v>
      </c>
      <c r="Q499" t="str">
        <v>Hombre</v>
      </c>
    </row>
    <row r="500" spans="3:17" x14ac:dyDescent="0.2">
      <c r="C500" s="28">
        <v>0</v>
      </c>
      <c r="D500" s="29">
        <v>1</v>
      </c>
      <c r="E500" s="29" t="s">
        <v>585</v>
      </c>
      <c r="F500" s="29" t="s">
        <v>89</v>
      </c>
      <c r="G500" s="29">
        <v>55</v>
      </c>
      <c r="H500" s="29">
        <v>0</v>
      </c>
      <c r="I500" s="29">
        <v>0</v>
      </c>
      <c r="J500" s="29">
        <v>305</v>
      </c>
      <c r="K500" s="29">
        <v>1</v>
      </c>
      <c r="L500" s="29" t="s">
        <v>90</v>
      </c>
      <c r="Q500" t="str">
        <v>Hombre</v>
      </c>
    </row>
    <row r="501" spans="3:17" x14ac:dyDescent="0.2">
      <c r="C501" s="28">
        <v>0</v>
      </c>
      <c r="D501" s="29">
        <v>1</v>
      </c>
      <c r="E501" s="29" t="s">
        <v>586</v>
      </c>
      <c r="F501" s="29" t="s">
        <v>89</v>
      </c>
      <c r="G501" s="29">
        <v>71</v>
      </c>
      <c r="H501" s="29">
        <v>0</v>
      </c>
      <c r="I501" s="29">
        <v>0</v>
      </c>
      <c r="J501" s="29">
        <v>495042</v>
      </c>
      <c r="K501" s="29">
        <v>0</v>
      </c>
      <c r="L501" s="29" t="s">
        <v>93</v>
      </c>
      <c r="Q501" t="str">
        <v>Hombre</v>
      </c>
    </row>
    <row r="502" spans="3:17" x14ac:dyDescent="0.2">
      <c r="C502" s="28">
        <v>0</v>
      </c>
      <c r="D502" s="29">
        <v>3</v>
      </c>
      <c r="E502" s="29" t="s">
        <v>587</v>
      </c>
      <c r="F502" s="29" t="s">
        <v>89</v>
      </c>
      <c r="G502" s="29">
        <v>21</v>
      </c>
      <c r="H502" s="29">
        <v>0</v>
      </c>
      <c r="I502" s="29">
        <v>0</v>
      </c>
      <c r="J502" s="29">
        <v>805</v>
      </c>
      <c r="K502" s="29">
        <v>0</v>
      </c>
      <c r="L502" s="29" t="s">
        <v>90</v>
      </c>
      <c r="Q502" t="str">
        <v>Hombre</v>
      </c>
    </row>
    <row r="503" spans="3:17" x14ac:dyDescent="0.2">
      <c r="C503" s="28">
        <v>0</v>
      </c>
      <c r="D503" s="29">
        <v>3</v>
      </c>
      <c r="E503" s="29" t="s">
        <v>588</v>
      </c>
      <c r="F503" s="29" t="s">
        <v>89</v>
      </c>
      <c r="G503" s="30"/>
      <c r="H503" s="29">
        <v>0</v>
      </c>
      <c r="I503" s="29">
        <v>0</v>
      </c>
      <c r="J503" s="29">
        <v>144583</v>
      </c>
      <c r="K503" s="29">
        <v>0</v>
      </c>
      <c r="L503" s="29" t="s">
        <v>93</v>
      </c>
      <c r="Q503" t="str">
        <v>Mujer</v>
      </c>
    </row>
    <row r="504" spans="3:17" x14ac:dyDescent="0.2">
      <c r="C504" s="28">
        <v>1</v>
      </c>
      <c r="D504" s="29">
        <v>1</v>
      </c>
      <c r="E504" s="29" t="s">
        <v>589</v>
      </c>
      <c r="F504" s="29" t="s">
        <v>92</v>
      </c>
      <c r="G504" s="29">
        <v>54</v>
      </c>
      <c r="H504" s="29">
        <v>1</v>
      </c>
      <c r="I504" s="29">
        <v>0</v>
      </c>
      <c r="J504" s="29">
        <v>782667</v>
      </c>
      <c r="K504" s="29">
        <v>1</v>
      </c>
      <c r="L504" s="29" t="s">
        <v>93</v>
      </c>
      <c r="Q504" t="str">
        <v>Hombre</v>
      </c>
    </row>
    <row r="505" spans="3:17" x14ac:dyDescent="0.2">
      <c r="C505" s="28">
        <v>0</v>
      </c>
      <c r="D505" s="29">
        <v>3</v>
      </c>
      <c r="E505" s="29" t="s">
        <v>590</v>
      </c>
      <c r="F505" s="29" t="s">
        <v>89</v>
      </c>
      <c r="G505" s="30"/>
      <c r="H505" s="29">
        <v>0</v>
      </c>
      <c r="I505" s="29">
        <v>0</v>
      </c>
      <c r="J505" s="29">
        <v>151</v>
      </c>
      <c r="K505" s="29">
        <v>0</v>
      </c>
      <c r="L505" s="29" t="s">
        <v>90</v>
      </c>
      <c r="Q505" t="str">
        <v>Mujer</v>
      </c>
    </row>
    <row r="506" spans="3:17" x14ac:dyDescent="0.2">
      <c r="C506" s="28">
        <v>0</v>
      </c>
      <c r="D506" s="29">
        <v>1</v>
      </c>
      <c r="E506" s="29" t="s">
        <v>591</v>
      </c>
      <c r="F506" s="29" t="s">
        <v>92</v>
      </c>
      <c r="G506" s="29">
        <v>25</v>
      </c>
      <c r="H506" s="29">
        <v>1</v>
      </c>
      <c r="I506" s="29">
        <v>2</v>
      </c>
      <c r="J506" s="29">
        <v>15155</v>
      </c>
      <c r="K506" s="29">
        <v>1</v>
      </c>
      <c r="L506" s="29" t="s">
        <v>90</v>
      </c>
      <c r="Q506" t="str">
        <v>Hombre</v>
      </c>
    </row>
    <row r="507" spans="3:17" x14ac:dyDescent="0.2">
      <c r="C507" s="28">
        <v>0</v>
      </c>
      <c r="D507" s="29">
        <v>3</v>
      </c>
      <c r="E507" s="29" t="s">
        <v>592</v>
      </c>
      <c r="F507" s="29" t="s">
        <v>89</v>
      </c>
      <c r="G507" s="29">
        <v>24</v>
      </c>
      <c r="H507" s="29">
        <v>0</v>
      </c>
      <c r="I507" s="29">
        <v>0</v>
      </c>
      <c r="J507" s="29">
        <v>77958</v>
      </c>
      <c r="K507" s="29">
        <v>0</v>
      </c>
      <c r="L507" s="29" t="s">
        <v>90</v>
      </c>
      <c r="Q507" t="str">
        <v>Hombre</v>
      </c>
    </row>
    <row r="508" spans="3:17" x14ac:dyDescent="0.2">
      <c r="C508" s="28">
        <v>0</v>
      </c>
      <c r="D508" s="29">
        <v>3</v>
      </c>
      <c r="E508" s="29" t="s">
        <v>593</v>
      </c>
      <c r="F508" s="29" t="s">
        <v>89</v>
      </c>
      <c r="G508" s="29">
        <v>17</v>
      </c>
      <c r="H508" s="29">
        <v>0</v>
      </c>
      <c r="I508" s="29">
        <v>0</v>
      </c>
      <c r="J508" s="29">
        <v>86625</v>
      </c>
      <c r="K508" s="29">
        <v>0</v>
      </c>
      <c r="L508" s="29" t="s">
        <v>90</v>
      </c>
      <c r="Q508" t="str">
        <v>Mujer</v>
      </c>
    </row>
    <row r="509" spans="3:17" x14ac:dyDescent="0.2">
      <c r="C509" s="28">
        <v>0</v>
      </c>
      <c r="D509" s="29">
        <v>3</v>
      </c>
      <c r="E509" s="29" t="s">
        <v>594</v>
      </c>
      <c r="F509" s="29" t="s">
        <v>92</v>
      </c>
      <c r="G509" s="29">
        <v>21</v>
      </c>
      <c r="H509" s="29">
        <v>0</v>
      </c>
      <c r="I509" s="29">
        <v>0</v>
      </c>
      <c r="J509" s="29">
        <v>775</v>
      </c>
      <c r="K509" s="29">
        <v>0</v>
      </c>
      <c r="L509" s="29" t="s">
        <v>98</v>
      </c>
      <c r="Q509" t="str">
        <v>Mujer</v>
      </c>
    </row>
    <row r="510" spans="3:17" x14ac:dyDescent="0.2">
      <c r="C510" s="28">
        <v>0</v>
      </c>
      <c r="D510" s="29">
        <v>3</v>
      </c>
      <c r="E510" s="29" t="s">
        <v>595</v>
      </c>
      <c r="F510" s="29" t="s">
        <v>92</v>
      </c>
      <c r="G510" s="30"/>
      <c r="H510" s="29">
        <v>0</v>
      </c>
      <c r="I510" s="29">
        <v>0</v>
      </c>
      <c r="J510" s="29">
        <v>76292</v>
      </c>
      <c r="K510" s="29">
        <v>0</v>
      </c>
      <c r="L510" s="29" t="s">
        <v>98</v>
      </c>
      <c r="Q510" t="str">
        <v>Mujer</v>
      </c>
    </row>
    <row r="511" spans="3:17" x14ac:dyDescent="0.2">
      <c r="C511" s="28">
        <v>0</v>
      </c>
      <c r="D511" s="29">
        <v>3</v>
      </c>
      <c r="E511" s="29" t="s">
        <v>596</v>
      </c>
      <c r="F511" s="29" t="s">
        <v>92</v>
      </c>
      <c r="G511" s="29">
        <v>37</v>
      </c>
      <c r="H511" s="29">
        <v>0</v>
      </c>
      <c r="I511" s="29">
        <v>0</v>
      </c>
      <c r="J511" s="29">
        <v>95875</v>
      </c>
      <c r="K511" s="29">
        <v>0</v>
      </c>
      <c r="L511" s="29" t="s">
        <v>90</v>
      </c>
      <c r="Q511" t="str">
        <v>Mujer</v>
      </c>
    </row>
    <row r="512" spans="3:17" x14ac:dyDescent="0.2">
      <c r="C512" s="28">
        <v>1</v>
      </c>
      <c r="D512" s="29">
        <v>1</v>
      </c>
      <c r="E512" s="29" t="s">
        <v>597</v>
      </c>
      <c r="F512" s="29" t="s">
        <v>92</v>
      </c>
      <c r="G512" s="29">
        <v>16</v>
      </c>
      <c r="H512" s="29">
        <v>0</v>
      </c>
      <c r="I512" s="29">
        <v>0</v>
      </c>
      <c r="J512" s="29">
        <v>865</v>
      </c>
      <c r="K512" s="29">
        <v>1</v>
      </c>
      <c r="L512" s="29" t="s">
        <v>90</v>
      </c>
      <c r="Q512" t="str">
        <v>Hombre</v>
      </c>
    </row>
    <row r="513" spans="3:17" x14ac:dyDescent="0.2">
      <c r="C513" s="28">
        <v>0</v>
      </c>
      <c r="D513" s="29">
        <v>1</v>
      </c>
      <c r="E513" s="29" t="s">
        <v>598</v>
      </c>
      <c r="F513" s="29" t="s">
        <v>89</v>
      </c>
      <c r="G513" s="29">
        <v>18</v>
      </c>
      <c r="H513" s="29">
        <v>1</v>
      </c>
      <c r="I513" s="29">
        <v>0</v>
      </c>
      <c r="J513" s="29">
        <v>1089</v>
      </c>
      <c r="K513" s="29">
        <v>1</v>
      </c>
      <c r="L513" s="29" t="s">
        <v>93</v>
      </c>
      <c r="Q513" t="str">
        <v>Mujer</v>
      </c>
    </row>
    <row r="514" spans="3:17" x14ac:dyDescent="0.2">
      <c r="C514" s="28">
        <v>1</v>
      </c>
      <c r="D514" s="29">
        <v>2</v>
      </c>
      <c r="E514" s="29" t="s">
        <v>599</v>
      </c>
      <c r="F514" s="29" t="s">
        <v>92</v>
      </c>
      <c r="G514" s="29">
        <v>33</v>
      </c>
      <c r="H514" s="29">
        <v>0</v>
      </c>
      <c r="I514" s="29">
        <v>2</v>
      </c>
      <c r="J514" s="29">
        <v>26</v>
      </c>
      <c r="K514" s="29">
        <v>0</v>
      </c>
      <c r="L514" s="29" t="s">
        <v>90</v>
      </c>
      <c r="Q514" t="str">
        <v>Hombre</v>
      </c>
    </row>
    <row r="515" spans="3:17" x14ac:dyDescent="0.2">
      <c r="C515" s="28">
        <v>1</v>
      </c>
      <c r="D515" s="29">
        <v>1</v>
      </c>
      <c r="E515" s="29" t="s">
        <v>600</v>
      </c>
      <c r="F515" s="29" t="s">
        <v>89</v>
      </c>
      <c r="G515" s="30"/>
      <c r="H515" s="29">
        <v>0</v>
      </c>
      <c r="I515" s="29">
        <v>0</v>
      </c>
      <c r="J515" s="29">
        <v>2655</v>
      </c>
      <c r="K515" s="29">
        <v>0</v>
      </c>
      <c r="L515" s="29" t="s">
        <v>90</v>
      </c>
      <c r="Q515" t="str">
        <v>Hombre</v>
      </c>
    </row>
    <row r="516" spans="3:17" x14ac:dyDescent="0.2">
      <c r="C516" s="28">
        <v>0</v>
      </c>
      <c r="D516" s="29">
        <v>3</v>
      </c>
      <c r="E516" s="29" t="s">
        <v>601</v>
      </c>
      <c r="F516" s="29" t="s">
        <v>89</v>
      </c>
      <c r="G516" s="29">
        <v>28</v>
      </c>
      <c r="H516" s="29">
        <v>0</v>
      </c>
      <c r="I516" s="29">
        <v>0</v>
      </c>
      <c r="J516" s="29">
        <v>22525</v>
      </c>
      <c r="K516" s="29">
        <v>0</v>
      </c>
      <c r="L516" s="29" t="s">
        <v>90</v>
      </c>
      <c r="Q516" t="str">
        <v>Hombre</v>
      </c>
    </row>
    <row r="517" spans="3:17" x14ac:dyDescent="0.2">
      <c r="C517" s="28">
        <v>1</v>
      </c>
      <c r="D517" s="29">
        <v>3</v>
      </c>
      <c r="E517" s="29" t="s">
        <v>602</v>
      </c>
      <c r="F517" s="29" t="s">
        <v>89</v>
      </c>
      <c r="G517" s="29">
        <v>26</v>
      </c>
      <c r="H517" s="29">
        <v>0</v>
      </c>
      <c r="I517" s="29">
        <v>0</v>
      </c>
      <c r="J517" s="29">
        <v>564958</v>
      </c>
      <c r="K517" s="29">
        <v>0</v>
      </c>
      <c r="L517" s="29" t="s">
        <v>90</v>
      </c>
      <c r="Q517" t="str">
        <v>Hombre</v>
      </c>
    </row>
    <row r="518" spans="3:17" x14ac:dyDescent="0.2">
      <c r="C518" s="28">
        <v>1</v>
      </c>
      <c r="D518" s="29">
        <v>3</v>
      </c>
      <c r="E518" s="29" t="s">
        <v>603</v>
      </c>
      <c r="F518" s="29" t="s">
        <v>89</v>
      </c>
      <c r="G518" s="29">
        <v>29</v>
      </c>
      <c r="H518" s="29">
        <v>0</v>
      </c>
      <c r="I518" s="29">
        <v>0</v>
      </c>
      <c r="J518" s="29">
        <v>775</v>
      </c>
      <c r="K518" s="29">
        <v>0</v>
      </c>
      <c r="L518" s="29" t="s">
        <v>98</v>
      </c>
      <c r="Q518" t="str">
        <v>Hombre</v>
      </c>
    </row>
    <row r="519" spans="3:17" x14ac:dyDescent="0.2">
      <c r="C519" s="28">
        <v>0</v>
      </c>
      <c r="D519" s="29">
        <v>3</v>
      </c>
      <c r="E519" s="29" t="s">
        <v>604</v>
      </c>
      <c r="F519" s="29" t="s">
        <v>89</v>
      </c>
      <c r="G519" s="30"/>
      <c r="H519" s="29">
        <v>0</v>
      </c>
      <c r="I519" s="29">
        <v>0</v>
      </c>
      <c r="J519" s="29">
        <v>805</v>
      </c>
      <c r="K519" s="29">
        <v>0</v>
      </c>
      <c r="L519" s="29" t="s">
        <v>90</v>
      </c>
      <c r="Q519" t="str">
        <v>Hombre</v>
      </c>
    </row>
    <row r="520" spans="3:17" x14ac:dyDescent="0.2">
      <c r="C520" s="28">
        <v>1</v>
      </c>
      <c r="D520" s="29">
        <v>1</v>
      </c>
      <c r="E520" s="29" t="s">
        <v>605</v>
      </c>
      <c r="F520" s="29" t="s">
        <v>89</v>
      </c>
      <c r="G520" s="29">
        <v>36</v>
      </c>
      <c r="H520" s="29">
        <v>0</v>
      </c>
      <c r="I520" s="29">
        <v>0</v>
      </c>
      <c r="J520" s="29">
        <v>262875</v>
      </c>
      <c r="K520" s="29">
        <v>1</v>
      </c>
      <c r="L520" s="29" t="s">
        <v>90</v>
      </c>
      <c r="Q520" t="str">
        <v>Mujer</v>
      </c>
    </row>
    <row r="521" spans="3:17" x14ac:dyDescent="0.2">
      <c r="C521" s="28">
        <v>1</v>
      </c>
      <c r="D521" s="29">
        <v>1</v>
      </c>
      <c r="E521" s="29" t="s">
        <v>606</v>
      </c>
      <c r="F521" s="29" t="s">
        <v>92</v>
      </c>
      <c r="G521" s="29">
        <v>54</v>
      </c>
      <c r="H521" s="29">
        <v>1</v>
      </c>
      <c r="I521" s="29">
        <v>0</v>
      </c>
      <c r="J521" s="29">
        <v>594</v>
      </c>
      <c r="K521" s="29">
        <v>0</v>
      </c>
      <c r="L521" s="29" t="s">
        <v>93</v>
      </c>
      <c r="Q521" t="str">
        <v>Hombre</v>
      </c>
    </row>
    <row r="522" spans="3:17" x14ac:dyDescent="0.2">
      <c r="C522" s="28">
        <v>0</v>
      </c>
      <c r="D522" s="29">
        <v>3</v>
      </c>
      <c r="E522" s="29" t="s">
        <v>607</v>
      </c>
      <c r="F522" s="29" t="s">
        <v>89</v>
      </c>
      <c r="G522" s="29">
        <v>24</v>
      </c>
      <c r="H522" s="29">
        <v>0</v>
      </c>
      <c r="I522" s="29">
        <v>0</v>
      </c>
      <c r="J522" s="29">
        <v>74958</v>
      </c>
      <c r="K522" s="29">
        <v>0</v>
      </c>
      <c r="L522" s="29" t="s">
        <v>90</v>
      </c>
      <c r="Q522" t="str">
        <v>Hombre</v>
      </c>
    </row>
    <row r="523" spans="3:17" x14ac:dyDescent="0.2">
      <c r="C523" s="28">
        <v>0</v>
      </c>
      <c r="D523" s="29">
        <v>1</v>
      </c>
      <c r="E523" s="29" t="s">
        <v>608</v>
      </c>
      <c r="F523" s="29" t="s">
        <v>89</v>
      </c>
      <c r="G523" s="29">
        <v>47</v>
      </c>
      <c r="H523" s="29">
        <v>0</v>
      </c>
      <c r="I523" s="29">
        <v>0</v>
      </c>
      <c r="J523" s="29">
        <v>340208</v>
      </c>
      <c r="K523" s="29">
        <v>1</v>
      </c>
      <c r="L523" s="29" t="s">
        <v>90</v>
      </c>
      <c r="Q523" t="str">
        <v>Mujer</v>
      </c>
    </row>
    <row r="524" spans="3:17" x14ac:dyDescent="0.2">
      <c r="C524" s="28">
        <v>1</v>
      </c>
      <c r="D524" s="29">
        <v>2</v>
      </c>
      <c r="E524" s="29" t="s">
        <v>609</v>
      </c>
      <c r="F524" s="29" t="s">
        <v>92</v>
      </c>
      <c r="G524" s="29">
        <v>34</v>
      </c>
      <c r="H524" s="29">
        <v>0</v>
      </c>
      <c r="I524" s="29">
        <v>0</v>
      </c>
      <c r="J524" s="29">
        <v>105</v>
      </c>
      <c r="K524" s="29">
        <v>1</v>
      </c>
      <c r="L524" s="29" t="s">
        <v>90</v>
      </c>
      <c r="Q524" t="str">
        <v>Hombre</v>
      </c>
    </row>
    <row r="525" spans="3:17" x14ac:dyDescent="0.2">
      <c r="C525" s="28">
        <v>0</v>
      </c>
      <c r="D525" s="29">
        <v>3</v>
      </c>
      <c r="E525" s="29" t="s">
        <v>610</v>
      </c>
      <c r="F525" s="29" t="s">
        <v>89</v>
      </c>
      <c r="G525" s="30"/>
      <c r="H525" s="29">
        <v>0</v>
      </c>
      <c r="I525" s="29">
        <v>0</v>
      </c>
      <c r="J525" s="29">
        <v>2415</v>
      </c>
      <c r="K525" s="29">
        <v>0</v>
      </c>
      <c r="L525" s="29" t="s">
        <v>98</v>
      </c>
      <c r="Q525" t="str">
        <v>Mujer</v>
      </c>
    </row>
    <row r="526" spans="3:17" x14ac:dyDescent="0.2">
      <c r="C526" s="28">
        <v>1</v>
      </c>
      <c r="D526" s="29">
        <v>2</v>
      </c>
      <c r="E526" s="29" t="s">
        <v>611</v>
      </c>
      <c r="F526" s="29" t="s">
        <v>92</v>
      </c>
      <c r="G526" s="29">
        <v>36</v>
      </c>
      <c r="H526" s="29">
        <v>1</v>
      </c>
      <c r="I526" s="29">
        <v>0</v>
      </c>
      <c r="J526" s="29">
        <v>26</v>
      </c>
      <c r="K526" s="29">
        <v>0</v>
      </c>
      <c r="L526" s="29" t="s">
        <v>90</v>
      </c>
      <c r="Q526" t="str">
        <v>Hombre</v>
      </c>
    </row>
    <row r="527" spans="3:17" x14ac:dyDescent="0.2">
      <c r="C527" s="28">
        <v>0</v>
      </c>
      <c r="D527" s="29">
        <v>3</v>
      </c>
      <c r="E527" s="29" t="s">
        <v>612</v>
      </c>
      <c r="F527" s="29" t="s">
        <v>89</v>
      </c>
      <c r="G527" s="29">
        <v>32</v>
      </c>
      <c r="H527" s="29">
        <v>0</v>
      </c>
      <c r="I527" s="29">
        <v>0</v>
      </c>
      <c r="J527" s="29">
        <v>78958</v>
      </c>
      <c r="K527" s="29">
        <v>0</v>
      </c>
      <c r="L527" s="29" t="s">
        <v>90</v>
      </c>
      <c r="Q527" t="str">
        <v>Mujer</v>
      </c>
    </row>
    <row r="528" spans="3:17" x14ac:dyDescent="0.2">
      <c r="C528" s="28">
        <v>1</v>
      </c>
      <c r="D528" s="29">
        <v>1</v>
      </c>
      <c r="E528" s="29" t="s">
        <v>613</v>
      </c>
      <c r="F528" s="29" t="s">
        <v>92</v>
      </c>
      <c r="G528" s="29">
        <v>30</v>
      </c>
      <c r="H528" s="29">
        <v>0</v>
      </c>
      <c r="I528" s="29">
        <v>0</v>
      </c>
      <c r="J528" s="29">
        <v>935</v>
      </c>
      <c r="K528" s="29">
        <v>1</v>
      </c>
      <c r="L528" s="29" t="s">
        <v>90</v>
      </c>
      <c r="Q528" t="str">
        <v>Hombre</v>
      </c>
    </row>
    <row r="529" spans="3:17" x14ac:dyDescent="0.2">
      <c r="C529" s="28">
        <v>0</v>
      </c>
      <c r="D529" s="29">
        <v>3</v>
      </c>
      <c r="E529" s="29" t="s">
        <v>614</v>
      </c>
      <c r="F529" s="29" t="s">
        <v>89</v>
      </c>
      <c r="G529" s="29">
        <v>22</v>
      </c>
      <c r="H529" s="29">
        <v>0</v>
      </c>
      <c r="I529" s="29">
        <v>0</v>
      </c>
      <c r="J529" s="29">
        <v>78958</v>
      </c>
      <c r="K529" s="29">
        <v>0</v>
      </c>
      <c r="L529" s="29" t="s">
        <v>90</v>
      </c>
      <c r="Q529" t="str">
        <v>Hombre</v>
      </c>
    </row>
    <row r="530" spans="3:17" x14ac:dyDescent="0.2">
      <c r="C530" s="28">
        <v>0</v>
      </c>
      <c r="D530" s="29">
        <v>3</v>
      </c>
      <c r="E530" s="29" t="s">
        <v>615</v>
      </c>
      <c r="F530" s="29" t="s">
        <v>89</v>
      </c>
      <c r="G530" s="30"/>
      <c r="H530" s="29">
        <v>0</v>
      </c>
      <c r="I530" s="29">
        <v>0</v>
      </c>
      <c r="J530" s="29">
        <v>7225</v>
      </c>
      <c r="K530" s="29">
        <v>0</v>
      </c>
      <c r="L530" s="29" t="s">
        <v>93</v>
      </c>
      <c r="Q530" t="str">
        <v>Mujer</v>
      </c>
    </row>
    <row r="531" spans="3:17" x14ac:dyDescent="0.2">
      <c r="C531" s="28">
        <v>1</v>
      </c>
      <c r="D531" s="29">
        <v>1</v>
      </c>
      <c r="E531" s="29" t="s">
        <v>616</v>
      </c>
      <c r="F531" s="29" t="s">
        <v>92</v>
      </c>
      <c r="G531" s="29">
        <v>44</v>
      </c>
      <c r="H531" s="29">
        <v>0</v>
      </c>
      <c r="I531" s="29">
        <v>1</v>
      </c>
      <c r="J531" s="29">
        <v>579792</v>
      </c>
      <c r="K531" s="29">
        <v>1</v>
      </c>
      <c r="L531" s="29" t="s">
        <v>93</v>
      </c>
      <c r="Q531" t="str">
        <v>Hombre</v>
      </c>
    </row>
    <row r="532" spans="3:17" x14ac:dyDescent="0.2">
      <c r="C532" s="28">
        <v>0</v>
      </c>
      <c r="D532" s="29">
        <v>3</v>
      </c>
      <c r="E532" s="29" t="s">
        <v>617</v>
      </c>
      <c r="F532" s="29" t="s">
        <v>89</v>
      </c>
      <c r="G532" s="30"/>
      <c r="H532" s="29">
        <v>0</v>
      </c>
      <c r="I532" s="29">
        <v>0</v>
      </c>
      <c r="J532" s="29">
        <v>72292</v>
      </c>
      <c r="K532" s="29">
        <v>0</v>
      </c>
      <c r="L532" s="29" t="s">
        <v>93</v>
      </c>
      <c r="Q532" t="str">
        <v>Hombre</v>
      </c>
    </row>
    <row r="533" spans="3:17" x14ac:dyDescent="0.2">
      <c r="C533" s="28">
        <v>0</v>
      </c>
      <c r="D533" s="29">
        <v>3</v>
      </c>
      <c r="E533" s="29" t="s">
        <v>618</v>
      </c>
      <c r="F533" s="29" t="s">
        <v>89</v>
      </c>
      <c r="G533" s="29">
        <v>405</v>
      </c>
      <c r="H533" s="29">
        <v>0</v>
      </c>
      <c r="I533" s="29">
        <v>0</v>
      </c>
      <c r="J533" s="29">
        <v>775</v>
      </c>
      <c r="K533" s="29">
        <v>0</v>
      </c>
      <c r="L533" s="29" t="s">
        <v>98</v>
      </c>
      <c r="Q533" t="str">
        <v>Mujer</v>
      </c>
    </row>
    <row r="534" spans="3:17" x14ac:dyDescent="0.2">
      <c r="C534" s="28">
        <v>1</v>
      </c>
      <c r="D534" s="29">
        <v>2</v>
      </c>
      <c r="E534" s="29" t="s">
        <v>619</v>
      </c>
      <c r="F534" s="29" t="s">
        <v>92</v>
      </c>
      <c r="G534" s="29">
        <v>50</v>
      </c>
      <c r="H534" s="29">
        <v>0</v>
      </c>
      <c r="I534" s="29">
        <v>0</v>
      </c>
      <c r="J534" s="29">
        <v>105</v>
      </c>
      <c r="K534" s="29">
        <v>0</v>
      </c>
      <c r="L534" s="29" t="s">
        <v>90</v>
      </c>
      <c r="Q534" t="str">
        <v>Hombre</v>
      </c>
    </row>
    <row r="535" spans="3:17" x14ac:dyDescent="0.2">
      <c r="C535" s="28">
        <v>0</v>
      </c>
      <c r="D535" s="29">
        <v>1</v>
      </c>
      <c r="E535" s="29" t="s">
        <v>620</v>
      </c>
      <c r="F535" s="29" t="s">
        <v>89</v>
      </c>
      <c r="G535" s="30"/>
      <c r="H535" s="29">
        <v>0</v>
      </c>
      <c r="I535" s="29">
        <v>0</v>
      </c>
      <c r="J535" s="29">
        <v>2217792</v>
      </c>
      <c r="K535" s="29">
        <v>1</v>
      </c>
      <c r="L535" s="29" t="s">
        <v>90</v>
      </c>
      <c r="Q535" t="str">
        <v>Hombre</v>
      </c>
    </row>
    <row r="536" spans="3:17" x14ac:dyDescent="0.2">
      <c r="C536" s="28">
        <v>0</v>
      </c>
      <c r="D536" s="29">
        <v>3</v>
      </c>
      <c r="E536" s="29" t="s">
        <v>621</v>
      </c>
      <c r="F536" s="29" t="s">
        <v>89</v>
      </c>
      <c r="G536" s="29">
        <v>39</v>
      </c>
      <c r="H536" s="29">
        <v>0</v>
      </c>
      <c r="I536" s="29">
        <v>0</v>
      </c>
      <c r="J536" s="29">
        <v>7925</v>
      </c>
      <c r="K536" s="29">
        <v>0</v>
      </c>
      <c r="L536" s="29" t="s">
        <v>90</v>
      </c>
      <c r="Q536" t="str">
        <v>Hombre</v>
      </c>
    </row>
    <row r="537" spans="3:17" x14ac:dyDescent="0.2">
      <c r="C537" s="28">
        <v>0</v>
      </c>
      <c r="D537" s="29">
        <v>2</v>
      </c>
      <c r="E537" s="29" t="s">
        <v>622</v>
      </c>
      <c r="F537" s="29" t="s">
        <v>89</v>
      </c>
      <c r="G537" s="29">
        <v>23</v>
      </c>
      <c r="H537" s="29">
        <v>2</v>
      </c>
      <c r="I537" s="29">
        <v>1</v>
      </c>
      <c r="J537" s="29">
        <v>115</v>
      </c>
      <c r="K537" s="29">
        <v>0</v>
      </c>
      <c r="L537" s="29" t="s">
        <v>90</v>
      </c>
      <c r="Q537" t="str">
        <v>Mujer</v>
      </c>
    </row>
    <row r="538" spans="3:17" x14ac:dyDescent="0.2">
      <c r="C538" s="28">
        <v>1</v>
      </c>
      <c r="D538" s="29">
        <v>2</v>
      </c>
      <c r="E538" s="29" t="s">
        <v>623</v>
      </c>
      <c r="F538" s="29" t="s">
        <v>92</v>
      </c>
      <c r="G538" s="29">
        <v>2</v>
      </c>
      <c r="H538" s="29">
        <v>1</v>
      </c>
      <c r="I538" s="29">
        <v>1</v>
      </c>
      <c r="J538" s="29">
        <v>26</v>
      </c>
      <c r="K538" s="29">
        <v>0</v>
      </c>
      <c r="L538" s="29" t="s">
        <v>90</v>
      </c>
      <c r="Q538" t="str">
        <v>Hombre</v>
      </c>
    </row>
    <row r="539" spans="3:17" x14ac:dyDescent="0.2">
      <c r="C539" s="28">
        <v>0</v>
      </c>
      <c r="D539" s="29">
        <v>3</v>
      </c>
      <c r="E539" s="29" t="s">
        <v>624</v>
      </c>
      <c r="F539" s="29" t="s">
        <v>89</v>
      </c>
      <c r="G539" s="30"/>
      <c r="H539" s="29">
        <v>0</v>
      </c>
      <c r="I539" s="29">
        <v>0</v>
      </c>
      <c r="J539" s="29">
        <v>72292</v>
      </c>
      <c r="K539" s="29">
        <v>0</v>
      </c>
      <c r="L539" s="29" t="s">
        <v>93</v>
      </c>
      <c r="Q539" t="str">
        <v>Hombre</v>
      </c>
    </row>
    <row r="540" spans="3:17" x14ac:dyDescent="0.2">
      <c r="C540" s="28">
        <v>0</v>
      </c>
      <c r="D540" s="29">
        <v>3</v>
      </c>
      <c r="E540" s="29" t="s">
        <v>625</v>
      </c>
      <c r="F540" s="29" t="s">
        <v>89</v>
      </c>
      <c r="G540" s="29">
        <v>17</v>
      </c>
      <c r="H540" s="29">
        <v>1</v>
      </c>
      <c r="I540" s="29">
        <v>1</v>
      </c>
      <c r="J540" s="29">
        <v>72292</v>
      </c>
      <c r="K540" s="29">
        <v>0</v>
      </c>
      <c r="L540" s="29" t="s">
        <v>93</v>
      </c>
      <c r="Q540" t="str">
        <v>Mujer</v>
      </c>
    </row>
    <row r="541" spans="3:17" x14ac:dyDescent="0.2">
      <c r="C541" s="28">
        <v>1</v>
      </c>
      <c r="D541" s="29">
        <v>3</v>
      </c>
      <c r="E541" s="29" t="s">
        <v>626</v>
      </c>
      <c r="F541" s="29" t="s">
        <v>92</v>
      </c>
      <c r="G541" s="30"/>
      <c r="H541" s="29">
        <v>0</v>
      </c>
      <c r="I541" s="29">
        <v>2</v>
      </c>
      <c r="J541" s="29">
        <v>223583</v>
      </c>
      <c r="K541" s="29">
        <v>0</v>
      </c>
      <c r="L541" s="29" t="s">
        <v>93</v>
      </c>
      <c r="Q541" t="str">
        <v>Mujer</v>
      </c>
    </row>
    <row r="542" spans="3:17" x14ac:dyDescent="0.2">
      <c r="C542" s="28">
        <v>0</v>
      </c>
      <c r="D542" s="29">
        <v>3</v>
      </c>
      <c r="E542" s="29" t="s">
        <v>627</v>
      </c>
      <c r="F542" s="29" t="s">
        <v>92</v>
      </c>
      <c r="G542" s="29">
        <v>30</v>
      </c>
      <c r="H542" s="29">
        <v>0</v>
      </c>
      <c r="I542" s="29">
        <v>0</v>
      </c>
      <c r="J542" s="29">
        <v>86625</v>
      </c>
      <c r="K542" s="29">
        <v>0</v>
      </c>
      <c r="L542" s="29" t="s">
        <v>90</v>
      </c>
      <c r="Q542" t="str">
        <v>Mujer</v>
      </c>
    </row>
    <row r="543" spans="3:17" x14ac:dyDescent="0.2">
      <c r="C543" s="28">
        <v>1</v>
      </c>
      <c r="D543" s="29">
        <v>2</v>
      </c>
      <c r="E543" s="29" t="s">
        <v>628</v>
      </c>
      <c r="F543" s="29" t="s">
        <v>92</v>
      </c>
      <c r="G543" s="29">
        <v>7</v>
      </c>
      <c r="H543" s="29">
        <v>0</v>
      </c>
      <c r="I543" s="29">
        <v>2</v>
      </c>
      <c r="J543" s="29">
        <v>2625</v>
      </c>
      <c r="K543" s="29">
        <v>0</v>
      </c>
      <c r="L543" s="29" t="s">
        <v>90</v>
      </c>
      <c r="Q543" t="str">
        <v>Hombre</v>
      </c>
    </row>
    <row r="544" spans="3:17" x14ac:dyDescent="0.2">
      <c r="C544" s="28">
        <v>0</v>
      </c>
      <c r="D544" s="29">
        <v>1</v>
      </c>
      <c r="E544" s="29" t="s">
        <v>629</v>
      </c>
      <c r="F544" s="29" t="s">
        <v>89</v>
      </c>
      <c r="G544" s="29">
        <v>45</v>
      </c>
      <c r="H544" s="29">
        <v>0</v>
      </c>
      <c r="I544" s="29">
        <v>0</v>
      </c>
      <c r="J544" s="29">
        <v>2655</v>
      </c>
      <c r="K544" s="29">
        <v>1</v>
      </c>
      <c r="L544" s="29" t="s">
        <v>90</v>
      </c>
      <c r="Q544" t="str">
        <v>Mujer</v>
      </c>
    </row>
    <row r="545" spans="3:17" x14ac:dyDescent="0.2">
      <c r="C545" s="28">
        <v>1</v>
      </c>
      <c r="D545" s="29">
        <v>1</v>
      </c>
      <c r="E545" s="29" t="s">
        <v>630</v>
      </c>
      <c r="F545" s="29" t="s">
        <v>92</v>
      </c>
      <c r="G545" s="29">
        <v>30</v>
      </c>
      <c r="H545" s="29">
        <v>0</v>
      </c>
      <c r="I545" s="29">
        <v>0</v>
      </c>
      <c r="J545" s="29">
        <v>106425</v>
      </c>
      <c r="K545" s="29">
        <v>0</v>
      </c>
      <c r="L545" s="29" t="s">
        <v>93</v>
      </c>
      <c r="Q545" t="str">
        <v>Hombre</v>
      </c>
    </row>
    <row r="546" spans="3:17" x14ac:dyDescent="0.2">
      <c r="C546" s="28">
        <v>0</v>
      </c>
      <c r="D546" s="29">
        <v>3</v>
      </c>
      <c r="E546" s="29" t="s">
        <v>631</v>
      </c>
      <c r="F546" s="29" t="s">
        <v>89</v>
      </c>
      <c r="G546" s="30"/>
      <c r="H546" s="29">
        <v>0</v>
      </c>
      <c r="I546" s="29">
        <v>0</v>
      </c>
      <c r="J546" s="29">
        <v>145</v>
      </c>
      <c r="K546" s="29">
        <v>0</v>
      </c>
      <c r="L546" s="29" t="s">
        <v>90</v>
      </c>
      <c r="Q546" t="str">
        <v>Mujer</v>
      </c>
    </row>
    <row r="547" spans="3:17" x14ac:dyDescent="0.2">
      <c r="C547" s="28">
        <v>1</v>
      </c>
      <c r="D547" s="29">
        <v>1</v>
      </c>
      <c r="E547" s="29" t="s">
        <v>632</v>
      </c>
      <c r="F547" s="29" t="s">
        <v>92</v>
      </c>
      <c r="G547" s="29">
        <v>22</v>
      </c>
      <c r="H547" s="29">
        <v>0</v>
      </c>
      <c r="I547" s="29">
        <v>2</v>
      </c>
      <c r="J547" s="29">
        <v>495</v>
      </c>
      <c r="K547" s="29">
        <v>1</v>
      </c>
      <c r="L547" s="29" t="s">
        <v>93</v>
      </c>
      <c r="Q547" t="str">
        <v>Mujer</v>
      </c>
    </row>
    <row r="548" spans="3:17" x14ac:dyDescent="0.2">
      <c r="C548" s="28">
        <v>1</v>
      </c>
      <c r="D548" s="29">
        <v>1</v>
      </c>
      <c r="E548" s="29" t="s">
        <v>633</v>
      </c>
      <c r="F548" s="29" t="s">
        <v>92</v>
      </c>
      <c r="G548" s="29">
        <v>36</v>
      </c>
      <c r="H548" s="29">
        <v>0</v>
      </c>
      <c r="I548" s="29">
        <v>2</v>
      </c>
      <c r="J548" s="29">
        <v>71</v>
      </c>
      <c r="K548" s="29">
        <v>1</v>
      </c>
      <c r="L548" s="29" t="s">
        <v>90</v>
      </c>
      <c r="Q548" t="str">
        <v>Mujer</v>
      </c>
    </row>
    <row r="549" spans="3:17" x14ac:dyDescent="0.2">
      <c r="C549" s="28">
        <v>0</v>
      </c>
      <c r="D549" s="29">
        <v>3</v>
      </c>
      <c r="E549" s="29" t="s">
        <v>634</v>
      </c>
      <c r="F549" s="29" t="s">
        <v>92</v>
      </c>
      <c r="G549" s="29">
        <v>9</v>
      </c>
      <c r="H549" s="29">
        <v>4</v>
      </c>
      <c r="I549" s="29">
        <v>2</v>
      </c>
      <c r="J549" s="29">
        <v>31275</v>
      </c>
      <c r="K549" s="29">
        <v>0</v>
      </c>
      <c r="L549" s="29" t="s">
        <v>90</v>
      </c>
      <c r="Q549" t="str">
        <v>Mujer</v>
      </c>
    </row>
    <row r="550" spans="3:17" x14ac:dyDescent="0.2">
      <c r="C550" s="28">
        <v>0</v>
      </c>
      <c r="D550" s="29">
        <v>3</v>
      </c>
      <c r="E550" s="29" t="s">
        <v>635</v>
      </c>
      <c r="F550" s="29" t="s">
        <v>92</v>
      </c>
      <c r="G550" s="29">
        <v>11</v>
      </c>
      <c r="H550" s="29">
        <v>4</v>
      </c>
      <c r="I550" s="29">
        <v>2</v>
      </c>
      <c r="J550" s="29">
        <v>31275</v>
      </c>
      <c r="K550" s="29">
        <v>0</v>
      </c>
      <c r="L550" s="29" t="s">
        <v>90</v>
      </c>
      <c r="Q550" t="str">
        <v>Hombre</v>
      </c>
    </row>
    <row r="551" spans="3:17" x14ac:dyDescent="0.2">
      <c r="C551" s="28">
        <v>1</v>
      </c>
      <c r="D551" s="29">
        <v>2</v>
      </c>
      <c r="E551" s="29" t="s">
        <v>636</v>
      </c>
      <c r="F551" s="29" t="s">
        <v>89</v>
      </c>
      <c r="G551" s="29">
        <v>32</v>
      </c>
      <c r="H551" s="29">
        <v>1</v>
      </c>
      <c r="I551" s="29">
        <v>0</v>
      </c>
      <c r="J551" s="29">
        <v>26</v>
      </c>
      <c r="K551" s="29">
        <v>0</v>
      </c>
      <c r="L551" s="29" t="s">
        <v>90</v>
      </c>
      <c r="Q551" t="str">
        <v>Hombre</v>
      </c>
    </row>
    <row r="552" spans="3:17" x14ac:dyDescent="0.2">
      <c r="C552" s="28">
        <v>0</v>
      </c>
      <c r="D552" s="29">
        <v>1</v>
      </c>
      <c r="E552" s="29" t="s">
        <v>637</v>
      </c>
      <c r="F552" s="29" t="s">
        <v>89</v>
      </c>
      <c r="G552" s="29">
        <v>50</v>
      </c>
      <c r="H552" s="29">
        <v>1</v>
      </c>
      <c r="I552" s="29">
        <v>0</v>
      </c>
      <c r="J552" s="29">
        <v>106425</v>
      </c>
      <c r="K552" s="29">
        <v>1</v>
      </c>
      <c r="L552" s="29" t="s">
        <v>93</v>
      </c>
      <c r="Q552" t="str">
        <v>Hombre</v>
      </c>
    </row>
    <row r="553" spans="3:17" x14ac:dyDescent="0.2">
      <c r="C553" s="28">
        <v>0</v>
      </c>
      <c r="D553" s="29">
        <v>1</v>
      </c>
      <c r="E553" s="29" t="s">
        <v>638</v>
      </c>
      <c r="F553" s="29" t="s">
        <v>89</v>
      </c>
      <c r="G553" s="29">
        <v>64</v>
      </c>
      <c r="H553" s="29">
        <v>0</v>
      </c>
      <c r="I553" s="29">
        <v>0</v>
      </c>
      <c r="J553" s="29">
        <v>26</v>
      </c>
      <c r="K553" s="29">
        <v>0</v>
      </c>
      <c r="L553" s="29" t="s">
        <v>90</v>
      </c>
      <c r="Q553" t="str">
        <v>Mujer</v>
      </c>
    </row>
    <row r="554" spans="3:17" x14ac:dyDescent="0.2">
      <c r="C554" s="28">
        <v>1</v>
      </c>
      <c r="D554" s="29">
        <v>2</v>
      </c>
      <c r="E554" s="29" t="s">
        <v>639</v>
      </c>
      <c r="F554" s="29" t="s">
        <v>92</v>
      </c>
      <c r="G554" s="29">
        <v>19</v>
      </c>
      <c r="H554" s="29">
        <v>1</v>
      </c>
      <c r="I554" s="29">
        <v>0</v>
      </c>
      <c r="J554" s="29">
        <v>26</v>
      </c>
      <c r="K554" s="29">
        <v>0</v>
      </c>
      <c r="L554" s="29" t="s">
        <v>90</v>
      </c>
      <c r="Q554" t="str">
        <v>Hombre</v>
      </c>
    </row>
    <row r="555" spans="3:17" x14ac:dyDescent="0.2">
      <c r="C555" s="28">
        <v>1</v>
      </c>
      <c r="D555" s="29">
        <v>2</v>
      </c>
      <c r="E555" s="29" t="s">
        <v>640</v>
      </c>
      <c r="F555" s="29" t="s">
        <v>89</v>
      </c>
      <c r="G555" s="30"/>
      <c r="H555" s="29">
        <v>0</v>
      </c>
      <c r="I555" s="29">
        <v>0</v>
      </c>
      <c r="J555" s="29">
        <v>138625</v>
      </c>
      <c r="K555" s="29">
        <v>0</v>
      </c>
      <c r="L555" s="29" t="s">
        <v>93</v>
      </c>
      <c r="Q555" t="str">
        <v>Hombre</v>
      </c>
    </row>
    <row r="556" spans="3:17" x14ac:dyDescent="0.2">
      <c r="C556" s="28">
        <v>0</v>
      </c>
      <c r="D556" s="29">
        <v>3</v>
      </c>
      <c r="E556" s="29" t="s">
        <v>641</v>
      </c>
      <c r="F556" s="29" t="s">
        <v>89</v>
      </c>
      <c r="G556" s="29">
        <v>33</v>
      </c>
      <c r="H556" s="29">
        <v>1</v>
      </c>
      <c r="I556" s="29">
        <v>1</v>
      </c>
      <c r="J556" s="29">
        <v>20525</v>
      </c>
      <c r="K556" s="29">
        <v>0</v>
      </c>
      <c r="L556" s="29" t="s">
        <v>90</v>
      </c>
      <c r="Q556" t="str">
        <v>Hombre</v>
      </c>
    </row>
    <row r="557" spans="3:17" x14ac:dyDescent="0.2">
      <c r="C557" s="28">
        <v>1</v>
      </c>
      <c r="D557" s="29">
        <v>2</v>
      </c>
      <c r="E557" s="29" t="s">
        <v>642</v>
      </c>
      <c r="F557" s="29" t="s">
        <v>89</v>
      </c>
      <c r="G557" s="29">
        <v>8</v>
      </c>
      <c r="H557" s="29">
        <v>1</v>
      </c>
      <c r="I557" s="29">
        <v>1</v>
      </c>
      <c r="J557" s="29">
        <v>3675</v>
      </c>
      <c r="K557" s="29">
        <v>0</v>
      </c>
      <c r="L557" s="29" t="s">
        <v>90</v>
      </c>
      <c r="Q557" t="str">
        <v>Hombre</v>
      </c>
    </row>
    <row r="558" spans="3:17" x14ac:dyDescent="0.2">
      <c r="C558" s="28">
        <v>1</v>
      </c>
      <c r="D558" s="29">
        <v>1</v>
      </c>
      <c r="E558" s="29" t="s">
        <v>643</v>
      </c>
      <c r="F558" s="29" t="s">
        <v>89</v>
      </c>
      <c r="G558" s="29">
        <v>17</v>
      </c>
      <c r="H558" s="29">
        <v>0</v>
      </c>
      <c r="I558" s="29">
        <v>2</v>
      </c>
      <c r="J558" s="29">
        <v>1108833</v>
      </c>
      <c r="K558" s="29">
        <v>1</v>
      </c>
      <c r="L558" s="29" t="s">
        <v>93</v>
      </c>
      <c r="Q558" t="str">
        <v>Hombre</v>
      </c>
    </row>
    <row r="559" spans="3:17" x14ac:dyDescent="0.2">
      <c r="C559" s="28">
        <v>0</v>
      </c>
      <c r="D559" s="29">
        <v>2</v>
      </c>
      <c r="E559" s="29" t="s">
        <v>644</v>
      </c>
      <c r="F559" s="29" t="s">
        <v>89</v>
      </c>
      <c r="G559" s="29">
        <v>27</v>
      </c>
      <c r="H559" s="29">
        <v>0</v>
      </c>
      <c r="I559" s="29">
        <v>0</v>
      </c>
      <c r="J559" s="29">
        <v>26</v>
      </c>
      <c r="K559" s="29">
        <v>0</v>
      </c>
      <c r="L559" s="29" t="s">
        <v>90</v>
      </c>
      <c r="Q559" t="str">
        <v>Hombre</v>
      </c>
    </row>
    <row r="560" spans="3:17" x14ac:dyDescent="0.2">
      <c r="C560" s="28">
        <v>0</v>
      </c>
      <c r="D560" s="29">
        <v>3</v>
      </c>
      <c r="E560" s="29" t="s">
        <v>645</v>
      </c>
      <c r="F560" s="29" t="s">
        <v>89</v>
      </c>
      <c r="G560" s="30"/>
      <c r="H560" s="29">
        <v>0</v>
      </c>
      <c r="I560" s="29">
        <v>0</v>
      </c>
      <c r="J560" s="29">
        <v>78292</v>
      </c>
      <c r="K560" s="29">
        <v>0</v>
      </c>
      <c r="L560" s="29" t="s">
        <v>98</v>
      </c>
      <c r="Q560" t="str">
        <v>Hombre</v>
      </c>
    </row>
    <row r="561" spans="3:17" x14ac:dyDescent="0.2">
      <c r="C561" s="28">
        <v>1</v>
      </c>
      <c r="D561" s="29">
        <v>3</v>
      </c>
      <c r="E561" s="29" t="s">
        <v>646</v>
      </c>
      <c r="F561" s="29" t="s">
        <v>89</v>
      </c>
      <c r="G561" s="29">
        <v>22</v>
      </c>
      <c r="H561" s="29">
        <v>0</v>
      </c>
      <c r="I561" s="29">
        <v>0</v>
      </c>
      <c r="J561" s="29">
        <v>7225</v>
      </c>
      <c r="K561" s="29">
        <v>0</v>
      </c>
      <c r="L561" s="29" t="s">
        <v>93</v>
      </c>
      <c r="Q561" t="str">
        <v>Mujer</v>
      </c>
    </row>
    <row r="562" spans="3:17" x14ac:dyDescent="0.2">
      <c r="C562" s="28">
        <v>1</v>
      </c>
      <c r="D562" s="29">
        <v>3</v>
      </c>
      <c r="E562" s="29" t="s">
        <v>647</v>
      </c>
      <c r="F562" s="29" t="s">
        <v>92</v>
      </c>
      <c r="G562" s="29">
        <v>22</v>
      </c>
      <c r="H562" s="29">
        <v>0</v>
      </c>
      <c r="I562" s="29">
        <v>0</v>
      </c>
      <c r="J562" s="29">
        <v>7775</v>
      </c>
      <c r="K562" s="29">
        <v>0</v>
      </c>
      <c r="L562" s="29" t="s">
        <v>90</v>
      </c>
      <c r="Q562" t="str">
        <v>Hombre</v>
      </c>
    </row>
    <row r="563" spans="3:17" x14ac:dyDescent="0.2">
      <c r="C563" s="28">
        <v>0</v>
      </c>
      <c r="D563" s="29">
        <v>1</v>
      </c>
      <c r="E563" s="29" t="s">
        <v>648</v>
      </c>
      <c r="F563" s="29" t="s">
        <v>89</v>
      </c>
      <c r="G563" s="29">
        <v>62</v>
      </c>
      <c r="H563" s="29">
        <v>0</v>
      </c>
      <c r="I563" s="29">
        <v>0</v>
      </c>
      <c r="J563" s="29">
        <v>2655</v>
      </c>
      <c r="K563" s="29">
        <v>0</v>
      </c>
      <c r="L563" s="29" t="s">
        <v>90</v>
      </c>
      <c r="Q563" t="str">
        <v>Mujer</v>
      </c>
    </row>
    <row r="564" spans="3:17" x14ac:dyDescent="0.2">
      <c r="C564" s="28">
        <v>1</v>
      </c>
      <c r="D564" s="29">
        <v>1</v>
      </c>
      <c r="E564" s="29" t="s">
        <v>649</v>
      </c>
      <c r="F564" s="29" t="s">
        <v>92</v>
      </c>
      <c r="G564" s="29">
        <v>48</v>
      </c>
      <c r="H564" s="29">
        <v>1</v>
      </c>
      <c r="I564" s="29">
        <v>0</v>
      </c>
      <c r="J564" s="29">
        <v>396</v>
      </c>
      <c r="K564" s="29">
        <v>1</v>
      </c>
      <c r="L564" s="29" t="s">
        <v>93</v>
      </c>
      <c r="Q564" t="str">
        <v>Hombre</v>
      </c>
    </row>
    <row r="565" spans="3:17" x14ac:dyDescent="0.2">
      <c r="C565" s="28">
        <v>0</v>
      </c>
      <c r="D565" s="29">
        <v>1</v>
      </c>
      <c r="E565" s="29" t="s">
        <v>650</v>
      </c>
      <c r="F565" s="29" t="s">
        <v>89</v>
      </c>
      <c r="G565" s="30"/>
      <c r="H565" s="29">
        <v>0</v>
      </c>
      <c r="I565" s="29">
        <v>0</v>
      </c>
      <c r="J565" s="29">
        <v>227525</v>
      </c>
      <c r="K565" s="29">
        <v>0</v>
      </c>
      <c r="L565" s="29" t="s">
        <v>93</v>
      </c>
      <c r="Q565" t="str">
        <v>Mujer</v>
      </c>
    </row>
    <row r="566" spans="3:17" x14ac:dyDescent="0.2">
      <c r="C566" s="28">
        <v>1</v>
      </c>
      <c r="D566" s="29">
        <v>1</v>
      </c>
      <c r="E566" s="29" t="s">
        <v>651</v>
      </c>
      <c r="F566" s="29" t="s">
        <v>92</v>
      </c>
      <c r="G566" s="29">
        <v>39</v>
      </c>
      <c r="H566" s="29">
        <v>1</v>
      </c>
      <c r="I566" s="29">
        <v>1</v>
      </c>
      <c r="J566" s="29">
        <v>7965</v>
      </c>
      <c r="K566" s="29">
        <v>1</v>
      </c>
      <c r="L566" s="29" t="s">
        <v>90</v>
      </c>
      <c r="Q566" t="str">
        <v>Mujer</v>
      </c>
    </row>
    <row r="567" spans="3:17" x14ac:dyDescent="0.2">
      <c r="C567" s="28">
        <v>1</v>
      </c>
      <c r="D567" s="29">
        <v>3</v>
      </c>
      <c r="E567" s="29" t="s">
        <v>652</v>
      </c>
      <c r="F567" s="29" t="s">
        <v>92</v>
      </c>
      <c r="G567" s="29">
        <v>36</v>
      </c>
      <c r="H567" s="29">
        <v>1</v>
      </c>
      <c r="I567" s="29">
        <v>0</v>
      </c>
      <c r="J567" s="29">
        <v>174</v>
      </c>
      <c r="K567" s="29">
        <v>0</v>
      </c>
      <c r="L567" s="29" t="s">
        <v>90</v>
      </c>
      <c r="Q567" t="str">
        <v>Hombre</v>
      </c>
    </row>
    <row r="568" spans="3:17" x14ac:dyDescent="0.2">
      <c r="C568" s="28">
        <v>0</v>
      </c>
      <c r="D568" s="29">
        <v>3</v>
      </c>
      <c r="E568" s="29" t="s">
        <v>653</v>
      </c>
      <c r="F568" s="29" t="s">
        <v>89</v>
      </c>
      <c r="G568" s="30"/>
      <c r="H568" s="29">
        <v>0</v>
      </c>
      <c r="I568" s="29">
        <v>0</v>
      </c>
      <c r="J568" s="29">
        <v>775</v>
      </c>
      <c r="K568" s="29">
        <v>0</v>
      </c>
      <c r="L568" s="29" t="s">
        <v>98</v>
      </c>
      <c r="Q568" t="str">
        <v>Hombre</v>
      </c>
    </row>
    <row r="569" spans="3:17" x14ac:dyDescent="0.2">
      <c r="C569" s="28">
        <v>0</v>
      </c>
      <c r="D569" s="29">
        <v>3</v>
      </c>
      <c r="E569" s="29" t="s">
        <v>654</v>
      </c>
      <c r="F569" s="29" t="s">
        <v>89</v>
      </c>
      <c r="G569" s="29">
        <v>40</v>
      </c>
      <c r="H569" s="29">
        <v>0</v>
      </c>
      <c r="I569" s="29">
        <v>0</v>
      </c>
      <c r="J569" s="29">
        <v>78958</v>
      </c>
      <c r="K569" s="29">
        <v>0</v>
      </c>
      <c r="L569" s="29" t="s">
        <v>90</v>
      </c>
      <c r="Q569" t="str">
        <v>Hombre</v>
      </c>
    </row>
    <row r="570" spans="3:17" x14ac:dyDescent="0.2">
      <c r="C570" s="28">
        <v>0</v>
      </c>
      <c r="D570" s="29">
        <v>2</v>
      </c>
      <c r="E570" s="29" t="s">
        <v>655</v>
      </c>
      <c r="F570" s="29" t="s">
        <v>89</v>
      </c>
      <c r="G570" s="29">
        <v>28</v>
      </c>
      <c r="H570" s="29">
        <v>0</v>
      </c>
      <c r="I570" s="29">
        <v>0</v>
      </c>
      <c r="J570" s="29">
        <v>135</v>
      </c>
      <c r="K570" s="29">
        <v>0</v>
      </c>
      <c r="L570" s="29" t="s">
        <v>90</v>
      </c>
      <c r="Q570" t="str">
        <v>Hombre</v>
      </c>
    </row>
    <row r="571" spans="3:17" x14ac:dyDescent="0.2">
      <c r="C571" s="28">
        <v>0</v>
      </c>
      <c r="D571" s="29">
        <v>3</v>
      </c>
      <c r="E571" s="29" t="s">
        <v>656</v>
      </c>
      <c r="F571" s="29" t="s">
        <v>89</v>
      </c>
      <c r="G571" s="30"/>
      <c r="H571" s="29">
        <v>0</v>
      </c>
      <c r="I571" s="29">
        <v>0</v>
      </c>
      <c r="J571" s="29">
        <v>805</v>
      </c>
      <c r="K571" s="29">
        <v>0</v>
      </c>
      <c r="L571" s="29" t="s">
        <v>90</v>
      </c>
      <c r="Q571" t="str">
        <v>Mujer</v>
      </c>
    </row>
    <row r="572" spans="3:17" x14ac:dyDescent="0.2">
      <c r="C572" s="28">
        <v>0</v>
      </c>
      <c r="D572" s="29">
        <v>3</v>
      </c>
      <c r="E572" s="29" t="s">
        <v>657</v>
      </c>
      <c r="F572" s="29" t="s">
        <v>92</v>
      </c>
      <c r="G572" s="30"/>
      <c r="H572" s="29">
        <v>0</v>
      </c>
      <c r="I572" s="29">
        <v>0</v>
      </c>
      <c r="J572" s="29">
        <v>805</v>
      </c>
      <c r="K572" s="29">
        <v>0</v>
      </c>
      <c r="L572" s="29" t="s">
        <v>90</v>
      </c>
      <c r="Q572" t="str">
        <v>Hombre</v>
      </c>
    </row>
    <row r="573" spans="3:17" x14ac:dyDescent="0.2">
      <c r="C573" s="28">
        <v>0</v>
      </c>
      <c r="D573" s="29">
        <v>3</v>
      </c>
      <c r="E573" s="29" t="s">
        <v>658</v>
      </c>
      <c r="F573" s="29" t="s">
        <v>89</v>
      </c>
      <c r="G573" s="29">
        <v>24</v>
      </c>
      <c r="H573" s="29">
        <v>2</v>
      </c>
      <c r="I573" s="29">
        <v>0</v>
      </c>
      <c r="J573" s="29">
        <v>2415</v>
      </c>
      <c r="K573" s="29">
        <v>0</v>
      </c>
      <c r="L573" s="29" t="s">
        <v>90</v>
      </c>
      <c r="Q573" t="str">
        <v>Hombre</v>
      </c>
    </row>
    <row r="574" spans="3:17" x14ac:dyDescent="0.2">
      <c r="C574" s="28">
        <v>0</v>
      </c>
      <c r="D574" s="29">
        <v>3</v>
      </c>
      <c r="E574" s="29" t="s">
        <v>659</v>
      </c>
      <c r="F574" s="29" t="s">
        <v>89</v>
      </c>
      <c r="G574" s="29">
        <v>19</v>
      </c>
      <c r="H574" s="29">
        <v>0</v>
      </c>
      <c r="I574" s="29">
        <v>0</v>
      </c>
      <c r="J574" s="29">
        <v>78958</v>
      </c>
      <c r="K574" s="29">
        <v>0</v>
      </c>
      <c r="L574" s="29" t="s">
        <v>90</v>
      </c>
      <c r="Q574" t="str">
        <v>Mujer</v>
      </c>
    </row>
    <row r="575" spans="3:17" x14ac:dyDescent="0.2">
      <c r="C575" s="28">
        <v>0</v>
      </c>
      <c r="D575" s="29">
        <v>3</v>
      </c>
      <c r="E575" s="29" t="s">
        <v>660</v>
      </c>
      <c r="F575" s="29" t="s">
        <v>92</v>
      </c>
      <c r="G575" s="29">
        <v>29</v>
      </c>
      <c r="H575" s="29">
        <v>0</v>
      </c>
      <c r="I575" s="29">
        <v>4</v>
      </c>
      <c r="J575" s="29">
        <v>21075</v>
      </c>
      <c r="K575" s="29">
        <v>0</v>
      </c>
      <c r="L575" s="29" t="s">
        <v>90</v>
      </c>
      <c r="Q575" t="str">
        <v>Hombre</v>
      </c>
    </row>
    <row r="576" spans="3:17" x14ac:dyDescent="0.2">
      <c r="C576" s="28">
        <v>0</v>
      </c>
      <c r="D576" s="29">
        <v>3</v>
      </c>
      <c r="E576" s="29" t="s">
        <v>661</v>
      </c>
      <c r="F576" s="29" t="s">
        <v>89</v>
      </c>
      <c r="G576" s="30"/>
      <c r="H576" s="29">
        <v>0</v>
      </c>
      <c r="I576" s="29">
        <v>0</v>
      </c>
      <c r="J576" s="29">
        <v>72292</v>
      </c>
      <c r="K576" s="29">
        <v>0</v>
      </c>
      <c r="L576" s="29" t="s">
        <v>93</v>
      </c>
      <c r="Q576" t="str">
        <v>Hombre</v>
      </c>
    </row>
    <row r="577" spans="3:17" x14ac:dyDescent="0.2">
      <c r="C577" s="28">
        <v>1</v>
      </c>
      <c r="D577" s="29">
        <v>3</v>
      </c>
      <c r="E577" s="29" t="s">
        <v>662</v>
      </c>
      <c r="F577" s="29" t="s">
        <v>89</v>
      </c>
      <c r="G577" s="29">
        <v>32</v>
      </c>
      <c r="H577" s="29">
        <v>0</v>
      </c>
      <c r="I577" s="29">
        <v>0</v>
      </c>
      <c r="J577" s="29">
        <v>78542</v>
      </c>
      <c r="K577" s="29">
        <v>0</v>
      </c>
      <c r="L577" s="29" t="s">
        <v>90</v>
      </c>
      <c r="Q577" t="str">
        <v>Hombre</v>
      </c>
    </row>
    <row r="578" spans="3:17" x14ac:dyDescent="0.2">
      <c r="C578" s="28">
        <v>1</v>
      </c>
      <c r="D578" s="29">
        <v>2</v>
      </c>
      <c r="E578" s="29" t="s">
        <v>663</v>
      </c>
      <c r="F578" s="29" t="s">
        <v>89</v>
      </c>
      <c r="G578" s="29">
        <v>62</v>
      </c>
      <c r="H578" s="29">
        <v>0</v>
      </c>
      <c r="I578" s="29">
        <v>0</v>
      </c>
      <c r="J578" s="29">
        <v>105</v>
      </c>
      <c r="K578" s="29">
        <v>0</v>
      </c>
      <c r="L578" s="29" t="s">
        <v>90</v>
      </c>
      <c r="Q578" t="str">
        <v>Mujer</v>
      </c>
    </row>
    <row r="579" spans="3:17" x14ac:dyDescent="0.2">
      <c r="C579" s="28">
        <v>1</v>
      </c>
      <c r="D579" s="29">
        <v>1</v>
      </c>
      <c r="E579" s="29" t="s">
        <v>664</v>
      </c>
      <c r="F579" s="29" t="s">
        <v>92</v>
      </c>
      <c r="G579" s="29">
        <v>53</v>
      </c>
      <c r="H579" s="29">
        <v>2</v>
      </c>
      <c r="I579" s="29">
        <v>0</v>
      </c>
      <c r="J579" s="29">
        <v>514792</v>
      </c>
      <c r="K579" s="29">
        <v>1</v>
      </c>
      <c r="L579" s="29" t="s">
        <v>90</v>
      </c>
      <c r="Q579" t="str">
        <v>Hombre</v>
      </c>
    </row>
    <row r="580" spans="3:17" x14ac:dyDescent="0.2">
      <c r="C580" s="28">
        <v>1</v>
      </c>
      <c r="D580" s="29">
        <v>1</v>
      </c>
      <c r="E580" s="29" t="s">
        <v>665</v>
      </c>
      <c r="F580" s="29" t="s">
        <v>89</v>
      </c>
      <c r="G580" s="29">
        <v>36</v>
      </c>
      <c r="H580" s="29">
        <v>0</v>
      </c>
      <c r="I580" s="29">
        <v>0</v>
      </c>
      <c r="J580" s="29">
        <v>263875</v>
      </c>
      <c r="K580" s="29">
        <v>1</v>
      </c>
      <c r="L580" s="29" t="s">
        <v>90</v>
      </c>
      <c r="Q580" t="str">
        <v>Mujer</v>
      </c>
    </row>
    <row r="581" spans="3:17" x14ac:dyDescent="0.2">
      <c r="C581" s="28">
        <v>1</v>
      </c>
      <c r="D581" s="29">
        <v>3</v>
      </c>
      <c r="E581" s="29" t="s">
        <v>666</v>
      </c>
      <c r="F581" s="29" t="s">
        <v>92</v>
      </c>
      <c r="G581" s="30"/>
      <c r="H581" s="29">
        <v>0</v>
      </c>
      <c r="I581" s="29">
        <v>0</v>
      </c>
      <c r="J581" s="29">
        <v>775</v>
      </c>
      <c r="K581" s="29">
        <v>0</v>
      </c>
      <c r="L581" s="29" t="s">
        <v>98</v>
      </c>
      <c r="Q581" t="str">
        <v>Hombre</v>
      </c>
    </row>
    <row r="582" spans="3:17" x14ac:dyDescent="0.2">
      <c r="C582" s="28">
        <v>0</v>
      </c>
      <c r="D582" s="29">
        <v>3</v>
      </c>
      <c r="E582" s="29" t="s">
        <v>667</v>
      </c>
      <c r="F582" s="29" t="s">
        <v>89</v>
      </c>
      <c r="G582" s="29">
        <v>16</v>
      </c>
      <c r="H582" s="29">
        <v>0</v>
      </c>
      <c r="I582" s="29">
        <v>0</v>
      </c>
      <c r="J582" s="29">
        <v>805</v>
      </c>
      <c r="K582" s="29">
        <v>0</v>
      </c>
      <c r="L582" s="29" t="s">
        <v>90</v>
      </c>
      <c r="Q582" t="str">
        <v>Hombre</v>
      </c>
    </row>
    <row r="583" spans="3:17" x14ac:dyDescent="0.2">
      <c r="C583" s="28">
        <v>0</v>
      </c>
      <c r="D583" s="29">
        <v>3</v>
      </c>
      <c r="E583" s="29" t="s">
        <v>668</v>
      </c>
      <c r="F583" s="29" t="s">
        <v>89</v>
      </c>
      <c r="G583" s="29">
        <v>19</v>
      </c>
      <c r="H583" s="29">
        <v>0</v>
      </c>
      <c r="I583" s="29">
        <v>0</v>
      </c>
      <c r="J583" s="29">
        <v>145</v>
      </c>
      <c r="K583" s="29">
        <v>0</v>
      </c>
      <c r="L583" s="29" t="s">
        <v>90</v>
      </c>
      <c r="Q583" t="str">
        <v>Mujer</v>
      </c>
    </row>
    <row r="584" spans="3:17" x14ac:dyDescent="0.2">
      <c r="C584" s="28">
        <v>1</v>
      </c>
      <c r="D584" s="29">
        <v>2</v>
      </c>
      <c r="E584" s="29" t="s">
        <v>669</v>
      </c>
      <c r="F584" s="29" t="s">
        <v>92</v>
      </c>
      <c r="G584" s="29">
        <v>34</v>
      </c>
      <c r="H584" s="29">
        <v>0</v>
      </c>
      <c r="I584" s="29">
        <v>0</v>
      </c>
      <c r="J584" s="29">
        <v>13</v>
      </c>
      <c r="K584" s="29">
        <v>0</v>
      </c>
      <c r="L584" s="29" t="s">
        <v>90</v>
      </c>
      <c r="Q584" t="str">
        <v>Mujer</v>
      </c>
    </row>
    <row r="585" spans="3:17" x14ac:dyDescent="0.2">
      <c r="C585" s="28">
        <v>1</v>
      </c>
      <c r="D585" s="29">
        <v>1</v>
      </c>
      <c r="E585" s="29" t="s">
        <v>670</v>
      </c>
      <c r="F585" s="29" t="s">
        <v>92</v>
      </c>
      <c r="G585" s="29">
        <v>39</v>
      </c>
      <c r="H585" s="29">
        <v>1</v>
      </c>
      <c r="I585" s="29">
        <v>0</v>
      </c>
      <c r="J585" s="29">
        <v>559</v>
      </c>
      <c r="K585" s="29">
        <v>1</v>
      </c>
      <c r="L585" s="29" t="s">
        <v>90</v>
      </c>
      <c r="Q585" t="str">
        <v>Mujer</v>
      </c>
    </row>
    <row r="586" spans="3:17" x14ac:dyDescent="0.2">
      <c r="C586" s="28">
        <v>0</v>
      </c>
      <c r="D586" s="29">
        <v>3</v>
      </c>
      <c r="E586" s="29" t="s">
        <v>671</v>
      </c>
      <c r="F586" s="29" t="s">
        <v>92</v>
      </c>
      <c r="G586" s="30"/>
      <c r="H586" s="29">
        <v>1</v>
      </c>
      <c r="I586" s="29">
        <v>0</v>
      </c>
      <c r="J586" s="29">
        <v>144583</v>
      </c>
      <c r="K586" s="29">
        <v>0</v>
      </c>
      <c r="L586" s="29" t="s">
        <v>93</v>
      </c>
      <c r="Q586" t="str">
        <v>Hombre</v>
      </c>
    </row>
    <row r="587" spans="3:17" x14ac:dyDescent="0.2">
      <c r="C587" s="28">
        <v>1</v>
      </c>
      <c r="D587" s="29">
        <v>3</v>
      </c>
      <c r="E587" s="29" t="s">
        <v>672</v>
      </c>
      <c r="F587" s="29" t="s">
        <v>89</v>
      </c>
      <c r="G587" s="29">
        <v>32</v>
      </c>
      <c r="H587" s="29">
        <v>0</v>
      </c>
      <c r="I587" s="29">
        <v>0</v>
      </c>
      <c r="J587" s="29">
        <v>7925</v>
      </c>
      <c r="K587" s="29">
        <v>0</v>
      </c>
      <c r="L587" s="29" t="s">
        <v>90</v>
      </c>
      <c r="Q587" t="str">
        <v>Mujer</v>
      </c>
    </row>
    <row r="588" spans="3:17" x14ac:dyDescent="0.2">
      <c r="C588" s="28">
        <v>1</v>
      </c>
      <c r="D588" s="29">
        <v>2</v>
      </c>
      <c r="E588" s="29" t="s">
        <v>673</v>
      </c>
      <c r="F588" s="29" t="s">
        <v>92</v>
      </c>
      <c r="G588" s="29">
        <v>25</v>
      </c>
      <c r="H588" s="29">
        <v>1</v>
      </c>
      <c r="I588" s="29">
        <v>1</v>
      </c>
      <c r="J588" s="29">
        <v>30</v>
      </c>
      <c r="K588" s="29">
        <v>0</v>
      </c>
      <c r="L588" s="29" t="s">
        <v>90</v>
      </c>
      <c r="Q588" t="str">
        <v>Mujer</v>
      </c>
    </row>
    <row r="589" spans="3:17" x14ac:dyDescent="0.2">
      <c r="C589" s="28">
        <v>1</v>
      </c>
      <c r="D589" s="29">
        <v>1</v>
      </c>
      <c r="E589" s="29" t="s">
        <v>674</v>
      </c>
      <c r="F589" s="29" t="s">
        <v>92</v>
      </c>
      <c r="G589" s="29">
        <v>39</v>
      </c>
      <c r="H589" s="29">
        <v>1</v>
      </c>
      <c r="I589" s="29">
        <v>1</v>
      </c>
      <c r="J589" s="29">
        <v>1108833</v>
      </c>
      <c r="K589" s="29">
        <v>1</v>
      </c>
      <c r="L589" s="29" t="s">
        <v>93</v>
      </c>
      <c r="Q589" t="str">
        <v>Hombre</v>
      </c>
    </row>
    <row r="590" spans="3:17" x14ac:dyDescent="0.2">
      <c r="C590" s="28">
        <v>0</v>
      </c>
      <c r="D590" s="29">
        <v>2</v>
      </c>
      <c r="E590" s="29" t="s">
        <v>675</v>
      </c>
      <c r="F590" s="29" t="s">
        <v>89</v>
      </c>
      <c r="G590" s="29">
        <v>54</v>
      </c>
      <c r="H590" s="29">
        <v>0</v>
      </c>
      <c r="I590" s="29">
        <v>0</v>
      </c>
      <c r="J590" s="29">
        <v>26</v>
      </c>
      <c r="K590" s="29">
        <v>0</v>
      </c>
      <c r="L590" s="29" t="s">
        <v>90</v>
      </c>
      <c r="Q590" t="str">
        <v>Hombre</v>
      </c>
    </row>
    <row r="591" spans="3:17" x14ac:dyDescent="0.2">
      <c r="C591" s="28">
        <v>0</v>
      </c>
      <c r="D591" s="29">
        <v>1</v>
      </c>
      <c r="E591" s="29" t="s">
        <v>676</v>
      </c>
      <c r="F591" s="29" t="s">
        <v>89</v>
      </c>
      <c r="G591" s="29">
        <v>36</v>
      </c>
      <c r="H591" s="29">
        <v>0</v>
      </c>
      <c r="I591" s="29">
        <v>0</v>
      </c>
      <c r="J591" s="29">
        <v>40125</v>
      </c>
      <c r="K591" s="29">
        <v>1</v>
      </c>
      <c r="L591" s="29" t="s">
        <v>93</v>
      </c>
      <c r="Q591" t="str">
        <v>Hombre</v>
      </c>
    </row>
    <row r="592" spans="3:17" x14ac:dyDescent="0.2">
      <c r="C592" s="28">
        <v>0</v>
      </c>
      <c r="D592" s="29">
        <v>3</v>
      </c>
      <c r="E592" s="29" t="s">
        <v>677</v>
      </c>
      <c r="F592" s="29" t="s">
        <v>89</v>
      </c>
      <c r="G592" s="30"/>
      <c r="H592" s="29">
        <v>0</v>
      </c>
      <c r="I592" s="29">
        <v>0</v>
      </c>
      <c r="J592" s="29">
        <v>87125</v>
      </c>
      <c r="K592" s="29">
        <v>0</v>
      </c>
      <c r="L592" s="29" t="s">
        <v>93</v>
      </c>
      <c r="Q592" t="str">
        <v>Mujer</v>
      </c>
    </row>
    <row r="593" spans="3:17" x14ac:dyDescent="0.2">
      <c r="C593" s="28">
        <v>1</v>
      </c>
      <c r="D593" s="29">
        <v>1</v>
      </c>
      <c r="E593" s="29" t="s">
        <v>678</v>
      </c>
      <c r="F593" s="29" t="s">
        <v>92</v>
      </c>
      <c r="G593" s="29">
        <v>18</v>
      </c>
      <c r="H593" s="29">
        <v>0</v>
      </c>
      <c r="I593" s="29">
        <v>2</v>
      </c>
      <c r="J593" s="29">
        <v>7965</v>
      </c>
      <c r="K593" s="29">
        <v>1</v>
      </c>
      <c r="L593" s="29" t="s">
        <v>90</v>
      </c>
      <c r="Q593" t="str">
        <v>Hombre</v>
      </c>
    </row>
    <row r="594" spans="3:17" x14ac:dyDescent="0.2">
      <c r="C594" s="28">
        <v>0</v>
      </c>
      <c r="D594" s="29">
        <v>2</v>
      </c>
      <c r="E594" s="29" t="s">
        <v>679</v>
      </c>
      <c r="F594" s="29" t="s">
        <v>89</v>
      </c>
      <c r="G594" s="29">
        <v>47</v>
      </c>
      <c r="H594" s="29">
        <v>0</v>
      </c>
      <c r="I594" s="29">
        <v>0</v>
      </c>
      <c r="J594" s="29">
        <v>15</v>
      </c>
      <c r="K594" s="29">
        <v>0</v>
      </c>
      <c r="L594" s="29" t="s">
        <v>90</v>
      </c>
      <c r="Q594" t="str">
        <v>Hombre</v>
      </c>
    </row>
    <row r="595" spans="3:17" x14ac:dyDescent="0.2">
      <c r="C595" s="28">
        <v>1</v>
      </c>
      <c r="D595" s="29">
        <v>1</v>
      </c>
      <c r="E595" s="29" t="s">
        <v>680</v>
      </c>
      <c r="F595" s="29" t="s">
        <v>89</v>
      </c>
      <c r="G595" s="29">
        <v>60</v>
      </c>
      <c r="H595" s="29">
        <v>1</v>
      </c>
      <c r="I595" s="29">
        <v>1</v>
      </c>
      <c r="J595" s="29">
        <v>792</v>
      </c>
      <c r="K595" s="29">
        <v>1</v>
      </c>
      <c r="L595" s="29" t="s">
        <v>93</v>
      </c>
      <c r="Q595" t="str">
        <v>Hombre</v>
      </c>
    </row>
    <row r="596" spans="3:17" x14ac:dyDescent="0.2">
      <c r="C596" s="28">
        <v>0</v>
      </c>
      <c r="D596" s="29">
        <v>3</v>
      </c>
      <c r="E596" s="29" t="s">
        <v>681</v>
      </c>
      <c r="F596" s="29" t="s">
        <v>89</v>
      </c>
      <c r="G596" s="29">
        <v>22</v>
      </c>
      <c r="H596" s="29">
        <v>0</v>
      </c>
      <c r="I596" s="29">
        <v>0</v>
      </c>
      <c r="J596" s="29">
        <v>805</v>
      </c>
      <c r="K596" s="29">
        <v>0</v>
      </c>
      <c r="L596" s="29" t="s">
        <v>90</v>
      </c>
      <c r="Q596" t="str">
        <v>Hombre</v>
      </c>
    </row>
    <row r="597" spans="3:17" x14ac:dyDescent="0.2">
      <c r="C597" s="28">
        <v>0</v>
      </c>
      <c r="D597" s="29">
        <v>3</v>
      </c>
      <c r="E597" s="29" t="s">
        <v>682</v>
      </c>
      <c r="F597" s="29" t="s">
        <v>89</v>
      </c>
      <c r="G597" s="30"/>
      <c r="H597" s="29">
        <v>0</v>
      </c>
      <c r="I597" s="29">
        <v>0</v>
      </c>
      <c r="J597" s="29">
        <v>805</v>
      </c>
      <c r="K597" s="29">
        <v>0</v>
      </c>
      <c r="L597" s="29" t="s">
        <v>90</v>
      </c>
      <c r="Q597" t="str">
        <v>Hombre</v>
      </c>
    </row>
    <row r="598" spans="3:17" x14ac:dyDescent="0.2">
      <c r="C598" s="28">
        <v>0</v>
      </c>
      <c r="D598" s="29">
        <v>3</v>
      </c>
      <c r="E598" s="29" t="s">
        <v>683</v>
      </c>
      <c r="F598" s="29" t="s">
        <v>89</v>
      </c>
      <c r="G598" s="29">
        <v>35</v>
      </c>
      <c r="H598" s="29">
        <v>0</v>
      </c>
      <c r="I598" s="29">
        <v>0</v>
      </c>
      <c r="J598" s="29">
        <v>7125</v>
      </c>
      <c r="K598" s="29">
        <v>0</v>
      </c>
      <c r="L598" s="29" t="s">
        <v>90</v>
      </c>
      <c r="Q598" t="str">
        <v>Mujer</v>
      </c>
    </row>
    <row r="599" spans="3:17" x14ac:dyDescent="0.2">
      <c r="C599" s="28">
        <v>1</v>
      </c>
      <c r="D599" s="29">
        <v>1</v>
      </c>
      <c r="E599" s="29" t="s">
        <v>684</v>
      </c>
      <c r="F599" s="29" t="s">
        <v>92</v>
      </c>
      <c r="G599" s="29">
        <v>52</v>
      </c>
      <c r="H599" s="29">
        <v>1</v>
      </c>
      <c r="I599" s="29">
        <v>0</v>
      </c>
      <c r="J599" s="29">
        <v>782667</v>
      </c>
      <c r="K599" s="29">
        <v>1</v>
      </c>
      <c r="L599" s="29" t="s">
        <v>93</v>
      </c>
      <c r="Q599" t="str">
        <v>Hombre</v>
      </c>
    </row>
    <row r="600" spans="3:17" x14ac:dyDescent="0.2">
      <c r="C600" s="28">
        <v>0</v>
      </c>
      <c r="D600" s="29">
        <v>3</v>
      </c>
      <c r="E600" s="29" t="s">
        <v>685</v>
      </c>
      <c r="F600" s="29" t="s">
        <v>89</v>
      </c>
      <c r="G600" s="29">
        <v>47</v>
      </c>
      <c r="H600" s="29">
        <v>0</v>
      </c>
      <c r="I600" s="29">
        <v>0</v>
      </c>
      <c r="J600" s="29">
        <v>725</v>
      </c>
      <c r="K600" s="29">
        <v>0</v>
      </c>
      <c r="L600" s="29" t="s">
        <v>90</v>
      </c>
      <c r="Q600" t="str">
        <v>Mujer</v>
      </c>
    </row>
    <row r="601" spans="3:17" x14ac:dyDescent="0.2">
      <c r="C601" s="28">
        <v>0</v>
      </c>
      <c r="D601" s="29">
        <v>3</v>
      </c>
      <c r="E601" s="29" t="s">
        <v>686</v>
      </c>
      <c r="F601" s="29" t="s">
        <v>92</v>
      </c>
      <c r="G601" s="30"/>
      <c r="H601" s="29">
        <v>0</v>
      </c>
      <c r="I601" s="29">
        <v>2</v>
      </c>
      <c r="J601" s="29">
        <v>775</v>
      </c>
      <c r="K601" s="29">
        <v>0</v>
      </c>
      <c r="L601" s="29" t="s">
        <v>98</v>
      </c>
      <c r="Q601" t="str">
        <v>Hombre</v>
      </c>
    </row>
    <row r="602" spans="3:17" x14ac:dyDescent="0.2">
      <c r="C602" s="28">
        <v>0</v>
      </c>
      <c r="D602" s="29">
        <v>2</v>
      </c>
      <c r="E602" s="29" t="s">
        <v>687</v>
      </c>
      <c r="F602" s="29" t="s">
        <v>89</v>
      </c>
      <c r="G602" s="29">
        <v>37</v>
      </c>
      <c r="H602" s="29">
        <v>1</v>
      </c>
      <c r="I602" s="29">
        <v>0</v>
      </c>
      <c r="J602" s="29">
        <v>26</v>
      </c>
      <c r="K602" s="29">
        <v>0</v>
      </c>
      <c r="L602" s="29" t="s">
        <v>90</v>
      </c>
      <c r="Q602" t="str">
        <v>Hombre</v>
      </c>
    </row>
    <row r="603" spans="3:17" x14ac:dyDescent="0.2">
      <c r="C603" s="28">
        <v>0</v>
      </c>
      <c r="D603" s="29">
        <v>3</v>
      </c>
      <c r="E603" s="29" t="s">
        <v>688</v>
      </c>
      <c r="F603" s="29" t="s">
        <v>89</v>
      </c>
      <c r="G603" s="29">
        <v>36</v>
      </c>
      <c r="H603" s="29">
        <v>1</v>
      </c>
      <c r="I603" s="29">
        <v>1</v>
      </c>
      <c r="J603" s="29">
        <v>2415</v>
      </c>
      <c r="K603" s="29">
        <v>0</v>
      </c>
      <c r="L603" s="29" t="s">
        <v>90</v>
      </c>
      <c r="Q603" t="str">
        <v>Mujer</v>
      </c>
    </row>
    <row r="604" spans="3:17" x14ac:dyDescent="0.2">
      <c r="C604" s="28">
        <v>1</v>
      </c>
      <c r="D604" s="29">
        <v>2</v>
      </c>
      <c r="E604" s="29" t="s">
        <v>689</v>
      </c>
      <c r="F604" s="29" t="s">
        <v>92</v>
      </c>
      <c r="G604" s="30"/>
      <c r="H604" s="29">
        <v>0</v>
      </c>
      <c r="I604" s="29">
        <v>0</v>
      </c>
      <c r="J604" s="29">
        <v>33</v>
      </c>
      <c r="K604" s="29">
        <v>0</v>
      </c>
      <c r="L604" s="29" t="s">
        <v>90</v>
      </c>
      <c r="Q604" t="str">
        <v>Hombre</v>
      </c>
    </row>
    <row r="605" spans="3:17" x14ac:dyDescent="0.2">
      <c r="C605" s="28">
        <v>0</v>
      </c>
      <c r="D605" s="29">
        <v>3</v>
      </c>
      <c r="E605" s="29" t="s">
        <v>690</v>
      </c>
      <c r="F605" s="29" t="s">
        <v>89</v>
      </c>
      <c r="G605" s="29">
        <v>49</v>
      </c>
      <c r="H605" s="29">
        <v>0</v>
      </c>
      <c r="I605" s="29">
        <v>0</v>
      </c>
      <c r="J605" s="29">
        <v>0</v>
      </c>
      <c r="K605" s="29">
        <v>0</v>
      </c>
      <c r="L605" s="29" t="s">
        <v>90</v>
      </c>
      <c r="Q605" t="str">
        <v>Hombre</v>
      </c>
    </row>
    <row r="606" spans="3:17" x14ac:dyDescent="0.2">
      <c r="C606" s="28">
        <v>0</v>
      </c>
      <c r="D606" s="29">
        <v>3</v>
      </c>
      <c r="E606" s="29" t="s">
        <v>691</v>
      </c>
      <c r="F606" s="29" t="s">
        <v>89</v>
      </c>
      <c r="G606" s="30"/>
      <c r="H606" s="29">
        <v>0</v>
      </c>
      <c r="I606" s="29">
        <v>0</v>
      </c>
      <c r="J606" s="29">
        <v>7225</v>
      </c>
      <c r="K606" s="29">
        <v>0</v>
      </c>
      <c r="L606" s="29" t="s">
        <v>93</v>
      </c>
      <c r="Q606" t="str">
        <v>Hombre</v>
      </c>
    </row>
    <row r="607" spans="3:17" x14ac:dyDescent="0.2">
      <c r="C607" s="28">
        <v>1</v>
      </c>
      <c r="D607" s="29">
        <v>1</v>
      </c>
      <c r="E607" s="29" t="s">
        <v>692</v>
      </c>
      <c r="F607" s="29" t="s">
        <v>89</v>
      </c>
      <c r="G607" s="29">
        <v>49</v>
      </c>
      <c r="H607" s="29">
        <v>1</v>
      </c>
      <c r="I607" s="29">
        <v>0</v>
      </c>
      <c r="J607" s="29">
        <v>569292</v>
      </c>
      <c r="K607" s="29">
        <v>1</v>
      </c>
      <c r="L607" s="29" t="s">
        <v>93</v>
      </c>
      <c r="Q607" t="str">
        <v>Mujer</v>
      </c>
    </row>
    <row r="608" spans="3:17" x14ac:dyDescent="0.2">
      <c r="C608" s="28">
        <v>1</v>
      </c>
      <c r="D608" s="29">
        <v>2</v>
      </c>
      <c r="E608" s="29" t="s">
        <v>693</v>
      </c>
      <c r="F608" s="29" t="s">
        <v>92</v>
      </c>
      <c r="G608" s="29">
        <v>24</v>
      </c>
      <c r="H608" s="29">
        <v>2</v>
      </c>
      <c r="I608" s="29">
        <v>1</v>
      </c>
      <c r="J608" s="29">
        <v>27</v>
      </c>
      <c r="K608" s="29">
        <v>0</v>
      </c>
      <c r="L608" s="29" t="s">
        <v>90</v>
      </c>
      <c r="Q608" t="str">
        <v>Hombre</v>
      </c>
    </row>
    <row r="609" spans="3:17" x14ac:dyDescent="0.2">
      <c r="C609" s="28">
        <v>0</v>
      </c>
      <c r="D609" s="29">
        <v>3</v>
      </c>
      <c r="E609" s="29" t="s">
        <v>694</v>
      </c>
      <c r="F609" s="29" t="s">
        <v>89</v>
      </c>
      <c r="G609" s="30"/>
      <c r="H609" s="29">
        <v>0</v>
      </c>
      <c r="I609" s="29">
        <v>0</v>
      </c>
      <c r="J609" s="29">
        <v>78958</v>
      </c>
      <c r="K609" s="29">
        <v>0</v>
      </c>
      <c r="L609" s="29" t="s">
        <v>90</v>
      </c>
      <c r="Q609" t="str">
        <v>Hombre</v>
      </c>
    </row>
    <row r="610" spans="3:17" x14ac:dyDescent="0.2">
      <c r="C610" s="28">
        <v>0</v>
      </c>
      <c r="D610" s="29">
        <v>1</v>
      </c>
      <c r="E610" s="29" t="s">
        <v>695</v>
      </c>
      <c r="F610" s="29" t="s">
        <v>89</v>
      </c>
      <c r="G610" s="30"/>
      <c r="H610" s="29">
        <v>0</v>
      </c>
      <c r="I610" s="29">
        <v>0</v>
      </c>
      <c r="J610" s="29">
        <v>424</v>
      </c>
      <c r="K610" s="29">
        <v>0</v>
      </c>
      <c r="L610" s="29" t="s">
        <v>90</v>
      </c>
      <c r="Q610" t="str">
        <v>Hombre</v>
      </c>
    </row>
    <row r="611" spans="3:17" x14ac:dyDescent="0.2">
      <c r="C611" s="28">
        <v>0</v>
      </c>
      <c r="D611" s="29">
        <v>3</v>
      </c>
      <c r="E611" s="29" t="s">
        <v>696</v>
      </c>
      <c r="F611" s="29" t="s">
        <v>89</v>
      </c>
      <c r="G611" s="29">
        <v>44</v>
      </c>
      <c r="H611" s="29">
        <v>0</v>
      </c>
      <c r="I611" s="29">
        <v>0</v>
      </c>
      <c r="J611" s="29">
        <v>805</v>
      </c>
      <c r="K611" s="29">
        <v>0</v>
      </c>
      <c r="L611" s="29" t="s">
        <v>90</v>
      </c>
      <c r="Q611" t="str">
        <v>Hombre</v>
      </c>
    </row>
    <row r="612" spans="3:17" x14ac:dyDescent="0.2">
      <c r="C612" s="28">
        <v>1</v>
      </c>
      <c r="D612" s="29">
        <v>1</v>
      </c>
      <c r="E612" s="29" t="s">
        <v>697</v>
      </c>
      <c r="F612" s="29" t="s">
        <v>89</v>
      </c>
      <c r="G612" s="29">
        <v>35</v>
      </c>
      <c r="H612" s="29">
        <v>0</v>
      </c>
      <c r="I612" s="29">
        <v>0</v>
      </c>
      <c r="J612" s="29">
        <v>2655</v>
      </c>
      <c r="K612" s="29">
        <v>0</v>
      </c>
      <c r="L612" s="29" t="s">
        <v>93</v>
      </c>
      <c r="Q612" t="str">
        <v>Hombre</v>
      </c>
    </row>
    <row r="613" spans="3:17" x14ac:dyDescent="0.2">
      <c r="C613" s="28">
        <v>0</v>
      </c>
      <c r="D613" s="29">
        <v>3</v>
      </c>
      <c r="E613" s="29" t="s">
        <v>698</v>
      </c>
      <c r="F613" s="29" t="s">
        <v>89</v>
      </c>
      <c r="G613" s="29">
        <v>36</v>
      </c>
      <c r="H613" s="29">
        <v>1</v>
      </c>
      <c r="I613" s="29">
        <v>0</v>
      </c>
      <c r="J613" s="29">
        <v>1555</v>
      </c>
      <c r="K613" s="29">
        <v>0</v>
      </c>
      <c r="L613" s="29" t="s">
        <v>90</v>
      </c>
      <c r="Q613" t="str">
        <v>Hombre</v>
      </c>
    </row>
    <row r="614" spans="3:17" x14ac:dyDescent="0.2">
      <c r="C614" s="28">
        <v>0</v>
      </c>
      <c r="D614" s="29">
        <v>3</v>
      </c>
      <c r="E614" s="29" t="s">
        <v>699</v>
      </c>
      <c r="F614" s="29" t="s">
        <v>89</v>
      </c>
      <c r="G614" s="29">
        <v>30</v>
      </c>
      <c r="H614" s="29">
        <v>0</v>
      </c>
      <c r="I614" s="29">
        <v>0</v>
      </c>
      <c r="J614" s="29">
        <v>78958</v>
      </c>
      <c r="K614" s="29">
        <v>0</v>
      </c>
      <c r="L614" s="29" t="s">
        <v>90</v>
      </c>
      <c r="Q614" t="str">
        <v>Hombre</v>
      </c>
    </row>
    <row r="615" spans="3:17" x14ac:dyDescent="0.2">
      <c r="C615" s="28">
        <v>1</v>
      </c>
      <c r="D615" s="29">
        <v>1</v>
      </c>
      <c r="E615" s="29" t="s">
        <v>700</v>
      </c>
      <c r="F615" s="29" t="s">
        <v>89</v>
      </c>
      <c r="G615" s="29">
        <v>27</v>
      </c>
      <c r="H615" s="29">
        <v>0</v>
      </c>
      <c r="I615" s="29">
        <v>0</v>
      </c>
      <c r="J615" s="29">
        <v>305</v>
      </c>
      <c r="K615" s="29">
        <v>0</v>
      </c>
      <c r="L615" s="29" t="s">
        <v>90</v>
      </c>
      <c r="Q615" t="str">
        <v>Mujer</v>
      </c>
    </row>
    <row r="616" spans="3:17" x14ac:dyDescent="0.2">
      <c r="C616" s="28">
        <v>1</v>
      </c>
      <c r="D616" s="29">
        <v>2</v>
      </c>
      <c r="E616" s="29" t="s">
        <v>701</v>
      </c>
      <c r="F616" s="29" t="s">
        <v>92</v>
      </c>
      <c r="G616" s="29">
        <v>22</v>
      </c>
      <c r="H616" s="29">
        <v>1</v>
      </c>
      <c r="I616" s="29">
        <v>2</v>
      </c>
      <c r="J616" s="29">
        <v>415792</v>
      </c>
      <c r="K616" s="29">
        <v>0</v>
      </c>
      <c r="L616" s="29" t="s">
        <v>93</v>
      </c>
      <c r="Q616" t="str">
        <v>Mujer</v>
      </c>
    </row>
    <row r="617" spans="3:17" x14ac:dyDescent="0.2">
      <c r="C617" s="28">
        <v>1</v>
      </c>
      <c r="D617" s="29">
        <v>1</v>
      </c>
      <c r="E617" s="29" t="s">
        <v>702</v>
      </c>
      <c r="F617" s="29" t="s">
        <v>92</v>
      </c>
      <c r="G617" s="29">
        <v>40</v>
      </c>
      <c r="H617" s="29">
        <v>0</v>
      </c>
      <c r="I617" s="29">
        <v>0</v>
      </c>
      <c r="J617" s="29">
        <v>1534625</v>
      </c>
      <c r="K617" s="29">
        <v>1</v>
      </c>
      <c r="L617" s="29" t="s">
        <v>90</v>
      </c>
      <c r="Q617" t="str">
        <v>Mujer</v>
      </c>
    </row>
    <row r="618" spans="3:17" x14ac:dyDescent="0.2">
      <c r="C618" s="28">
        <v>0</v>
      </c>
      <c r="D618" s="29">
        <v>3</v>
      </c>
      <c r="E618" s="29" t="s">
        <v>703</v>
      </c>
      <c r="F618" s="29" t="s">
        <v>92</v>
      </c>
      <c r="G618" s="29">
        <v>39</v>
      </c>
      <c r="H618" s="29">
        <v>1</v>
      </c>
      <c r="I618" s="29">
        <v>5</v>
      </c>
      <c r="J618" s="29">
        <v>31275</v>
      </c>
      <c r="K618" s="29">
        <v>0</v>
      </c>
      <c r="L618" s="29" t="s">
        <v>90</v>
      </c>
      <c r="Q618" t="str">
        <v>Hombre</v>
      </c>
    </row>
    <row r="619" spans="3:17" x14ac:dyDescent="0.2">
      <c r="C619" s="28">
        <v>0</v>
      </c>
      <c r="D619" s="29">
        <v>3</v>
      </c>
      <c r="E619" s="29" t="s">
        <v>704</v>
      </c>
      <c r="F619" s="29" t="s">
        <v>89</v>
      </c>
      <c r="G619" s="30"/>
      <c r="H619" s="29">
        <v>0</v>
      </c>
      <c r="I619" s="29">
        <v>0</v>
      </c>
      <c r="J619" s="29">
        <v>705</v>
      </c>
      <c r="K619" s="29">
        <v>0</v>
      </c>
      <c r="L619" s="29" t="s">
        <v>90</v>
      </c>
      <c r="Q619" t="str">
        <v>Mujer</v>
      </c>
    </row>
    <row r="620" spans="3:17" x14ac:dyDescent="0.2">
      <c r="C620" s="28">
        <v>1</v>
      </c>
      <c r="D620" s="29">
        <v>3</v>
      </c>
      <c r="E620" s="29" t="s">
        <v>705</v>
      </c>
      <c r="F620" s="29" t="s">
        <v>92</v>
      </c>
      <c r="G620" s="30"/>
      <c r="H620" s="29">
        <v>1</v>
      </c>
      <c r="I620" s="29">
        <v>0</v>
      </c>
      <c r="J620" s="29">
        <v>155</v>
      </c>
      <c r="K620" s="29">
        <v>0</v>
      </c>
      <c r="L620" s="29" t="s">
        <v>98</v>
      </c>
      <c r="Q620" t="str">
        <v>Hombre</v>
      </c>
    </row>
    <row r="621" spans="3:17" x14ac:dyDescent="0.2">
      <c r="C621" s="28">
        <v>0</v>
      </c>
      <c r="D621" s="29">
        <v>3</v>
      </c>
      <c r="E621" s="29" t="s">
        <v>706</v>
      </c>
      <c r="F621" s="29" t="s">
        <v>89</v>
      </c>
      <c r="G621" s="30"/>
      <c r="H621" s="29">
        <v>0</v>
      </c>
      <c r="I621" s="29">
        <v>0</v>
      </c>
      <c r="J621" s="29">
        <v>775</v>
      </c>
      <c r="K621" s="29">
        <v>0</v>
      </c>
      <c r="L621" s="29" t="s">
        <v>98</v>
      </c>
      <c r="Q621" t="str">
        <v>Hombre</v>
      </c>
    </row>
    <row r="622" spans="3:17" x14ac:dyDescent="0.2">
      <c r="C622" s="28">
        <v>0</v>
      </c>
      <c r="D622" s="29">
        <v>3</v>
      </c>
      <c r="E622" s="29" t="s">
        <v>707</v>
      </c>
      <c r="F622" s="29" t="s">
        <v>89</v>
      </c>
      <c r="G622" s="29">
        <v>35</v>
      </c>
      <c r="H622" s="29">
        <v>0</v>
      </c>
      <c r="I622" s="29">
        <v>0</v>
      </c>
      <c r="J622" s="29">
        <v>805</v>
      </c>
      <c r="K622" s="29">
        <v>0</v>
      </c>
      <c r="L622" s="29" t="s">
        <v>90</v>
      </c>
      <c r="Q622" t="str">
        <v>Mujer</v>
      </c>
    </row>
    <row r="623" spans="3:17" x14ac:dyDescent="0.2">
      <c r="C623" s="28">
        <v>1</v>
      </c>
      <c r="D623" s="29">
        <v>2</v>
      </c>
      <c r="E623" s="29" t="s">
        <v>708</v>
      </c>
      <c r="F623" s="29" t="s">
        <v>92</v>
      </c>
      <c r="G623" s="29">
        <v>24</v>
      </c>
      <c r="H623" s="29">
        <v>1</v>
      </c>
      <c r="I623" s="29">
        <v>2</v>
      </c>
      <c r="J623" s="29">
        <v>65</v>
      </c>
      <c r="K623" s="29">
        <v>0</v>
      </c>
      <c r="L623" s="29" t="s">
        <v>90</v>
      </c>
      <c r="Q623" t="str">
        <v>Hombre</v>
      </c>
    </row>
    <row r="624" spans="3:17" x14ac:dyDescent="0.2">
      <c r="C624" s="28">
        <v>0</v>
      </c>
      <c r="D624" s="29">
        <v>3</v>
      </c>
      <c r="E624" s="29" t="s">
        <v>709</v>
      </c>
      <c r="F624" s="29" t="s">
        <v>89</v>
      </c>
      <c r="G624" s="29">
        <v>34</v>
      </c>
      <c r="H624" s="29">
        <v>1</v>
      </c>
      <c r="I624" s="29">
        <v>1</v>
      </c>
      <c r="J624" s="29">
        <v>144</v>
      </c>
      <c r="K624" s="29">
        <v>0</v>
      </c>
      <c r="L624" s="29" t="s">
        <v>90</v>
      </c>
      <c r="Q624" t="str">
        <v>Mujer</v>
      </c>
    </row>
    <row r="625" spans="3:17" x14ac:dyDescent="0.2">
      <c r="C625" s="28">
        <v>0</v>
      </c>
      <c r="D625" s="29">
        <v>3</v>
      </c>
      <c r="E625" s="29" t="s">
        <v>710</v>
      </c>
      <c r="F625" s="29" t="s">
        <v>92</v>
      </c>
      <c r="G625" s="29">
        <v>26</v>
      </c>
      <c r="H625" s="29">
        <v>1</v>
      </c>
      <c r="I625" s="29">
        <v>0</v>
      </c>
      <c r="J625" s="29">
        <v>161</v>
      </c>
      <c r="K625" s="29">
        <v>0</v>
      </c>
      <c r="L625" s="29" t="s">
        <v>90</v>
      </c>
      <c r="Q625" t="str">
        <v>Mujer</v>
      </c>
    </row>
    <row r="626" spans="3:17" x14ac:dyDescent="0.2">
      <c r="C626" s="28">
        <v>1</v>
      </c>
      <c r="D626" s="29">
        <v>2</v>
      </c>
      <c r="E626" s="29" t="s">
        <v>711</v>
      </c>
      <c r="F626" s="29" t="s">
        <v>92</v>
      </c>
      <c r="G626" s="29">
        <v>4</v>
      </c>
      <c r="H626" s="29">
        <v>2</v>
      </c>
      <c r="I626" s="29">
        <v>1</v>
      </c>
      <c r="J626" s="29">
        <v>39</v>
      </c>
      <c r="K626" s="29">
        <v>1</v>
      </c>
      <c r="L626" s="29" t="s">
        <v>90</v>
      </c>
      <c r="Q626" t="str">
        <v>Hombre</v>
      </c>
    </row>
    <row r="627" spans="3:17" x14ac:dyDescent="0.2">
      <c r="C627" s="28">
        <v>0</v>
      </c>
      <c r="D627" s="29">
        <v>2</v>
      </c>
      <c r="E627" s="29" t="s">
        <v>712</v>
      </c>
      <c r="F627" s="29" t="s">
        <v>89</v>
      </c>
      <c r="G627" s="29">
        <v>26</v>
      </c>
      <c r="H627" s="29">
        <v>0</v>
      </c>
      <c r="I627" s="29">
        <v>0</v>
      </c>
      <c r="J627" s="29">
        <v>105</v>
      </c>
      <c r="K627" s="29">
        <v>0</v>
      </c>
      <c r="L627" s="29" t="s">
        <v>90</v>
      </c>
      <c r="Q627" t="str">
        <v>Hombre</v>
      </c>
    </row>
    <row r="628" spans="3:17" x14ac:dyDescent="0.2">
      <c r="C628" s="28">
        <v>0</v>
      </c>
      <c r="D628" s="29">
        <v>3</v>
      </c>
      <c r="E628" s="29" t="s">
        <v>713</v>
      </c>
      <c r="F628" s="29" t="s">
        <v>89</v>
      </c>
      <c r="G628" s="29">
        <v>27</v>
      </c>
      <c r="H628" s="29">
        <v>1</v>
      </c>
      <c r="I628" s="29">
        <v>0</v>
      </c>
      <c r="J628" s="29">
        <v>144542</v>
      </c>
      <c r="K628" s="29">
        <v>0</v>
      </c>
      <c r="L628" s="29" t="s">
        <v>93</v>
      </c>
      <c r="Q628" t="str">
        <v>Hombre</v>
      </c>
    </row>
    <row r="629" spans="3:17" x14ac:dyDescent="0.2">
      <c r="C629" s="28">
        <v>1</v>
      </c>
      <c r="D629" s="29">
        <v>1</v>
      </c>
      <c r="E629" s="29" t="s">
        <v>714</v>
      </c>
      <c r="F629" s="29" t="s">
        <v>89</v>
      </c>
      <c r="G629" s="29">
        <v>42</v>
      </c>
      <c r="H629" s="29">
        <v>1</v>
      </c>
      <c r="I629" s="29">
        <v>0</v>
      </c>
      <c r="J629" s="29">
        <v>525542</v>
      </c>
      <c r="K629" s="29">
        <v>1</v>
      </c>
      <c r="L629" s="29" t="s">
        <v>90</v>
      </c>
      <c r="Q629" t="str">
        <v>Hombre</v>
      </c>
    </row>
    <row r="630" spans="3:17" x14ac:dyDescent="0.2">
      <c r="C630" s="28">
        <v>1</v>
      </c>
      <c r="D630" s="29">
        <v>3</v>
      </c>
      <c r="E630" s="29" t="s">
        <v>715</v>
      </c>
      <c r="F630" s="29" t="s">
        <v>89</v>
      </c>
      <c r="G630" s="29">
        <v>20</v>
      </c>
      <c r="H630" s="29">
        <v>1</v>
      </c>
      <c r="I630" s="29">
        <v>1</v>
      </c>
      <c r="J630" s="29">
        <v>157417</v>
      </c>
      <c r="K630" s="29">
        <v>0</v>
      </c>
      <c r="L630" s="29" t="s">
        <v>93</v>
      </c>
      <c r="Q630" t="str">
        <v>Hombre</v>
      </c>
    </row>
    <row r="631" spans="3:17" x14ac:dyDescent="0.2">
      <c r="C631" s="28">
        <v>0</v>
      </c>
      <c r="D631" s="29">
        <v>3</v>
      </c>
      <c r="E631" s="29" t="s">
        <v>716</v>
      </c>
      <c r="F631" s="29" t="s">
        <v>89</v>
      </c>
      <c r="G631" s="29">
        <v>21</v>
      </c>
      <c r="H631" s="29">
        <v>0</v>
      </c>
      <c r="I631" s="29">
        <v>0</v>
      </c>
      <c r="J631" s="29">
        <v>78542</v>
      </c>
      <c r="K631" s="29">
        <v>0</v>
      </c>
      <c r="L631" s="29" t="s">
        <v>90</v>
      </c>
      <c r="Q631" t="str">
        <v>Hombre</v>
      </c>
    </row>
    <row r="632" spans="3:17" x14ac:dyDescent="0.2">
      <c r="C632" s="28">
        <v>0</v>
      </c>
      <c r="D632" s="29">
        <v>3</v>
      </c>
      <c r="E632" s="29" t="s">
        <v>717</v>
      </c>
      <c r="F632" s="29" t="s">
        <v>89</v>
      </c>
      <c r="G632" s="29">
        <v>21</v>
      </c>
      <c r="H632" s="29">
        <v>0</v>
      </c>
      <c r="I632" s="29">
        <v>0</v>
      </c>
      <c r="J632" s="29">
        <v>161</v>
      </c>
      <c r="K632" s="29">
        <v>0</v>
      </c>
      <c r="L632" s="29" t="s">
        <v>90</v>
      </c>
      <c r="Q632" t="str">
        <v>Hombre</v>
      </c>
    </row>
    <row r="633" spans="3:17" x14ac:dyDescent="0.2">
      <c r="C633" s="28">
        <v>0</v>
      </c>
      <c r="D633" s="29">
        <v>1</v>
      </c>
      <c r="E633" s="29" t="s">
        <v>718</v>
      </c>
      <c r="F633" s="29" t="s">
        <v>89</v>
      </c>
      <c r="G633" s="29">
        <v>61</v>
      </c>
      <c r="H633" s="29">
        <v>0</v>
      </c>
      <c r="I633" s="29">
        <v>0</v>
      </c>
      <c r="J633" s="29">
        <v>323208</v>
      </c>
      <c r="K633" s="29">
        <v>1</v>
      </c>
      <c r="L633" s="29" t="s">
        <v>90</v>
      </c>
      <c r="Q633" t="str">
        <v>Hombre</v>
      </c>
    </row>
    <row r="634" spans="3:17" x14ac:dyDescent="0.2">
      <c r="C634" s="28">
        <v>0</v>
      </c>
      <c r="D634" s="29">
        <v>2</v>
      </c>
      <c r="E634" s="29" t="s">
        <v>719</v>
      </c>
      <c r="F634" s="29" t="s">
        <v>89</v>
      </c>
      <c r="G634" s="29">
        <v>57</v>
      </c>
      <c r="H634" s="29">
        <v>0</v>
      </c>
      <c r="I634" s="29">
        <v>0</v>
      </c>
      <c r="J634" s="29">
        <v>1235</v>
      </c>
      <c r="K634" s="29">
        <v>0</v>
      </c>
      <c r="L634" s="29" t="s">
        <v>98</v>
      </c>
      <c r="Q634" t="str">
        <v>Mujer</v>
      </c>
    </row>
    <row r="635" spans="3:17" x14ac:dyDescent="0.2">
      <c r="C635" s="28">
        <v>1</v>
      </c>
      <c r="D635" s="29">
        <v>1</v>
      </c>
      <c r="E635" s="29" t="s">
        <v>720</v>
      </c>
      <c r="F635" s="29" t="s">
        <v>92</v>
      </c>
      <c r="G635" s="29">
        <v>21</v>
      </c>
      <c r="H635" s="29">
        <v>0</v>
      </c>
      <c r="I635" s="29">
        <v>0</v>
      </c>
      <c r="J635" s="29">
        <v>779583</v>
      </c>
      <c r="K635" s="29">
        <v>1</v>
      </c>
      <c r="L635" s="29" t="s">
        <v>90</v>
      </c>
      <c r="Q635" t="str">
        <v>Hombre</v>
      </c>
    </row>
    <row r="636" spans="3:17" x14ac:dyDescent="0.2">
      <c r="C636" s="28">
        <v>0</v>
      </c>
      <c r="D636" s="29">
        <v>3</v>
      </c>
      <c r="E636" s="29" t="s">
        <v>721</v>
      </c>
      <c r="F636" s="29" t="s">
        <v>89</v>
      </c>
      <c r="G636" s="29">
        <v>26</v>
      </c>
      <c r="H636" s="29">
        <v>0</v>
      </c>
      <c r="I636" s="29">
        <v>0</v>
      </c>
      <c r="J636" s="29">
        <v>78958</v>
      </c>
      <c r="K636" s="29">
        <v>0</v>
      </c>
      <c r="L636" s="29" t="s">
        <v>90</v>
      </c>
      <c r="Q636" t="str">
        <v>Hombre</v>
      </c>
    </row>
    <row r="637" spans="3:17" x14ac:dyDescent="0.2">
      <c r="C637" s="28">
        <v>0</v>
      </c>
      <c r="D637" s="29">
        <v>3</v>
      </c>
      <c r="E637" s="29" t="s">
        <v>722</v>
      </c>
      <c r="F637" s="29" t="s">
        <v>89</v>
      </c>
      <c r="G637" s="30"/>
      <c r="H637" s="29">
        <v>0</v>
      </c>
      <c r="I637" s="29">
        <v>0</v>
      </c>
      <c r="J637" s="29">
        <v>77333</v>
      </c>
      <c r="K637" s="29">
        <v>0</v>
      </c>
      <c r="L637" s="29" t="s">
        <v>98</v>
      </c>
      <c r="Q637" t="str">
        <v>Hombre</v>
      </c>
    </row>
    <row r="638" spans="3:17" x14ac:dyDescent="0.2">
      <c r="C638" s="28">
        <v>1</v>
      </c>
      <c r="D638" s="29">
        <v>1</v>
      </c>
      <c r="E638" s="29" t="s">
        <v>723</v>
      </c>
      <c r="F638" s="29" t="s">
        <v>89</v>
      </c>
      <c r="G638" s="29">
        <v>80</v>
      </c>
      <c r="H638" s="29">
        <v>0</v>
      </c>
      <c r="I638" s="29">
        <v>0</v>
      </c>
      <c r="J638" s="29">
        <v>30</v>
      </c>
      <c r="K638" s="29">
        <v>1</v>
      </c>
      <c r="L638" s="29" t="s">
        <v>90</v>
      </c>
      <c r="Q638" t="str">
        <v>Hombre</v>
      </c>
    </row>
    <row r="639" spans="3:17" x14ac:dyDescent="0.2">
      <c r="C639" s="28">
        <v>0</v>
      </c>
      <c r="D639" s="29">
        <v>3</v>
      </c>
      <c r="E639" s="29" t="s">
        <v>724</v>
      </c>
      <c r="F639" s="29" t="s">
        <v>89</v>
      </c>
      <c r="G639" s="29">
        <v>51</v>
      </c>
      <c r="H639" s="29">
        <v>0</v>
      </c>
      <c r="I639" s="29">
        <v>0</v>
      </c>
      <c r="J639" s="29">
        <v>70542</v>
      </c>
      <c r="K639" s="29">
        <v>0</v>
      </c>
      <c r="L639" s="29" t="s">
        <v>90</v>
      </c>
      <c r="Q639" t="str">
        <v>Hombre</v>
      </c>
    </row>
    <row r="640" spans="3:17" x14ac:dyDescent="0.2">
      <c r="C640" s="28">
        <v>1</v>
      </c>
      <c r="D640" s="29">
        <v>1</v>
      </c>
      <c r="E640" s="29" t="s">
        <v>725</v>
      </c>
      <c r="F640" s="29" t="s">
        <v>89</v>
      </c>
      <c r="G640" s="29">
        <v>32</v>
      </c>
      <c r="H640" s="29">
        <v>0</v>
      </c>
      <c r="I640" s="29">
        <v>0</v>
      </c>
      <c r="J640" s="29">
        <v>305</v>
      </c>
      <c r="K640" s="29">
        <v>1</v>
      </c>
      <c r="L640" s="29" t="s">
        <v>93</v>
      </c>
      <c r="Q640" t="str">
        <v>Hombre</v>
      </c>
    </row>
    <row r="641" spans="3:17" x14ac:dyDescent="0.2">
      <c r="C641" s="28">
        <v>0</v>
      </c>
      <c r="D641" s="29">
        <v>1</v>
      </c>
      <c r="E641" s="29" t="s">
        <v>726</v>
      </c>
      <c r="F641" s="29" t="s">
        <v>89</v>
      </c>
      <c r="G641" s="30"/>
      <c r="H641" s="29">
        <v>0</v>
      </c>
      <c r="I641" s="29">
        <v>0</v>
      </c>
      <c r="J641" s="29">
        <v>0</v>
      </c>
      <c r="K641" s="29">
        <v>0</v>
      </c>
      <c r="L641" s="29" t="s">
        <v>90</v>
      </c>
      <c r="Q641" t="str">
        <v>Mujer</v>
      </c>
    </row>
    <row r="642" spans="3:17" x14ac:dyDescent="0.2">
      <c r="C642" s="28">
        <v>0</v>
      </c>
      <c r="D642" s="29">
        <v>3</v>
      </c>
      <c r="E642" s="29" t="s">
        <v>727</v>
      </c>
      <c r="F642" s="29" t="s">
        <v>92</v>
      </c>
      <c r="G642" s="29">
        <v>9</v>
      </c>
      <c r="H642" s="29">
        <v>3</v>
      </c>
      <c r="I642" s="29">
        <v>2</v>
      </c>
      <c r="J642" s="29">
        <v>279</v>
      </c>
      <c r="K642" s="29">
        <v>0</v>
      </c>
      <c r="L642" s="29" t="s">
        <v>90</v>
      </c>
      <c r="Q642" t="str">
        <v>Mujer</v>
      </c>
    </row>
    <row r="643" spans="3:17" x14ac:dyDescent="0.2">
      <c r="C643" s="28">
        <v>1</v>
      </c>
      <c r="D643" s="29">
        <v>2</v>
      </c>
      <c r="E643" s="29" t="s">
        <v>728</v>
      </c>
      <c r="F643" s="29" t="s">
        <v>92</v>
      </c>
      <c r="G643" s="29">
        <v>28</v>
      </c>
      <c r="H643" s="29">
        <v>0</v>
      </c>
      <c r="I643" s="29">
        <v>0</v>
      </c>
      <c r="J643" s="29">
        <v>13</v>
      </c>
      <c r="K643" s="29">
        <v>0</v>
      </c>
      <c r="L643" s="29" t="s">
        <v>90</v>
      </c>
      <c r="Q643" t="str">
        <v>Hombre</v>
      </c>
    </row>
    <row r="644" spans="3:17" x14ac:dyDescent="0.2">
      <c r="C644" s="28">
        <v>0</v>
      </c>
      <c r="D644" s="29">
        <v>3</v>
      </c>
      <c r="E644" s="29" t="s">
        <v>729</v>
      </c>
      <c r="F644" s="29" t="s">
        <v>89</v>
      </c>
      <c r="G644" s="29">
        <v>32</v>
      </c>
      <c r="H644" s="29">
        <v>0</v>
      </c>
      <c r="I644" s="29">
        <v>0</v>
      </c>
      <c r="J644" s="29">
        <v>7925</v>
      </c>
      <c r="K644" s="29">
        <v>0</v>
      </c>
      <c r="L644" s="29" t="s">
        <v>90</v>
      </c>
      <c r="Q644" t="str">
        <v>Hombre</v>
      </c>
    </row>
    <row r="645" spans="3:17" x14ac:dyDescent="0.2">
      <c r="C645" s="28">
        <v>0</v>
      </c>
      <c r="D645" s="29">
        <v>2</v>
      </c>
      <c r="E645" s="29" t="s">
        <v>730</v>
      </c>
      <c r="F645" s="29" t="s">
        <v>89</v>
      </c>
      <c r="G645" s="29">
        <v>31</v>
      </c>
      <c r="H645" s="29">
        <v>1</v>
      </c>
      <c r="I645" s="29">
        <v>1</v>
      </c>
      <c r="J645" s="29">
        <v>2625</v>
      </c>
      <c r="K645" s="29">
        <v>0</v>
      </c>
      <c r="L645" s="29" t="s">
        <v>90</v>
      </c>
      <c r="Q645" t="str">
        <v>Mujer</v>
      </c>
    </row>
    <row r="646" spans="3:17" x14ac:dyDescent="0.2">
      <c r="C646" s="28">
        <v>0</v>
      </c>
      <c r="D646" s="29">
        <v>3</v>
      </c>
      <c r="E646" s="29" t="s">
        <v>731</v>
      </c>
      <c r="F646" s="29" t="s">
        <v>92</v>
      </c>
      <c r="G646" s="29">
        <v>41</v>
      </c>
      <c r="H646" s="29">
        <v>0</v>
      </c>
      <c r="I646" s="29">
        <v>5</v>
      </c>
      <c r="J646" s="29">
        <v>396875</v>
      </c>
      <c r="K646" s="29">
        <v>0</v>
      </c>
      <c r="L646" s="29" t="s">
        <v>90</v>
      </c>
      <c r="Q646" t="str">
        <v>Hombre</v>
      </c>
    </row>
    <row r="647" spans="3:17" x14ac:dyDescent="0.2">
      <c r="C647" s="28">
        <v>0</v>
      </c>
      <c r="D647" s="29">
        <v>3</v>
      </c>
      <c r="E647" s="29" t="s">
        <v>732</v>
      </c>
      <c r="F647" s="29" t="s">
        <v>89</v>
      </c>
      <c r="G647" s="30"/>
      <c r="H647" s="29">
        <v>1</v>
      </c>
      <c r="I647" s="29">
        <v>0</v>
      </c>
      <c r="J647" s="29">
        <v>161</v>
      </c>
      <c r="K647" s="29">
        <v>0</v>
      </c>
      <c r="L647" s="29" t="s">
        <v>90</v>
      </c>
      <c r="Q647" t="str">
        <v>Hombre</v>
      </c>
    </row>
    <row r="648" spans="3:17" x14ac:dyDescent="0.2">
      <c r="C648" s="28">
        <v>0</v>
      </c>
      <c r="D648" s="29">
        <v>3</v>
      </c>
      <c r="E648" s="29" t="s">
        <v>733</v>
      </c>
      <c r="F648" s="29" t="s">
        <v>89</v>
      </c>
      <c r="G648" s="29">
        <v>20</v>
      </c>
      <c r="H648" s="29">
        <v>0</v>
      </c>
      <c r="I648" s="29">
        <v>0</v>
      </c>
      <c r="J648" s="29">
        <v>78542</v>
      </c>
      <c r="K648" s="29">
        <v>0</v>
      </c>
      <c r="L648" s="29" t="s">
        <v>90</v>
      </c>
      <c r="Q648" t="str">
        <v>Mujer</v>
      </c>
    </row>
    <row r="649" spans="3:17" x14ac:dyDescent="0.2">
      <c r="C649" s="28">
        <v>1</v>
      </c>
      <c r="D649" s="29">
        <v>1</v>
      </c>
      <c r="E649" s="29" t="s">
        <v>734</v>
      </c>
      <c r="F649" s="29" t="s">
        <v>92</v>
      </c>
      <c r="G649" s="29">
        <v>24</v>
      </c>
      <c r="H649" s="29">
        <v>0</v>
      </c>
      <c r="I649" s="29">
        <v>0</v>
      </c>
      <c r="J649" s="29">
        <v>693</v>
      </c>
      <c r="K649" s="29">
        <v>1</v>
      </c>
      <c r="L649" s="29" t="s">
        <v>93</v>
      </c>
      <c r="Q649" t="str">
        <v>Mujer</v>
      </c>
    </row>
    <row r="650" spans="3:17" x14ac:dyDescent="0.2">
      <c r="C650" s="28">
        <v>0</v>
      </c>
      <c r="D650" s="29">
        <v>3</v>
      </c>
      <c r="E650" s="29" t="s">
        <v>735</v>
      </c>
      <c r="F650" s="29" t="s">
        <v>92</v>
      </c>
      <c r="G650" s="29">
        <v>2</v>
      </c>
      <c r="H650" s="29">
        <v>3</v>
      </c>
      <c r="I650" s="29">
        <v>2</v>
      </c>
      <c r="J650" s="29">
        <v>279</v>
      </c>
      <c r="K650" s="29">
        <v>0</v>
      </c>
      <c r="L650" s="29" t="s">
        <v>90</v>
      </c>
      <c r="Q650" t="str">
        <v>Hombre</v>
      </c>
    </row>
    <row r="651" spans="3:17" x14ac:dyDescent="0.2">
      <c r="C651" s="28">
        <v>1</v>
      </c>
      <c r="D651" s="29">
        <v>3</v>
      </c>
      <c r="E651" s="29" t="s">
        <v>736</v>
      </c>
      <c r="F651" s="29" t="s">
        <v>89</v>
      </c>
      <c r="G651" s="30"/>
      <c r="H651" s="29">
        <v>0</v>
      </c>
      <c r="I651" s="29">
        <v>0</v>
      </c>
      <c r="J651" s="29">
        <v>564958</v>
      </c>
      <c r="K651" s="29">
        <v>0</v>
      </c>
      <c r="L651" s="29" t="s">
        <v>90</v>
      </c>
      <c r="Q651" t="str">
        <v>Mujer</v>
      </c>
    </row>
    <row r="652" spans="3:17" x14ac:dyDescent="0.2">
      <c r="C652" s="28">
        <v>1</v>
      </c>
      <c r="D652" s="29">
        <v>3</v>
      </c>
      <c r="E652" s="29" t="s">
        <v>737</v>
      </c>
      <c r="F652" s="29" t="s">
        <v>92</v>
      </c>
      <c r="G652" s="29">
        <v>75</v>
      </c>
      <c r="H652" s="29">
        <v>2</v>
      </c>
      <c r="I652" s="29">
        <v>1</v>
      </c>
      <c r="J652" s="29">
        <v>192583</v>
      </c>
      <c r="K652" s="29">
        <v>0</v>
      </c>
      <c r="L652" s="29" t="s">
        <v>93</v>
      </c>
      <c r="Q652" t="str">
        <v>Hombre</v>
      </c>
    </row>
    <row r="653" spans="3:17" x14ac:dyDescent="0.2">
      <c r="C653" s="28">
        <v>1</v>
      </c>
      <c r="D653" s="29">
        <v>1</v>
      </c>
      <c r="E653" s="29" t="s">
        <v>738</v>
      </c>
      <c r="F653" s="29" t="s">
        <v>89</v>
      </c>
      <c r="G653" s="29">
        <v>48</v>
      </c>
      <c r="H653" s="29">
        <v>1</v>
      </c>
      <c r="I653" s="29">
        <v>0</v>
      </c>
      <c r="J653" s="29">
        <v>767292</v>
      </c>
      <c r="K653" s="29">
        <v>1</v>
      </c>
      <c r="L653" s="29" t="s">
        <v>93</v>
      </c>
      <c r="Q653" t="str">
        <v>Hombre</v>
      </c>
    </row>
    <row r="654" spans="3:17" x14ac:dyDescent="0.2">
      <c r="C654" s="28">
        <v>0</v>
      </c>
      <c r="D654" s="29">
        <v>3</v>
      </c>
      <c r="E654" s="29" t="s">
        <v>739</v>
      </c>
      <c r="F654" s="29" t="s">
        <v>89</v>
      </c>
      <c r="G654" s="29">
        <v>19</v>
      </c>
      <c r="H654" s="29">
        <v>0</v>
      </c>
      <c r="I654" s="29">
        <v>0</v>
      </c>
      <c r="J654" s="29">
        <v>78958</v>
      </c>
      <c r="K654" s="29">
        <v>0</v>
      </c>
      <c r="L654" s="29" t="s">
        <v>90</v>
      </c>
      <c r="Q654" t="str">
        <v>Hombre</v>
      </c>
    </row>
    <row r="655" spans="3:17" x14ac:dyDescent="0.2">
      <c r="C655" s="28">
        <v>1</v>
      </c>
      <c r="D655" s="29">
        <v>1</v>
      </c>
      <c r="E655" s="29" t="s">
        <v>740</v>
      </c>
      <c r="F655" s="29" t="s">
        <v>89</v>
      </c>
      <c r="G655" s="29">
        <v>56</v>
      </c>
      <c r="H655" s="29">
        <v>0</v>
      </c>
      <c r="I655" s="29">
        <v>0</v>
      </c>
      <c r="J655" s="29">
        <v>355</v>
      </c>
      <c r="K655" s="29">
        <v>1</v>
      </c>
      <c r="L655" s="29" t="s">
        <v>93</v>
      </c>
      <c r="Q655" t="str">
        <v>Hombre</v>
      </c>
    </row>
    <row r="656" spans="3:17" x14ac:dyDescent="0.2">
      <c r="C656" s="28">
        <v>0</v>
      </c>
      <c r="D656" s="29">
        <v>3</v>
      </c>
      <c r="E656" s="29" t="s">
        <v>741</v>
      </c>
      <c r="F656" s="29" t="s">
        <v>89</v>
      </c>
      <c r="G656" s="30"/>
      <c r="H656" s="29">
        <v>0</v>
      </c>
      <c r="I656" s="29">
        <v>0</v>
      </c>
      <c r="J656" s="29">
        <v>755</v>
      </c>
      <c r="K656" s="29">
        <v>0</v>
      </c>
      <c r="L656" s="29" t="s">
        <v>90</v>
      </c>
      <c r="Q656" t="str">
        <v>Mujer</v>
      </c>
    </row>
    <row r="657" spans="3:17" x14ac:dyDescent="0.2">
      <c r="C657" s="28">
        <v>1</v>
      </c>
      <c r="D657" s="29">
        <v>3</v>
      </c>
      <c r="E657" s="29" t="s">
        <v>742</v>
      </c>
      <c r="F657" s="29" t="s">
        <v>92</v>
      </c>
      <c r="G657" s="29">
        <v>23</v>
      </c>
      <c r="H657" s="29">
        <v>0</v>
      </c>
      <c r="I657" s="29">
        <v>0</v>
      </c>
      <c r="J657" s="29">
        <v>755</v>
      </c>
      <c r="K657" s="29">
        <v>0</v>
      </c>
      <c r="L657" s="29" t="s">
        <v>90</v>
      </c>
      <c r="Q657" t="str">
        <v>Hombre</v>
      </c>
    </row>
    <row r="658" spans="3:17" x14ac:dyDescent="0.2">
      <c r="C658" s="28">
        <v>0</v>
      </c>
      <c r="D658" s="29">
        <v>3</v>
      </c>
      <c r="E658" s="29" t="s">
        <v>743</v>
      </c>
      <c r="F658" s="29" t="s">
        <v>89</v>
      </c>
      <c r="G658" s="30"/>
      <c r="H658" s="29">
        <v>0</v>
      </c>
      <c r="I658" s="29">
        <v>0</v>
      </c>
      <c r="J658" s="29">
        <v>78958</v>
      </c>
      <c r="K658" s="29">
        <v>0</v>
      </c>
      <c r="L658" s="29" t="s">
        <v>90</v>
      </c>
      <c r="Q658" t="str">
        <v>Mujer</v>
      </c>
    </row>
    <row r="659" spans="3:17" x14ac:dyDescent="0.2">
      <c r="C659" s="28">
        <v>1</v>
      </c>
      <c r="D659" s="29">
        <v>2</v>
      </c>
      <c r="E659" s="29" t="s">
        <v>744</v>
      </c>
      <c r="F659" s="29" t="s">
        <v>92</v>
      </c>
      <c r="G659" s="29">
        <v>18</v>
      </c>
      <c r="H659" s="29">
        <v>0</v>
      </c>
      <c r="I659" s="29">
        <v>1</v>
      </c>
      <c r="J659" s="29">
        <v>23</v>
      </c>
      <c r="K659" s="29">
        <v>0</v>
      </c>
      <c r="L659" s="29" t="s">
        <v>90</v>
      </c>
      <c r="Q659" t="str">
        <v>Hombre</v>
      </c>
    </row>
    <row r="660" spans="3:17" x14ac:dyDescent="0.2">
      <c r="C660" s="28">
        <v>0</v>
      </c>
      <c r="D660" s="29">
        <v>3</v>
      </c>
      <c r="E660" s="29" t="s">
        <v>745</v>
      </c>
      <c r="F660" s="29" t="s">
        <v>89</v>
      </c>
      <c r="G660" s="29">
        <v>21</v>
      </c>
      <c r="H660" s="29">
        <v>0</v>
      </c>
      <c r="I660" s="29">
        <v>0</v>
      </c>
      <c r="J660" s="29">
        <v>84333</v>
      </c>
      <c r="K660" s="29">
        <v>0</v>
      </c>
      <c r="L660" s="29" t="s">
        <v>90</v>
      </c>
      <c r="Q660" t="str">
        <v>Mujer</v>
      </c>
    </row>
    <row r="661" spans="3:17" x14ac:dyDescent="0.2">
      <c r="C661" s="28">
        <v>1</v>
      </c>
      <c r="D661" s="29">
        <v>3</v>
      </c>
      <c r="E661" s="29" t="s">
        <v>746</v>
      </c>
      <c r="F661" s="29" t="s">
        <v>92</v>
      </c>
      <c r="G661" s="30"/>
      <c r="H661" s="29">
        <v>0</v>
      </c>
      <c r="I661" s="29">
        <v>0</v>
      </c>
      <c r="J661" s="29">
        <v>78292</v>
      </c>
      <c r="K661" s="29">
        <v>0</v>
      </c>
      <c r="L661" s="29" t="s">
        <v>98</v>
      </c>
      <c r="Q661" t="str">
        <v>Mujer</v>
      </c>
    </row>
    <row r="662" spans="3:17" x14ac:dyDescent="0.2">
      <c r="C662" s="28">
        <v>0</v>
      </c>
      <c r="D662" s="29">
        <v>3</v>
      </c>
      <c r="E662" s="29" t="s">
        <v>747</v>
      </c>
      <c r="F662" s="29" t="s">
        <v>92</v>
      </c>
      <c r="G662" s="29">
        <v>18</v>
      </c>
      <c r="H662" s="29">
        <v>0</v>
      </c>
      <c r="I662" s="29">
        <v>0</v>
      </c>
      <c r="J662" s="29">
        <v>675</v>
      </c>
      <c r="K662" s="29">
        <v>0</v>
      </c>
      <c r="L662" s="29" t="s">
        <v>98</v>
      </c>
      <c r="Q662" t="str">
        <v>Hombre</v>
      </c>
    </row>
    <row r="663" spans="3:17" x14ac:dyDescent="0.2">
      <c r="C663" s="28">
        <v>0</v>
      </c>
      <c r="D663" s="29">
        <v>2</v>
      </c>
      <c r="E663" s="29" t="s">
        <v>748</v>
      </c>
      <c r="F663" s="29" t="s">
        <v>89</v>
      </c>
      <c r="G663" s="29">
        <v>24</v>
      </c>
      <c r="H663" s="29">
        <v>2</v>
      </c>
      <c r="I663" s="29">
        <v>0</v>
      </c>
      <c r="J663" s="29">
        <v>735</v>
      </c>
      <c r="K663" s="29">
        <v>0</v>
      </c>
      <c r="L663" s="29" t="s">
        <v>90</v>
      </c>
      <c r="Q663" t="str">
        <v>Hombre</v>
      </c>
    </row>
    <row r="664" spans="3:17" x14ac:dyDescent="0.2">
      <c r="C664" s="28">
        <v>0</v>
      </c>
      <c r="D664" s="29">
        <v>3</v>
      </c>
      <c r="E664" s="29" t="s">
        <v>749</v>
      </c>
      <c r="F664" s="29" t="s">
        <v>89</v>
      </c>
      <c r="G664" s="30"/>
      <c r="H664" s="29">
        <v>0</v>
      </c>
      <c r="I664" s="29">
        <v>0</v>
      </c>
      <c r="J664" s="29">
        <v>78958</v>
      </c>
      <c r="K664" s="29">
        <v>0</v>
      </c>
      <c r="L664" s="29" t="s">
        <v>90</v>
      </c>
      <c r="Q664" t="str">
        <v>Mujer</v>
      </c>
    </row>
    <row r="665" spans="3:17" x14ac:dyDescent="0.2">
      <c r="C665" s="28">
        <v>0</v>
      </c>
      <c r="D665" s="29">
        <v>3</v>
      </c>
      <c r="E665" s="29" t="s">
        <v>750</v>
      </c>
      <c r="F665" s="29" t="s">
        <v>92</v>
      </c>
      <c r="G665" s="29">
        <v>32</v>
      </c>
      <c r="H665" s="29">
        <v>1</v>
      </c>
      <c r="I665" s="29">
        <v>1</v>
      </c>
      <c r="J665" s="29">
        <v>155</v>
      </c>
      <c r="K665" s="29">
        <v>0</v>
      </c>
      <c r="L665" s="29" t="s">
        <v>98</v>
      </c>
      <c r="Q665" t="str">
        <v>Hombre</v>
      </c>
    </row>
    <row r="666" spans="3:17" x14ac:dyDescent="0.2">
      <c r="C666" s="28">
        <v>0</v>
      </c>
      <c r="D666" s="29">
        <v>2</v>
      </c>
      <c r="E666" s="29" t="s">
        <v>751</v>
      </c>
      <c r="F666" s="29" t="s">
        <v>89</v>
      </c>
      <c r="G666" s="29">
        <v>23</v>
      </c>
      <c r="H666" s="29">
        <v>0</v>
      </c>
      <c r="I666" s="29">
        <v>0</v>
      </c>
      <c r="J666" s="29">
        <v>13</v>
      </c>
      <c r="K666" s="29">
        <v>0</v>
      </c>
      <c r="L666" s="29" t="s">
        <v>90</v>
      </c>
      <c r="Q666" t="str">
        <v>Hombre</v>
      </c>
    </row>
    <row r="667" spans="3:17" x14ac:dyDescent="0.2">
      <c r="C667" s="28">
        <v>0</v>
      </c>
      <c r="D667" s="29">
        <v>1</v>
      </c>
      <c r="E667" s="29" t="s">
        <v>752</v>
      </c>
      <c r="F667" s="29" t="s">
        <v>89</v>
      </c>
      <c r="G667" s="29">
        <v>58</v>
      </c>
      <c r="H667" s="29">
        <v>0</v>
      </c>
      <c r="I667" s="29">
        <v>2</v>
      </c>
      <c r="J667" s="29">
        <v>113275</v>
      </c>
      <c r="K667" s="29">
        <v>1</v>
      </c>
      <c r="L667" s="29" t="s">
        <v>93</v>
      </c>
      <c r="Q667" t="str">
        <v>Hombre</v>
      </c>
    </row>
    <row r="668" spans="3:17" x14ac:dyDescent="0.2">
      <c r="C668" s="28">
        <v>1</v>
      </c>
      <c r="D668" s="29">
        <v>1</v>
      </c>
      <c r="E668" s="29" t="s">
        <v>753</v>
      </c>
      <c r="F668" s="29" t="s">
        <v>89</v>
      </c>
      <c r="G668" s="29">
        <v>50</v>
      </c>
      <c r="H668" s="29">
        <v>2</v>
      </c>
      <c r="I668" s="29">
        <v>0</v>
      </c>
      <c r="J668" s="29">
        <v>13365</v>
      </c>
      <c r="K668" s="29">
        <v>0</v>
      </c>
      <c r="L668" s="29" t="s">
        <v>90</v>
      </c>
      <c r="Q668" t="str">
        <v>Hombre</v>
      </c>
    </row>
    <row r="669" spans="3:17" x14ac:dyDescent="0.2">
      <c r="C669" s="28">
        <v>0</v>
      </c>
      <c r="D669" s="29">
        <v>3</v>
      </c>
      <c r="E669" s="29" t="s">
        <v>754</v>
      </c>
      <c r="F669" s="29" t="s">
        <v>89</v>
      </c>
      <c r="G669" s="29">
        <v>40</v>
      </c>
      <c r="H669" s="29">
        <v>0</v>
      </c>
      <c r="I669" s="29">
        <v>0</v>
      </c>
      <c r="J669" s="29">
        <v>7225</v>
      </c>
      <c r="K669" s="29">
        <v>0</v>
      </c>
      <c r="L669" s="29" t="s">
        <v>93</v>
      </c>
      <c r="Q669" t="str">
        <v>Hombre</v>
      </c>
    </row>
    <row r="670" spans="3:17" x14ac:dyDescent="0.2">
      <c r="C670" s="28">
        <v>0</v>
      </c>
      <c r="D670" s="29">
        <v>1</v>
      </c>
      <c r="E670" s="29" t="s">
        <v>755</v>
      </c>
      <c r="F670" s="29" t="s">
        <v>89</v>
      </c>
      <c r="G670" s="29">
        <v>47</v>
      </c>
      <c r="H670" s="29">
        <v>0</v>
      </c>
      <c r="I670" s="29">
        <v>0</v>
      </c>
      <c r="J670" s="29">
        <v>255875</v>
      </c>
      <c r="K670" s="29">
        <v>1</v>
      </c>
      <c r="L670" s="29" t="s">
        <v>90</v>
      </c>
      <c r="Q670" t="str">
        <v>Hombre</v>
      </c>
    </row>
    <row r="671" spans="3:17" x14ac:dyDescent="0.2">
      <c r="C671" s="28">
        <v>0</v>
      </c>
      <c r="D671" s="29">
        <v>3</v>
      </c>
      <c r="E671" s="29" t="s">
        <v>756</v>
      </c>
      <c r="F671" s="29" t="s">
        <v>89</v>
      </c>
      <c r="G671" s="29">
        <v>36</v>
      </c>
      <c r="H671" s="29">
        <v>0</v>
      </c>
      <c r="I671" s="29">
        <v>0</v>
      </c>
      <c r="J671" s="29">
        <v>74958</v>
      </c>
      <c r="K671" s="29">
        <v>0</v>
      </c>
      <c r="L671" s="29" t="s">
        <v>90</v>
      </c>
      <c r="Q671" t="str">
        <v>Hombre</v>
      </c>
    </row>
    <row r="672" spans="3:17" x14ac:dyDescent="0.2">
      <c r="C672" s="28">
        <v>1</v>
      </c>
      <c r="D672" s="29">
        <v>3</v>
      </c>
      <c r="E672" s="29" t="s">
        <v>757</v>
      </c>
      <c r="F672" s="29" t="s">
        <v>89</v>
      </c>
      <c r="G672" s="29">
        <v>20</v>
      </c>
      <c r="H672" s="29">
        <v>1</v>
      </c>
      <c r="I672" s="29">
        <v>0</v>
      </c>
      <c r="J672" s="29">
        <v>7925</v>
      </c>
      <c r="K672" s="29">
        <v>0</v>
      </c>
      <c r="L672" s="29" t="s">
        <v>90</v>
      </c>
      <c r="Q672" t="str">
        <v>Hombre</v>
      </c>
    </row>
    <row r="673" spans="3:17" x14ac:dyDescent="0.2">
      <c r="C673" s="28">
        <v>0</v>
      </c>
      <c r="D673" s="29">
        <v>2</v>
      </c>
      <c r="E673" s="29" t="s">
        <v>758</v>
      </c>
      <c r="F673" s="29" t="s">
        <v>89</v>
      </c>
      <c r="G673" s="29">
        <v>32</v>
      </c>
      <c r="H673" s="29">
        <v>2</v>
      </c>
      <c r="I673" s="29">
        <v>0</v>
      </c>
      <c r="J673" s="29">
        <v>735</v>
      </c>
      <c r="K673" s="29">
        <v>0</v>
      </c>
      <c r="L673" s="29" t="s">
        <v>90</v>
      </c>
      <c r="Q673" t="str">
        <v>Hombre</v>
      </c>
    </row>
    <row r="674" spans="3:17" x14ac:dyDescent="0.2">
      <c r="C674" s="28">
        <v>0</v>
      </c>
      <c r="D674" s="29">
        <v>2</v>
      </c>
      <c r="E674" s="29" t="s">
        <v>759</v>
      </c>
      <c r="F674" s="29" t="s">
        <v>89</v>
      </c>
      <c r="G674" s="29">
        <v>25</v>
      </c>
      <c r="H674" s="29">
        <v>0</v>
      </c>
      <c r="I674" s="29">
        <v>0</v>
      </c>
      <c r="J674" s="29">
        <v>13</v>
      </c>
      <c r="K674" s="29">
        <v>0</v>
      </c>
      <c r="L674" s="29" t="s">
        <v>90</v>
      </c>
      <c r="Q674" t="str">
        <v>Hombre</v>
      </c>
    </row>
    <row r="675" spans="3:17" x14ac:dyDescent="0.2">
      <c r="C675" s="28">
        <v>0</v>
      </c>
      <c r="D675" s="29">
        <v>3</v>
      </c>
      <c r="E675" s="29" t="s">
        <v>760</v>
      </c>
      <c r="F675" s="29" t="s">
        <v>89</v>
      </c>
      <c r="G675" s="30"/>
      <c r="H675" s="29">
        <v>0</v>
      </c>
      <c r="I675" s="29">
        <v>0</v>
      </c>
      <c r="J675" s="29">
        <v>7775</v>
      </c>
      <c r="K675" s="29">
        <v>0</v>
      </c>
      <c r="L675" s="29" t="s">
        <v>90</v>
      </c>
      <c r="Q675" t="str">
        <v>Hombre</v>
      </c>
    </row>
    <row r="676" spans="3:17" x14ac:dyDescent="0.2">
      <c r="C676" s="28">
        <v>0</v>
      </c>
      <c r="D676" s="29">
        <v>3</v>
      </c>
      <c r="E676" s="29" t="s">
        <v>761</v>
      </c>
      <c r="F676" s="29" t="s">
        <v>89</v>
      </c>
      <c r="G676" s="29">
        <v>43</v>
      </c>
      <c r="H676" s="29">
        <v>0</v>
      </c>
      <c r="I676" s="29">
        <v>0</v>
      </c>
      <c r="J676" s="29">
        <v>805</v>
      </c>
      <c r="K676" s="29">
        <v>0</v>
      </c>
      <c r="L676" s="29" t="s">
        <v>90</v>
      </c>
      <c r="Q676" t="str">
        <v>Mujer</v>
      </c>
    </row>
    <row r="677" spans="3:17" x14ac:dyDescent="0.2">
      <c r="C677" s="28">
        <v>1</v>
      </c>
      <c r="D677" s="29">
        <v>1</v>
      </c>
      <c r="E677" s="29" t="s">
        <v>762</v>
      </c>
      <c r="F677" s="29" t="s">
        <v>92</v>
      </c>
      <c r="G677" s="30"/>
      <c r="H677" s="29">
        <v>1</v>
      </c>
      <c r="I677" s="29">
        <v>0</v>
      </c>
      <c r="J677" s="29">
        <v>52</v>
      </c>
      <c r="K677" s="29">
        <v>1</v>
      </c>
      <c r="L677" s="29" t="s">
        <v>90</v>
      </c>
      <c r="Q677" t="str">
        <v>Mujer</v>
      </c>
    </row>
    <row r="678" spans="3:17" x14ac:dyDescent="0.2">
      <c r="C678" s="28">
        <v>1</v>
      </c>
      <c r="D678" s="29">
        <v>2</v>
      </c>
      <c r="E678" s="29" t="s">
        <v>763</v>
      </c>
      <c r="F678" s="29" t="s">
        <v>92</v>
      </c>
      <c r="G678" s="29">
        <v>40</v>
      </c>
      <c r="H678" s="29">
        <v>1</v>
      </c>
      <c r="I678" s="29">
        <v>1</v>
      </c>
      <c r="J678" s="29">
        <v>39</v>
      </c>
      <c r="K678" s="29">
        <v>0</v>
      </c>
      <c r="L678" s="29" t="s">
        <v>90</v>
      </c>
      <c r="Q678" t="str">
        <v>Hombre</v>
      </c>
    </row>
    <row r="679" spans="3:17" x14ac:dyDescent="0.2">
      <c r="C679" s="28">
        <v>0</v>
      </c>
      <c r="D679" s="29">
        <v>1</v>
      </c>
      <c r="E679" s="29" t="s">
        <v>764</v>
      </c>
      <c r="F679" s="29" t="s">
        <v>89</v>
      </c>
      <c r="G679" s="29">
        <v>31</v>
      </c>
      <c r="H679" s="29">
        <v>1</v>
      </c>
      <c r="I679" s="29">
        <v>0</v>
      </c>
      <c r="J679" s="29">
        <v>52</v>
      </c>
      <c r="K679" s="29">
        <v>1</v>
      </c>
      <c r="L679" s="29" t="s">
        <v>90</v>
      </c>
      <c r="Q679" t="str">
        <v>Hombre</v>
      </c>
    </row>
    <row r="680" spans="3:17" x14ac:dyDescent="0.2">
      <c r="C680" s="28">
        <v>0</v>
      </c>
      <c r="D680" s="29">
        <v>2</v>
      </c>
      <c r="E680" s="29" t="s">
        <v>765</v>
      </c>
      <c r="F680" s="29" t="s">
        <v>89</v>
      </c>
      <c r="G680" s="29">
        <v>70</v>
      </c>
      <c r="H680" s="29">
        <v>0</v>
      </c>
      <c r="I680" s="29">
        <v>0</v>
      </c>
      <c r="J680" s="29">
        <v>105</v>
      </c>
      <c r="K680" s="29">
        <v>0</v>
      </c>
      <c r="L680" s="29" t="s">
        <v>90</v>
      </c>
      <c r="Q680" t="str">
        <v>Hombre</v>
      </c>
    </row>
    <row r="681" spans="3:17" x14ac:dyDescent="0.2">
      <c r="C681" s="28">
        <v>1</v>
      </c>
      <c r="D681" s="29">
        <v>2</v>
      </c>
      <c r="E681" s="29" t="s">
        <v>766</v>
      </c>
      <c r="F681" s="29" t="s">
        <v>89</v>
      </c>
      <c r="G681" s="29">
        <v>31</v>
      </c>
      <c r="H681" s="29">
        <v>0</v>
      </c>
      <c r="I681" s="29">
        <v>0</v>
      </c>
      <c r="J681" s="29">
        <v>13</v>
      </c>
      <c r="K681" s="29">
        <v>0</v>
      </c>
      <c r="L681" s="29" t="s">
        <v>90</v>
      </c>
      <c r="Q681" t="str">
        <v>Hombre</v>
      </c>
    </row>
    <row r="682" spans="3:17" x14ac:dyDescent="0.2">
      <c r="C682" s="28">
        <v>0</v>
      </c>
      <c r="D682" s="29">
        <v>2</v>
      </c>
      <c r="E682" s="29" t="s">
        <v>767</v>
      </c>
      <c r="F682" s="29" t="s">
        <v>89</v>
      </c>
      <c r="G682" s="30"/>
      <c r="H682" s="29">
        <v>0</v>
      </c>
      <c r="I682" s="29">
        <v>0</v>
      </c>
      <c r="J682" s="29">
        <v>0</v>
      </c>
      <c r="K682" s="29">
        <v>0</v>
      </c>
      <c r="L682" s="29" t="s">
        <v>90</v>
      </c>
      <c r="Q682" t="str">
        <v>Hombre</v>
      </c>
    </row>
    <row r="683" spans="3:17" x14ac:dyDescent="0.2">
      <c r="C683" s="28">
        <v>0</v>
      </c>
      <c r="D683" s="29">
        <v>3</v>
      </c>
      <c r="E683" s="29" t="s">
        <v>768</v>
      </c>
      <c r="F683" s="29" t="s">
        <v>89</v>
      </c>
      <c r="G683" s="29">
        <v>18</v>
      </c>
      <c r="H683" s="29">
        <v>0</v>
      </c>
      <c r="I683" s="29">
        <v>0</v>
      </c>
      <c r="J683" s="29">
        <v>7775</v>
      </c>
      <c r="K683" s="29">
        <v>0</v>
      </c>
      <c r="L683" s="29" t="s">
        <v>90</v>
      </c>
      <c r="Q683" t="str">
        <v>Hombre</v>
      </c>
    </row>
    <row r="684" spans="3:17" x14ac:dyDescent="0.2">
      <c r="C684" s="28">
        <v>0</v>
      </c>
      <c r="D684" s="29">
        <v>3</v>
      </c>
      <c r="E684" s="29" t="s">
        <v>769</v>
      </c>
      <c r="F684" s="29" t="s">
        <v>89</v>
      </c>
      <c r="G684" s="29">
        <v>245</v>
      </c>
      <c r="H684" s="29">
        <v>0</v>
      </c>
      <c r="I684" s="29">
        <v>0</v>
      </c>
      <c r="J684" s="29">
        <v>805</v>
      </c>
      <c r="K684" s="29">
        <v>0</v>
      </c>
      <c r="L684" s="29" t="s">
        <v>90</v>
      </c>
      <c r="Q684" t="str">
        <v>Mujer</v>
      </c>
    </row>
    <row r="685" spans="3:17" x14ac:dyDescent="0.2">
      <c r="C685" s="28">
        <v>1</v>
      </c>
      <c r="D685" s="29">
        <v>3</v>
      </c>
      <c r="E685" s="29" t="s">
        <v>770</v>
      </c>
      <c r="F685" s="29" t="s">
        <v>92</v>
      </c>
      <c r="G685" s="29">
        <v>18</v>
      </c>
      <c r="H685" s="29">
        <v>0</v>
      </c>
      <c r="I685" s="29">
        <v>0</v>
      </c>
      <c r="J685" s="29">
        <v>98417</v>
      </c>
      <c r="K685" s="29">
        <v>0</v>
      </c>
      <c r="L685" s="29" t="s">
        <v>90</v>
      </c>
      <c r="Q685" t="str">
        <v>Mujer</v>
      </c>
    </row>
    <row r="686" spans="3:17" x14ac:dyDescent="0.2">
      <c r="C686" s="28">
        <v>0</v>
      </c>
      <c r="D686" s="29">
        <v>3</v>
      </c>
      <c r="E686" s="29" t="s">
        <v>771</v>
      </c>
      <c r="F686" s="29" t="s">
        <v>92</v>
      </c>
      <c r="G686" s="29">
        <v>43</v>
      </c>
      <c r="H686" s="29">
        <v>1</v>
      </c>
      <c r="I686" s="29">
        <v>6</v>
      </c>
      <c r="J686" s="29">
        <v>469</v>
      </c>
      <c r="K686" s="29">
        <v>0</v>
      </c>
      <c r="L686" s="29" t="s">
        <v>90</v>
      </c>
      <c r="Q686" t="str">
        <v>Hombre</v>
      </c>
    </row>
    <row r="687" spans="3:17" x14ac:dyDescent="0.2">
      <c r="C687" s="28">
        <v>1</v>
      </c>
      <c r="D687" s="29">
        <v>1</v>
      </c>
      <c r="E687" s="29" t="s">
        <v>772</v>
      </c>
      <c r="F687" s="29" t="s">
        <v>89</v>
      </c>
      <c r="G687" s="29">
        <v>36</v>
      </c>
      <c r="H687" s="29">
        <v>0</v>
      </c>
      <c r="I687" s="29">
        <v>1</v>
      </c>
      <c r="J687" s="29">
        <v>5123292</v>
      </c>
      <c r="K687" s="29">
        <v>1</v>
      </c>
      <c r="L687" s="29" t="s">
        <v>93</v>
      </c>
      <c r="Q687" t="str">
        <v>Mujer</v>
      </c>
    </row>
    <row r="688" spans="3:17" x14ac:dyDescent="0.2">
      <c r="C688" s="28">
        <v>0</v>
      </c>
      <c r="D688" s="29">
        <v>3</v>
      </c>
      <c r="E688" s="29" t="s">
        <v>773</v>
      </c>
      <c r="F688" s="29" t="s">
        <v>92</v>
      </c>
      <c r="G688" s="30"/>
      <c r="H688" s="29">
        <v>0</v>
      </c>
      <c r="I688" s="29">
        <v>0</v>
      </c>
      <c r="J688" s="29">
        <v>81375</v>
      </c>
      <c r="K688" s="29">
        <v>0</v>
      </c>
      <c r="L688" s="29" t="s">
        <v>98</v>
      </c>
      <c r="Q688" t="str">
        <v>Hombre</v>
      </c>
    </row>
    <row r="689" spans="3:17" x14ac:dyDescent="0.2">
      <c r="C689" s="28">
        <v>1</v>
      </c>
      <c r="D689" s="29">
        <v>1</v>
      </c>
      <c r="E689" s="29" t="s">
        <v>774</v>
      </c>
      <c r="F689" s="29" t="s">
        <v>89</v>
      </c>
      <c r="G689" s="29">
        <v>27</v>
      </c>
      <c r="H689" s="29">
        <v>0</v>
      </c>
      <c r="I689" s="29">
        <v>0</v>
      </c>
      <c r="J689" s="29">
        <v>767292</v>
      </c>
      <c r="K689" s="29">
        <v>1</v>
      </c>
      <c r="L689" s="29" t="s">
        <v>93</v>
      </c>
      <c r="Q689" t="str">
        <v>Hombre</v>
      </c>
    </row>
    <row r="690" spans="3:17" x14ac:dyDescent="0.2">
      <c r="C690" s="28">
        <v>0</v>
      </c>
      <c r="D690" s="29">
        <v>3</v>
      </c>
      <c r="E690" s="29" t="s">
        <v>775</v>
      </c>
      <c r="F690" s="29" t="s">
        <v>89</v>
      </c>
      <c r="G690" s="29">
        <v>20</v>
      </c>
      <c r="H690" s="29">
        <v>0</v>
      </c>
      <c r="I690" s="29">
        <v>0</v>
      </c>
      <c r="J690" s="29">
        <v>9225</v>
      </c>
      <c r="K690" s="29">
        <v>0</v>
      </c>
      <c r="L690" s="29" t="s">
        <v>90</v>
      </c>
      <c r="Q690" t="str">
        <v>Hombre</v>
      </c>
    </row>
    <row r="691" spans="3:17" x14ac:dyDescent="0.2">
      <c r="C691" s="28">
        <v>0</v>
      </c>
      <c r="D691" s="29">
        <v>3</v>
      </c>
      <c r="E691" s="29" t="s">
        <v>776</v>
      </c>
      <c r="F691" s="29" t="s">
        <v>89</v>
      </c>
      <c r="G691" s="29">
        <v>14</v>
      </c>
      <c r="H691" s="29">
        <v>5</v>
      </c>
      <c r="I691" s="29">
        <v>2</v>
      </c>
      <c r="J691" s="29">
        <v>469</v>
      </c>
      <c r="K691" s="29">
        <v>0</v>
      </c>
      <c r="L691" s="29" t="s">
        <v>90</v>
      </c>
      <c r="Q691" t="str">
        <v>Hombre</v>
      </c>
    </row>
    <row r="692" spans="3:17" x14ac:dyDescent="0.2">
      <c r="C692" s="28">
        <v>0</v>
      </c>
      <c r="D692" s="29">
        <v>2</v>
      </c>
      <c r="E692" s="29" t="s">
        <v>777</v>
      </c>
      <c r="F692" s="29" t="s">
        <v>89</v>
      </c>
      <c r="G692" s="29">
        <v>60</v>
      </c>
      <c r="H692" s="29">
        <v>1</v>
      </c>
      <c r="I692" s="29">
        <v>1</v>
      </c>
      <c r="J692" s="29">
        <v>39</v>
      </c>
      <c r="K692" s="29">
        <v>0</v>
      </c>
      <c r="L692" s="29" t="s">
        <v>90</v>
      </c>
      <c r="Q692" t="str">
        <v>Hombre</v>
      </c>
    </row>
    <row r="693" spans="3:17" x14ac:dyDescent="0.2">
      <c r="C693" s="28">
        <v>0</v>
      </c>
      <c r="D693" s="29">
        <v>2</v>
      </c>
      <c r="E693" s="29" t="s">
        <v>778</v>
      </c>
      <c r="F693" s="29" t="s">
        <v>89</v>
      </c>
      <c r="G693" s="29">
        <v>25</v>
      </c>
      <c r="H693" s="29">
        <v>1</v>
      </c>
      <c r="I693" s="29">
        <v>2</v>
      </c>
      <c r="J693" s="29">
        <v>415792</v>
      </c>
      <c r="K693" s="29">
        <v>0</v>
      </c>
      <c r="L693" s="29" t="s">
        <v>93</v>
      </c>
      <c r="Q693" t="str">
        <v>Hombre</v>
      </c>
    </row>
    <row r="694" spans="3:17" x14ac:dyDescent="0.2">
      <c r="C694" s="28">
        <v>0</v>
      </c>
      <c r="D694" s="29">
        <v>3</v>
      </c>
      <c r="E694" s="29" t="s">
        <v>779</v>
      </c>
      <c r="F694" s="29" t="s">
        <v>89</v>
      </c>
      <c r="G694" s="29">
        <v>14</v>
      </c>
      <c r="H694" s="29">
        <v>4</v>
      </c>
      <c r="I694" s="29">
        <v>1</v>
      </c>
      <c r="J694" s="29">
        <v>396875</v>
      </c>
      <c r="K694" s="29">
        <v>0</v>
      </c>
      <c r="L694" s="29" t="s">
        <v>90</v>
      </c>
      <c r="Q694" t="str">
        <v>Hombre</v>
      </c>
    </row>
    <row r="695" spans="3:17" x14ac:dyDescent="0.2">
      <c r="C695" s="28">
        <v>0</v>
      </c>
      <c r="D695" s="29">
        <v>3</v>
      </c>
      <c r="E695" s="29" t="s">
        <v>780</v>
      </c>
      <c r="F695" s="29" t="s">
        <v>89</v>
      </c>
      <c r="G695" s="29">
        <v>19</v>
      </c>
      <c r="H695" s="29">
        <v>0</v>
      </c>
      <c r="I695" s="29">
        <v>0</v>
      </c>
      <c r="J695" s="29">
        <v>101708</v>
      </c>
      <c r="K695" s="29">
        <v>0</v>
      </c>
      <c r="L695" s="29" t="s">
        <v>90</v>
      </c>
      <c r="Q695" t="str">
        <v>Hombre</v>
      </c>
    </row>
    <row r="696" spans="3:17" x14ac:dyDescent="0.2">
      <c r="C696" s="28">
        <v>0</v>
      </c>
      <c r="D696" s="29">
        <v>3</v>
      </c>
      <c r="E696" s="29" t="s">
        <v>781</v>
      </c>
      <c r="F696" s="29" t="s">
        <v>89</v>
      </c>
      <c r="G696" s="29">
        <v>18</v>
      </c>
      <c r="H696" s="29">
        <v>0</v>
      </c>
      <c r="I696" s="29">
        <v>0</v>
      </c>
      <c r="J696" s="29">
        <v>77958</v>
      </c>
      <c r="K696" s="29">
        <v>0</v>
      </c>
      <c r="L696" s="29" t="s">
        <v>90</v>
      </c>
      <c r="Q696" t="str">
        <v>Mujer</v>
      </c>
    </row>
    <row r="697" spans="3:17" x14ac:dyDescent="0.2">
      <c r="C697" s="28">
        <v>1</v>
      </c>
      <c r="D697" s="29">
        <v>1</v>
      </c>
      <c r="E697" s="29" t="s">
        <v>782</v>
      </c>
      <c r="F697" s="29" t="s">
        <v>92</v>
      </c>
      <c r="G697" s="29">
        <v>15</v>
      </c>
      <c r="H697" s="29">
        <v>0</v>
      </c>
      <c r="I697" s="29">
        <v>1</v>
      </c>
      <c r="J697" s="29">
        <v>2113375</v>
      </c>
      <c r="K697" s="29">
        <v>1</v>
      </c>
      <c r="L697" s="29" t="s">
        <v>90</v>
      </c>
      <c r="Q697" t="str">
        <v>Hombre</v>
      </c>
    </row>
    <row r="698" spans="3:17" x14ac:dyDescent="0.2">
      <c r="C698" s="28">
        <v>1</v>
      </c>
      <c r="D698" s="29">
        <v>1</v>
      </c>
      <c r="E698" s="29" t="s">
        <v>783</v>
      </c>
      <c r="F698" s="29" t="s">
        <v>89</v>
      </c>
      <c r="G698" s="29">
        <v>31</v>
      </c>
      <c r="H698" s="29">
        <v>1</v>
      </c>
      <c r="I698" s="29">
        <v>0</v>
      </c>
      <c r="J698" s="29">
        <v>57</v>
      </c>
      <c r="K698" s="29">
        <v>1</v>
      </c>
      <c r="L698" s="29" t="s">
        <v>90</v>
      </c>
      <c r="Q698" t="str">
        <v>Mujer</v>
      </c>
    </row>
    <row r="699" spans="3:17" x14ac:dyDescent="0.2">
      <c r="C699" s="28">
        <v>1</v>
      </c>
      <c r="D699" s="29">
        <v>3</v>
      </c>
      <c r="E699" s="29" t="s">
        <v>784</v>
      </c>
      <c r="F699" s="29" t="s">
        <v>92</v>
      </c>
      <c r="G699" s="29">
        <v>4</v>
      </c>
      <c r="H699" s="29">
        <v>0</v>
      </c>
      <c r="I699" s="29">
        <v>1</v>
      </c>
      <c r="J699" s="29">
        <v>134167</v>
      </c>
      <c r="K699" s="29">
        <v>0</v>
      </c>
      <c r="L699" s="29" t="s">
        <v>93</v>
      </c>
      <c r="Q699" t="str">
        <v>Hombre</v>
      </c>
    </row>
    <row r="700" spans="3:17" x14ac:dyDescent="0.2">
      <c r="C700" s="28">
        <v>1</v>
      </c>
      <c r="D700" s="29">
        <v>3</v>
      </c>
      <c r="E700" s="29" t="s">
        <v>785</v>
      </c>
      <c r="F700" s="29" t="s">
        <v>89</v>
      </c>
      <c r="G700" s="30"/>
      <c r="H700" s="29">
        <v>0</v>
      </c>
      <c r="I700" s="29">
        <v>0</v>
      </c>
      <c r="J700" s="29">
        <v>564958</v>
      </c>
      <c r="K700" s="29">
        <v>0</v>
      </c>
      <c r="L700" s="29" t="s">
        <v>90</v>
      </c>
      <c r="Q700" t="str">
        <v>Hombre</v>
      </c>
    </row>
    <row r="701" spans="3:17" x14ac:dyDescent="0.2">
      <c r="C701" s="28">
        <v>0</v>
      </c>
      <c r="D701" s="29">
        <v>3</v>
      </c>
      <c r="E701" s="29" t="s">
        <v>786</v>
      </c>
      <c r="F701" s="29" t="s">
        <v>89</v>
      </c>
      <c r="G701" s="29">
        <v>25</v>
      </c>
      <c r="H701" s="29">
        <v>0</v>
      </c>
      <c r="I701" s="29">
        <v>0</v>
      </c>
      <c r="J701" s="29">
        <v>7225</v>
      </c>
      <c r="K701" s="29">
        <v>0</v>
      </c>
      <c r="L701" s="29" t="s">
        <v>93</v>
      </c>
      <c r="Q701" t="str">
        <v>Hombre</v>
      </c>
    </row>
    <row r="702" spans="3:17" x14ac:dyDescent="0.2">
      <c r="C702" s="28">
        <v>0</v>
      </c>
      <c r="D702" s="29">
        <v>1</v>
      </c>
      <c r="E702" s="29" t="s">
        <v>787</v>
      </c>
      <c r="F702" s="29" t="s">
        <v>89</v>
      </c>
      <c r="G702" s="29">
        <v>60</v>
      </c>
      <c r="H702" s="29">
        <v>0</v>
      </c>
      <c r="I702" s="29">
        <v>0</v>
      </c>
      <c r="J702" s="29">
        <v>2655</v>
      </c>
      <c r="K702" s="29">
        <v>0</v>
      </c>
      <c r="L702" s="29" t="s">
        <v>90</v>
      </c>
      <c r="Q702" t="str">
        <v>Hombre</v>
      </c>
    </row>
    <row r="703" spans="3:17" x14ac:dyDescent="0.2">
      <c r="C703" s="28">
        <v>0</v>
      </c>
      <c r="D703" s="29">
        <v>2</v>
      </c>
      <c r="E703" s="29" t="s">
        <v>788</v>
      </c>
      <c r="F703" s="29" t="s">
        <v>89</v>
      </c>
      <c r="G703" s="29">
        <v>52</v>
      </c>
      <c r="H703" s="29">
        <v>0</v>
      </c>
      <c r="I703" s="29">
        <v>0</v>
      </c>
      <c r="J703" s="29">
        <v>135</v>
      </c>
      <c r="K703" s="29">
        <v>0</v>
      </c>
      <c r="L703" s="29" t="s">
        <v>90</v>
      </c>
      <c r="Q703" t="str">
        <v>Hombre</v>
      </c>
    </row>
    <row r="704" spans="3:17" x14ac:dyDescent="0.2">
      <c r="C704" s="28">
        <v>0</v>
      </c>
      <c r="D704" s="29">
        <v>3</v>
      </c>
      <c r="E704" s="29" t="s">
        <v>789</v>
      </c>
      <c r="F704" s="29" t="s">
        <v>89</v>
      </c>
      <c r="G704" s="29">
        <v>44</v>
      </c>
      <c r="H704" s="29">
        <v>0</v>
      </c>
      <c r="I704" s="29">
        <v>0</v>
      </c>
      <c r="J704" s="29">
        <v>805</v>
      </c>
      <c r="K704" s="29">
        <v>0</v>
      </c>
      <c r="L704" s="29" t="s">
        <v>90</v>
      </c>
      <c r="Q704" t="str">
        <v>Mujer</v>
      </c>
    </row>
    <row r="705" spans="3:17" x14ac:dyDescent="0.2">
      <c r="C705" s="28">
        <v>1</v>
      </c>
      <c r="D705" s="29">
        <v>3</v>
      </c>
      <c r="E705" s="29" t="s">
        <v>790</v>
      </c>
      <c r="F705" s="29" t="s">
        <v>92</v>
      </c>
      <c r="G705" s="30"/>
      <c r="H705" s="29">
        <v>0</v>
      </c>
      <c r="I705" s="29">
        <v>0</v>
      </c>
      <c r="J705" s="29">
        <v>77333</v>
      </c>
      <c r="K705" s="29">
        <v>0</v>
      </c>
      <c r="L705" s="29" t="s">
        <v>98</v>
      </c>
      <c r="Q705" t="str">
        <v>Hombre</v>
      </c>
    </row>
    <row r="706" spans="3:17" x14ac:dyDescent="0.2">
      <c r="C706" s="28">
        <v>0</v>
      </c>
      <c r="D706" s="29">
        <v>1</v>
      </c>
      <c r="E706" s="29" t="s">
        <v>791</v>
      </c>
      <c r="F706" s="29" t="s">
        <v>89</v>
      </c>
      <c r="G706" s="29">
        <v>49</v>
      </c>
      <c r="H706" s="29">
        <v>1</v>
      </c>
      <c r="I706" s="29">
        <v>1</v>
      </c>
      <c r="J706" s="29">
        <v>1108833</v>
      </c>
      <c r="K706" s="29">
        <v>1</v>
      </c>
      <c r="L706" s="29" t="s">
        <v>93</v>
      </c>
      <c r="Q706" t="str">
        <v>Hombre</v>
      </c>
    </row>
    <row r="707" spans="3:17" x14ac:dyDescent="0.2">
      <c r="C707" s="28">
        <v>0</v>
      </c>
      <c r="D707" s="29">
        <v>3</v>
      </c>
      <c r="E707" s="29" t="s">
        <v>792</v>
      </c>
      <c r="F707" s="29" t="s">
        <v>89</v>
      </c>
      <c r="G707" s="29">
        <v>42</v>
      </c>
      <c r="H707" s="29">
        <v>0</v>
      </c>
      <c r="I707" s="29">
        <v>0</v>
      </c>
      <c r="J707" s="29">
        <v>765</v>
      </c>
      <c r="K707" s="29">
        <v>1</v>
      </c>
      <c r="L707" s="29" t="s">
        <v>90</v>
      </c>
      <c r="Q707" t="str">
        <v>Mujer</v>
      </c>
    </row>
    <row r="708" spans="3:17" x14ac:dyDescent="0.2">
      <c r="C708" s="28">
        <v>1</v>
      </c>
      <c r="D708" s="29">
        <v>1</v>
      </c>
      <c r="E708" s="29" t="s">
        <v>793</v>
      </c>
      <c r="F708" s="29" t="s">
        <v>92</v>
      </c>
      <c r="G708" s="29">
        <v>18</v>
      </c>
      <c r="H708" s="29">
        <v>1</v>
      </c>
      <c r="I708" s="29">
        <v>0</v>
      </c>
      <c r="J708" s="29">
        <v>227525</v>
      </c>
      <c r="K708" s="29">
        <v>1</v>
      </c>
      <c r="L708" s="29" t="s">
        <v>93</v>
      </c>
      <c r="Q708" t="str">
        <v>Hombre</v>
      </c>
    </row>
    <row r="709" spans="3:17" x14ac:dyDescent="0.2">
      <c r="C709" s="28">
        <v>1</v>
      </c>
      <c r="D709" s="29">
        <v>1</v>
      </c>
      <c r="E709" s="29" t="s">
        <v>794</v>
      </c>
      <c r="F709" s="29" t="s">
        <v>89</v>
      </c>
      <c r="G709" s="29">
        <v>35</v>
      </c>
      <c r="H709" s="29">
        <v>0</v>
      </c>
      <c r="I709" s="29">
        <v>0</v>
      </c>
      <c r="J709" s="29">
        <v>262875</v>
      </c>
      <c r="K709" s="29">
        <v>1</v>
      </c>
      <c r="L709" s="29" t="s">
        <v>90</v>
      </c>
      <c r="Q709" t="str">
        <v>Mujer</v>
      </c>
    </row>
    <row r="710" spans="3:17" x14ac:dyDescent="0.2">
      <c r="C710" s="28">
        <v>0</v>
      </c>
      <c r="D710" s="29">
        <v>3</v>
      </c>
      <c r="E710" s="29" t="s">
        <v>795</v>
      </c>
      <c r="F710" s="29" t="s">
        <v>92</v>
      </c>
      <c r="G710" s="29">
        <v>18</v>
      </c>
      <c r="H710" s="29">
        <v>0</v>
      </c>
      <c r="I710" s="29">
        <v>1</v>
      </c>
      <c r="J710" s="29">
        <v>144542</v>
      </c>
      <c r="K710" s="29">
        <v>0</v>
      </c>
      <c r="L710" s="29" t="s">
        <v>93</v>
      </c>
      <c r="Q710" t="str">
        <v>Hombre</v>
      </c>
    </row>
    <row r="711" spans="3:17" x14ac:dyDescent="0.2">
      <c r="C711" s="28">
        <v>0</v>
      </c>
      <c r="D711" s="29">
        <v>3</v>
      </c>
      <c r="E711" s="29" t="s">
        <v>796</v>
      </c>
      <c r="F711" s="29" t="s">
        <v>89</v>
      </c>
      <c r="G711" s="29">
        <v>25</v>
      </c>
      <c r="H711" s="29">
        <v>0</v>
      </c>
      <c r="I711" s="29">
        <v>0</v>
      </c>
      <c r="J711" s="29">
        <v>77417</v>
      </c>
      <c r="K711" s="29">
        <v>0</v>
      </c>
      <c r="L711" s="29" t="s">
        <v>98</v>
      </c>
      <c r="Q711" t="str">
        <v>Hombre</v>
      </c>
    </row>
    <row r="712" spans="3:17" x14ac:dyDescent="0.2">
      <c r="C712" s="28">
        <v>0</v>
      </c>
      <c r="D712" s="29">
        <v>3</v>
      </c>
      <c r="E712" s="29" t="s">
        <v>797</v>
      </c>
      <c r="F712" s="29" t="s">
        <v>89</v>
      </c>
      <c r="G712" s="29">
        <v>26</v>
      </c>
      <c r="H712" s="29">
        <v>1</v>
      </c>
      <c r="I712" s="29">
        <v>0</v>
      </c>
      <c r="J712" s="29">
        <v>78542</v>
      </c>
      <c r="K712" s="29">
        <v>0</v>
      </c>
      <c r="L712" s="29" t="s">
        <v>90</v>
      </c>
      <c r="Q712" t="str">
        <v>Hombre</v>
      </c>
    </row>
    <row r="713" spans="3:17" x14ac:dyDescent="0.2">
      <c r="C713" s="28">
        <v>0</v>
      </c>
      <c r="D713" s="29">
        <v>2</v>
      </c>
      <c r="E713" s="29" t="s">
        <v>798</v>
      </c>
      <c r="F713" s="29" t="s">
        <v>89</v>
      </c>
      <c r="G713" s="29">
        <v>39</v>
      </c>
      <c r="H713" s="29">
        <v>0</v>
      </c>
      <c r="I713" s="29">
        <v>0</v>
      </c>
      <c r="J713" s="29">
        <v>26</v>
      </c>
      <c r="K713" s="29">
        <v>0</v>
      </c>
      <c r="L713" s="29" t="s">
        <v>90</v>
      </c>
      <c r="Q713" t="str">
        <v>Mujer</v>
      </c>
    </row>
    <row r="714" spans="3:17" x14ac:dyDescent="0.2">
      <c r="C714" s="28">
        <v>1</v>
      </c>
      <c r="D714" s="29">
        <v>2</v>
      </c>
      <c r="E714" s="29" t="s">
        <v>799</v>
      </c>
      <c r="F714" s="29" t="s">
        <v>92</v>
      </c>
      <c r="G714" s="29">
        <v>45</v>
      </c>
      <c r="H714" s="29">
        <v>0</v>
      </c>
      <c r="I714" s="29">
        <v>0</v>
      </c>
      <c r="J714" s="29">
        <v>135</v>
      </c>
      <c r="K714" s="29">
        <v>0</v>
      </c>
      <c r="L714" s="29" t="s">
        <v>90</v>
      </c>
      <c r="Q714" t="str">
        <v>Hombre</v>
      </c>
    </row>
    <row r="715" spans="3:17" x14ac:dyDescent="0.2">
      <c r="C715" s="28">
        <v>1</v>
      </c>
      <c r="D715" s="29">
        <v>1</v>
      </c>
      <c r="E715" s="29" t="s">
        <v>800</v>
      </c>
      <c r="F715" s="29" t="s">
        <v>89</v>
      </c>
      <c r="G715" s="29">
        <v>42</v>
      </c>
      <c r="H715" s="29">
        <v>0</v>
      </c>
      <c r="I715" s="29">
        <v>0</v>
      </c>
      <c r="J715" s="29">
        <v>262875</v>
      </c>
      <c r="K715" s="29">
        <v>1</v>
      </c>
      <c r="L715" s="29" t="s">
        <v>90</v>
      </c>
      <c r="Q715" t="str">
        <v>Mujer</v>
      </c>
    </row>
    <row r="716" spans="3:17" x14ac:dyDescent="0.2">
      <c r="C716" s="28">
        <v>1</v>
      </c>
      <c r="D716" s="29">
        <v>1</v>
      </c>
      <c r="E716" s="29" t="s">
        <v>801</v>
      </c>
      <c r="F716" s="29" t="s">
        <v>92</v>
      </c>
      <c r="G716" s="29">
        <v>22</v>
      </c>
      <c r="H716" s="29">
        <v>0</v>
      </c>
      <c r="I716" s="29">
        <v>0</v>
      </c>
      <c r="J716" s="29">
        <v>15155</v>
      </c>
      <c r="K716" s="29">
        <v>0</v>
      </c>
      <c r="L716" s="29" t="s">
        <v>90</v>
      </c>
      <c r="Q716" t="str">
        <v>Hombre</v>
      </c>
    </row>
    <row r="717" spans="3:17" x14ac:dyDescent="0.2">
      <c r="C717" s="28">
        <v>1</v>
      </c>
      <c r="D717" s="29">
        <v>3</v>
      </c>
      <c r="E717" s="29" t="s">
        <v>802</v>
      </c>
      <c r="F717" s="29" t="s">
        <v>89</v>
      </c>
      <c r="G717" s="30"/>
      <c r="H717" s="29">
        <v>1</v>
      </c>
      <c r="I717" s="29">
        <v>1</v>
      </c>
      <c r="J717" s="29">
        <v>152458</v>
      </c>
      <c r="K717" s="29">
        <v>0</v>
      </c>
      <c r="L717" s="29" t="s">
        <v>93</v>
      </c>
      <c r="Q717" t="str">
        <v>Mujer</v>
      </c>
    </row>
    <row r="718" spans="3:17" x14ac:dyDescent="0.2">
      <c r="C718" s="28">
        <v>1</v>
      </c>
      <c r="D718" s="29">
        <v>1</v>
      </c>
      <c r="E718" s="29" t="s">
        <v>803</v>
      </c>
      <c r="F718" s="29" t="s">
        <v>92</v>
      </c>
      <c r="G718" s="29">
        <v>24</v>
      </c>
      <c r="H718" s="29">
        <v>0</v>
      </c>
      <c r="I718" s="29">
        <v>0</v>
      </c>
      <c r="J718" s="29">
        <v>495042</v>
      </c>
      <c r="K718" s="29">
        <v>1</v>
      </c>
      <c r="L718" s="29" t="s">
        <v>93</v>
      </c>
      <c r="Q718" t="str">
        <v>Hombre</v>
      </c>
    </row>
    <row r="719" spans="3:17" x14ac:dyDescent="0.2">
      <c r="C719" s="28">
        <v>0</v>
      </c>
      <c r="D719" s="29">
        <v>1</v>
      </c>
      <c r="E719" s="29" t="s">
        <v>804</v>
      </c>
      <c r="F719" s="29" t="s">
        <v>89</v>
      </c>
      <c r="G719" s="30"/>
      <c r="H719" s="29">
        <v>0</v>
      </c>
      <c r="I719" s="29">
        <v>0</v>
      </c>
      <c r="J719" s="29">
        <v>2655</v>
      </c>
      <c r="K719" s="29">
        <v>1</v>
      </c>
      <c r="L719" s="29" t="s">
        <v>90</v>
      </c>
      <c r="Q719" t="str">
        <v>Hombre</v>
      </c>
    </row>
    <row r="720" spans="3:17" x14ac:dyDescent="0.2">
      <c r="C720" s="28">
        <v>1</v>
      </c>
      <c r="D720" s="29">
        <v>1</v>
      </c>
      <c r="E720" s="29" t="s">
        <v>805</v>
      </c>
      <c r="F720" s="29" t="s">
        <v>89</v>
      </c>
      <c r="G720" s="29">
        <v>48</v>
      </c>
      <c r="H720" s="29">
        <v>1</v>
      </c>
      <c r="I720" s="29">
        <v>0</v>
      </c>
      <c r="J720" s="29">
        <v>52</v>
      </c>
      <c r="K720" s="29">
        <v>1</v>
      </c>
      <c r="L720" s="29" t="s">
        <v>90</v>
      </c>
      <c r="Q720" t="str">
        <v>Hombre</v>
      </c>
    </row>
    <row r="721" spans="3:17" x14ac:dyDescent="0.2">
      <c r="C721" s="28">
        <v>0</v>
      </c>
      <c r="D721" s="29">
        <v>3</v>
      </c>
      <c r="E721" s="29" t="s">
        <v>806</v>
      </c>
      <c r="F721" s="29" t="s">
        <v>89</v>
      </c>
      <c r="G721" s="29">
        <v>29</v>
      </c>
      <c r="H721" s="29">
        <v>0</v>
      </c>
      <c r="I721" s="29">
        <v>0</v>
      </c>
      <c r="J721" s="29">
        <v>94833</v>
      </c>
      <c r="K721" s="29">
        <v>0</v>
      </c>
      <c r="L721" s="29" t="s">
        <v>90</v>
      </c>
      <c r="Q721" t="str">
        <v>Hombre</v>
      </c>
    </row>
    <row r="722" spans="3:17" x14ac:dyDescent="0.2">
      <c r="C722" s="28">
        <v>0</v>
      </c>
      <c r="D722" s="29">
        <v>2</v>
      </c>
      <c r="E722" s="29" t="s">
        <v>807</v>
      </c>
      <c r="F722" s="29" t="s">
        <v>89</v>
      </c>
      <c r="G722" s="29">
        <v>52</v>
      </c>
      <c r="H722" s="29">
        <v>0</v>
      </c>
      <c r="I722" s="29">
        <v>0</v>
      </c>
      <c r="J722" s="29">
        <v>13</v>
      </c>
      <c r="K722" s="29">
        <v>0</v>
      </c>
      <c r="L722" s="29" t="s">
        <v>90</v>
      </c>
      <c r="Q722" t="str">
        <v>Hombre</v>
      </c>
    </row>
    <row r="723" spans="3:17" x14ac:dyDescent="0.2">
      <c r="C723" s="28">
        <v>0</v>
      </c>
      <c r="D723" s="29">
        <v>3</v>
      </c>
      <c r="E723" s="29" t="s">
        <v>808</v>
      </c>
      <c r="F723" s="29" t="s">
        <v>89</v>
      </c>
      <c r="G723" s="29">
        <v>19</v>
      </c>
      <c r="H723" s="29">
        <v>0</v>
      </c>
      <c r="I723" s="29">
        <v>0</v>
      </c>
      <c r="J723" s="29">
        <v>765</v>
      </c>
      <c r="K723" s="29">
        <v>1</v>
      </c>
      <c r="L723" s="29" t="s">
        <v>90</v>
      </c>
      <c r="Q723" t="str">
        <v>Mujer</v>
      </c>
    </row>
    <row r="724" spans="3:17" x14ac:dyDescent="0.2">
      <c r="C724" s="28">
        <v>1</v>
      </c>
      <c r="D724" s="29">
        <v>1</v>
      </c>
      <c r="E724" s="29" t="s">
        <v>809</v>
      </c>
      <c r="F724" s="29" t="s">
        <v>92</v>
      </c>
      <c r="G724" s="29">
        <v>38</v>
      </c>
      <c r="H724" s="29">
        <v>0</v>
      </c>
      <c r="I724" s="29">
        <v>0</v>
      </c>
      <c r="J724" s="29">
        <v>227525</v>
      </c>
      <c r="K724" s="29">
        <v>1</v>
      </c>
      <c r="L724" s="29" t="s">
        <v>93</v>
      </c>
      <c r="Q724" t="str">
        <v>Mujer</v>
      </c>
    </row>
    <row r="725" spans="3:17" x14ac:dyDescent="0.2">
      <c r="C725" s="28">
        <v>1</v>
      </c>
      <c r="D725" s="29">
        <v>2</v>
      </c>
      <c r="E725" s="29" t="s">
        <v>810</v>
      </c>
      <c r="F725" s="29" t="s">
        <v>92</v>
      </c>
      <c r="G725" s="29">
        <v>27</v>
      </c>
      <c r="H725" s="29">
        <v>0</v>
      </c>
      <c r="I725" s="29">
        <v>0</v>
      </c>
      <c r="J725" s="29">
        <v>105</v>
      </c>
      <c r="K725" s="29">
        <v>1</v>
      </c>
      <c r="L725" s="29" t="s">
        <v>90</v>
      </c>
      <c r="Q725" t="str">
        <v>Hombre</v>
      </c>
    </row>
    <row r="726" spans="3:17" x14ac:dyDescent="0.2">
      <c r="C726" s="28">
        <v>0</v>
      </c>
      <c r="D726" s="29">
        <v>3</v>
      </c>
      <c r="E726" s="29" t="s">
        <v>811</v>
      </c>
      <c r="F726" s="29" t="s">
        <v>89</v>
      </c>
      <c r="G726" s="30"/>
      <c r="H726" s="29">
        <v>0</v>
      </c>
      <c r="I726" s="29">
        <v>0</v>
      </c>
      <c r="J726" s="29">
        <v>155</v>
      </c>
      <c r="K726" s="29">
        <v>0</v>
      </c>
      <c r="L726" s="29" t="s">
        <v>98</v>
      </c>
      <c r="Q726" t="str">
        <v>Hombre</v>
      </c>
    </row>
    <row r="727" spans="3:17" x14ac:dyDescent="0.2">
      <c r="C727" s="28">
        <v>0</v>
      </c>
      <c r="D727" s="29">
        <v>3</v>
      </c>
      <c r="E727" s="29" t="s">
        <v>812</v>
      </c>
      <c r="F727" s="29" t="s">
        <v>89</v>
      </c>
      <c r="G727" s="29">
        <v>33</v>
      </c>
      <c r="H727" s="29">
        <v>0</v>
      </c>
      <c r="I727" s="29">
        <v>0</v>
      </c>
      <c r="J727" s="29">
        <v>7775</v>
      </c>
      <c r="K727" s="29">
        <v>0</v>
      </c>
      <c r="L727" s="29" t="s">
        <v>90</v>
      </c>
      <c r="Q727" t="str">
        <v>Mujer</v>
      </c>
    </row>
    <row r="728" spans="3:17" x14ac:dyDescent="0.2">
      <c r="C728" s="28">
        <v>1</v>
      </c>
      <c r="D728" s="29">
        <v>2</v>
      </c>
      <c r="E728" s="29" t="s">
        <v>813</v>
      </c>
      <c r="F728" s="29" t="s">
        <v>92</v>
      </c>
      <c r="G728" s="29">
        <v>6</v>
      </c>
      <c r="H728" s="29">
        <v>0</v>
      </c>
      <c r="I728" s="29">
        <v>1</v>
      </c>
      <c r="J728" s="29">
        <v>33</v>
      </c>
      <c r="K728" s="29">
        <v>0</v>
      </c>
      <c r="L728" s="29" t="s">
        <v>90</v>
      </c>
      <c r="Q728" t="str">
        <v>Hombre</v>
      </c>
    </row>
    <row r="729" spans="3:17" x14ac:dyDescent="0.2">
      <c r="C729" s="28">
        <v>0</v>
      </c>
      <c r="D729" s="29">
        <v>3</v>
      </c>
      <c r="E729" s="29" t="s">
        <v>814</v>
      </c>
      <c r="F729" s="29" t="s">
        <v>89</v>
      </c>
      <c r="G729" s="29">
        <v>17</v>
      </c>
      <c r="H729" s="29">
        <v>1</v>
      </c>
      <c r="I729" s="29">
        <v>0</v>
      </c>
      <c r="J729" s="29">
        <v>70542</v>
      </c>
      <c r="K729" s="29">
        <v>0</v>
      </c>
      <c r="L729" s="29" t="s">
        <v>90</v>
      </c>
      <c r="Q729" t="str">
        <v>Hombre</v>
      </c>
    </row>
    <row r="730" spans="3:17" x14ac:dyDescent="0.2">
      <c r="C730" s="28">
        <v>0</v>
      </c>
      <c r="D730" s="29">
        <v>2</v>
      </c>
      <c r="E730" s="29" t="s">
        <v>815</v>
      </c>
      <c r="F730" s="29" t="s">
        <v>89</v>
      </c>
      <c r="G730" s="29">
        <v>34</v>
      </c>
      <c r="H730" s="29">
        <v>0</v>
      </c>
      <c r="I730" s="29">
        <v>0</v>
      </c>
      <c r="J730" s="29">
        <v>13</v>
      </c>
      <c r="K730" s="29">
        <v>0</v>
      </c>
      <c r="L730" s="29" t="s">
        <v>90</v>
      </c>
      <c r="Q730" t="str">
        <v>Hombre</v>
      </c>
    </row>
    <row r="731" spans="3:17" x14ac:dyDescent="0.2">
      <c r="C731" s="28">
        <v>0</v>
      </c>
      <c r="D731" s="29">
        <v>2</v>
      </c>
      <c r="E731" s="29" t="s">
        <v>816</v>
      </c>
      <c r="F731" s="29" t="s">
        <v>89</v>
      </c>
      <c r="G731" s="29">
        <v>50</v>
      </c>
      <c r="H731" s="29">
        <v>0</v>
      </c>
      <c r="I731" s="29">
        <v>0</v>
      </c>
      <c r="J731" s="29">
        <v>13</v>
      </c>
      <c r="K731" s="29">
        <v>0</v>
      </c>
      <c r="L731" s="29" t="s">
        <v>90</v>
      </c>
      <c r="Q731" t="str">
        <v>Hombre</v>
      </c>
    </row>
    <row r="732" spans="3:17" x14ac:dyDescent="0.2">
      <c r="C732" s="28">
        <v>1</v>
      </c>
      <c r="D732" s="29">
        <v>1</v>
      </c>
      <c r="E732" s="29" t="s">
        <v>817</v>
      </c>
      <c r="F732" s="29" t="s">
        <v>89</v>
      </c>
      <c r="G732" s="29">
        <v>27</v>
      </c>
      <c r="H732" s="29">
        <v>1</v>
      </c>
      <c r="I732" s="29">
        <v>0</v>
      </c>
      <c r="J732" s="29">
        <v>531</v>
      </c>
      <c r="K732" s="29">
        <v>1</v>
      </c>
      <c r="L732" s="29" t="s">
        <v>90</v>
      </c>
      <c r="Q732" t="str">
        <v>Hombre</v>
      </c>
    </row>
    <row r="733" spans="3:17" x14ac:dyDescent="0.2">
      <c r="C733" s="28">
        <v>0</v>
      </c>
      <c r="D733" s="29">
        <v>3</v>
      </c>
      <c r="E733" s="29" t="s">
        <v>818</v>
      </c>
      <c r="F733" s="29" t="s">
        <v>89</v>
      </c>
      <c r="G733" s="29">
        <v>20</v>
      </c>
      <c r="H733" s="29">
        <v>0</v>
      </c>
      <c r="I733" s="29">
        <v>0</v>
      </c>
      <c r="J733" s="29">
        <v>86625</v>
      </c>
      <c r="K733" s="29">
        <v>0</v>
      </c>
      <c r="L733" s="29" t="s">
        <v>90</v>
      </c>
      <c r="Q733" t="str">
        <v>Mujer</v>
      </c>
    </row>
    <row r="734" spans="3:17" x14ac:dyDescent="0.2">
      <c r="C734" s="28">
        <v>1</v>
      </c>
      <c r="D734" s="29">
        <v>2</v>
      </c>
      <c r="E734" s="29" t="s">
        <v>819</v>
      </c>
      <c r="F734" s="29" t="s">
        <v>92</v>
      </c>
      <c r="G734" s="29">
        <v>30</v>
      </c>
      <c r="H734" s="29">
        <v>3</v>
      </c>
      <c r="I734" s="29">
        <v>0</v>
      </c>
      <c r="J734" s="29">
        <v>21</v>
      </c>
      <c r="K734" s="29">
        <v>0</v>
      </c>
      <c r="L734" s="29" t="s">
        <v>90</v>
      </c>
      <c r="Q734" t="str">
        <v>Mujer</v>
      </c>
    </row>
    <row r="735" spans="3:17" x14ac:dyDescent="0.2">
      <c r="C735" s="28">
        <v>1</v>
      </c>
      <c r="D735" s="29">
        <v>3</v>
      </c>
      <c r="E735" s="29" t="s">
        <v>820</v>
      </c>
      <c r="F735" s="29" t="s">
        <v>92</v>
      </c>
      <c r="G735" s="30"/>
      <c r="H735" s="29">
        <v>0</v>
      </c>
      <c r="I735" s="29">
        <v>0</v>
      </c>
      <c r="J735" s="29">
        <v>77375</v>
      </c>
      <c r="K735" s="29">
        <v>0</v>
      </c>
      <c r="L735" s="29" t="s">
        <v>98</v>
      </c>
      <c r="Q735" t="str">
        <v>Hombre</v>
      </c>
    </row>
    <row r="736" spans="3:17" x14ac:dyDescent="0.2">
      <c r="C736" s="28">
        <v>0</v>
      </c>
      <c r="D736" s="29">
        <v>2</v>
      </c>
      <c r="E736" s="29" t="s">
        <v>821</v>
      </c>
      <c r="F736" s="29" t="s">
        <v>89</v>
      </c>
      <c r="G736" s="29">
        <v>25</v>
      </c>
      <c r="H736" s="29">
        <v>1</v>
      </c>
      <c r="I736" s="29">
        <v>0</v>
      </c>
      <c r="J736" s="29">
        <v>26</v>
      </c>
      <c r="K736" s="29">
        <v>0</v>
      </c>
      <c r="L736" s="29" t="s">
        <v>90</v>
      </c>
      <c r="Q736" t="str">
        <v>Mujer</v>
      </c>
    </row>
    <row r="737" spans="3:17" x14ac:dyDescent="0.2">
      <c r="C737" s="28">
        <v>0</v>
      </c>
      <c r="D737" s="29">
        <v>3</v>
      </c>
      <c r="E737" s="29" t="s">
        <v>822</v>
      </c>
      <c r="F737" s="29" t="s">
        <v>92</v>
      </c>
      <c r="G737" s="29">
        <v>25</v>
      </c>
      <c r="H737" s="29">
        <v>1</v>
      </c>
      <c r="I737" s="29">
        <v>0</v>
      </c>
      <c r="J737" s="29">
        <v>7925</v>
      </c>
      <c r="K737" s="29">
        <v>0</v>
      </c>
      <c r="L737" s="29" t="s">
        <v>90</v>
      </c>
      <c r="Q737" t="str">
        <v>Mujer</v>
      </c>
    </row>
    <row r="738" spans="3:17" x14ac:dyDescent="0.2">
      <c r="C738" s="28">
        <v>1</v>
      </c>
      <c r="D738" s="29">
        <v>1</v>
      </c>
      <c r="E738" s="29" t="s">
        <v>823</v>
      </c>
      <c r="F738" s="29" t="s">
        <v>92</v>
      </c>
      <c r="G738" s="29">
        <v>29</v>
      </c>
      <c r="H738" s="29">
        <v>0</v>
      </c>
      <c r="I738" s="29">
        <v>0</v>
      </c>
      <c r="J738" s="29">
        <v>2113375</v>
      </c>
      <c r="K738" s="29">
        <v>1</v>
      </c>
      <c r="L738" s="29" t="s">
        <v>90</v>
      </c>
      <c r="Q738" t="str">
        <v>Hombre</v>
      </c>
    </row>
    <row r="739" spans="3:17" x14ac:dyDescent="0.2">
      <c r="C739" s="28">
        <v>0</v>
      </c>
      <c r="D739" s="29">
        <v>3</v>
      </c>
      <c r="E739" s="29" t="s">
        <v>824</v>
      </c>
      <c r="F739" s="29" t="s">
        <v>89</v>
      </c>
      <c r="G739" s="29">
        <v>11</v>
      </c>
      <c r="H739" s="29">
        <v>0</v>
      </c>
      <c r="I739" s="29">
        <v>0</v>
      </c>
      <c r="J739" s="29">
        <v>187875</v>
      </c>
      <c r="K739" s="29">
        <v>0</v>
      </c>
      <c r="L739" s="29" t="s">
        <v>93</v>
      </c>
      <c r="Q739" t="str">
        <v>Hombre</v>
      </c>
    </row>
    <row r="740" spans="3:17" x14ac:dyDescent="0.2">
      <c r="C740" s="28">
        <v>0</v>
      </c>
      <c r="D740" s="29">
        <v>2</v>
      </c>
      <c r="E740" s="29" t="s">
        <v>825</v>
      </c>
      <c r="F740" s="29" t="s">
        <v>89</v>
      </c>
      <c r="G740" s="30"/>
      <c r="H740" s="29">
        <v>0</v>
      </c>
      <c r="I740" s="29">
        <v>0</v>
      </c>
      <c r="J740" s="29">
        <v>0</v>
      </c>
      <c r="K740" s="29">
        <v>0</v>
      </c>
      <c r="L740" s="29" t="s">
        <v>90</v>
      </c>
      <c r="Q740" t="str">
        <v>Hombre</v>
      </c>
    </row>
    <row r="741" spans="3:17" x14ac:dyDescent="0.2">
      <c r="C741" s="28">
        <v>0</v>
      </c>
      <c r="D741" s="29">
        <v>2</v>
      </c>
      <c r="E741" s="29" t="s">
        <v>826</v>
      </c>
      <c r="F741" s="29" t="s">
        <v>89</v>
      </c>
      <c r="G741" s="29">
        <v>23</v>
      </c>
      <c r="H741" s="29">
        <v>0</v>
      </c>
      <c r="I741" s="29">
        <v>0</v>
      </c>
      <c r="J741" s="29">
        <v>13</v>
      </c>
      <c r="K741" s="29">
        <v>0</v>
      </c>
      <c r="L741" s="29" t="s">
        <v>90</v>
      </c>
      <c r="Q741" t="str">
        <v>Hombre</v>
      </c>
    </row>
    <row r="742" spans="3:17" x14ac:dyDescent="0.2">
      <c r="C742" s="28">
        <v>0</v>
      </c>
      <c r="D742" s="29">
        <v>2</v>
      </c>
      <c r="E742" s="29" t="s">
        <v>827</v>
      </c>
      <c r="F742" s="29" t="s">
        <v>89</v>
      </c>
      <c r="G742" s="29">
        <v>23</v>
      </c>
      <c r="H742" s="29">
        <v>0</v>
      </c>
      <c r="I742" s="29">
        <v>0</v>
      </c>
      <c r="J742" s="29">
        <v>13</v>
      </c>
      <c r="K742" s="29">
        <v>0</v>
      </c>
      <c r="L742" s="29" t="s">
        <v>90</v>
      </c>
      <c r="Q742" t="str">
        <v>Hombre</v>
      </c>
    </row>
    <row r="743" spans="3:17" x14ac:dyDescent="0.2">
      <c r="C743" s="28">
        <v>0</v>
      </c>
      <c r="D743" s="29">
        <v>3</v>
      </c>
      <c r="E743" s="29" t="s">
        <v>828</v>
      </c>
      <c r="F743" s="29" t="s">
        <v>89</v>
      </c>
      <c r="G743" s="29">
        <v>285</v>
      </c>
      <c r="H743" s="29">
        <v>0</v>
      </c>
      <c r="I743" s="29">
        <v>0</v>
      </c>
      <c r="J743" s="29">
        <v>161</v>
      </c>
      <c r="K743" s="29">
        <v>0</v>
      </c>
      <c r="L743" s="29" t="s">
        <v>90</v>
      </c>
      <c r="Q743" t="str">
        <v>Mujer</v>
      </c>
    </row>
    <row r="744" spans="3:17" x14ac:dyDescent="0.2">
      <c r="C744" s="28">
        <v>0</v>
      </c>
      <c r="D744" s="29">
        <v>3</v>
      </c>
      <c r="E744" s="29" t="s">
        <v>829</v>
      </c>
      <c r="F744" s="29" t="s">
        <v>92</v>
      </c>
      <c r="G744" s="29">
        <v>48</v>
      </c>
      <c r="H744" s="29">
        <v>1</v>
      </c>
      <c r="I744" s="29">
        <v>3</v>
      </c>
      <c r="J744" s="29">
        <v>34375</v>
      </c>
      <c r="K744" s="29">
        <v>0</v>
      </c>
      <c r="L744" s="29" t="s">
        <v>90</v>
      </c>
      <c r="Q744" t="str">
        <v>Hombre</v>
      </c>
    </row>
    <row r="745" spans="3:17" x14ac:dyDescent="0.2">
      <c r="C745" s="28">
        <v>1</v>
      </c>
      <c r="D745" s="29">
        <v>1</v>
      </c>
      <c r="E745" s="29" t="s">
        <v>830</v>
      </c>
      <c r="F745" s="29" t="s">
        <v>89</v>
      </c>
      <c r="G745" s="29">
        <v>35</v>
      </c>
      <c r="H745" s="29">
        <v>0</v>
      </c>
      <c r="I745" s="29">
        <v>0</v>
      </c>
      <c r="J745" s="29">
        <v>5123292</v>
      </c>
      <c r="K745" s="29">
        <v>1</v>
      </c>
      <c r="L745" s="29" t="s">
        <v>93</v>
      </c>
      <c r="Q745" t="str">
        <v>Hombre</v>
      </c>
    </row>
    <row r="746" spans="3:17" x14ac:dyDescent="0.2">
      <c r="C746" s="28">
        <v>0</v>
      </c>
      <c r="D746" s="29">
        <v>3</v>
      </c>
      <c r="E746" s="29" t="s">
        <v>831</v>
      </c>
      <c r="F746" s="29" t="s">
        <v>89</v>
      </c>
      <c r="G746" s="30"/>
      <c r="H746" s="29">
        <v>0</v>
      </c>
      <c r="I746" s="29">
        <v>0</v>
      </c>
      <c r="J746" s="29">
        <v>78958</v>
      </c>
      <c r="K746" s="29">
        <v>0</v>
      </c>
      <c r="L746" s="29" t="s">
        <v>90</v>
      </c>
      <c r="Q746" t="str">
        <v>Hombre</v>
      </c>
    </row>
    <row r="747" spans="3:17" x14ac:dyDescent="0.2">
      <c r="C747" s="28">
        <v>0</v>
      </c>
      <c r="D747" s="29">
        <v>3</v>
      </c>
      <c r="E747" s="29" t="s">
        <v>832</v>
      </c>
      <c r="F747" s="29" t="s">
        <v>89</v>
      </c>
      <c r="G747" s="30"/>
      <c r="H747" s="29">
        <v>0</v>
      </c>
      <c r="I747" s="29">
        <v>0</v>
      </c>
      <c r="J747" s="29">
        <v>78958</v>
      </c>
      <c r="K747" s="29">
        <v>0</v>
      </c>
      <c r="L747" s="29" t="s">
        <v>90</v>
      </c>
      <c r="Q747" t="str">
        <v>Hombre</v>
      </c>
    </row>
    <row r="748" spans="3:17" x14ac:dyDescent="0.2">
      <c r="C748" s="28">
        <v>1</v>
      </c>
      <c r="D748" s="29">
        <v>1</v>
      </c>
      <c r="E748" s="29" t="s">
        <v>833</v>
      </c>
      <c r="F748" s="29" t="s">
        <v>89</v>
      </c>
      <c r="G748" s="30"/>
      <c r="H748" s="29">
        <v>0</v>
      </c>
      <c r="I748" s="29">
        <v>0</v>
      </c>
      <c r="J748" s="29">
        <v>30</v>
      </c>
      <c r="K748" s="29">
        <v>1</v>
      </c>
      <c r="L748" s="29" t="s">
        <v>90</v>
      </c>
      <c r="Q748" t="str">
        <v>Hombre</v>
      </c>
    </row>
    <row r="749" spans="3:17" x14ac:dyDescent="0.2">
      <c r="C749" s="28">
        <v>0</v>
      </c>
      <c r="D749" s="29">
        <v>1</v>
      </c>
      <c r="E749" s="29" t="s">
        <v>834</v>
      </c>
      <c r="F749" s="29" t="s">
        <v>89</v>
      </c>
      <c r="G749" s="29">
        <v>36</v>
      </c>
      <c r="H749" s="29">
        <v>1</v>
      </c>
      <c r="I749" s="29">
        <v>0</v>
      </c>
      <c r="J749" s="29">
        <v>7885</v>
      </c>
      <c r="K749" s="29">
        <v>1</v>
      </c>
      <c r="L749" s="29" t="s">
        <v>90</v>
      </c>
      <c r="Q749" t="str">
        <v>Mujer</v>
      </c>
    </row>
    <row r="750" spans="3:17" x14ac:dyDescent="0.2">
      <c r="C750" s="28">
        <v>1</v>
      </c>
      <c r="D750" s="29">
        <v>1</v>
      </c>
      <c r="E750" s="29" t="s">
        <v>835</v>
      </c>
      <c r="F750" s="29" t="s">
        <v>92</v>
      </c>
      <c r="G750" s="29">
        <v>21</v>
      </c>
      <c r="H750" s="29">
        <v>2</v>
      </c>
      <c r="I750" s="29">
        <v>2</v>
      </c>
      <c r="J750" s="29">
        <v>262375</v>
      </c>
      <c r="K750" s="29">
        <v>1</v>
      </c>
      <c r="L750" s="29" t="s">
        <v>93</v>
      </c>
      <c r="Q750" t="str">
        <v>Hombre</v>
      </c>
    </row>
    <row r="751" spans="3:17" x14ac:dyDescent="0.2">
      <c r="C751" s="28">
        <v>0</v>
      </c>
      <c r="D751" s="29">
        <v>3</v>
      </c>
      <c r="E751" s="29" t="s">
        <v>836</v>
      </c>
      <c r="F751" s="29" t="s">
        <v>89</v>
      </c>
      <c r="G751" s="29">
        <v>24</v>
      </c>
      <c r="H751" s="29">
        <v>1</v>
      </c>
      <c r="I751" s="29">
        <v>0</v>
      </c>
      <c r="J751" s="29">
        <v>161</v>
      </c>
      <c r="K751" s="29">
        <v>0</v>
      </c>
      <c r="L751" s="29" t="s">
        <v>90</v>
      </c>
      <c r="Q751" t="str">
        <v>Hombre</v>
      </c>
    </row>
    <row r="752" spans="3:17" x14ac:dyDescent="0.2">
      <c r="C752" s="28">
        <v>1</v>
      </c>
      <c r="D752" s="29">
        <v>3</v>
      </c>
      <c r="E752" s="29" t="s">
        <v>837</v>
      </c>
      <c r="F752" s="29" t="s">
        <v>89</v>
      </c>
      <c r="G752" s="29">
        <v>31</v>
      </c>
      <c r="H752" s="29">
        <v>0</v>
      </c>
      <c r="I752" s="29">
        <v>0</v>
      </c>
      <c r="J752" s="29">
        <v>7925</v>
      </c>
      <c r="K752" s="29">
        <v>0</v>
      </c>
      <c r="L752" s="29" t="s">
        <v>90</v>
      </c>
      <c r="Q752" t="str">
        <v>Hombre</v>
      </c>
    </row>
    <row r="753" spans="3:17" x14ac:dyDescent="0.2">
      <c r="C753" s="28">
        <v>0</v>
      </c>
      <c r="D753" s="29">
        <v>1</v>
      </c>
      <c r="E753" s="29" t="s">
        <v>838</v>
      </c>
      <c r="F753" s="29" t="s">
        <v>89</v>
      </c>
      <c r="G753" s="29">
        <v>70</v>
      </c>
      <c r="H753" s="29">
        <v>1</v>
      </c>
      <c r="I753" s="29">
        <v>1</v>
      </c>
      <c r="J753" s="29">
        <v>71</v>
      </c>
      <c r="K753" s="29">
        <v>1</v>
      </c>
      <c r="L753" s="29" t="s">
        <v>90</v>
      </c>
      <c r="Q753" t="str">
        <v>Hombre</v>
      </c>
    </row>
    <row r="754" spans="3:17" x14ac:dyDescent="0.2">
      <c r="C754" s="28">
        <v>0</v>
      </c>
      <c r="D754" s="29">
        <v>3</v>
      </c>
      <c r="E754" s="29" t="s">
        <v>839</v>
      </c>
      <c r="F754" s="29" t="s">
        <v>89</v>
      </c>
      <c r="G754" s="29">
        <v>16</v>
      </c>
      <c r="H754" s="29">
        <v>1</v>
      </c>
      <c r="I754" s="29">
        <v>1</v>
      </c>
      <c r="J754" s="29">
        <v>2025</v>
      </c>
      <c r="K754" s="29">
        <v>0</v>
      </c>
      <c r="L754" s="29" t="s">
        <v>90</v>
      </c>
      <c r="Q754" t="str">
        <v>Mujer</v>
      </c>
    </row>
    <row r="755" spans="3:17" x14ac:dyDescent="0.2">
      <c r="C755" s="28">
        <v>1</v>
      </c>
      <c r="D755" s="29">
        <v>2</v>
      </c>
      <c r="E755" s="29" t="s">
        <v>840</v>
      </c>
      <c r="F755" s="29" t="s">
        <v>92</v>
      </c>
      <c r="G755" s="29">
        <v>30</v>
      </c>
      <c r="H755" s="29">
        <v>0</v>
      </c>
      <c r="I755" s="29">
        <v>0</v>
      </c>
      <c r="J755" s="29">
        <v>13</v>
      </c>
      <c r="K755" s="29">
        <v>0</v>
      </c>
      <c r="L755" s="29" t="s">
        <v>90</v>
      </c>
      <c r="Q755" t="str">
        <v>Hombre</v>
      </c>
    </row>
    <row r="756" spans="3:17" x14ac:dyDescent="0.2">
      <c r="C756" s="28">
        <v>0</v>
      </c>
      <c r="D756" s="29">
        <v>1</v>
      </c>
      <c r="E756" s="29" t="s">
        <v>841</v>
      </c>
      <c r="F756" s="29" t="s">
        <v>89</v>
      </c>
      <c r="G756" s="29">
        <v>19</v>
      </c>
      <c r="H756" s="29">
        <v>1</v>
      </c>
      <c r="I756" s="29">
        <v>0</v>
      </c>
      <c r="J756" s="29">
        <v>531</v>
      </c>
      <c r="K756" s="29">
        <v>1</v>
      </c>
      <c r="L756" s="29" t="s">
        <v>90</v>
      </c>
      <c r="Q756" t="str">
        <v>Hombre</v>
      </c>
    </row>
    <row r="757" spans="3:17" x14ac:dyDescent="0.2">
      <c r="C757" s="28">
        <v>0</v>
      </c>
      <c r="D757" s="29">
        <v>3</v>
      </c>
      <c r="E757" s="29" t="s">
        <v>842</v>
      </c>
      <c r="F757" s="29" t="s">
        <v>89</v>
      </c>
      <c r="G757" s="29">
        <v>31</v>
      </c>
      <c r="H757" s="29">
        <v>0</v>
      </c>
      <c r="I757" s="29">
        <v>0</v>
      </c>
      <c r="J757" s="29">
        <v>775</v>
      </c>
      <c r="K757" s="29">
        <v>0</v>
      </c>
      <c r="L757" s="29" t="s">
        <v>98</v>
      </c>
      <c r="Q757" t="str">
        <v>Mujer</v>
      </c>
    </row>
    <row r="758" spans="3:17" x14ac:dyDescent="0.2">
      <c r="C758" s="28">
        <v>1</v>
      </c>
      <c r="D758" s="29">
        <v>2</v>
      </c>
      <c r="E758" s="29" t="s">
        <v>843</v>
      </c>
      <c r="F758" s="29" t="s">
        <v>92</v>
      </c>
      <c r="G758" s="29">
        <v>4</v>
      </c>
      <c r="H758" s="29">
        <v>1</v>
      </c>
      <c r="I758" s="29">
        <v>1</v>
      </c>
      <c r="J758" s="29">
        <v>23</v>
      </c>
      <c r="K758" s="29">
        <v>0</v>
      </c>
      <c r="L758" s="29" t="s">
        <v>90</v>
      </c>
      <c r="Q758" t="str">
        <v>Hombre</v>
      </c>
    </row>
    <row r="759" spans="3:17" x14ac:dyDescent="0.2">
      <c r="C759" s="28">
        <v>1</v>
      </c>
      <c r="D759" s="29">
        <v>3</v>
      </c>
      <c r="E759" s="29" t="s">
        <v>844</v>
      </c>
      <c r="F759" s="29" t="s">
        <v>89</v>
      </c>
      <c r="G759" s="29">
        <v>6</v>
      </c>
      <c r="H759" s="29">
        <v>0</v>
      </c>
      <c r="I759" s="29">
        <v>1</v>
      </c>
      <c r="J759" s="29">
        <v>12475</v>
      </c>
      <c r="K759" s="29">
        <v>1</v>
      </c>
      <c r="L759" s="29" t="s">
        <v>90</v>
      </c>
      <c r="Q759" t="str">
        <v>Hombre</v>
      </c>
    </row>
    <row r="760" spans="3:17" x14ac:dyDescent="0.2">
      <c r="C760" s="28">
        <v>0</v>
      </c>
      <c r="D760" s="29">
        <v>3</v>
      </c>
      <c r="E760" s="29" t="s">
        <v>845</v>
      </c>
      <c r="F760" s="29" t="s">
        <v>89</v>
      </c>
      <c r="G760" s="29">
        <v>33</v>
      </c>
      <c r="H760" s="29">
        <v>0</v>
      </c>
      <c r="I760" s="29">
        <v>0</v>
      </c>
      <c r="J760" s="29">
        <v>95</v>
      </c>
      <c r="K760" s="29">
        <v>0</v>
      </c>
      <c r="L760" s="29" t="s">
        <v>90</v>
      </c>
      <c r="Q760" t="str">
        <v>Hombre</v>
      </c>
    </row>
    <row r="761" spans="3:17" x14ac:dyDescent="0.2">
      <c r="C761" s="28">
        <v>0</v>
      </c>
      <c r="D761" s="29">
        <v>3</v>
      </c>
      <c r="E761" s="29" t="s">
        <v>846</v>
      </c>
      <c r="F761" s="29" t="s">
        <v>89</v>
      </c>
      <c r="G761" s="29">
        <v>23</v>
      </c>
      <c r="H761" s="29">
        <v>0</v>
      </c>
      <c r="I761" s="29">
        <v>0</v>
      </c>
      <c r="J761" s="29">
        <v>78958</v>
      </c>
      <c r="K761" s="29">
        <v>0</v>
      </c>
      <c r="L761" s="29" t="s">
        <v>90</v>
      </c>
      <c r="Q761" t="str">
        <v>Mujer</v>
      </c>
    </row>
    <row r="762" spans="3:17" x14ac:dyDescent="0.2">
      <c r="C762" s="28">
        <v>1</v>
      </c>
      <c r="D762" s="29">
        <v>2</v>
      </c>
      <c r="E762" s="29" t="s">
        <v>847</v>
      </c>
      <c r="F762" s="29" t="s">
        <v>92</v>
      </c>
      <c r="G762" s="29">
        <v>48</v>
      </c>
      <c r="H762" s="29">
        <v>1</v>
      </c>
      <c r="I762" s="29">
        <v>2</v>
      </c>
      <c r="J762" s="29">
        <v>65</v>
      </c>
      <c r="K762" s="29">
        <v>0</v>
      </c>
      <c r="L762" s="29" t="s">
        <v>90</v>
      </c>
      <c r="Q762" t="str">
        <v>Hombre</v>
      </c>
    </row>
    <row r="763" spans="3:17" x14ac:dyDescent="0.2">
      <c r="C763" s="28">
        <v>1</v>
      </c>
      <c r="D763" s="29">
        <v>2</v>
      </c>
      <c r="E763" s="29" t="s">
        <v>848</v>
      </c>
      <c r="F763" s="29" t="s">
        <v>89</v>
      </c>
      <c r="G763" s="29">
        <v>67</v>
      </c>
      <c r="H763" s="29">
        <v>1</v>
      </c>
      <c r="I763" s="29">
        <v>1</v>
      </c>
      <c r="J763" s="29">
        <v>145</v>
      </c>
      <c r="K763" s="29">
        <v>0</v>
      </c>
      <c r="L763" s="29" t="s">
        <v>90</v>
      </c>
      <c r="Q763" t="str">
        <v>Hombre</v>
      </c>
    </row>
    <row r="764" spans="3:17" x14ac:dyDescent="0.2">
      <c r="C764" s="28">
        <v>0</v>
      </c>
      <c r="D764" s="29">
        <v>3</v>
      </c>
      <c r="E764" s="29" t="s">
        <v>849</v>
      </c>
      <c r="F764" s="29" t="s">
        <v>89</v>
      </c>
      <c r="G764" s="29">
        <v>28</v>
      </c>
      <c r="H764" s="29">
        <v>0</v>
      </c>
      <c r="I764" s="29">
        <v>0</v>
      </c>
      <c r="J764" s="29">
        <v>77958</v>
      </c>
      <c r="K764" s="29">
        <v>0</v>
      </c>
      <c r="L764" s="29" t="s">
        <v>90</v>
      </c>
      <c r="Q764" t="str">
        <v>Hombre</v>
      </c>
    </row>
    <row r="765" spans="3:17" x14ac:dyDescent="0.2">
      <c r="C765" s="28">
        <v>0</v>
      </c>
      <c r="D765" s="29">
        <v>2</v>
      </c>
      <c r="E765" s="29" t="s">
        <v>850</v>
      </c>
      <c r="F765" s="29" t="s">
        <v>89</v>
      </c>
      <c r="G765" s="29">
        <v>18</v>
      </c>
      <c r="H765" s="29">
        <v>0</v>
      </c>
      <c r="I765" s="29">
        <v>0</v>
      </c>
      <c r="J765" s="29">
        <v>115</v>
      </c>
      <c r="K765" s="29">
        <v>0</v>
      </c>
      <c r="L765" s="29" t="s">
        <v>90</v>
      </c>
      <c r="Q765" t="str">
        <v>Hombre</v>
      </c>
    </row>
    <row r="766" spans="3:17" x14ac:dyDescent="0.2">
      <c r="C766" s="28">
        <v>0</v>
      </c>
      <c r="D766" s="29">
        <v>3</v>
      </c>
      <c r="E766" s="29" t="s">
        <v>851</v>
      </c>
      <c r="F766" s="29" t="s">
        <v>89</v>
      </c>
      <c r="G766" s="29">
        <v>34</v>
      </c>
      <c r="H766" s="29">
        <v>0</v>
      </c>
      <c r="I766" s="29">
        <v>0</v>
      </c>
      <c r="J766" s="29">
        <v>805</v>
      </c>
      <c r="K766" s="29">
        <v>0</v>
      </c>
      <c r="L766" s="29" t="s">
        <v>90</v>
      </c>
      <c r="Q766" t="str">
        <v>Mujer</v>
      </c>
    </row>
    <row r="767" spans="3:17" x14ac:dyDescent="0.2">
      <c r="C767" s="28">
        <v>1</v>
      </c>
      <c r="D767" s="29">
        <v>1</v>
      </c>
      <c r="E767" s="29" t="s">
        <v>852</v>
      </c>
      <c r="F767" s="29" t="s">
        <v>92</v>
      </c>
      <c r="G767" s="29">
        <v>33</v>
      </c>
      <c r="H767" s="29">
        <v>0</v>
      </c>
      <c r="I767" s="29">
        <v>0</v>
      </c>
      <c r="J767" s="29">
        <v>865</v>
      </c>
      <c r="K767" s="29">
        <v>1</v>
      </c>
      <c r="L767" s="29" t="s">
        <v>90</v>
      </c>
      <c r="Q767" t="str">
        <v>Hombre</v>
      </c>
    </row>
    <row r="768" spans="3:17" x14ac:dyDescent="0.2">
      <c r="C768" s="28">
        <v>0</v>
      </c>
      <c r="D768" s="29">
        <v>3</v>
      </c>
      <c r="E768" s="29" t="s">
        <v>853</v>
      </c>
      <c r="F768" s="29" t="s">
        <v>89</v>
      </c>
      <c r="G768" s="30"/>
      <c r="H768" s="29">
        <v>0</v>
      </c>
      <c r="I768" s="29">
        <v>0</v>
      </c>
      <c r="J768" s="29">
        <v>145</v>
      </c>
      <c r="K768" s="29">
        <v>0</v>
      </c>
      <c r="L768" s="29" t="s">
        <v>90</v>
      </c>
      <c r="Q768" t="str">
        <v>Hombre</v>
      </c>
    </row>
    <row r="769" spans="3:17" x14ac:dyDescent="0.2">
      <c r="C769" s="28">
        <v>0</v>
      </c>
      <c r="D769" s="29">
        <v>3</v>
      </c>
      <c r="E769" s="29" t="s">
        <v>854</v>
      </c>
      <c r="F769" s="29" t="s">
        <v>89</v>
      </c>
      <c r="G769" s="29">
        <v>41</v>
      </c>
      <c r="H769" s="29">
        <v>0</v>
      </c>
      <c r="I769" s="29">
        <v>0</v>
      </c>
      <c r="J769" s="29">
        <v>7125</v>
      </c>
      <c r="K769" s="29">
        <v>0</v>
      </c>
      <c r="L769" s="29" t="s">
        <v>90</v>
      </c>
      <c r="Q769" t="str">
        <v>Hombre</v>
      </c>
    </row>
    <row r="770" spans="3:17" x14ac:dyDescent="0.2">
      <c r="C770" s="28">
        <v>1</v>
      </c>
      <c r="D770" s="29">
        <v>3</v>
      </c>
      <c r="E770" s="29" t="s">
        <v>855</v>
      </c>
      <c r="F770" s="29" t="s">
        <v>89</v>
      </c>
      <c r="G770" s="29">
        <v>20</v>
      </c>
      <c r="H770" s="29">
        <v>0</v>
      </c>
      <c r="I770" s="29">
        <v>0</v>
      </c>
      <c r="J770" s="29">
        <v>72292</v>
      </c>
      <c r="K770" s="29">
        <v>0</v>
      </c>
      <c r="L770" s="29" t="s">
        <v>93</v>
      </c>
      <c r="Q770" t="str">
        <v>Mujer</v>
      </c>
    </row>
    <row r="771" spans="3:17" x14ac:dyDescent="0.2">
      <c r="C771" s="28">
        <v>1</v>
      </c>
      <c r="D771" s="29">
        <v>1</v>
      </c>
      <c r="E771" s="29" t="s">
        <v>856</v>
      </c>
      <c r="F771" s="29" t="s">
        <v>92</v>
      </c>
      <c r="G771" s="29">
        <v>36</v>
      </c>
      <c r="H771" s="29">
        <v>1</v>
      </c>
      <c r="I771" s="29">
        <v>2</v>
      </c>
      <c r="J771" s="29">
        <v>120</v>
      </c>
      <c r="K771" s="29">
        <v>1</v>
      </c>
      <c r="L771" s="29" t="s">
        <v>90</v>
      </c>
      <c r="Q771" t="str">
        <v>Hombre</v>
      </c>
    </row>
    <row r="772" spans="3:17" x14ac:dyDescent="0.2">
      <c r="C772" s="28">
        <v>0</v>
      </c>
      <c r="D772" s="29">
        <v>3</v>
      </c>
      <c r="E772" s="29" t="s">
        <v>857</v>
      </c>
      <c r="F772" s="29" t="s">
        <v>89</v>
      </c>
      <c r="G772" s="29">
        <v>16</v>
      </c>
      <c r="H772" s="29">
        <v>0</v>
      </c>
      <c r="I772" s="29">
        <v>0</v>
      </c>
      <c r="J772" s="29">
        <v>7775</v>
      </c>
      <c r="K772" s="29">
        <v>0</v>
      </c>
      <c r="L772" s="29" t="s">
        <v>90</v>
      </c>
      <c r="Q772" t="str">
        <v>Mujer</v>
      </c>
    </row>
    <row r="773" spans="3:17" x14ac:dyDescent="0.2">
      <c r="C773" s="28">
        <v>1</v>
      </c>
      <c r="D773" s="29">
        <v>1</v>
      </c>
      <c r="E773" s="29" t="s">
        <v>858</v>
      </c>
      <c r="F773" s="29" t="s">
        <v>92</v>
      </c>
      <c r="G773" s="29">
        <v>51</v>
      </c>
      <c r="H773" s="29">
        <v>1</v>
      </c>
      <c r="I773" s="29">
        <v>0</v>
      </c>
      <c r="J773" s="29">
        <v>779583</v>
      </c>
      <c r="K773" s="29">
        <v>1</v>
      </c>
      <c r="L773" s="29" t="s">
        <v>90</v>
      </c>
      <c r="Q773" t="str">
        <v>Hombre</v>
      </c>
    </row>
    <row r="774" spans="3:17" x14ac:dyDescent="0.2">
      <c r="C774" s="28">
        <v>0</v>
      </c>
      <c r="D774" s="29">
        <v>1</v>
      </c>
      <c r="E774" s="29" t="s">
        <v>859</v>
      </c>
      <c r="F774" s="29" t="s">
        <v>89</v>
      </c>
      <c r="G774" s="30"/>
      <c r="H774" s="29">
        <v>0</v>
      </c>
      <c r="I774" s="29">
        <v>0</v>
      </c>
      <c r="J774" s="29">
        <v>396</v>
      </c>
      <c r="K774" s="29">
        <v>0</v>
      </c>
      <c r="L774" s="29" t="s">
        <v>93</v>
      </c>
      <c r="Q774" t="str">
        <v>Mujer</v>
      </c>
    </row>
    <row r="775" spans="3:17" x14ac:dyDescent="0.2">
      <c r="C775" s="28">
        <v>0</v>
      </c>
      <c r="D775" s="29">
        <v>3</v>
      </c>
      <c r="E775" s="29" t="s">
        <v>860</v>
      </c>
      <c r="F775" s="29" t="s">
        <v>92</v>
      </c>
      <c r="G775" s="29">
        <v>305</v>
      </c>
      <c r="H775" s="29">
        <v>0</v>
      </c>
      <c r="I775" s="29">
        <v>0</v>
      </c>
      <c r="J775" s="29">
        <v>775</v>
      </c>
      <c r="K775" s="29">
        <v>0</v>
      </c>
      <c r="L775" s="29" t="s">
        <v>98</v>
      </c>
      <c r="Q775" t="str">
        <v>Hombre</v>
      </c>
    </row>
    <row r="776" spans="3:17" x14ac:dyDescent="0.2">
      <c r="C776" s="28">
        <v>0</v>
      </c>
      <c r="D776" s="29">
        <v>3</v>
      </c>
      <c r="E776" s="29" t="s">
        <v>861</v>
      </c>
      <c r="F776" s="29" t="s">
        <v>89</v>
      </c>
      <c r="G776" s="30"/>
      <c r="H776" s="29">
        <v>1</v>
      </c>
      <c r="I776" s="29">
        <v>0</v>
      </c>
      <c r="J776" s="29">
        <v>2415</v>
      </c>
      <c r="K776" s="29">
        <v>0</v>
      </c>
      <c r="L776" s="29" t="s">
        <v>98</v>
      </c>
      <c r="Q776" t="str">
        <v>Hombre</v>
      </c>
    </row>
    <row r="777" spans="3:17" x14ac:dyDescent="0.2">
      <c r="C777" s="28">
        <v>0</v>
      </c>
      <c r="D777" s="29">
        <v>3</v>
      </c>
      <c r="E777" s="29" t="s">
        <v>862</v>
      </c>
      <c r="F777" s="29" t="s">
        <v>89</v>
      </c>
      <c r="G777" s="29">
        <v>32</v>
      </c>
      <c r="H777" s="29">
        <v>0</v>
      </c>
      <c r="I777" s="29">
        <v>0</v>
      </c>
      <c r="J777" s="29">
        <v>83625</v>
      </c>
      <c r="K777" s="29">
        <v>0</v>
      </c>
      <c r="L777" s="29" t="s">
        <v>90</v>
      </c>
      <c r="Q777" t="str">
        <v>Hombre</v>
      </c>
    </row>
    <row r="778" spans="3:17" x14ac:dyDescent="0.2">
      <c r="C778" s="28">
        <v>0</v>
      </c>
      <c r="D778" s="29">
        <v>3</v>
      </c>
      <c r="E778" s="29" t="s">
        <v>863</v>
      </c>
      <c r="F778" s="29" t="s">
        <v>89</v>
      </c>
      <c r="G778" s="29">
        <v>24</v>
      </c>
      <c r="H778" s="29">
        <v>0</v>
      </c>
      <c r="I778" s="29">
        <v>0</v>
      </c>
      <c r="J778" s="29">
        <v>95</v>
      </c>
      <c r="K778" s="29">
        <v>0</v>
      </c>
      <c r="L778" s="29" t="s">
        <v>90</v>
      </c>
      <c r="Q778" t="str">
        <v>Hombre</v>
      </c>
    </row>
    <row r="779" spans="3:17" x14ac:dyDescent="0.2">
      <c r="C779" s="28">
        <v>0</v>
      </c>
      <c r="D779" s="29">
        <v>3</v>
      </c>
      <c r="E779" s="29" t="s">
        <v>864</v>
      </c>
      <c r="F779" s="29" t="s">
        <v>89</v>
      </c>
      <c r="G779" s="29">
        <v>48</v>
      </c>
      <c r="H779" s="29">
        <v>0</v>
      </c>
      <c r="I779" s="29">
        <v>0</v>
      </c>
      <c r="J779" s="29">
        <v>78542</v>
      </c>
      <c r="K779" s="29">
        <v>0</v>
      </c>
      <c r="L779" s="29" t="s">
        <v>90</v>
      </c>
      <c r="Q779" t="str">
        <v>Mujer</v>
      </c>
    </row>
    <row r="780" spans="3:17" x14ac:dyDescent="0.2">
      <c r="C780" s="28">
        <v>0</v>
      </c>
      <c r="D780" s="29">
        <v>2</v>
      </c>
      <c r="E780" s="29" t="s">
        <v>865</v>
      </c>
      <c r="F780" s="29" t="s">
        <v>92</v>
      </c>
      <c r="G780" s="29">
        <v>57</v>
      </c>
      <c r="H780" s="29">
        <v>0</v>
      </c>
      <c r="I780" s="29">
        <v>0</v>
      </c>
      <c r="J780" s="29">
        <v>105</v>
      </c>
      <c r="K780" s="29">
        <v>1</v>
      </c>
      <c r="L780" s="29" t="s">
        <v>90</v>
      </c>
      <c r="Q780" t="str">
        <v>Hombre</v>
      </c>
    </row>
    <row r="781" spans="3:17" x14ac:dyDescent="0.2">
      <c r="C781" s="28">
        <v>0</v>
      </c>
      <c r="D781" s="29">
        <v>3</v>
      </c>
      <c r="E781" s="29" t="s">
        <v>866</v>
      </c>
      <c r="F781" s="29" t="s">
        <v>89</v>
      </c>
      <c r="G781" s="30"/>
      <c r="H781" s="29">
        <v>0</v>
      </c>
      <c r="I781" s="29">
        <v>0</v>
      </c>
      <c r="J781" s="29">
        <v>7225</v>
      </c>
      <c r="K781" s="29">
        <v>0</v>
      </c>
      <c r="L781" s="29" t="s">
        <v>93</v>
      </c>
      <c r="Q781" t="str">
        <v>Mujer</v>
      </c>
    </row>
    <row r="782" spans="3:17" x14ac:dyDescent="0.2">
      <c r="C782" s="28">
        <v>1</v>
      </c>
      <c r="D782" s="29">
        <v>2</v>
      </c>
      <c r="E782" s="29" t="s">
        <v>867</v>
      </c>
      <c r="F782" s="29" t="s">
        <v>92</v>
      </c>
      <c r="G782" s="29">
        <v>54</v>
      </c>
      <c r="H782" s="29">
        <v>1</v>
      </c>
      <c r="I782" s="29">
        <v>3</v>
      </c>
      <c r="J782" s="29">
        <v>23</v>
      </c>
      <c r="K782" s="29">
        <v>0</v>
      </c>
      <c r="L782" s="29" t="s">
        <v>90</v>
      </c>
      <c r="Q782" t="str">
        <v>Hombre</v>
      </c>
    </row>
    <row r="783" spans="3:17" x14ac:dyDescent="0.2">
      <c r="C783" s="28">
        <v>0</v>
      </c>
      <c r="D783" s="29">
        <v>3</v>
      </c>
      <c r="E783" s="29" t="s">
        <v>868</v>
      </c>
      <c r="F783" s="29" t="s">
        <v>89</v>
      </c>
      <c r="G783" s="29">
        <v>18</v>
      </c>
      <c r="H783" s="29">
        <v>0</v>
      </c>
      <c r="I783" s="29">
        <v>0</v>
      </c>
      <c r="J783" s="29">
        <v>775</v>
      </c>
      <c r="K783" s="29">
        <v>0</v>
      </c>
      <c r="L783" s="29" t="s">
        <v>90</v>
      </c>
      <c r="Q783" t="str">
        <v>Hombre</v>
      </c>
    </row>
    <row r="784" spans="3:17" x14ac:dyDescent="0.2">
      <c r="C784" s="28">
        <v>0</v>
      </c>
      <c r="D784" s="29">
        <v>3</v>
      </c>
      <c r="E784" s="29" t="s">
        <v>869</v>
      </c>
      <c r="F784" s="29" t="s">
        <v>89</v>
      </c>
      <c r="G784" s="30"/>
      <c r="H784" s="29">
        <v>0</v>
      </c>
      <c r="I784" s="29">
        <v>0</v>
      </c>
      <c r="J784" s="29">
        <v>775</v>
      </c>
      <c r="K784" s="29">
        <v>1</v>
      </c>
      <c r="L784" s="29" t="s">
        <v>98</v>
      </c>
      <c r="Q784" t="str">
        <v>Mujer</v>
      </c>
    </row>
    <row r="785" spans="3:17" x14ac:dyDescent="0.2">
      <c r="C785" s="28">
        <v>1</v>
      </c>
      <c r="D785" s="29">
        <v>3</v>
      </c>
      <c r="E785" s="29" t="s">
        <v>870</v>
      </c>
      <c r="F785" s="29" t="s">
        <v>92</v>
      </c>
      <c r="G785" s="29">
        <v>5</v>
      </c>
      <c r="H785" s="29">
        <v>0</v>
      </c>
      <c r="I785" s="29">
        <v>0</v>
      </c>
      <c r="J785" s="29">
        <v>12475</v>
      </c>
      <c r="K785" s="29">
        <v>0</v>
      </c>
      <c r="L785" s="29" t="s">
        <v>90</v>
      </c>
      <c r="Q785" t="str">
        <v>Hombre</v>
      </c>
    </row>
    <row r="786" spans="3:17" x14ac:dyDescent="0.2">
      <c r="C786" s="28">
        <v>0</v>
      </c>
      <c r="D786" s="29">
        <v>3</v>
      </c>
      <c r="E786" s="29" t="s">
        <v>871</v>
      </c>
      <c r="F786" s="29" t="s">
        <v>89</v>
      </c>
      <c r="G786" s="30"/>
      <c r="H786" s="29">
        <v>0</v>
      </c>
      <c r="I786" s="29">
        <v>0</v>
      </c>
      <c r="J786" s="29">
        <v>77375</v>
      </c>
      <c r="K786" s="29">
        <v>0</v>
      </c>
      <c r="L786" s="29" t="s">
        <v>98</v>
      </c>
      <c r="Q786" t="str">
        <v>Mujer</v>
      </c>
    </row>
    <row r="787" spans="3:17" x14ac:dyDescent="0.2">
      <c r="C787" s="28">
        <v>1</v>
      </c>
      <c r="D787" s="29">
        <v>1</v>
      </c>
      <c r="E787" s="29" t="s">
        <v>872</v>
      </c>
      <c r="F787" s="29" t="s">
        <v>92</v>
      </c>
      <c r="G787" s="29">
        <v>43</v>
      </c>
      <c r="H787" s="29">
        <v>0</v>
      </c>
      <c r="I787" s="29">
        <v>1</v>
      </c>
      <c r="J787" s="29">
        <v>2113375</v>
      </c>
      <c r="K787" s="29">
        <v>1</v>
      </c>
      <c r="L787" s="29" t="s">
        <v>90</v>
      </c>
      <c r="Q787" t="str">
        <v>Mujer</v>
      </c>
    </row>
    <row r="788" spans="3:17" x14ac:dyDescent="0.2">
      <c r="C788" s="28">
        <v>1</v>
      </c>
      <c r="D788" s="29">
        <v>3</v>
      </c>
      <c r="E788" s="29" t="s">
        <v>873</v>
      </c>
      <c r="F788" s="29" t="s">
        <v>92</v>
      </c>
      <c r="G788" s="29">
        <v>13</v>
      </c>
      <c r="H788" s="29">
        <v>0</v>
      </c>
      <c r="I788" s="29">
        <v>0</v>
      </c>
      <c r="J788" s="29">
        <v>72292</v>
      </c>
      <c r="K788" s="29">
        <v>0</v>
      </c>
      <c r="L788" s="29" t="s">
        <v>93</v>
      </c>
      <c r="Q788" t="str">
        <v>Mujer</v>
      </c>
    </row>
    <row r="789" spans="3:17" x14ac:dyDescent="0.2">
      <c r="C789" s="28">
        <v>1</v>
      </c>
      <c r="D789" s="29">
        <v>1</v>
      </c>
      <c r="E789" s="29" t="s">
        <v>874</v>
      </c>
      <c r="F789" s="29" t="s">
        <v>92</v>
      </c>
      <c r="G789" s="29">
        <v>17</v>
      </c>
      <c r="H789" s="29">
        <v>1</v>
      </c>
      <c r="I789" s="29">
        <v>0</v>
      </c>
      <c r="J789" s="29">
        <v>57</v>
      </c>
      <c r="K789" s="29">
        <v>1</v>
      </c>
      <c r="L789" s="29" t="s">
        <v>90</v>
      </c>
      <c r="Q789" t="str">
        <v>Hombre</v>
      </c>
    </row>
    <row r="790" spans="3:17" x14ac:dyDescent="0.2">
      <c r="C790" s="28">
        <v>0</v>
      </c>
      <c r="D790" s="29">
        <v>1</v>
      </c>
      <c r="E790" s="29" t="s">
        <v>875</v>
      </c>
      <c r="F790" s="29" t="s">
        <v>89</v>
      </c>
      <c r="G790" s="29">
        <v>29</v>
      </c>
      <c r="H790" s="29">
        <v>0</v>
      </c>
      <c r="I790" s="29">
        <v>0</v>
      </c>
      <c r="J790" s="29">
        <v>30</v>
      </c>
      <c r="K790" s="29">
        <v>1</v>
      </c>
      <c r="L790" s="29" t="s">
        <v>90</v>
      </c>
      <c r="Q790" t="str">
        <v>Hombre</v>
      </c>
    </row>
    <row r="791" spans="3:17" x14ac:dyDescent="0.2">
      <c r="C791" s="28">
        <v>0</v>
      </c>
      <c r="D791" s="29">
        <v>3</v>
      </c>
      <c r="E791" s="29" t="s">
        <v>876</v>
      </c>
      <c r="F791" s="29" t="s">
        <v>89</v>
      </c>
      <c r="G791" s="30"/>
      <c r="H791" s="29">
        <v>1</v>
      </c>
      <c r="I791" s="29">
        <v>2</v>
      </c>
      <c r="J791" s="29">
        <v>2345</v>
      </c>
      <c r="K791" s="29">
        <v>0</v>
      </c>
      <c r="L791" s="29" t="s">
        <v>90</v>
      </c>
      <c r="Q791" t="str">
        <v>Hombre</v>
      </c>
    </row>
    <row r="792" spans="3:17" x14ac:dyDescent="0.2">
      <c r="C792" s="28">
        <v>0</v>
      </c>
      <c r="D792" s="29">
        <v>3</v>
      </c>
      <c r="E792" s="29" t="s">
        <v>877</v>
      </c>
      <c r="F792" s="29" t="s">
        <v>89</v>
      </c>
      <c r="G792" s="29">
        <v>25</v>
      </c>
      <c r="H792" s="29">
        <v>0</v>
      </c>
      <c r="I792" s="29">
        <v>0</v>
      </c>
      <c r="J792" s="29">
        <v>705</v>
      </c>
      <c r="K792" s="29">
        <v>0</v>
      </c>
      <c r="L792" s="29" t="s">
        <v>90</v>
      </c>
      <c r="Q792" t="str">
        <v>Hombre</v>
      </c>
    </row>
    <row r="793" spans="3:17" x14ac:dyDescent="0.2">
      <c r="C793" s="28">
        <v>0</v>
      </c>
      <c r="D793" s="29">
        <v>3</v>
      </c>
      <c r="E793" s="29" t="s">
        <v>878</v>
      </c>
      <c r="F793" s="29" t="s">
        <v>89</v>
      </c>
      <c r="G793" s="29">
        <v>25</v>
      </c>
      <c r="H793" s="29">
        <v>0</v>
      </c>
      <c r="I793" s="29">
        <v>0</v>
      </c>
      <c r="J793" s="29">
        <v>725</v>
      </c>
      <c r="K793" s="29">
        <v>0</v>
      </c>
      <c r="L793" s="29" t="s">
        <v>90</v>
      </c>
      <c r="Q793" t="str">
        <v>Mujer</v>
      </c>
    </row>
    <row r="794" spans="3:17" x14ac:dyDescent="0.2">
      <c r="C794" s="28">
        <v>1</v>
      </c>
      <c r="D794" s="29">
        <v>3</v>
      </c>
      <c r="E794" s="29" t="s">
        <v>879</v>
      </c>
      <c r="F794" s="29" t="s">
        <v>92</v>
      </c>
      <c r="G794" s="29">
        <v>18</v>
      </c>
      <c r="H794" s="29">
        <v>0</v>
      </c>
      <c r="I794" s="29">
        <v>0</v>
      </c>
      <c r="J794" s="29">
        <v>74958</v>
      </c>
      <c r="K794" s="29">
        <v>0</v>
      </c>
      <c r="L794" s="29" t="s">
        <v>90</v>
      </c>
      <c r="Q794" t="str">
        <v>Hombre</v>
      </c>
    </row>
    <row r="795" spans="3:17" x14ac:dyDescent="0.2">
      <c r="C795" s="28">
        <v>0</v>
      </c>
      <c r="D795" s="29">
        <v>3</v>
      </c>
      <c r="E795" s="29" t="s">
        <v>880</v>
      </c>
      <c r="F795" s="29" t="s">
        <v>89</v>
      </c>
      <c r="G795" s="29">
        <v>8</v>
      </c>
      <c r="H795" s="29">
        <v>4</v>
      </c>
      <c r="I795" s="29">
        <v>1</v>
      </c>
      <c r="J795" s="29">
        <v>29125</v>
      </c>
      <c r="K795" s="29">
        <v>0</v>
      </c>
      <c r="L795" s="29" t="s">
        <v>98</v>
      </c>
      <c r="Q795" t="str">
        <v>Hombre</v>
      </c>
    </row>
    <row r="796" spans="3:17" x14ac:dyDescent="0.2">
      <c r="C796" s="28">
        <v>1</v>
      </c>
      <c r="D796" s="29">
        <v>3</v>
      </c>
      <c r="E796" s="29" t="s">
        <v>881</v>
      </c>
      <c r="F796" s="29" t="s">
        <v>89</v>
      </c>
      <c r="G796" s="29">
        <v>1</v>
      </c>
      <c r="H796" s="29">
        <v>1</v>
      </c>
      <c r="I796" s="29">
        <v>2</v>
      </c>
      <c r="J796" s="29">
        <v>20575</v>
      </c>
      <c r="K796" s="29">
        <v>0</v>
      </c>
      <c r="L796" s="29" t="s">
        <v>90</v>
      </c>
      <c r="Q796" t="str">
        <v>Hombre</v>
      </c>
    </row>
    <row r="797" spans="3:17" x14ac:dyDescent="0.2">
      <c r="C797" s="28">
        <v>0</v>
      </c>
      <c r="D797" s="29">
        <v>1</v>
      </c>
      <c r="E797" s="29" t="s">
        <v>882</v>
      </c>
      <c r="F797" s="29" t="s">
        <v>89</v>
      </c>
      <c r="G797" s="29">
        <v>46</v>
      </c>
      <c r="H797" s="29">
        <v>0</v>
      </c>
      <c r="I797" s="29">
        <v>0</v>
      </c>
      <c r="J797" s="29">
        <v>792</v>
      </c>
      <c r="K797" s="29">
        <v>1</v>
      </c>
      <c r="L797" s="29" t="s">
        <v>93</v>
      </c>
      <c r="Q797" t="str">
        <v>Hombre</v>
      </c>
    </row>
    <row r="798" spans="3:17" x14ac:dyDescent="0.2">
      <c r="C798" s="28">
        <v>0</v>
      </c>
      <c r="D798" s="29">
        <v>3</v>
      </c>
      <c r="E798" s="29" t="s">
        <v>883</v>
      </c>
      <c r="F798" s="29" t="s">
        <v>89</v>
      </c>
      <c r="G798" s="30"/>
      <c r="H798" s="29">
        <v>0</v>
      </c>
      <c r="I798" s="29">
        <v>0</v>
      </c>
      <c r="J798" s="29">
        <v>775</v>
      </c>
      <c r="K798" s="29">
        <v>0</v>
      </c>
      <c r="L798" s="29" t="s">
        <v>98</v>
      </c>
      <c r="Q798" t="str">
        <v>Hombre</v>
      </c>
    </row>
    <row r="799" spans="3:17" x14ac:dyDescent="0.2">
      <c r="C799" s="28">
        <v>0</v>
      </c>
      <c r="D799" s="29">
        <v>2</v>
      </c>
      <c r="E799" s="29" t="s">
        <v>884</v>
      </c>
      <c r="F799" s="29" t="s">
        <v>89</v>
      </c>
      <c r="G799" s="29">
        <v>16</v>
      </c>
      <c r="H799" s="29">
        <v>0</v>
      </c>
      <c r="I799" s="29">
        <v>0</v>
      </c>
      <c r="J799" s="29">
        <v>26</v>
      </c>
      <c r="K799" s="29">
        <v>0</v>
      </c>
      <c r="L799" s="29" t="s">
        <v>90</v>
      </c>
      <c r="Q799" t="str">
        <v>Mujer</v>
      </c>
    </row>
    <row r="800" spans="3:17" x14ac:dyDescent="0.2">
      <c r="C800" s="28">
        <v>0</v>
      </c>
      <c r="D800" s="29">
        <v>3</v>
      </c>
      <c r="E800" s="29" t="s">
        <v>885</v>
      </c>
      <c r="F800" s="29" t="s">
        <v>92</v>
      </c>
      <c r="G800" s="30"/>
      <c r="H800" s="29">
        <v>8</v>
      </c>
      <c r="I800" s="29">
        <v>2</v>
      </c>
      <c r="J800" s="29">
        <v>6955</v>
      </c>
      <c r="K800" s="29">
        <v>0</v>
      </c>
      <c r="L800" s="29" t="s">
        <v>90</v>
      </c>
      <c r="Q800" t="str">
        <v>Hombre</v>
      </c>
    </row>
    <row r="801" spans="3:17" x14ac:dyDescent="0.2">
      <c r="C801" s="28">
        <v>0</v>
      </c>
      <c r="D801" s="29">
        <v>1</v>
      </c>
      <c r="E801" s="29" t="s">
        <v>886</v>
      </c>
      <c r="F801" s="29" t="s">
        <v>89</v>
      </c>
      <c r="G801" s="30"/>
      <c r="H801" s="29">
        <v>0</v>
      </c>
      <c r="I801" s="29">
        <v>0</v>
      </c>
      <c r="J801" s="29">
        <v>306958</v>
      </c>
      <c r="K801" s="29">
        <v>0</v>
      </c>
      <c r="L801" s="29" t="s">
        <v>93</v>
      </c>
      <c r="Q801" t="str">
        <v>Hombre</v>
      </c>
    </row>
    <row r="802" spans="3:17" x14ac:dyDescent="0.2">
      <c r="C802" s="28">
        <v>0</v>
      </c>
      <c r="D802" s="29">
        <v>3</v>
      </c>
      <c r="E802" s="29" t="s">
        <v>887</v>
      </c>
      <c r="F802" s="29" t="s">
        <v>89</v>
      </c>
      <c r="G802" s="29">
        <v>25</v>
      </c>
      <c r="H802" s="29">
        <v>0</v>
      </c>
      <c r="I802" s="29">
        <v>0</v>
      </c>
      <c r="J802" s="29">
        <v>78958</v>
      </c>
      <c r="K802" s="29">
        <v>0</v>
      </c>
      <c r="L802" s="29" t="s">
        <v>90</v>
      </c>
      <c r="Q802" t="str">
        <v>Hombre</v>
      </c>
    </row>
    <row r="803" spans="3:17" x14ac:dyDescent="0.2">
      <c r="C803" s="28">
        <v>0</v>
      </c>
      <c r="D803" s="29">
        <v>2</v>
      </c>
      <c r="E803" s="29" t="s">
        <v>888</v>
      </c>
      <c r="F803" s="29" t="s">
        <v>89</v>
      </c>
      <c r="G803" s="29">
        <v>39</v>
      </c>
      <c r="H803" s="29">
        <v>0</v>
      </c>
      <c r="I803" s="29">
        <v>0</v>
      </c>
      <c r="J803" s="29">
        <v>13</v>
      </c>
      <c r="K803" s="29">
        <v>0</v>
      </c>
      <c r="L803" s="29" t="s">
        <v>90</v>
      </c>
      <c r="Q803" t="str">
        <v>Mujer</v>
      </c>
    </row>
    <row r="804" spans="3:17" x14ac:dyDescent="0.2">
      <c r="C804" s="28">
        <v>1</v>
      </c>
      <c r="D804" s="29">
        <v>1</v>
      </c>
      <c r="E804" s="29" t="s">
        <v>889</v>
      </c>
      <c r="F804" s="29" t="s">
        <v>92</v>
      </c>
      <c r="G804" s="29">
        <v>49</v>
      </c>
      <c r="H804" s="29">
        <v>0</v>
      </c>
      <c r="I804" s="29">
        <v>0</v>
      </c>
      <c r="J804" s="29">
        <v>259292</v>
      </c>
      <c r="K804" s="29">
        <v>1</v>
      </c>
      <c r="L804" s="29" t="s">
        <v>90</v>
      </c>
      <c r="Q804" t="str">
        <v>Mujer</v>
      </c>
    </row>
    <row r="805" spans="3:17" x14ac:dyDescent="0.2">
      <c r="C805" s="28">
        <v>1</v>
      </c>
      <c r="D805" s="29">
        <v>3</v>
      </c>
      <c r="E805" s="29" t="s">
        <v>890</v>
      </c>
      <c r="F805" s="29" t="s">
        <v>92</v>
      </c>
      <c r="G805" s="29">
        <v>31</v>
      </c>
      <c r="H805" s="29">
        <v>0</v>
      </c>
      <c r="I805" s="29">
        <v>0</v>
      </c>
      <c r="J805" s="29">
        <v>86833</v>
      </c>
      <c r="K805" s="29">
        <v>0</v>
      </c>
      <c r="L805" s="29" t="s">
        <v>90</v>
      </c>
      <c r="Q805" t="str">
        <v>Hombre</v>
      </c>
    </row>
    <row r="806" spans="3:17" x14ac:dyDescent="0.2">
      <c r="C806" s="28">
        <v>0</v>
      </c>
      <c r="D806" s="29">
        <v>3</v>
      </c>
      <c r="E806" s="29" t="s">
        <v>891</v>
      </c>
      <c r="F806" s="29" t="s">
        <v>89</v>
      </c>
      <c r="G806" s="29">
        <v>30</v>
      </c>
      <c r="H806" s="29">
        <v>0</v>
      </c>
      <c r="I806" s="29">
        <v>0</v>
      </c>
      <c r="J806" s="29">
        <v>72292</v>
      </c>
      <c r="K806" s="29">
        <v>0</v>
      </c>
      <c r="L806" s="29" t="s">
        <v>93</v>
      </c>
      <c r="Q806" t="str">
        <v>Mujer</v>
      </c>
    </row>
    <row r="807" spans="3:17" x14ac:dyDescent="0.2">
      <c r="C807" s="28">
        <v>0</v>
      </c>
      <c r="D807" s="29">
        <v>3</v>
      </c>
      <c r="E807" s="29" t="s">
        <v>892</v>
      </c>
      <c r="F807" s="29" t="s">
        <v>92</v>
      </c>
      <c r="G807" s="29">
        <v>30</v>
      </c>
      <c r="H807" s="29">
        <v>1</v>
      </c>
      <c r="I807" s="29">
        <v>1</v>
      </c>
      <c r="J807" s="29">
        <v>2415</v>
      </c>
      <c r="K807" s="29">
        <v>0</v>
      </c>
      <c r="L807" s="29" t="s">
        <v>90</v>
      </c>
      <c r="Q807" t="str">
        <v>Hombre</v>
      </c>
    </row>
    <row r="808" spans="3:17" x14ac:dyDescent="0.2">
      <c r="C808" s="28">
        <v>0</v>
      </c>
      <c r="D808" s="29">
        <v>2</v>
      </c>
      <c r="E808" s="29" t="s">
        <v>893</v>
      </c>
      <c r="F808" s="29" t="s">
        <v>89</v>
      </c>
      <c r="G808" s="29">
        <v>34</v>
      </c>
      <c r="H808" s="29">
        <v>0</v>
      </c>
      <c r="I808" s="29">
        <v>0</v>
      </c>
      <c r="J808" s="29">
        <v>13</v>
      </c>
      <c r="K808" s="29">
        <v>0</v>
      </c>
      <c r="L808" s="29" t="s">
        <v>90</v>
      </c>
      <c r="Q808" t="str">
        <v>Mujer</v>
      </c>
    </row>
    <row r="809" spans="3:17" x14ac:dyDescent="0.2">
      <c r="C809" s="28">
        <v>1</v>
      </c>
      <c r="D809" s="29">
        <v>2</v>
      </c>
      <c r="E809" s="29" t="s">
        <v>894</v>
      </c>
      <c r="F809" s="29" t="s">
        <v>92</v>
      </c>
      <c r="G809" s="29">
        <v>31</v>
      </c>
      <c r="H809" s="29">
        <v>1</v>
      </c>
      <c r="I809" s="29">
        <v>1</v>
      </c>
      <c r="J809" s="29">
        <v>2625</v>
      </c>
      <c r="K809" s="29">
        <v>0</v>
      </c>
      <c r="L809" s="29" t="s">
        <v>90</v>
      </c>
      <c r="Q809" t="str">
        <v>Hombre</v>
      </c>
    </row>
    <row r="810" spans="3:17" x14ac:dyDescent="0.2">
      <c r="C810" s="28">
        <v>1</v>
      </c>
      <c r="D810" s="29">
        <v>1</v>
      </c>
      <c r="E810" s="29" t="s">
        <v>895</v>
      </c>
      <c r="F810" s="29" t="s">
        <v>89</v>
      </c>
      <c r="G810" s="29">
        <v>11</v>
      </c>
      <c r="H810" s="29">
        <v>1</v>
      </c>
      <c r="I810" s="29">
        <v>2</v>
      </c>
      <c r="J810" s="29">
        <v>120</v>
      </c>
      <c r="K810" s="29">
        <v>1</v>
      </c>
      <c r="L810" s="29" t="s">
        <v>90</v>
      </c>
      <c r="Q810" t="str">
        <v>Hombre</v>
      </c>
    </row>
    <row r="811" spans="3:17" x14ac:dyDescent="0.2">
      <c r="C811" s="28">
        <v>1</v>
      </c>
      <c r="D811" s="29">
        <v>3</v>
      </c>
      <c r="E811" s="29" t="s">
        <v>896</v>
      </c>
      <c r="F811" s="29" t="s">
        <v>89</v>
      </c>
      <c r="G811" s="29">
        <v>42</v>
      </c>
      <c r="H811" s="29">
        <v>0</v>
      </c>
      <c r="I811" s="29">
        <v>1</v>
      </c>
      <c r="J811" s="29">
        <v>85167</v>
      </c>
      <c r="K811" s="29">
        <v>0</v>
      </c>
      <c r="L811" s="29" t="s">
        <v>93</v>
      </c>
      <c r="Q811" t="str">
        <v>Hombre</v>
      </c>
    </row>
    <row r="812" spans="3:17" x14ac:dyDescent="0.2">
      <c r="C812" s="28">
        <v>1</v>
      </c>
      <c r="D812" s="29">
        <v>3</v>
      </c>
      <c r="E812" s="29" t="s">
        <v>897</v>
      </c>
      <c r="F812" s="29" t="s">
        <v>89</v>
      </c>
      <c r="G812" s="29">
        <v>27</v>
      </c>
      <c r="H812" s="29">
        <v>0</v>
      </c>
      <c r="I812" s="29">
        <v>0</v>
      </c>
      <c r="J812" s="29">
        <v>6975</v>
      </c>
      <c r="K812" s="29">
        <v>0</v>
      </c>
      <c r="L812" s="29" t="s">
        <v>90</v>
      </c>
      <c r="Q812" t="str">
        <v>Hombre</v>
      </c>
    </row>
    <row r="813" spans="3:17" x14ac:dyDescent="0.2">
      <c r="C813" s="28">
        <v>0</v>
      </c>
      <c r="D813" s="29">
        <v>3</v>
      </c>
      <c r="E813" s="29" t="s">
        <v>898</v>
      </c>
      <c r="F813" s="29" t="s">
        <v>89</v>
      </c>
      <c r="G813" s="29">
        <v>31</v>
      </c>
      <c r="H813" s="29">
        <v>0</v>
      </c>
      <c r="I813" s="29">
        <v>0</v>
      </c>
      <c r="J813" s="29">
        <v>7775</v>
      </c>
      <c r="K813" s="29">
        <v>0</v>
      </c>
      <c r="L813" s="29" t="s">
        <v>90</v>
      </c>
      <c r="Q813" t="str">
        <v>Hombre</v>
      </c>
    </row>
    <row r="814" spans="3:17" x14ac:dyDescent="0.2">
      <c r="C814" s="28">
        <v>0</v>
      </c>
      <c r="D814" s="29">
        <v>1</v>
      </c>
      <c r="E814" s="29" t="s">
        <v>899</v>
      </c>
      <c r="F814" s="29" t="s">
        <v>89</v>
      </c>
      <c r="G814" s="29">
        <v>39</v>
      </c>
      <c r="H814" s="29">
        <v>0</v>
      </c>
      <c r="I814" s="29">
        <v>0</v>
      </c>
      <c r="J814" s="29">
        <v>0</v>
      </c>
      <c r="K814" s="29">
        <v>1</v>
      </c>
      <c r="L814" s="29" t="s">
        <v>90</v>
      </c>
      <c r="Q814" t="str">
        <v>Mujer</v>
      </c>
    </row>
    <row r="815" spans="3:17" x14ac:dyDescent="0.2">
      <c r="C815" s="28">
        <v>0</v>
      </c>
      <c r="D815" s="29">
        <v>3</v>
      </c>
      <c r="E815" s="29" t="s">
        <v>900</v>
      </c>
      <c r="F815" s="29" t="s">
        <v>92</v>
      </c>
      <c r="G815" s="29">
        <v>18</v>
      </c>
      <c r="H815" s="29">
        <v>0</v>
      </c>
      <c r="I815" s="29">
        <v>0</v>
      </c>
      <c r="J815" s="29">
        <v>7775</v>
      </c>
      <c r="K815" s="29">
        <v>0</v>
      </c>
      <c r="L815" s="29" t="s">
        <v>90</v>
      </c>
      <c r="Q815" t="str">
        <v>Hombre</v>
      </c>
    </row>
    <row r="816" spans="3:17" x14ac:dyDescent="0.2">
      <c r="C816" s="28">
        <v>0</v>
      </c>
      <c r="D816" s="29">
        <v>2</v>
      </c>
      <c r="E816" s="29" t="s">
        <v>901</v>
      </c>
      <c r="F816" s="29" t="s">
        <v>89</v>
      </c>
      <c r="G816" s="29">
        <v>39</v>
      </c>
      <c r="H816" s="29">
        <v>0</v>
      </c>
      <c r="I816" s="29">
        <v>0</v>
      </c>
      <c r="J816" s="29">
        <v>13</v>
      </c>
      <c r="K816" s="29">
        <v>0</v>
      </c>
      <c r="L816" s="29" t="s">
        <v>90</v>
      </c>
      <c r="Q816" t="str">
        <v>Mujer</v>
      </c>
    </row>
    <row r="817" spans="3:17" x14ac:dyDescent="0.2">
      <c r="C817" s="28">
        <v>1</v>
      </c>
      <c r="D817" s="29">
        <v>1</v>
      </c>
      <c r="E817" s="29" t="s">
        <v>902</v>
      </c>
      <c r="F817" s="29" t="s">
        <v>92</v>
      </c>
      <c r="G817" s="29">
        <v>33</v>
      </c>
      <c r="H817" s="29">
        <v>1</v>
      </c>
      <c r="I817" s="29">
        <v>0</v>
      </c>
      <c r="J817" s="29">
        <v>531</v>
      </c>
      <c r="K817" s="29">
        <v>1</v>
      </c>
      <c r="L817" s="29" t="s">
        <v>90</v>
      </c>
      <c r="Q817" t="str">
        <v>Hombre</v>
      </c>
    </row>
    <row r="818" spans="3:17" x14ac:dyDescent="0.2">
      <c r="C818" s="28">
        <v>0</v>
      </c>
      <c r="D818" s="29">
        <v>3</v>
      </c>
      <c r="E818" s="29" t="s">
        <v>903</v>
      </c>
      <c r="F818" s="29" t="s">
        <v>89</v>
      </c>
      <c r="G818" s="29">
        <v>26</v>
      </c>
      <c r="H818" s="29">
        <v>0</v>
      </c>
      <c r="I818" s="29">
        <v>0</v>
      </c>
      <c r="J818" s="29">
        <v>78875</v>
      </c>
      <c r="K818" s="29">
        <v>0</v>
      </c>
      <c r="L818" s="29" t="s">
        <v>90</v>
      </c>
      <c r="Q818" t="str">
        <v>Hombre</v>
      </c>
    </row>
    <row r="819" spans="3:17" x14ac:dyDescent="0.2">
      <c r="C819" s="28">
        <v>0</v>
      </c>
      <c r="D819" s="29">
        <v>3</v>
      </c>
      <c r="E819" s="29" t="s">
        <v>904</v>
      </c>
      <c r="F819" s="29" t="s">
        <v>89</v>
      </c>
      <c r="G819" s="29">
        <v>39</v>
      </c>
      <c r="H819" s="29">
        <v>0</v>
      </c>
      <c r="I819" s="29">
        <v>0</v>
      </c>
      <c r="J819" s="29">
        <v>2415</v>
      </c>
      <c r="K819" s="29">
        <v>0</v>
      </c>
      <c r="L819" s="29" t="s">
        <v>90</v>
      </c>
      <c r="Q819" t="str">
        <v>Hombre</v>
      </c>
    </row>
    <row r="820" spans="3:17" x14ac:dyDescent="0.2">
      <c r="C820" s="28">
        <v>0</v>
      </c>
      <c r="D820" s="29">
        <v>2</v>
      </c>
      <c r="E820" s="29" t="s">
        <v>905</v>
      </c>
      <c r="F820" s="29" t="s">
        <v>89</v>
      </c>
      <c r="G820" s="29">
        <v>35</v>
      </c>
      <c r="H820" s="29">
        <v>0</v>
      </c>
      <c r="I820" s="29">
        <v>0</v>
      </c>
      <c r="J820" s="29">
        <v>105</v>
      </c>
      <c r="K820" s="29">
        <v>0</v>
      </c>
      <c r="L820" s="29" t="s">
        <v>90</v>
      </c>
      <c r="Q820" t="str">
        <v>Mujer</v>
      </c>
    </row>
    <row r="821" spans="3:17" x14ac:dyDescent="0.2">
      <c r="C821" s="28">
        <v>0</v>
      </c>
      <c r="D821" s="29">
        <v>3</v>
      </c>
      <c r="E821" s="29" t="s">
        <v>906</v>
      </c>
      <c r="F821" s="29" t="s">
        <v>92</v>
      </c>
      <c r="G821" s="29">
        <v>6</v>
      </c>
      <c r="H821" s="29">
        <v>4</v>
      </c>
      <c r="I821" s="29">
        <v>2</v>
      </c>
      <c r="J821" s="29">
        <v>31275</v>
      </c>
      <c r="K821" s="29">
        <v>0</v>
      </c>
      <c r="L821" s="29" t="s">
        <v>90</v>
      </c>
      <c r="Q821" t="str">
        <v>Hombre</v>
      </c>
    </row>
    <row r="822" spans="3:17" x14ac:dyDescent="0.2">
      <c r="C822" s="28">
        <v>0</v>
      </c>
      <c r="D822" s="29">
        <v>3</v>
      </c>
      <c r="E822" s="29" t="s">
        <v>907</v>
      </c>
      <c r="F822" s="29" t="s">
        <v>89</v>
      </c>
      <c r="G822" s="29">
        <v>305</v>
      </c>
      <c r="H822" s="29">
        <v>0</v>
      </c>
      <c r="I822" s="29">
        <v>0</v>
      </c>
      <c r="J822" s="29">
        <v>805</v>
      </c>
      <c r="K822" s="29">
        <v>0</v>
      </c>
      <c r="L822" s="29" t="s">
        <v>90</v>
      </c>
      <c r="Q822" t="str">
        <v>Hombre</v>
      </c>
    </row>
    <row r="823" spans="3:17" x14ac:dyDescent="0.2">
      <c r="C823" s="28">
        <v>0</v>
      </c>
      <c r="D823" s="29">
        <v>1</v>
      </c>
      <c r="E823" s="29" t="s">
        <v>908</v>
      </c>
      <c r="F823" s="29" t="s">
        <v>89</v>
      </c>
      <c r="G823" s="30"/>
      <c r="H823" s="29">
        <v>0</v>
      </c>
      <c r="I823" s="29">
        <v>0</v>
      </c>
      <c r="J823" s="29">
        <v>0</v>
      </c>
      <c r="K823" s="29">
        <v>1</v>
      </c>
      <c r="L823" s="29" t="s">
        <v>90</v>
      </c>
      <c r="Q823" t="str">
        <v>Mujer</v>
      </c>
    </row>
    <row r="824" spans="3:17" x14ac:dyDescent="0.2">
      <c r="C824" s="28">
        <v>0</v>
      </c>
      <c r="D824" s="29">
        <v>3</v>
      </c>
      <c r="E824" s="29" t="s">
        <v>909</v>
      </c>
      <c r="F824" s="29" t="s">
        <v>92</v>
      </c>
      <c r="G824" s="29">
        <v>23</v>
      </c>
      <c r="H824" s="29">
        <v>0</v>
      </c>
      <c r="I824" s="29">
        <v>0</v>
      </c>
      <c r="J824" s="29">
        <v>7925</v>
      </c>
      <c r="K824" s="29">
        <v>0</v>
      </c>
      <c r="L824" s="29" t="s">
        <v>90</v>
      </c>
      <c r="Q824" t="str">
        <v>Hombre</v>
      </c>
    </row>
    <row r="825" spans="3:17" x14ac:dyDescent="0.2">
      <c r="C825" s="28">
        <v>0</v>
      </c>
      <c r="D825" s="29">
        <v>2</v>
      </c>
      <c r="E825" s="29" t="s">
        <v>910</v>
      </c>
      <c r="F825" s="29" t="s">
        <v>89</v>
      </c>
      <c r="G825" s="29">
        <v>31</v>
      </c>
      <c r="H825" s="29">
        <v>1</v>
      </c>
      <c r="I825" s="29">
        <v>1</v>
      </c>
      <c r="J825" s="29">
        <v>370042</v>
      </c>
      <c r="K825" s="29">
        <v>0</v>
      </c>
      <c r="L825" s="29" t="s">
        <v>93</v>
      </c>
      <c r="Q825" t="str">
        <v>Hombre</v>
      </c>
    </row>
    <row r="826" spans="3:17" x14ac:dyDescent="0.2">
      <c r="C826" s="28">
        <v>0</v>
      </c>
      <c r="D826" s="29">
        <v>3</v>
      </c>
      <c r="E826" s="29" t="s">
        <v>911</v>
      </c>
      <c r="F826" s="29" t="s">
        <v>89</v>
      </c>
      <c r="G826" s="29">
        <v>43</v>
      </c>
      <c r="H826" s="29">
        <v>0</v>
      </c>
      <c r="I826" s="29">
        <v>0</v>
      </c>
      <c r="J826" s="29">
        <v>645</v>
      </c>
      <c r="K826" s="29">
        <v>0</v>
      </c>
      <c r="L826" s="29" t="s">
        <v>90</v>
      </c>
      <c r="Q826" t="str">
        <v>Hombre</v>
      </c>
    </row>
    <row r="827" spans="3:17" x14ac:dyDescent="0.2">
      <c r="C827" s="28">
        <v>0</v>
      </c>
      <c r="D827" s="29">
        <v>3</v>
      </c>
      <c r="E827" s="29" t="s">
        <v>912</v>
      </c>
      <c r="F827" s="29" t="s">
        <v>89</v>
      </c>
      <c r="G827" s="29">
        <v>10</v>
      </c>
      <c r="H827" s="29">
        <v>3</v>
      </c>
      <c r="I827" s="29">
        <v>2</v>
      </c>
      <c r="J827" s="29">
        <v>279</v>
      </c>
      <c r="K827" s="29">
        <v>0</v>
      </c>
      <c r="L827" s="29" t="s">
        <v>90</v>
      </c>
      <c r="Q827" t="str">
        <v>Mujer</v>
      </c>
    </row>
    <row r="828" spans="3:17" x14ac:dyDescent="0.2">
      <c r="C828" s="28">
        <v>1</v>
      </c>
      <c r="D828" s="29">
        <v>1</v>
      </c>
      <c r="E828" s="29" t="s">
        <v>913</v>
      </c>
      <c r="F828" s="29" t="s">
        <v>92</v>
      </c>
      <c r="G828" s="29">
        <v>52</v>
      </c>
      <c r="H828" s="29">
        <v>1</v>
      </c>
      <c r="I828" s="29">
        <v>1</v>
      </c>
      <c r="J828" s="29">
        <v>935</v>
      </c>
      <c r="K828" s="29">
        <v>1</v>
      </c>
      <c r="L828" s="29" t="s">
        <v>90</v>
      </c>
      <c r="Q828" t="str">
        <v>Hombre</v>
      </c>
    </row>
    <row r="829" spans="3:17" x14ac:dyDescent="0.2">
      <c r="C829" s="28">
        <v>1</v>
      </c>
      <c r="D829" s="29">
        <v>3</v>
      </c>
      <c r="E829" s="29" t="s">
        <v>914</v>
      </c>
      <c r="F829" s="29" t="s">
        <v>89</v>
      </c>
      <c r="G829" s="29">
        <v>27</v>
      </c>
      <c r="H829" s="29">
        <v>0</v>
      </c>
      <c r="I829" s="29">
        <v>0</v>
      </c>
      <c r="J829" s="29">
        <v>86625</v>
      </c>
      <c r="K829" s="29">
        <v>0</v>
      </c>
      <c r="L829" s="29" t="s">
        <v>90</v>
      </c>
      <c r="Q829" t="str">
        <v>Hombre</v>
      </c>
    </row>
    <row r="830" spans="3:17" x14ac:dyDescent="0.2">
      <c r="C830" s="28">
        <v>0</v>
      </c>
      <c r="D830" s="29">
        <v>1</v>
      </c>
      <c r="E830" s="29" t="s">
        <v>915</v>
      </c>
      <c r="F830" s="29" t="s">
        <v>89</v>
      </c>
      <c r="G830" s="29">
        <v>38</v>
      </c>
      <c r="H830" s="29">
        <v>0</v>
      </c>
      <c r="I830" s="29">
        <v>0</v>
      </c>
      <c r="J830" s="29">
        <v>0</v>
      </c>
      <c r="K830" s="29">
        <v>0</v>
      </c>
      <c r="L830" s="29" t="s">
        <v>90</v>
      </c>
      <c r="Q830" t="str">
        <v>Mujer</v>
      </c>
    </row>
    <row r="831" spans="3:17" x14ac:dyDescent="0.2">
      <c r="C831" s="28">
        <v>1</v>
      </c>
      <c r="D831" s="29">
        <v>3</v>
      </c>
      <c r="E831" s="29" t="s">
        <v>916</v>
      </c>
      <c r="F831" s="29" t="s">
        <v>92</v>
      </c>
      <c r="G831" s="29">
        <v>27</v>
      </c>
      <c r="H831" s="29">
        <v>0</v>
      </c>
      <c r="I831" s="29">
        <v>1</v>
      </c>
      <c r="J831" s="29">
        <v>12475</v>
      </c>
      <c r="K831" s="29">
        <v>1</v>
      </c>
      <c r="L831" s="29" t="s">
        <v>90</v>
      </c>
      <c r="Q831" t="str">
        <v>Hombre</v>
      </c>
    </row>
    <row r="832" spans="3:17" x14ac:dyDescent="0.2">
      <c r="C832" s="28">
        <v>0</v>
      </c>
      <c r="D832" s="29">
        <v>3</v>
      </c>
      <c r="E832" s="29" t="s">
        <v>917</v>
      </c>
      <c r="F832" s="29" t="s">
        <v>89</v>
      </c>
      <c r="G832" s="29">
        <v>2</v>
      </c>
      <c r="H832" s="29">
        <v>4</v>
      </c>
      <c r="I832" s="29">
        <v>1</v>
      </c>
      <c r="J832" s="29">
        <v>396875</v>
      </c>
      <c r="K832" s="29">
        <v>0</v>
      </c>
      <c r="L832" s="29" t="s">
        <v>90</v>
      </c>
      <c r="Q832" t="str">
        <v>Hombre</v>
      </c>
    </row>
    <row r="833" spans="3:17" x14ac:dyDescent="0.2">
      <c r="C833" s="28">
        <v>0</v>
      </c>
      <c r="D833" s="29">
        <v>3</v>
      </c>
      <c r="E833" s="29" t="s">
        <v>918</v>
      </c>
      <c r="F833" s="29" t="s">
        <v>89</v>
      </c>
      <c r="G833" s="30"/>
      <c r="H833" s="29">
        <v>0</v>
      </c>
      <c r="I833" s="29">
        <v>0</v>
      </c>
      <c r="J833" s="29">
        <v>695</v>
      </c>
      <c r="K833" s="29">
        <v>0</v>
      </c>
      <c r="L833" s="29" t="s">
        <v>98</v>
      </c>
      <c r="Q833" t="str">
        <v>Hombre</v>
      </c>
    </row>
    <row r="834" spans="3:17" x14ac:dyDescent="0.2">
      <c r="C834" s="28">
        <v>0</v>
      </c>
      <c r="D834" s="29">
        <v>3</v>
      </c>
      <c r="E834" s="29" t="s">
        <v>919</v>
      </c>
      <c r="F834" s="29" t="s">
        <v>89</v>
      </c>
      <c r="G834" s="30"/>
      <c r="H834" s="29">
        <v>0</v>
      </c>
      <c r="I834" s="29">
        <v>0</v>
      </c>
      <c r="J834" s="29">
        <v>564958</v>
      </c>
      <c r="K834" s="29">
        <v>0</v>
      </c>
      <c r="L834" s="29" t="s">
        <v>90</v>
      </c>
      <c r="Q834" t="str">
        <v>Hombre</v>
      </c>
    </row>
    <row r="835" spans="3:17" x14ac:dyDescent="0.2">
      <c r="C835" s="28">
        <v>1</v>
      </c>
      <c r="D835" s="29">
        <v>2</v>
      </c>
      <c r="E835" s="29" t="s">
        <v>920</v>
      </c>
      <c r="F835" s="29" t="s">
        <v>89</v>
      </c>
      <c r="G835" s="29">
        <v>1</v>
      </c>
      <c r="H835" s="29">
        <v>0</v>
      </c>
      <c r="I835" s="29">
        <v>2</v>
      </c>
      <c r="J835" s="29">
        <v>370042</v>
      </c>
      <c r="K835" s="29">
        <v>0</v>
      </c>
      <c r="L835" s="29" t="s">
        <v>93</v>
      </c>
      <c r="Q835" t="str">
        <v>Hombre</v>
      </c>
    </row>
    <row r="836" spans="3:17" x14ac:dyDescent="0.2">
      <c r="C836" s="28">
        <v>1</v>
      </c>
      <c r="D836" s="29">
        <v>3</v>
      </c>
      <c r="E836" s="29" t="s">
        <v>921</v>
      </c>
      <c r="F836" s="29" t="s">
        <v>89</v>
      </c>
      <c r="G836" s="30"/>
      <c r="H836" s="29">
        <v>0</v>
      </c>
      <c r="I836" s="29">
        <v>0</v>
      </c>
      <c r="J836" s="29">
        <v>775</v>
      </c>
      <c r="K836" s="29">
        <v>0</v>
      </c>
      <c r="L836" s="29" t="s">
        <v>98</v>
      </c>
      <c r="Q836" t="str">
        <v>Mujer</v>
      </c>
    </row>
    <row r="837" spans="3:17" x14ac:dyDescent="0.2">
      <c r="C837" s="28">
        <v>1</v>
      </c>
      <c r="D837" s="29">
        <v>1</v>
      </c>
      <c r="E837" s="29" t="s">
        <v>922</v>
      </c>
      <c r="F837" s="29" t="s">
        <v>92</v>
      </c>
      <c r="G837" s="29">
        <v>62</v>
      </c>
      <c r="H837" s="29">
        <v>0</v>
      </c>
      <c r="I837" s="29">
        <v>0</v>
      </c>
      <c r="J837" s="29">
        <v>80</v>
      </c>
      <c r="K837" s="29">
        <v>1</v>
      </c>
      <c r="L837" s="30"/>
      <c r="Q837" t="str">
        <v>Mujer</v>
      </c>
    </row>
    <row r="838" spans="3:17" x14ac:dyDescent="0.2">
      <c r="C838" s="28">
        <v>1</v>
      </c>
      <c r="D838" s="29">
        <v>3</v>
      </c>
      <c r="E838" s="29" t="s">
        <v>923</v>
      </c>
      <c r="F838" s="29" t="s">
        <v>92</v>
      </c>
      <c r="G838" s="29">
        <v>15</v>
      </c>
      <c r="H838" s="29">
        <v>1</v>
      </c>
      <c r="I838" s="29">
        <v>0</v>
      </c>
      <c r="J838" s="29">
        <v>144542</v>
      </c>
      <c r="K838" s="29">
        <v>0</v>
      </c>
      <c r="L838" s="29" t="s">
        <v>93</v>
      </c>
      <c r="Q838" t="str">
        <v>Hombre</v>
      </c>
    </row>
    <row r="839" spans="3:17" x14ac:dyDescent="0.2">
      <c r="C839" s="28">
        <v>1</v>
      </c>
      <c r="D839" s="29">
        <v>2</v>
      </c>
      <c r="E839" s="29" t="s">
        <v>924</v>
      </c>
      <c r="F839" s="29" t="s">
        <v>89</v>
      </c>
      <c r="G839" s="29">
        <v>83</v>
      </c>
      <c r="H839" s="29">
        <v>1</v>
      </c>
      <c r="I839" s="29">
        <v>1</v>
      </c>
      <c r="J839" s="29">
        <v>1875</v>
      </c>
      <c r="K839" s="29">
        <v>0</v>
      </c>
      <c r="L839" s="29" t="s">
        <v>90</v>
      </c>
      <c r="Q839" t="str">
        <v>Hombre</v>
      </c>
    </row>
    <row r="840" spans="3:17" x14ac:dyDescent="0.2">
      <c r="C840" s="28">
        <v>0</v>
      </c>
      <c r="D840" s="29">
        <v>3</v>
      </c>
      <c r="E840" s="29" t="s">
        <v>925</v>
      </c>
      <c r="F840" s="29" t="s">
        <v>89</v>
      </c>
      <c r="G840" s="30"/>
      <c r="H840" s="29">
        <v>0</v>
      </c>
      <c r="I840" s="29">
        <v>0</v>
      </c>
      <c r="J840" s="29">
        <v>72292</v>
      </c>
      <c r="K840" s="29">
        <v>0</v>
      </c>
      <c r="L840" s="29" t="s">
        <v>93</v>
      </c>
      <c r="Q840" t="str">
        <v>Hombre</v>
      </c>
    </row>
    <row r="841" spans="3:17" x14ac:dyDescent="0.2">
      <c r="C841" s="28">
        <v>0</v>
      </c>
      <c r="D841" s="29">
        <v>3</v>
      </c>
      <c r="E841" s="29" t="s">
        <v>926</v>
      </c>
      <c r="F841" s="29" t="s">
        <v>89</v>
      </c>
      <c r="G841" s="29">
        <v>23</v>
      </c>
      <c r="H841" s="29">
        <v>0</v>
      </c>
      <c r="I841" s="29">
        <v>0</v>
      </c>
      <c r="J841" s="29">
        <v>78542</v>
      </c>
      <c r="K841" s="29">
        <v>0</v>
      </c>
      <c r="L841" s="29" t="s">
        <v>90</v>
      </c>
      <c r="Q841" t="str">
        <v>Hombre</v>
      </c>
    </row>
    <row r="842" spans="3:17" x14ac:dyDescent="0.2">
      <c r="C842" s="28">
        <v>0</v>
      </c>
      <c r="D842" s="29">
        <v>3</v>
      </c>
      <c r="E842" s="29" t="s">
        <v>927</v>
      </c>
      <c r="F842" s="29" t="s">
        <v>89</v>
      </c>
      <c r="G842" s="29">
        <v>18</v>
      </c>
      <c r="H842" s="29">
        <v>0</v>
      </c>
      <c r="I842" s="29">
        <v>0</v>
      </c>
      <c r="J842" s="29">
        <v>83</v>
      </c>
      <c r="K842" s="29">
        <v>0</v>
      </c>
      <c r="L842" s="29" t="s">
        <v>90</v>
      </c>
      <c r="Q842" t="str">
        <v>Mujer</v>
      </c>
    </row>
    <row r="843" spans="3:17" x14ac:dyDescent="0.2">
      <c r="C843" s="28">
        <v>1</v>
      </c>
      <c r="D843" s="29">
        <v>1</v>
      </c>
      <c r="E843" s="29" t="s">
        <v>928</v>
      </c>
      <c r="F843" s="29" t="s">
        <v>92</v>
      </c>
      <c r="G843" s="29">
        <v>39</v>
      </c>
      <c r="H843" s="29">
        <v>1</v>
      </c>
      <c r="I843" s="29">
        <v>1</v>
      </c>
      <c r="J843" s="29">
        <v>831583</v>
      </c>
      <c r="K843" s="29">
        <v>1</v>
      </c>
      <c r="L843" s="29" t="s">
        <v>93</v>
      </c>
      <c r="Q843" t="str">
        <v>Hombre</v>
      </c>
    </row>
    <row r="844" spans="3:17" x14ac:dyDescent="0.2">
      <c r="C844" s="28">
        <v>0</v>
      </c>
      <c r="D844" s="29">
        <v>3</v>
      </c>
      <c r="E844" s="29" t="s">
        <v>929</v>
      </c>
      <c r="F844" s="29" t="s">
        <v>89</v>
      </c>
      <c r="G844" s="29">
        <v>21</v>
      </c>
      <c r="H844" s="29">
        <v>0</v>
      </c>
      <c r="I844" s="29">
        <v>0</v>
      </c>
      <c r="J844" s="29">
        <v>86625</v>
      </c>
      <c r="K844" s="29">
        <v>0</v>
      </c>
      <c r="L844" s="29" t="s">
        <v>90</v>
      </c>
      <c r="Q844" t="str">
        <v>Hombre</v>
      </c>
    </row>
    <row r="845" spans="3:17" x14ac:dyDescent="0.2">
      <c r="C845" s="28">
        <v>0</v>
      </c>
      <c r="D845" s="29">
        <v>3</v>
      </c>
      <c r="E845" s="29" t="s">
        <v>930</v>
      </c>
      <c r="F845" s="29" t="s">
        <v>89</v>
      </c>
      <c r="G845" s="30"/>
      <c r="H845" s="29">
        <v>0</v>
      </c>
      <c r="I845" s="29">
        <v>0</v>
      </c>
      <c r="J845" s="29">
        <v>805</v>
      </c>
      <c r="K845" s="29">
        <v>0</v>
      </c>
      <c r="L845" s="29" t="s">
        <v>90</v>
      </c>
      <c r="Q845" t="str">
        <v>Hombre</v>
      </c>
    </row>
    <row r="846" spans="3:17" x14ac:dyDescent="0.2">
      <c r="C846" s="28">
        <v>1</v>
      </c>
      <c r="D846" s="29">
        <v>3</v>
      </c>
      <c r="E846" s="29" t="s">
        <v>931</v>
      </c>
      <c r="F846" s="29" t="s">
        <v>89</v>
      </c>
      <c r="G846" s="29">
        <v>32</v>
      </c>
      <c r="H846" s="29">
        <v>0</v>
      </c>
      <c r="I846" s="29">
        <v>0</v>
      </c>
      <c r="J846" s="29">
        <v>564958</v>
      </c>
      <c r="K846" s="29">
        <v>0</v>
      </c>
      <c r="L846" s="29" t="s">
        <v>90</v>
      </c>
      <c r="Q846" t="str">
        <v>Hombre</v>
      </c>
    </row>
    <row r="847" spans="3:17" x14ac:dyDescent="0.2">
      <c r="C847" s="28">
        <v>1</v>
      </c>
      <c r="D847" s="29">
        <v>1</v>
      </c>
      <c r="E847" s="29" t="s">
        <v>932</v>
      </c>
      <c r="F847" s="29" t="s">
        <v>89</v>
      </c>
      <c r="G847" s="30"/>
      <c r="H847" s="29">
        <v>0</v>
      </c>
      <c r="I847" s="29">
        <v>0</v>
      </c>
      <c r="J847" s="29">
        <v>297</v>
      </c>
      <c r="K847" s="29">
        <v>1</v>
      </c>
      <c r="L847" s="29" t="s">
        <v>93</v>
      </c>
      <c r="Q847" t="str">
        <v>Hombre</v>
      </c>
    </row>
    <row r="848" spans="3:17" x14ac:dyDescent="0.2">
      <c r="C848" s="28">
        <v>0</v>
      </c>
      <c r="D848" s="29">
        <v>3</v>
      </c>
      <c r="E848" s="29" t="s">
        <v>933</v>
      </c>
      <c r="F848" s="29" t="s">
        <v>89</v>
      </c>
      <c r="G848" s="29">
        <v>20</v>
      </c>
      <c r="H848" s="29">
        <v>0</v>
      </c>
      <c r="I848" s="29">
        <v>0</v>
      </c>
      <c r="J848" s="29">
        <v>7925</v>
      </c>
      <c r="K848" s="29">
        <v>0</v>
      </c>
      <c r="L848" s="29" t="s">
        <v>90</v>
      </c>
      <c r="Q848" t="str">
        <v>Hombre</v>
      </c>
    </row>
    <row r="849" spans="3:17" x14ac:dyDescent="0.2">
      <c r="C849" s="28">
        <v>0</v>
      </c>
      <c r="D849" s="29">
        <v>2</v>
      </c>
      <c r="E849" s="29" t="s">
        <v>934</v>
      </c>
      <c r="F849" s="29" t="s">
        <v>89</v>
      </c>
      <c r="G849" s="29">
        <v>16</v>
      </c>
      <c r="H849" s="29">
        <v>0</v>
      </c>
      <c r="I849" s="29">
        <v>0</v>
      </c>
      <c r="J849" s="29">
        <v>105</v>
      </c>
      <c r="K849" s="29">
        <v>0</v>
      </c>
      <c r="L849" s="29" t="s">
        <v>90</v>
      </c>
      <c r="Q849" t="str">
        <v>Mujer</v>
      </c>
    </row>
    <row r="850" spans="3:17" x14ac:dyDescent="0.2">
      <c r="C850" s="28">
        <v>1</v>
      </c>
      <c r="D850" s="29">
        <v>1</v>
      </c>
      <c r="E850" s="29" t="s">
        <v>935</v>
      </c>
      <c r="F850" s="29" t="s">
        <v>92</v>
      </c>
      <c r="G850" s="29">
        <v>30</v>
      </c>
      <c r="H850" s="29">
        <v>0</v>
      </c>
      <c r="I850" s="29">
        <v>0</v>
      </c>
      <c r="J850" s="29">
        <v>31</v>
      </c>
      <c r="K850" s="29">
        <v>0</v>
      </c>
      <c r="L850" s="29" t="s">
        <v>93</v>
      </c>
      <c r="Q850" t="str">
        <v>Hombre</v>
      </c>
    </row>
    <row r="851" spans="3:17" x14ac:dyDescent="0.2">
      <c r="C851" s="28">
        <v>0</v>
      </c>
      <c r="D851" s="29">
        <v>3</v>
      </c>
      <c r="E851" s="29" t="s">
        <v>936</v>
      </c>
      <c r="F851" s="29" t="s">
        <v>89</v>
      </c>
      <c r="G851" s="29">
        <v>345</v>
      </c>
      <c r="H851" s="29">
        <v>0</v>
      </c>
      <c r="I851" s="29">
        <v>0</v>
      </c>
      <c r="J851" s="29">
        <v>64375</v>
      </c>
      <c r="K851" s="29">
        <v>0</v>
      </c>
      <c r="L851" s="29" t="s">
        <v>93</v>
      </c>
      <c r="Q851" t="str">
        <v>Hombre</v>
      </c>
    </row>
    <row r="852" spans="3:17" x14ac:dyDescent="0.2">
      <c r="C852" s="28">
        <v>0</v>
      </c>
      <c r="D852" s="29">
        <v>3</v>
      </c>
      <c r="E852" s="29" t="s">
        <v>937</v>
      </c>
      <c r="F852" s="29" t="s">
        <v>89</v>
      </c>
      <c r="G852" s="29">
        <v>17</v>
      </c>
      <c r="H852" s="29">
        <v>0</v>
      </c>
      <c r="I852" s="29">
        <v>0</v>
      </c>
      <c r="J852" s="29">
        <v>86625</v>
      </c>
      <c r="K852" s="29">
        <v>0</v>
      </c>
      <c r="L852" s="29" t="s">
        <v>90</v>
      </c>
      <c r="Q852" t="str">
        <v>Hombre</v>
      </c>
    </row>
    <row r="853" spans="3:17" x14ac:dyDescent="0.2">
      <c r="C853" s="28">
        <v>0</v>
      </c>
      <c r="D853" s="29">
        <v>3</v>
      </c>
      <c r="E853" s="29" t="s">
        <v>938</v>
      </c>
      <c r="F853" s="29" t="s">
        <v>89</v>
      </c>
      <c r="G853" s="29">
        <v>42</v>
      </c>
      <c r="H853" s="29">
        <v>0</v>
      </c>
      <c r="I853" s="29">
        <v>0</v>
      </c>
      <c r="J853" s="29">
        <v>755</v>
      </c>
      <c r="K853" s="29">
        <v>0</v>
      </c>
      <c r="L853" s="29" t="s">
        <v>90</v>
      </c>
      <c r="Q853" t="str">
        <v>Hombre</v>
      </c>
    </row>
    <row r="854" spans="3:17" x14ac:dyDescent="0.2">
      <c r="C854" s="28">
        <v>0</v>
      </c>
      <c r="D854" s="29">
        <v>3</v>
      </c>
      <c r="E854" s="29" t="s">
        <v>939</v>
      </c>
      <c r="F854" s="29" t="s">
        <v>89</v>
      </c>
      <c r="G854" s="30"/>
      <c r="H854" s="29">
        <v>8</v>
      </c>
      <c r="I854" s="29">
        <v>2</v>
      </c>
      <c r="J854" s="29">
        <v>6955</v>
      </c>
      <c r="K854" s="29">
        <v>0</v>
      </c>
      <c r="L854" s="29" t="s">
        <v>90</v>
      </c>
      <c r="Q854" t="str">
        <v>Hombre</v>
      </c>
    </row>
    <row r="855" spans="3:17" x14ac:dyDescent="0.2">
      <c r="C855" s="28">
        <v>0</v>
      </c>
      <c r="D855" s="29">
        <v>3</v>
      </c>
      <c r="E855" s="29" t="s">
        <v>940</v>
      </c>
      <c r="F855" s="29" t="s">
        <v>89</v>
      </c>
      <c r="G855" s="29">
        <v>35</v>
      </c>
      <c r="H855" s="29">
        <v>0</v>
      </c>
      <c r="I855" s="29">
        <v>0</v>
      </c>
      <c r="J855" s="29">
        <v>78958</v>
      </c>
      <c r="K855" s="29">
        <v>0</v>
      </c>
      <c r="L855" s="29" t="s">
        <v>93</v>
      </c>
      <c r="Q855" t="str">
        <v>Hombre</v>
      </c>
    </row>
    <row r="856" spans="3:17" x14ac:dyDescent="0.2">
      <c r="C856" s="28">
        <v>0</v>
      </c>
      <c r="D856" s="29">
        <v>2</v>
      </c>
      <c r="E856" s="29" t="s">
        <v>941</v>
      </c>
      <c r="F856" s="29" t="s">
        <v>89</v>
      </c>
      <c r="G856" s="29">
        <v>28</v>
      </c>
      <c r="H856" s="29">
        <v>0</v>
      </c>
      <c r="I856" s="29">
        <v>1</v>
      </c>
      <c r="J856" s="29">
        <v>33</v>
      </c>
      <c r="K856" s="29">
        <v>0</v>
      </c>
      <c r="L856" s="29" t="s">
        <v>90</v>
      </c>
      <c r="Q856" t="str">
        <v>Mujer</v>
      </c>
    </row>
    <row r="857" spans="3:17" x14ac:dyDescent="0.2">
      <c r="C857" s="28">
        <v>1</v>
      </c>
      <c r="D857" s="29">
        <v>1</v>
      </c>
      <c r="E857" s="29" t="s">
        <v>942</v>
      </c>
      <c r="F857" s="29" t="s">
        <v>92</v>
      </c>
      <c r="G857" s="30"/>
      <c r="H857" s="29">
        <v>1</v>
      </c>
      <c r="I857" s="29">
        <v>0</v>
      </c>
      <c r="J857" s="29">
        <v>891042</v>
      </c>
      <c r="K857" s="29">
        <v>1</v>
      </c>
      <c r="L857" s="29" t="s">
        <v>93</v>
      </c>
      <c r="Q857" t="str">
        <v>Hombre</v>
      </c>
    </row>
    <row r="858" spans="3:17" x14ac:dyDescent="0.2">
      <c r="C858" s="28">
        <v>0</v>
      </c>
      <c r="D858" s="29">
        <v>3</v>
      </c>
      <c r="E858" s="29" t="s">
        <v>943</v>
      </c>
      <c r="F858" s="29" t="s">
        <v>89</v>
      </c>
      <c r="G858" s="29">
        <v>4</v>
      </c>
      <c r="H858" s="29">
        <v>4</v>
      </c>
      <c r="I858" s="29">
        <v>2</v>
      </c>
      <c r="J858" s="29">
        <v>31275</v>
      </c>
      <c r="K858" s="29">
        <v>0</v>
      </c>
      <c r="L858" s="29" t="s">
        <v>90</v>
      </c>
      <c r="Q858" t="str">
        <v>Hombre</v>
      </c>
    </row>
    <row r="859" spans="3:17" x14ac:dyDescent="0.2">
      <c r="C859" s="28">
        <v>0</v>
      </c>
      <c r="D859" s="29">
        <v>3</v>
      </c>
      <c r="E859" s="29" t="s">
        <v>944</v>
      </c>
      <c r="F859" s="29" t="s">
        <v>89</v>
      </c>
      <c r="G859" s="29">
        <v>74</v>
      </c>
      <c r="H859" s="29">
        <v>0</v>
      </c>
      <c r="I859" s="29">
        <v>0</v>
      </c>
      <c r="J859" s="29">
        <v>7775</v>
      </c>
      <c r="K859" s="29">
        <v>0</v>
      </c>
      <c r="L859" s="29" t="s">
        <v>90</v>
      </c>
      <c r="Q859" t="str">
        <v>Mujer</v>
      </c>
    </row>
    <row r="860" spans="3:17" x14ac:dyDescent="0.2">
      <c r="C860" s="28">
        <v>0</v>
      </c>
      <c r="D860" s="29">
        <v>3</v>
      </c>
      <c r="E860" s="29" t="s">
        <v>945</v>
      </c>
      <c r="F860" s="29" t="s">
        <v>92</v>
      </c>
      <c r="G860" s="29">
        <v>9</v>
      </c>
      <c r="H860" s="29">
        <v>1</v>
      </c>
      <c r="I860" s="29">
        <v>1</v>
      </c>
      <c r="J860" s="29">
        <v>152458</v>
      </c>
      <c r="K860" s="29">
        <v>0</v>
      </c>
      <c r="L860" s="29" t="s">
        <v>93</v>
      </c>
      <c r="Q860" t="str">
        <v>Mujer</v>
      </c>
    </row>
    <row r="861" spans="3:17" x14ac:dyDescent="0.2">
      <c r="C861" s="28">
        <v>1</v>
      </c>
      <c r="D861" s="29">
        <v>1</v>
      </c>
      <c r="E861" s="29" t="s">
        <v>946</v>
      </c>
      <c r="F861" s="29" t="s">
        <v>92</v>
      </c>
      <c r="G861" s="29">
        <v>16</v>
      </c>
      <c r="H861" s="29">
        <v>0</v>
      </c>
      <c r="I861" s="29">
        <v>1</v>
      </c>
      <c r="J861" s="29">
        <v>394</v>
      </c>
      <c r="K861" s="29">
        <v>1</v>
      </c>
      <c r="L861" s="29" t="s">
        <v>90</v>
      </c>
      <c r="Q861" t="str">
        <v>Mujer</v>
      </c>
    </row>
    <row r="862" spans="3:17" x14ac:dyDescent="0.2">
      <c r="C862" s="28">
        <v>0</v>
      </c>
      <c r="D862" s="29">
        <v>2</v>
      </c>
      <c r="E862" s="29" t="s">
        <v>947</v>
      </c>
      <c r="F862" s="29" t="s">
        <v>92</v>
      </c>
      <c r="G862" s="29">
        <v>44</v>
      </c>
      <c r="H862" s="29">
        <v>1</v>
      </c>
      <c r="I862" s="29">
        <v>0</v>
      </c>
      <c r="J862" s="29">
        <v>26</v>
      </c>
      <c r="K862" s="29">
        <v>0</v>
      </c>
      <c r="L862" s="29" t="s">
        <v>90</v>
      </c>
      <c r="Q862" t="str">
        <v>Mujer</v>
      </c>
    </row>
    <row r="863" spans="3:17" x14ac:dyDescent="0.2">
      <c r="C863" s="28">
        <v>1</v>
      </c>
      <c r="D863" s="29">
        <v>3</v>
      </c>
      <c r="E863" s="29" t="s">
        <v>948</v>
      </c>
      <c r="F863" s="29" t="s">
        <v>92</v>
      </c>
      <c r="G863" s="29">
        <v>18</v>
      </c>
      <c r="H863" s="29">
        <v>0</v>
      </c>
      <c r="I863" s="29">
        <v>1</v>
      </c>
      <c r="J863" s="29">
        <v>935</v>
      </c>
      <c r="K863" s="29">
        <v>0</v>
      </c>
      <c r="L863" s="29" t="s">
        <v>90</v>
      </c>
      <c r="Q863" t="str">
        <v>Mujer</v>
      </c>
    </row>
    <row r="864" spans="3:17" x14ac:dyDescent="0.2">
      <c r="C864" s="28">
        <v>1</v>
      </c>
      <c r="D864" s="29">
        <v>1</v>
      </c>
      <c r="E864" s="29" t="s">
        <v>949</v>
      </c>
      <c r="F864" s="29" t="s">
        <v>92</v>
      </c>
      <c r="G864" s="29">
        <v>45</v>
      </c>
      <c r="H864" s="29">
        <v>1</v>
      </c>
      <c r="I864" s="29">
        <v>1</v>
      </c>
      <c r="J864" s="29">
        <v>1648667</v>
      </c>
      <c r="K864" s="29">
        <v>0</v>
      </c>
      <c r="L864" s="29" t="s">
        <v>90</v>
      </c>
      <c r="Q864" t="str">
        <v>Hombre</v>
      </c>
    </row>
    <row r="865" spans="3:17" x14ac:dyDescent="0.2">
      <c r="C865" s="28">
        <v>1</v>
      </c>
      <c r="D865" s="29">
        <v>1</v>
      </c>
      <c r="E865" s="29" t="s">
        <v>950</v>
      </c>
      <c r="F865" s="29" t="s">
        <v>89</v>
      </c>
      <c r="G865" s="29">
        <v>51</v>
      </c>
      <c r="H865" s="29">
        <v>0</v>
      </c>
      <c r="I865" s="29">
        <v>0</v>
      </c>
      <c r="J865" s="29">
        <v>2655</v>
      </c>
      <c r="K865" s="29">
        <v>1</v>
      </c>
      <c r="L865" s="29" t="s">
        <v>90</v>
      </c>
      <c r="Q865" t="str">
        <v>Mujer</v>
      </c>
    </row>
    <row r="866" spans="3:17" x14ac:dyDescent="0.2">
      <c r="C866" s="28">
        <v>1</v>
      </c>
      <c r="D866" s="29">
        <v>3</v>
      </c>
      <c r="E866" s="29" t="s">
        <v>951</v>
      </c>
      <c r="F866" s="29" t="s">
        <v>92</v>
      </c>
      <c r="G866" s="29">
        <v>24</v>
      </c>
      <c r="H866" s="29">
        <v>0</v>
      </c>
      <c r="I866" s="29">
        <v>3</v>
      </c>
      <c r="J866" s="29">
        <v>192583</v>
      </c>
      <c r="K866" s="29">
        <v>0</v>
      </c>
      <c r="L866" s="29" t="s">
        <v>93</v>
      </c>
      <c r="Q866" t="str">
        <v>Hombre</v>
      </c>
    </row>
    <row r="867" spans="3:17" x14ac:dyDescent="0.2">
      <c r="C867" s="28">
        <v>0</v>
      </c>
      <c r="D867" s="29">
        <v>3</v>
      </c>
      <c r="E867" s="29" t="s">
        <v>952</v>
      </c>
      <c r="F867" s="29" t="s">
        <v>89</v>
      </c>
      <c r="G867" s="30"/>
      <c r="H867" s="29">
        <v>0</v>
      </c>
      <c r="I867" s="29">
        <v>0</v>
      </c>
      <c r="J867" s="29">
        <v>72292</v>
      </c>
      <c r="K867" s="29">
        <v>0</v>
      </c>
      <c r="L867" s="29" t="s">
        <v>93</v>
      </c>
      <c r="Q867" t="str">
        <v>Hombre</v>
      </c>
    </row>
    <row r="868" spans="3:17" x14ac:dyDescent="0.2">
      <c r="C868" s="28">
        <v>0</v>
      </c>
      <c r="D868" s="29">
        <v>3</v>
      </c>
      <c r="E868" s="29" t="s">
        <v>953</v>
      </c>
      <c r="F868" s="29" t="s">
        <v>89</v>
      </c>
      <c r="G868" s="29">
        <v>41</v>
      </c>
      <c r="H868" s="29">
        <v>2</v>
      </c>
      <c r="I868" s="29">
        <v>0</v>
      </c>
      <c r="J868" s="29">
        <v>141083</v>
      </c>
      <c r="K868" s="29">
        <v>0</v>
      </c>
      <c r="L868" s="29" t="s">
        <v>90</v>
      </c>
      <c r="Q868" t="str">
        <v>Hombre</v>
      </c>
    </row>
    <row r="869" spans="3:17" x14ac:dyDescent="0.2">
      <c r="C869" s="28">
        <v>0</v>
      </c>
      <c r="D869" s="29">
        <v>2</v>
      </c>
      <c r="E869" s="29" t="s">
        <v>954</v>
      </c>
      <c r="F869" s="29" t="s">
        <v>89</v>
      </c>
      <c r="G869" s="29">
        <v>21</v>
      </c>
      <c r="H869" s="29">
        <v>1</v>
      </c>
      <c r="I869" s="29">
        <v>0</v>
      </c>
      <c r="J869" s="29">
        <v>115</v>
      </c>
      <c r="K869" s="29">
        <v>0</v>
      </c>
      <c r="L869" s="29" t="s">
        <v>90</v>
      </c>
      <c r="Q869" t="str">
        <v>Mujer</v>
      </c>
    </row>
    <row r="870" spans="3:17" x14ac:dyDescent="0.2">
      <c r="C870" s="28">
        <v>1</v>
      </c>
      <c r="D870" s="29">
        <v>1</v>
      </c>
      <c r="E870" s="29" t="s">
        <v>955</v>
      </c>
      <c r="F870" s="29" t="s">
        <v>92</v>
      </c>
      <c r="G870" s="29">
        <v>48</v>
      </c>
      <c r="H870" s="29">
        <v>0</v>
      </c>
      <c r="I870" s="29">
        <v>0</v>
      </c>
      <c r="J870" s="29">
        <v>259292</v>
      </c>
      <c r="K870" s="29">
        <v>1</v>
      </c>
      <c r="L870" s="29" t="s">
        <v>90</v>
      </c>
      <c r="Q870" t="str">
        <v>Mujer</v>
      </c>
    </row>
    <row r="871" spans="3:17" x14ac:dyDescent="0.2">
      <c r="C871" s="28">
        <v>0</v>
      </c>
      <c r="D871" s="29">
        <v>3</v>
      </c>
      <c r="E871" s="29" t="s">
        <v>956</v>
      </c>
      <c r="F871" s="29" t="s">
        <v>92</v>
      </c>
      <c r="G871" s="30"/>
      <c r="H871" s="29">
        <v>8</v>
      </c>
      <c r="I871" s="29">
        <v>2</v>
      </c>
      <c r="J871" s="29">
        <v>6955</v>
      </c>
      <c r="K871" s="29">
        <v>0</v>
      </c>
      <c r="L871" s="29" t="s">
        <v>90</v>
      </c>
      <c r="Q871" t="str">
        <v>Hombre</v>
      </c>
    </row>
    <row r="872" spans="3:17" x14ac:dyDescent="0.2">
      <c r="C872" s="28">
        <v>0</v>
      </c>
      <c r="D872" s="29">
        <v>2</v>
      </c>
      <c r="E872" s="29" t="s">
        <v>957</v>
      </c>
      <c r="F872" s="29" t="s">
        <v>89</v>
      </c>
      <c r="G872" s="29">
        <v>24</v>
      </c>
      <c r="H872" s="29">
        <v>0</v>
      </c>
      <c r="I872" s="29">
        <v>0</v>
      </c>
      <c r="J872" s="29">
        <v>13</v>
      </c>
      <c r="K872" s="29">
        <v>0</v>
      </c>
      <c r="L872" s="29" t="s">
        <v>90</v>
      </c>
      <c r="Q872" t="str">
        <v>Mujer</v>
      </c>
    </row>
    <row r="873" spans="3:17" x14ac:dyDescent="0.2">
      <c r="C873" s="28">
        <v>1</v>
      </c>
      <c r="D873" s="29">
        <v>2</v>
      </c>
      <c r="E873" s="29" t="s">
        <v>958</v>
      </c>
      <c r="F873" s="29" t="s">
        <v>92</v>
      </c>
      <c r="G873" s="29">
        <v>42</v>
      </c>
      <c r="H873" s="29">
        <v>0</v>
      </c>
      <c r="I873" s="29">
        <v>0</v>
      </c>
      <c r="J873" s="29">
        <v>13</v>
      </c>
      <c r="K873" s="29">
        <v>0</v>
      </c>
      <c r="L873" s="29" t="s">
        <v>90</v>
      </c>
      <c r="Q873" t="str">
        <v>Mujer</v>
      </c>
    </row>
    <row r="874" spans="3:17" x14ac:dyDescent="0.2">
      <c r="C874" s="28">
        <v>1</v>
      </c>
      <c r="D874" s="29">
        <v>2</v>
      </c>
      <c r="E874" s="29" t="s">
        <v>959</v>
      </c>
      <c r="F874" s="29" t="s">
        <v>92</v>
      </c>
      <c r="G874" s="29">
        <v>27</v>
      </c>
      <c r="H874" s="29">
        <v>1</v>
      </c>
      <c r="I874" s="29">
        <v>0</v>
      </c>
      <c r="J874" s="29">
        <v>138583</v>
      </c>
      <c r="K874" s="29">
        <v>0</v>
      </c>
      <c r="L874" s="29" t="s">
        <v>93</v>
      </c>
      <c r="Q874" t="str">
        <v>Hombre</v>
      </c>
    </row>
    <row r="875" spans="3:17" x14ac:dyDescent="0.2">
      <c r="C875" s="28">
        <v>0</v>
      </c>
      <c r="D875" s="29">
        <v>1</v>
      </c>
      <c r="E875" s="29" t="s">
        <v>960</v>
      </c>
      <c r="F875" s="29" t="s">
        <v>89</v>
      </c>
      <c r="G875" s="29">
        <v>31</v>
      </c>
      <c r="H875" s="29">
        <v>0</v>
      </c>
      <c r="I875" s="29">
        <v>0</v>
      </c>
      <c r="J875" s="29">
        <v>504958</v>
      </c>
      <c r="K875" s="29">
        <v>1</v>
      </c>
      <c r="L875" s="29" t="s">
        <v>90</v>
      </c>
      <c r="Q875" t="str">
        <v>Hombre</v>
      </c>
    </row>
    <row r="876" spans="3:17" x14ac:dyDescent="0.2">
      <c r="C876" s="28">
        <v>0</v>
      </c>
      <c r="D876" s="29">
        <v>3</v>
      </c>
      <c r="E876" s="29" t="s">
        <v>961</v>
      </c>
      <c r="F876" s="29" t="s">
        <v>89</v>
      </c>
      <c r="G876" s="30"/>
      <c r="H876" s="29">
        <v>0</v>
      </c>
      <c r="I876" s="29">
        <v>0</v>
      </c>
      <c r="J876" s="29">
        <v>95</v>
      </c>
      <c r="K876" s="29">
        <v>0</v>
      </c>
      <c r="L876" s="29" t="s">
        <v>90</v>
      </c>
      <c r="Q876" t="str">
        <v>Hombre</v>
      </c>
    </row>
    <row r="877" spans="3:17" x14ac:dyDescent="0.2">
      <c r="C877" s="28">
        <v>1</v>
      </c>
      <c r="D877" s="29">
        <v>3</v>
      </c>
      <c r="E877" s="29" t="s">
        <v>962</v>
      </c>
      <c r="F877" s="29" t="s">
        <v>89</v>
      </c>
      <c r="G877" s="29">
        <v>4</v>
      </c>
      <c r="H877" s="29">
        <v>1</v>
      </c>
      <c r="I877" s="29">
        <v>1</v>
      </c>
      <c r="J877" s="29">
        <v>111333</v>
      </c>
      <c r="K877" s="29">
        <v>0</v>
      </c>
      <c r="L877" s="29" t="s">
        <v>90</v>
      </c>
      <c r="Q877" t="str">
        <v>Hombre</v>
      </c>
    </row>
    <row r="878" spans="3:17" x14ac:dyDescent="0.2">
      <c r="C878" s="28">
        <v>0</v>
      </c>
      <c r="D878" s="29">
        <v>3</v>
      </c>
      <c r="E878" s="29" t="s">
        <v>963</v>
      </c>
      <c r="F878" s="29" t="s">
        <v>89</v>
      </c>
      <c r="G878" s="29">
        <v>26</v>
      </c>
      <c r="H878" s="29">
        <v>0</v>
      </c>
      <c r="I878" s="29">
        <v>0</v>
      </c>
      <c r="J878" s="29">
        <v>78958</v>
      </c>
      <c r="K878" s="29">
        <v>0</v>
      </c>
      <c r="L878" s="29" t="s">
        <v>90</v>
      </c>
      <c r="Q878" t="str">
        <v>Mujer</v>
      </c>
    </row>
    <row r="879" spans="3:17" x14ac:dyDescent="0.2">
      <c r="C879" s="28">
        <v>1</v>
      </c>
      <c r="D879" s="29">
        <v>1</v>
      </c>
      <c r="E879" s="29" t="s">
        <v>964</v>
      </c>
      <c r="F879" s="29" t="s">
        <v>92</v>
      </c>
      <c r="G879" s="29">
        <v>47</v>
      </c>
      <c r="H879" s="29">
        <v>1</v>
      </c>
      <c r="I879" s="29">
        <v>1</v>
      </c>
      <c r="J879" s="29">
        <v>525542</v>
      </c>
      <c r="K879" s="29">
        <v>1</v>
      </c>
      <c r="L879" s="29" t="s">
        <v>90</v>
      </c>
      <c r="Q879" t="str">
        <v>Hombre</v>
      </c>
    </row>
    <row r="880" spans="3:17" x14ac:dyDescent="0.2">
      <c r="C880" s="28">
        <v>0</v>
      </c>
      <c r="D880" s="29">
        <v>1</v>
      </c>
      <c r="E880" s="29" t="s">
        <v>965</v>
      </c>
      <c r="F880" s="29" t="s">
        <v>89</v>
      </c>
      <c r="G880" s="29">
        <v>33</v>
      </c>
      <c r="H880" s="29">
        <v>0</v>
      </c>
      <c r="I880" s="29">
        <v>0</v>
      </c>
      <c r="J880" s="29">
        <v>5</v>
      </c>
      <c r="K880" s="29">
        <v>1</v>
      </c>
      <c r="L880" s="29" t="s">
        <v>90</v>
      </c>
      <c r="Q880" t="str">
        <v>Hombre</v>
      </c>
    </row>
    <row r="881" spans="3:17" x14ac:dyDescent="0.2">
      <c r="C881" s="28">
        <v>0</v>
      </c>
      <c r="D881" s="29">
        <v>3</v>
      </c>
      <c r="E881" s="29" t="s">
        <v>966</v>
      </c>
      <c r="F881" s="29" t="s">
        <v>89</v>
      </c>
      <c r="G881" s="29">
        <v>47</v>
      </c>
      <c r="H881" s="29">
        <v>0</v>
      </c>
      <c r="I881" s="29">
        <v>0</v>
      </c>
      <c r="J881" s="29">
        <v>9</v>
      </c>
      <c r="K881" s="29">
        <v>0</v>
      </c>
      <c r="L881" s="29" t="s">
        <v>90</v>
      </c>
      <c r="Q881" t="str">
        <v>Mujer</v>
      </c>
    </row>
    <row r="882" spans="3:17" x14ac:dyDescent="0.2">
      <c r="C882" s="28">
        <v>1</v>
      </c>
      <c r="D882" s="29">
        <v>2</v>
      </c>
      <c r="E882" s="29" t="s">
        <v>967</v>
      </c>
      <c r="F882" s="29" t="s">
        <v>92</v>
      </c>
      <c r="G882" s="29">
        <v>28</v>
      </c>
      <c r="H882" s="29">
        <v>1</v>
      </c>
      <c r="I882" s="29">
        <v>0</v>
      </c>
      <c r="J882" s="29">
        <v>24</v>
      </c>
      <c r="K882" s="29">
        <v>0</v>
      </c>
      <c r="L882" s="29" t="s">
        <v>93</v>
      </c>
      <c r="Q882" t="str">
        <v>Mujer</v>
      </c>
    </row>
    <row r="883" spans="3:17" x14ac:dyDescent="0.2">
      <c r="C883" s="28">
        <v>1</v>
      </c>
      <c r="D883" s="29">
        <v>3</v>
      </c>
      <c r="E883" s="29" t="s">
        <v>968</v>
      </c>
      <c r="F883" s="29" t="s">
        <v>92</v>
      </c>
      <c r="G883" s="29">
        <v>15</v>
      </c>
      <c r="H883" s="29">
        <v>0</v>
      </c>
      <c r="I883" s="29">
        <v>0</v>
      </c>
      <c r="J883" s="29">
        <v>7225</v>
      </c>
      <c r="K883" s="29">
        <v>0</v>
      </c>
      <c r="L883" s="29" t="s">
        <v>93</v>
      </c>
      <c r="Q883" t="str">
        <v>Hombre</v>
      </c>
    </row>
    <row r="884" spans="3:17" x14ac:dyDescent="0.2">
      <c r="C884" s="28">
        <v>0</v>
      </c>
      <c r="D884" s="29">
        <v>3</v>
      </c>
      <c r="E884" s="29" t="s">
        <v>969</v>
      </c>
      <c r="F884" s="29" t="s">
        <v>89</v>
      </c>
      <c r="G884" s="29">
        <v>20</v>
      </c>
      <c r="H884" s="29">
        <v>0</v>
      </c>
      <c r="I884" s="29">
        <v>0</v>
      </c>
      <c r="J884" s="29">
        <v>98458</v>
      </c>
      <c r="K884" s="29">
        <v>0</v>
      </c>
      <c r="L884" s="29" t="s">
        <v>90</v>
      </c>
      <c r="Q884" t="str">
        <v>Hombre</v>
      </c>
    </row>
    <row r="885" spans="3:17" x14ac:dyDescent="0.2">
      <c r="C885" s="28">
        <v>0</v>
      </c>
      <c r="D885" s="29">
        <v>3</v>
      </c>
      <c r="E885" s="29" t="s">
        <v>970</v>
      </c>
      <c r="F885" s="29" t="s">
        <v>89</v>
      </c>
      <c r="G885" s="29">
        <v>19</v>
      </c>
      <c r="H885" s="29">
        <v>0</v>
      </c>
      <c r="I885" s="29">
        <v>0</v>
      </c>
      <c r="J885" s="29">
        <v>78958</v>
      </c>
      <c r="K885" s="29">
        <v>0</v>
      </c>
      <c r="L885" s="29" t="s">
        <v>90</v>
      </c>
      <c r="Q885" t="str">
        <v>Hombre</v>
      </c>
    </row>
    <row r="886" spans="3:17" x14ac:dyDescent="0.2">
      <c r="C886" s="28">
        <v>0</v>
      </c>
      <c r="D886" s="29">
        <v>3</v>
      </c>
      <c r="E886" s="29" t="s">
        <v>971</v>
      </c>
      <c r="F886" s="29" t="s">
        <v>89</v>
      </c>
      <c r="G886" s="30"/>
      <c r="H886" s="29">
        <v>0</v>
      </c>
      <c r="I886" s="29">
        <v>0</v>
      </c>
      <c r="J886" s="29">
        <v>78958</v>
      </c>
      <c r="K886" s="29">
        <v>0</v>
      </c>
      <c r="L886" s="29" t="s">
        <v>90</v>
      </c>
      <c r="Q886" t="str">
        <v>Mujer</v>
      </c>
    </row>
    <row r="887" spans="3:17" x14ac:dyDescent="0.2">
      <c r="C887" s="28">
        <v>1</v>
      </c>
      <c r="D887" s="29">
        <v>1</v>
      </c>
      <c r="E887" s="29" t="s">
        <v>972</v>
      </c>
      <c r="F887" s="29" t="s">
        <v>92</v>
      </c>
      <c r="G887" s="29">
        <v>56</v>
      </c>
      <c r="H887" s="29">
        <v>0</v>
      </c>
      <c r="I887" s="29">
        <v>1</v>
      </c>
      <c r="J887" s="29">
        <v>831583</v>
      </c>
      <c r="K887" s="29">
        <v>1</v>
      </c>
      <c r="L887" s="29" t="s">
        <v>93</v>
      </c>
      <c r="Q887" t="str">
        <v>Mujer</v>
      </c>
    </row>
    <row r="888" spans="3:17" x14ac:dyDescent="0.2">
      <c r="C888" s="28">
        <v>1</v>
      </c>
      <c r="D888" s="29">
        <v>2</v>
      </c>
      <c r="E888" s="29" t="s">
        <v>973</v>
      </c>
      <c r="F888" s="29" t="s">
        <v>92</v>
      </c>
      <c r="G888" s="29">
        <v>25</v>
      </c>
      <c r="H888" s="29">
        <v>0</v>
      </c>
      <c r="I888" s="29">
        <v>1</v>
      </c>
      <c r="J888" s="29">
        <v>26</v>
      </c>
      <c r="K888" s="29">
        <v>0</v>
      </c>
      <c r="L888" s="29" t="s">
        <v>90</v>
      </c>
      <c r="Q888" t="str">
        <v>Hombre</v>
      </c>
    </row>
    <row r="889" spans="3:17" x14ac:dyDescent="0.2">
      <c r="C889" s="28">
        <v>0</v>
      </c>
      <c r="D889" s="29">
        <v>3</v>
      </c>
      <c r="E889" s="29" t="s">
        <v>974</v>
      </c>
      <c r="F889" s="29" t="s">
        <v>89</v>
      </c>
      <c r="G889" s="29">
        <v>33</v>
      </c>
      <c r="H889" s="29">
        <v>0</v>
      </c>
      <c r="I889" s="29">
        <v>0</v>
      </c>
      <c r="J889" s="29">
        <v>78958</v>
      </c>
      <c r="K889" s="29">
        <v>0</v>
      </c>
      <c r="L889" s="29" t="s">
        <v>90</v>
      </c>
      <c r="Q889" t="str">
        <v>Mujer</v>
      </c>
    </row>
    <row r="890" spans="3:17" x14ac:dyDescent="0.2">
      <c r="C890" s="28">
        <v>0</v>
      </c>
      <c r="D890" s="29">
        <v>3</v>
      </c>
      <c r="E890" s="29" t="s">
        <v>975</v>
      </c>
      <c r="F890" s="29" t="s">
        <v>92</v>
      </c>
      <c r="G890" s="29">
        <v>22</v>
      </c>
      <c r="H890" s="29">
        <v>0</v>
      </c>
      <c r="I890" s="29">
        <v>0</v>
      </c>
      <c r="J890" s="29">
        <v>105167</v>
      </c>
      <c r="K890" s="29">
        <v>0</v>
      </c>
      <c r="L890" s="29" t="s">
        <v>90</v>
      </c>
      <c r="Q890" t="str">
        <v>Hombre</v>
      </c>
    </row>
    <row r="891" spans="3:17" x14ac:dyDescent="0.2">
      <c r="C891" s="28">
        <v>0</v>
      </c>
      <c r="D891" s="29">
        <v>2</v>
      </c>
      <c r="E891" s="29" t="s">
        <v>976</v>
      </c>
      <c r="F891" s="29" t="s">
        <v>89</v>
      </c>
      <c r="G891" s="29">
        <v>28</v>
      </c>
      <c r="H891" s="29">
        <v>0</v>
      </c>
      <c r="I891" s="29">
        <v>0</v>
      </c>
      <c r="J891" s="29">
        <v>105</v>
      </c>
      <c r="K891" s="29">
        <v>0</v>
      </c>
      <c r="L891" s="29" t="s">
        <v>90</v>
      </c>
      <c r="Q891" t="str">
        <v>Hombre</v>
      </c>
    </row>
    <row r="892" spans="3:17" x14ac:dyDescent="0.2">
      <c r="C892" s="28">
        <v>0</v>
      </c>
      <c r="D892" s="29">
        <v>3</v>
      </c>
      <c r="E892" s="29" t="s">
        <v>977</v>
      </c>
      <c r="F892" s="29" t="s">
        <v>89</v>
      </c>
      <c r="G892" s="29">
        <v>25</v>
      </c>
      <c r="H892" s="29">
        <v>0</v>
      </c>
      <c r="I892" s="29">
        <v>0</v>
      </c>
      <c r="J892" s="29">
        <v>705</v>
      </c>
      <c r="K892" s="29">
        <v>0</v>
      </c>
      <c r="L892" s="29" t="s">
        <v>90</v>
      </c>
      <c r="Q892" t="str">
        <v>Mujer</v>
      </c>
    </row>
    <row r="893" spans="3:17" x14ac:dyDescent="0.2">
      <c r="C893" s="28">
        <v>0</v>
      </c>
      <c r="D893" s="29">
        <v>3</v>
      </c>
      <c r="E893" s="29" t="s">
        <v>978</v>
      </c>
      <c r="F893" s="29" t="s">
        <v>92</v>
      </c>
      <c r="G893" s="29">
        <v>39</v>
      </c>
      <c r="H893" s="29">
        <v>0</v>
      </c>
      <c r="I893" s="29">
        <v>5</v>
      </c>
      <c r="J893" s="29">
        <v>29125</v>
      </c>
      <c r="K893" s="29">
        <v>0</v>
      </c>
      <c r="L893" s="29" t="s">
        <v>98</v>
      </c>
      <c r="Q893" t="str">
        <v>Hombre</v>
      </c>
    </row>
    <row r="894" spans="3:17" x14ac:dyDescent="0.2">
      <c r="C894" s="28">
        <v>0</v>
      </c>
      <c r="D894" s="29">
        <v>2</v>
      </c>
      <c r="E894" s="29" t="s">
        <v>979</v>
      </c>
      <c r="F894" s="29" t="s">
        <v>89</v>
      </c>
      <c r="G894" s="29">
        <v>27</v>
      </c>
      <c r="H894" s="29">
        <v>0</v>
      </c>
      <c r="I894" s="29">
        <v>0</v>
      </c>
      <c r="J894" s="29">
        <v>13</v>
      </c>
      <c r="K894" s="29">
        <v>0</v>
      </c>
      <c r="L894" s="29" t="s">
        <v>90</v>
      </c>
      <c r="Q894" t="str">
        <v>Mujer</v>
      </c>
    </row>
    <row r="895" spans="3:17" x14ac:dyDescent="0.2">
      <c r="C895" s="28">
        <v>1</v>
      </c>
      <c r="D895" s="29">
        <v>1</v>
      </c>
      <c r="E895" s="29" t="s">
        <v>980</v>
      </c>
      <c r="F895" s="29" t="s">
        <v>92</v>
      </c>
      <c r="G895" s="29">
        <v>19</v>
      </c>
      <c r="H895" s="29">
        <v>0</v>
      </c>
      <c r="I895" s="29">
        <v>0</v>
      </c>
      <c r="J895" s="29">
        <v>30</v>
      </c>
      <c r="K895" s="29">
        <v>1</v>
      </c>
      <c r="L895" s="29" t="s">
        <v>90</v>
      </c>
      <c r="Q895" t="str">
        <v>Mujer</v>
      </c>
    </row>
    <row r="896" spans="3:17" x14ac:dyDescent="0.2">
      <c r="C896" s="28">
        <v>0</v>
      </c>
      <c r="D896" s="29">
        <v>3</v>
      </c>
      <c r="E896" s="29" t="s">
        <v>981</v>
      </c>
      <c r="F896" s="29" t="s">
        <v>92</v>
      </c>
      <c r="G896" s="30"/>
      <c r="H896" s="29">
        <v>1</v>
      </c>
      <c r="I896" s="29">
        <v>2</v>
      </c>
      <c r="J896" s="29">
        <v>2345</v>
      </c>
      <c r="K896" s="29">
        <v>0</v>
      </c>
      <c r="L896" s="29" t="s">
        <v>90</v>
      </c>
      <c r="Q896" t="str">
        <v>Hombre</v>
      </c>
    </row>
    <row r="897" spans="3:17" x14ac:dyDescent="0.2">
      <c r="C897" s="28">
        <v>1</v>
      </c>
      <c r="D897" s="29">
        <v>1</v>
      </c>
      <c r="E897" s="29" t="s">
        <v>982</v>
      </c>
      <c r="F897" s="29" t="s">
        <v>89</v>
      </c>
      <c r="G897" s="29">
        <v>26</v>
      </c>
      <c r="H897" s="29">
        <v>0</v>
      </c>
      <c r="I897" s="29">
        <v>0</v>
      </c>
      <c r="J897" s="29">
        <v>30</v>
      </c>
      <c r="K897" s="29">
        <v>1</v>
      </c>
      <c r="L897" s="29" t="s">
        <v>93</v>
      </c>
      <c r="Q897" t="str">
        <v>Hombre</v>
      </c>
    </row>
    <row r="898" spans="3:17" x14ac:dyDescent="0.2">
      <c r="C898" s="28">
        <v>0</v>
      </c>
      <c r="D898" s="29">
        <v>3</v>
      </c>
      <c r="E898" s="29" t="s">
        <v>983</v>
      </c>
      <c r="F898" s="29" t="s">
        <v>89</v>
      </c>
      <c r="G898" s="29">
        <v>32</v>
      </c>
      <c r="H898" s="29">
        <v>0</v>
      </c>
      <c r="I898" s="29">
        <v>0</v>
      </c>
      <c r="J898" s="29">
        <v>775</v>
      </c>
      <c r="K898" s="29">
        <v>0</v>
      </c>
      <c r="L898" s="29" t="s">
        <v>98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Detalle1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2026-06-16T21:13:34Z</dcterms:created>
  <dcterms:modified xsi:type="dcterms:W3CDTF">2026-06-16T23:04:20Z</dcterms:modified>
</cp:coreProperties>
</file>