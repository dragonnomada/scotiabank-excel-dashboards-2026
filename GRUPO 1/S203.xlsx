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1/"/>
    </mc:Choice>
  </mc:AlternateContent>
  <xr:revisionPtr revIDLastSave="0" documentId="13_ncr:1_{A35CDB0C-6F1E-4842-A230-DDBE5FEF0070}" xr6:coauthVersionLast="47" xr6:coauthVersionMax="47" xr10:uidLastSave="{00000000-0000-0000-0000-000000000000}"/>
  <bookViews>
    <workbookView xWindow="0" yWindow="0" windowWidth="38400" windowHeight="21600" activeTab="2" xr2:uid="{49FCB5C2-CFB1-704F-BC73-F29D3023B743}"/>
  </bookViews>
  <sheets>
    <sheet name="ESTADÍSTICAS INDIVIDUALES" sheetId="1" r:id="rId1"/>
    <sheet name="ANÁLISIS DE TENDENCIA TEMPORAL" sheetId="3" r:id="rId2"/>
    <sheet name="DATOS" sheetId="2" r:id="rId3"/>
  </sheets>
  <definedNames>
    <definedName name="_xlchart.v1.0" hidden="1">'ESTADÍSTICAS INDIVIDUALES'!$B$19</definedName>
    <definedName name="_xlchart.v1.1" hidden="1">'ESTADÍSTICAS INDIVIDUALES'!$B$20:$B$28</definedName>
    <definedName name="_xlchart.v1.10" hidden="1">'ANÁLISIS DE TENDENCIA TEMPORAL'!$F$6</definedName>
    <definedName name="_xlchart.v1.11" hidden="1">'ANÁLISIS DE TENDENCIA TEMPORAL'!$F$7:$F$15</definedName>
    <definedName name="_xlchart.v1.12" hidden="1">'ANÁLISIS DE TENDENCIA TEMPORAL'!$C$7:$C$15</definedName>
    <definedName name="_xlchart.v1.13" hidden="1">'ANÁLISIS DE TENDENCIA TEMPORAL'!$F$6</definedName>
    <definedName name="_xlchart.v1.14" hidden="1">'ANÁLISIS DE TENDENCIA TEMPORAL'!$F$7:$F$15</definedName>
    <definedName name="_xlchart.v1.15" hidden="1">'ANÁLISIS DE TENDENCIA TEMPORAL'!$C$7:$C$15</definedName>
    <definedName name="_xlchart.v1.16" hidden="1">'ANÁLISIS DE TENDENCIA TEMPORAL'!$F$6</definedName>
    <definedName name="_xlchart.v1.17" hidden="1">'ANÁLISIS DE TENDENCIA TEMPORAL'!$F$7:$F$15</definedName>
    <definedName name="_xlchart.v1.18" hidden="1">'ANÁLISIS DE TENDENCIA TEMPORAL'!$C$7:$C$15</definedName>
    <definedName name="_xlchart.v1.19" hidden="1">'ANÁLISIS DE TENDENCIA TEMPORAL'!$F$6</definedName>
    <definedName name="_xlchart.v1.2" hidden="1">'ESTADÍSTICAS INDIVIDUALES'!$B$19</definedName>
    <definedName name="_xlchart.v1.20" hidden="1">'ANÁLISIS DE TENDENCIA TEMPORAL'!$F$7:$F$15</definedName>
    <definedName name="_xlchart.v1.21" hidden="1">'ANÁLISIS DE TENDENCIA TEMPORAL'!$C$7:$C$15</definedName>
    <definedName name="_xlchart.v1.22" hidden="1">'ANÁLISIS DE TENDENCIA TEMPORAL'!$F$6</definedName>
    <definedName name="_xlchart.v1.23" hidden="1">'ANÁLISIS DE TENDENCIA TEMPORAL'!$F$7:$F$15</definedName>
    <definedName name="_xlchart.v1.24" hidden="1">'ANÁLISIS DE TENDENCIA TEMPORAL'!$C$7:$C$15</definedName>
    <definedName name="_xlchart.v1.25" hidden="1">'ANÁLISIS DE TENDENCIA TEMPORAL'!$F$6</definedName>
    <definedName name="_xlchart.v1.26" hidden="1">'ANÁLISIS DE TENDENCIA TEMPORAL'!$F$7:$F$15</definedName>
    <definedName name="_xlchart.v1.3" hidden="1">'ESTADÍSTICAS INDIVIDUALES'!$B$20:$B$28</definedName>
    <definedName name="_xlchart.v1.4" hidden="1">'ESTADÍSTICAS INDIVIDUALES'!$B$19</definedName>
    <definedName name="_xlchart.v1.5" hidden="1">'ESTADÍSTICAS INDIVIDUALES'!$B$20:$B$28</definedName>
    <definedName name="_xlchart.v1.6" hidden="1">'ANÁLISIS DE TENDENCIA TEMPORAL'!$C$7:$C$15</definedName>
    <definedName name="_xlchart.v1.7" hidden="1">'ANÁLISIS DE TENDENCIA TEMPORAL'!$F$6</definedName>
    <definedName name="_xlchart.v1.8" hidden="1">'ANÁLISIS DE TENDENCIA TEMPORAL'!$F$7:$F$15</definedName>
    <definedName name="_xlchart.v1.9" hidden="1">'ANÁLISIS DE TENDENCIA TEMPORAL'!$C$7:$C$15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3" l="1"/>
  <c r="F9" i="3"/>
  <c r="F10" i="3"/>
  <c r="F11" i="3"/>
  <c r="F12" i="3"/>
  <c r="F13" i="3"/>
  <c r="F14" i="3"/>
  <c r="F15" i="3"/>
  <c r="F7" i="3"/>
  <c r="E8" i="3" a="1"/>
  <c r="E8" i="3" s="1"/>
  <c r="E9" i="3" a="1"/>
  <c r="E9" i="3" s="1"/>
  <c r="E10" i="3" a="1"/>
  <c r="E10" i="3" s="1"/>
  <c r="E11" i="3" a="1"/>
  <c r="E11" i="3"/>
  <c r="E12" i="3" a="1"/>
  <c r="E12" i="3" s="1"/>
  <c r="E13" i="3" a="1"/>
  <c r="E13" i="3" s="1"/>
  <c r="E14" i="3" a="1"/>
  <c r="E14" i="3" s="1"/>
  <c r="E15" i="3" a="1"/>
  <c r="E15" i="3"/>
  <c r="E7" i="3" a="1"/>
  <c r="E7" i="3" s="1"/>
  <c r="E25" i="3" a="1"/>
  <c r="E25" i="3" s="1"/>
  <c r="B25" i="3" a="1"/>
  <c r="B25" i="3" s="1"/>
  <c r="D19" i="3" a="1"/>
  <c r="D19" i="3"/>
  <c r="H19" i="3" a="1"/>
  <c r="H19" i="3" s="1"/>
  <c r="E16" i="3"/>
  <c r="H51" i="1"/>
  <c r="H52" i="1"/>
  <c r="H53" i="1"/>
  <c r="H54" i="1"/>
  <c r="H50" i="1"/>
  <c r="G51" i="1"/>
  <c r="G52" i="1"/>
  <c r="G53" i="1"/>
  <c r="G54" i="1"/>
  <c r="G50" i="1"/>
  <c r="H41" i="1"/>
  <c r="H40" i="1"/>
  <c r="H39" i="1"/>
  <c r="H38" i="1"/>
  <c r="H37" i="1"/>
  <c r="H36" i="1"/>
  <c r="H35" i="1"/>
  <c r="H34" i="1"/>
  <c r="H33" i="1"/>
  <c r="H31" i="1"/>
  <c r="H30" i="1"/>
  <c r="H29" i="1"/>
  <c r="H28" i="1"/>
  <c r="H26" i="1"/>
  <c r="H25" i="1"/>
  <c r="H24" i="1"/>
  <c r="H43" i="1"/>
  <c r="H22" i="1"/>
  <c r="H13" i="1"/>
  <c r="H12" i="1"/>
  <c r="O19" i="1" s="1"/>
  <c r="H11" i="1"/>
  <c r="H10" i="1"/>
  <c r="O18" i="1" l="1"/>
  <c r="O17" i="1"/>
  <c r="P19" i="1" l="1"/>
  <c r="P17" i="1"/>
  <c r="N17" i="1"/>
  <c r="R17" i="1" s="1" a="1"/>
  <c r="R17" i="1" s="1"/>
  <c r="N18" i="1"/>
  <c r="P18" i="1"/>
  <c r="N19" i="1"/>
  <c r="R19" i="1" s="1" a="1"/>
  <c r="R19" i="1" s="1"/>
  <c r="R18" i="1" l="1" a="1"/>
  <c r="R1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7FB418-C9EE-0C4E-A5F0-AA9D5027C5E3}" keepAlive="1" name="Consulta - CALENDARIO" description="Conexión a la consulta 'CALENDARIO' en el libro." type="5" refreshedVersion="0" background="1">
    <dbPr connection="Provider=Microsoft.Mashup.OleDb.1;Data Source=$Workbook$;Location=CALENDARIO;Extended Properties=&quot;&quot;" command="SELECT * FROM [CALENDARIO]"/>
  </connection>
  <connection id="2" xr16:uid="{F4FA8533-3FCD-C341-BC4E-802DB3D91A44}" keepAlive="1" name="Consulta - DATOS" description="Conexión a la consulta 'DATOS' en el libro." type="5" refreshedVersion="0" background="1">
    <dbPr connection="Provider=Microsoft.Mashup.OleDb.1;Data Source=$Workbook$;Location=DATOS;Extended Properties=&quot;&quot;" command="SELECT * FROM [DATOS]"/>
  </connection>
  <connection id="3" xr16:uid="{8F877E0F-EBD0-544F-9129-416BDFFF93EA}" keepAlive="1" name="Consulta - DATOS CALENDARIZADOS" description="Conexión a la consulta 'DATOS CALENDARIZADOS' en el libro." type="5" refreshedVersion="0" background="1">
    <dbPr connection="Provider=Microsoft.Mashup.OleDb.1;Data Source=$Workbook$;Location=&quot;DATOS CALENDARIZADOS&quot;;Extended Properties=&quot;&quot;" command="SELECT * FROM [DATOS CALENDARIZADO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<sst xmlns="http://schemas.openxmlformats.org/spreadsheetml/2006/main" count="151" uniqueCount="123">
  <si>
    <t>Fecha</t>
  </si>
  <si>
    <t>X</t>
  </si>
  <si>
    <t>Costo</t>
  </si>
  <si>
    <t>Pago</t>
  </si>
  <si>
    <t>Cantidad</t>
  </si>
  <si>
    <t>ANÁLISIS DE TENDECIA TEMPORAL</t>
  </si>
  <si>
    <t>INDICADOR DIFERENCIAS</t>
  </si>
  <si>
    <t>INDICADOR ACUMULADOS</t>
  </si>
  <si>
    <t>INDICADOR PROPORCIONES</t>
  </si>
  <si>
    <t>INDICADOR PROMEDIOS</t>
  </si>
  <si>
    <t>DESCRIBIR EL COMPORTAMIENTO INDIVIDUAL DE X A TRAVÉS DE ESTADÍSTICAS DESCRIPTIVAS</t>
  </si>
  <si>
    <t>AGREGACIÓN</t>
  </si>
  <si>
    <t>RECUENTO / CONTAR</t>
  </si>
  <si>
    <t>SUMA</t>
  </si>
  <si>
    <t>TOTAL</t>
  </si>
  <si>
    <t>DESCRIPCIÓN</t>
  </si>
  <si>
    <t>EL NÚMERO DE OBSERVACIONES</t>
  </si>
  <si>
    <t>MEDIA</t>
  </si>
  <si>
    <t>PROMEDIO</t>
  </si>
  <si>
    <t>EL VOLÚMEN ACUMULADO TOTAL</t>
  </si>
  <si>
    <t>LA DENSIDAD / VOLUMEN / BALANCE PROPORCIONAL INDIVIDUAL IDEAL</t>
  </si>
  <si>
    <t>DESVIACIÓN</t>
  </si>
  <si>
    <t>DEV.EST.P / DEV.EST.M</t>
  </si>
  <si>
    <t>CUÁNTAS VECES SE ALEJA DE LA MEDIA CON BASE A UNA POBLACIÓN NORMAL</t>
  </si>
  <si>
    <t>I.P</t>
  </si>
  <si>
    <t>CUARTIL 1</t>
  </si>
  <si>
    <t>CUARTIL 2</t>
  </si>
  <si>
    <t>CUARTIL 3</t>
  </si>
  <si>
    <t>MEDIANA</t>
  </si>
  <si>
    <t>QUINTIL 1</t>
  </si>
  <si>
    <t>QUINTIL 2</t>
  </si>
  <si>
    <t>QUINTIL 3</t>
  </si>
  <si>
    <t>QUINTIL 4</t>
  </si>
  <si>
    <t>QUINTIL 5</t>
  </si>
  <si>
    <t>DECIL 1</t>
  </si>
  <si>
    <t>DECIL 2</t>
  </si>
  <si>
    <t>DECIL 3</t>
  </si>
  <si>
    <t>DECIL 4</t>
  </si>
  <si>
    <t>DECIL 5</t>
  </si>
  <si>
    <t>DECIL 6</t>
  </si>
  <si>
    <t>DECIL 7</t>
  </si>
  <si>
    <t>DECIL 8</t>
  </si>
  <si>
    <t>DECIL 9</t>
  </si>
  <si>
    <t>DECIL 10</t>
  </si>
  <si>
    <t>GRUPOS AUTOMÁTICOS</t>
  </si>
  <si>
    <t>UNIFORMES POBLACIONALMENTE</t>
  </si>
  <si>
    <t>PERCENTIL 25%</t>
  </si>
  <si>
    <t>PERCENTIL 50%</t>
  </si>
  <si>
    <t>PERCENTIL 75%</t>
  </si>
  <si>
    <t>MÁXIMO</t>
  </si>
  <si>
    <t>MÍNIMO</t>
  </si>
  <si>
    <t>PERCENTIL 20%</t>
  </si>
  <si>
    <t>PERCENTIL 40%</t>
  </si>
  <si>
    <t>PERCENTIL 60%</t>
  </si>
  <si>
    <t>PERCENTIL 70%</t>
  </si>
  <si>
    <t>PERCENTIL 100%</t>
  </si>
  <si>
    <t>CUARTIL 4</t>
  </si>
  <si>
    <t>PERCENTIL 80%</t>
  </si>
  <si>
    <t>PERCENTIL 10%</t>
  </si>
  <si>
    <t>PERCENTIL 30%</t>
  </si>
  <si>
    <t>PERCENTIL 90%</t>
  </si>
  <si>
    <t>VALOR MÍNIMO OBSERVADO / RANGO INFERIOR</t>
  </si>
  <si>
    <t>VALOR MÁXIMO OBSERVADO / RANGO SUPERIOR</t>
  </si>
  <si>
    <t>GRUPO BAJO</t>
  </si>
  <si>
    <t>GRUPO MEDIO BAJO</t>
  </si>
  <si>
    <t>GRUPO MEDIO ALTO</t>
  </si>
  <si>
    <t>GRUPO BAJO INFERIOR</t>
  </si>
  <si>
    <t>GRUPO BAJO SUPERIOR</t>
  </si>
  <si>
    <t>GRUPO MEDIO INFERIOR</t>
  </si>
  <si>
    <t>GRUPO MEDIO SUPERIOR</t>
  </si>
  <si>
    <t>GRUPO MÍNIMO MEDIO</t>
  </si>
  <si>
    <t>GRUPO MÍNIMO ALTO</t>
  </si>
  <si>
    <t>GRUPO CENTRAL BAJO</t>
  </si>
  <si>
    <t>GRUPO CENTRAL MEDIO</t>
  </si>
  <si>
    <t>GRUPO CENTRAL ALTO</t>
  </si>
  <si>
    <t>GRUPO MÁXIMO BAJO</t>
  </si>
  <si>
    <t>GRUPO MÁXIMO MEDIO</t>
  </si>
  <si>
    <t>GRUPO MÁXIMO ALTO</t>
  </si>
  <si>
    <t>GRUPO MÍNIMO BAJO LÍMITE</t>
  </si>
  <si>
    <t>GRUPO ALTO / GRUPO MÁXIMO ALTO LÍMITE</t>
  </si>
  <si>
    <t>PUNTAJES / K-ORDENADOS</t>
  </si>
  <si>
    <t>ELEMENTOS MÁS ALTOS / BAJOS</t>
  </si>
  <si>
    <t>K</t>
  </si>
  <si>
    <t>ALTOS</t>
  </si>
  <si>
    <t>BAJOS</t>
  </si>
  <si>
    <t>K-ÉSIMO MAYOR / MENOR</t>
  </si>
  <si>
    <t>EL VALOR INFERIOR ES MÁS DIFÍCIL DE ALCANZAR RESPECTO A LOS OTROS</t>
  </si>
  <si>
    <t>EL VALOR SUPERIOR ES MÁS FÁCIL DE ALCANZAR POR LOS ÚLTIMOS DATOS</t>
  </si>
  <si>
    <t>POSIBLEMENTE EXISTA UN MAYOR NO OBSERVADO</t>
  </si>
  <si>
    <t>Posición</t>
  </si>
  <si>
    <t>Jerarquía</t>
  </si>
  <si>
    <t>Porcentaje</t>
  </si>
  <si>
    <t>CURVA PERCENTIL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</si>
  <si>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</si>
  <si>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</si>
  <si>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</si>
  <si>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</si>
  <si>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</si>
  <si>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</si>
  <si>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</si>
  <si>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</si>
  <si>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</si>
  <si>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</si>
  <si>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</si>
  <si>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</si>
  <si>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</si>
  <si>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Mayor (5)</t>
  </si>
  <si>
    <t>Menor(5)</t>
  </si>
  <si>
    <t>Nivel de confianza(95.0%)</t>
  </si>
  <si>
    <t>^2</t>
  </si>
  <si>
    <t>NORMAL</t>
  </si>
  <si>
    <t>LIGERO SESGO A LA IZQUIERDA</t>
  </si>
  <si>
    <t>LOS 5 MAYOR ARRIBA</t>
  </si>
  <si>
    <t>LOS 5 MENORES ABAJO</t>
  </si>
  <si>
    <t>ANÁLISIS SIN TENDENCIA</t>
  </si>
  <si>
    <t>ACUMULADO X</t>
  </si>
  <si>
    <t>% ACUMULADO X</t>
  </si>
  <si>
    <t>EJERCICIO DE CLASE</t>
  </si>
  <si>
    <t>CALCULA LA CURVA PERCENTIL Y LAS ESTADÍSTICAS DESCRIPTIVAS DE UN EJE DE DATOS</t>
  </si>
  <si>
    <t>INDICE</t>
  </si>
  <si>
    <t>=</t>
  </si>
  <si>
    <t>SECUENCIA(5)</t>
  </si>
  <si>
    <t>INDICE(D7:D15, SECUENCIA(5),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</si>
</sst>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2B2B2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3" fillId="3" borderId="3" xfId="4" applyBorder="1" applyAlignment="1">
      <alignment horizontal="center"/>
    </xf>
    <xf numFmtId="0" fontId="3" fillId="3" borderId="4" xfId="4" applyBorder="1" applyAlignment="1">
      <alignment horizontal="center"/>
    </xf>
    <xf numFmtId="0" fontId="3" fillId="3" borderId="5" xfId="4" applyBorder="1" applyAlignment="1">
      <alignment horizontal="center"/>
    </xf>
    <xf numFmtId="0" fontId="7" fillId="0" borderId="0" xfId="0" applyFont="1"/>
    <xf numFmtId="6" fontId="0" fillId="0" borderId="0" xfId="0" applyNumberFormat="1"/>
    <xf numFmtId="0" fontId="0" fillId="0" borderId="0" xfId="0" applyAlignment="1">
      <alignment horizontal="right"/>
    </xf>
    <xf numFmtId="6" fontId="0" fillId="0" borderId="0" xfId="0" applyNumberFormat="1" applyAlignment="1">
      <alignment horizontal="right"/>
    </xf>
    <xf numFmtId="44" fontId="0" fillId="0" borderId="0" xfId="1" applyFont="1"/>
    <xf numFmtId="44" fontId="0" fillId="9" borderId="0" xfId="0" applyNumberFormat="1" applyFill="1" applyAlignment="1">
      <alignment horizontal="right"/>
    </xf>
    <xf numFmtId="44" fontId="0" fillId="9" borderId="0" xfId="1" applyNumberFormat="1" applyFont="1" applyFill="1"/>
    <xf numFmtId="44" fontId="0" fillId="0" borderId="0" xfId="0" applyNumberFormat="1"/>
    <xf numFmtId="44" fontId="0" fillId="8" borderId="0" xfId="0" applyNumberFormat="1" applyFill="1"/>
    <xf numFmtId="9" fontId="0" fillId="8" borderId="0" xfId="0" applyNumberFormat="1" applyFill="1"/>
    <xf numFmtId="9" fontId="0" fillId="0" borderId="0" xfId="2" applyFont="1"/>
    <xf numFmtId="44" fontId="0" fillId="10" borderId="0" xfId="0" applyNumberFormat="1" applyFill="1"/>
    <xf numFmtId="9" fontId="0" fillId="10" borderId="0" xfId="0" applyNumberFormat="1" applyFill="1"/>
    <xf numFmtId="44" fontId="0" fillId="11" borderId="0" xfId="0" applyNumberFormat="1" applyFill="1"/>
    <xf numFmtId="9" fontId="0" fillId="11" borderId="0" xfId="0" applyNumberFormat="1" applyFill="1"/>
    <xf numFmtId="0" fontId="0" fillId="5" borderId="2" xfId="6" applyFont="1" applyAlignment="1">
      <alignment horizontal="center"/>
    </xf>
    <xf numFmtId="0" fontId="4" fillId="4" borderId="1" xfId="5"/>
    <xf numFmtId="0" fontId="2" fillId="2" borderId="1" xfId="3" applyBorder="1"/>
    <xf numFmtId="0" fontId="0" fillId="5" borderId="0" xfId="6" applyFont="1" applyBorder="1" applyAlignment="1">
      <alignment horizontal="center"/>
    </xf>
    <xf numFmtId="0" fontId="0" fillId="5" borderId="6" xfId="6" applyFont="1" applyBorder="1" applyAlignment="1">
      <alignment horizontal="center"/>
    </xf>
    <xf numFmtId="9" fontId="0" fillId="0" borderId="0" xfId="2" applyFont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/>
    <xf numFmtId="1" fontId="0" fillId="9" borderId="0" xfId="0" applyNumberFormat="1" applyFill="1" applyAlignment="1">
      <alignment horizontal="right"/>
    </xf>
    <xf numFmtId="0" fontId="0" fillId="0" borderId="0" xfId="0" applyFill="1" applyBorder="1" applyAlignment="1"/>
    <xf numFmtId="44" fontId="0" fillId="0" borderId="0" xfId="0" applyNumberFormat="1" applyFill="1" applyBorder="1" applyAlignment="1"/>
    <xf numFmtId="10" fontId="0" fillId="0" borderId="0" xfId="0" applyNumberFormat="1" applyFill="1" applyBorder="1" applyAlignment="1"/>
    <xf numFmtId="0" fontId="0" fillId="0" borderId="7" xfId="0" applyFill="1" applyBorder="1" applyAlignment="1"/>
    <xf numFmtId="44" fontId="0" fillId="0" borderId="7" xfId="0" applyNumberFormat="1" applyFill="1" applyBorder="1" applyAlignment="1"/>
    <xf numFmtId="10" fontId="0" fillId="0" borderId="7" xfId="0" applyNumberFormat="1" applyFill="1" applyBorder="1" applyAlignment="1"/>
    <xf numFmtId="0" fontId="9" fillId="0" borderId="8" xfId="0" applyFont="1" applyFill="1" applyBorder="1" applyAlignment="1">
      <alignment horizontal="center"/>
    </xf>
    <xf numFmtId="0" fontId="0" fillId="12" borderId="0" xfId="0" applyFill="1"/>
    <xf numFmtId="0" fontId="0" fillId="12" borderId="0" xfId="0" applyFill="1" applyBorder="1" applyAlignment="1"/>
    <xf numFmtId="0" fontId="0" fillId="13" borderId="0" xfId="0" applyFill="1" applyBorder="1" applyAlignment="1"/>
    <xf numFmtId="0" fontId="0" fillId="13" borderId="0" xfId="0" applyFill="1"/>
    <xf numFmtId="0" fontId="0" fillId="14" borderId="0" xfId="0" applyFill="1" applyBorder="1" applyAlignment="1"/>
    <xf numFmtId="0" fontId="0" fillId="14" borderId="0" xfId="0" applyFill="1"/>
    <xf numFmtId="0" fontId="0" fillId="7" borderId="7" xfId="0" applyFill="1" applyBorder="1" applyAlignment="1"/>
    <xf numFmtId="0" fontId="0" fillId="7" borderId="0" xfId="0" applyFill="1"/>
    <xf numFmtId="0" fontId="0" fillId="16" borderId="0" xfId="0" applyFill="1" applyBorder="1" applyAlignment="1"/>
    <xf numFmtId="0" fontId="0" fillId="16" borderId="0" xfId="0" applyFill="1"/>
    <xf numFmtId="0" fontId="0" fillId="17" borderId="0" xfId="0" applyFill="1"/>
    <xf numFmtId="0" fontId="0" fillId="17" borderId="0" xfId="0" applyFill="1" applyBorder="1" applyAlignment="1"/>
    <xf numFmtId="0" fontId="0" fillId="18" borderId="0" xfId="0" applyFill="1" applyBorder="1" applyAlignment="1"/>
    <xf numFmtId="0" fontId="6" fillId="18" borderId="0" xfId="0" applyFont="1" applyFill="1"/>
    <xf numFmtId="0" fontId="6" fillId="15" borderId="0" xfId="0" applyFont="1" applyFill="1"/>
    <xf numFmtId="0" fontId="6" fillId="15" borderId="0" xfId="0" applyFont="1" applyFill="1" applyBorder="1" applyAlignment="1"/>
    <xf numFmtId="0" fontId="9" fillId="0" borderId="8" xfId="0" applyFont="1" applyFill="1" applyBorder="1" applyAlignment="1">
      <alignment horizontal="centerContinuous"/>
    </xf>
    <xf numFmtId="44" fontId="0" fillId="0" borderId="0" xfId="1" applyFont="1" applyFill="1" applyBorder="1" applyAlignment="1"/>
    <xf numFmtId="2" fontId="0" fillId="0" borderId="0" xfId="0" applyNumberFormat="1" applyFill="1" applyBorder="1" applyAlignment="1"/>
    <xf numFmtId="0" fontId="5" fillId="0" borderId="0" xfId="0" applyFont="1"/>
    <xf numFmtId="2" fontId="0" fillId="0" borderId="7" xfId="0" applyNumberFormat="1" applyFill="1" applyBorder="1" applyAlignment="1"/>
    <xf numFmtId="0" fontId="0" fillId="19" borderId="0" xfId="0" applyFill="1"/>
    <xf numFmtId="1" fontId="0" fillId="0" borderId="0" xfId="1" applyNumberFormat="1" applyFont="1"/>
    <xf numFmtId="14" fontId="0" fillId="0" borderId="0" xfId="0" applyNumberFormat="1" applyAlignment="1">
      <alignment horizontal="center"/>
    </xf>
  </cellXfs>
  <cellStyles count="7">
    <cellStyle name="Bueno" xfId="3" builtinId="26"/>
    <cellStyle name="Cálculo" xfId="5" builtinId="22"/>
    <cellStyle name="Entrada" xfId="4" builtinId="20"/>
    <cellStyle name="Moneda" xfId="1" builtinId="4"/>
    <cellStyle name="Normal" xfId="0" builtinId="0"/>
    <cellStyle name="Notas" xfId="6" builtinId="1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DECILES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475284339457567E-2"/>
                  <c:y val="-0.168269539224263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'ESTADÍSTICAS INDIVIDUALES'!$G$33:$G$41</c:f>
              <c:strCache>
                <c:ptCount val="9"/>
                <c:pt idx="0">
                  <c:v>DECIL 1</c:v>
                </c:pt>
                <c:pt idx="1">
                  <c:v>DECIL 2</c:v>
                </c:pt>
                <c:pt idx="2">
                  <c:v>DECIL 3</c:v>
                </c:pt>
                <c:pt idx="3">
                  <c:v>DECIL 4</c:v>
                </c:pt>
                <c:pt idx="4">
                  <c:v>DECIL 5</c:v>
                </c:pt>
                <c:pt idx="5">
                  <c:v>DECIL 6</c:v>
                </c:pt>
                <c:pt idx="6">
                  <c:v>DECIL 7</c:v>
                </c:pt>
                <c:pt idx="7">
                  <c:v>DECIL 8</c:v>
                </c:pt>
                <c:pt idx="8">
                  <c:v>DECIL 9</c:v>
                </c:pt>
              </c:strCache>
            </c:strRef>
          </c:xVal>
          <c:yVal>
            <c:numRef>
              <c:f>'ESTADÍSTICAS INDIVIDUALES'!$H$33:$H$41</c:f>
              <c:numCache>
                <c:formatCode>_("$"* #,##0.00_);_("$"* \(#,##0.00\);_("$"* "-"??_);_(@_)</c:formatCode>
                <c:ptCount val="9"/>
                <c:pt idx="0">
                  <c:v>420</c:v>
                </c:pt>
                <c:pt idx="1">
                  <c:v>480</c:v>
                </c:pt>
                <c:pt idx="2">
                  <c:v>516</c:v>
                </c:pt>
                <c:pt idx="3">
                  <c:v>552</c:v>
                </c:pt>
                <c:pt idx="4">
                  <c:v>600</c:v>
                </c:pt>
                <c:pt idx="5">
                  <c:v>640</c:v>
                </c:pt>
                <c:pt idx="6">
                  <c:v>680</c:v>
                </c:pt>
                <c:pt idx="7">
                  <c:v>740</c:v>
                </c:pt>
                <c:pt idx="8">
                  <c:v>819.99999999999989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72-7149-8169-DD0329426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352448"/>
        <c:axId val="815351552"/>
      </c:scatterChart>
      <c:valAx>
        <c:axId val="81535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5351552"/>
        <c:crosses val="autoZero"/>
        <c:crossBetween val="midCat"/>
      </c:valAx>
      <c:valAx>
        <c:axId val="81535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535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CUARTILES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082158863904953E-2"/>
                  <c:y val="-0.163172827297708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'ESTADÍSTICAS INDIVIDUALES'!$G$24:$G$26</c:f>
              <c:strCache>
                <c:ptCount val="3"/>
                <c:pt idx="0">
                  <c:v>CUARTIL 1</c:v>
                </c:pt>
                <c:pt idx="1">
                  <c:v>CUARTIL 2</c:v>
                </c:pt>
                <c:pt idx="2">
                  <c:v>CUARTIL 3</c:v>
                </c:pt>
              </c:strCache>
            </c:strRef>
          </c:xVal>
          <c:yVal>
            <c:numRef>
              <c:f>'ESTADÍSTICAS INDIVIDUALES'!$H$24:$H$26</c:f>
              <c:numCache>
                <c:formatCode>_("$"* #,##0.00_);_("$"* \(#,##0.00\);_("$"* "-"??_);_(@_)</c:formatCode>
                <c:ptCount val="3"/>
                <c:pt idx="0">
                  <c:v>500</c:v>
                </c:pt>
                <c:pt idx="1">
                  <c:v>600</c:v>
                </c:pt>
                <c:pt idx="2">
                  <c:v>700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0F-9B4D-A21D-9BE0ED88D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422400"/>
        <c:axId val="815361408"/>
      </c:scatterChart>
      <c:valAx>
        <c:axId val="81942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5361408"/>
        <c:crosses val="autoZero"/>
        <c:crossBetween val="midCat"/>
      </c:valAx>
      <c:valAx>
        <c:axId val="81536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942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COLA MENOR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116141732283462E-2"/>
                  <c:y val="-0.163426290463692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yVal>
            <c:numRef>
              <c:f>'ESTADÍSTICAS INDIVIDUALES'!$H$50:$H$54</c:f>
              <c:numCache>
                <c:formatCode>_("$"* #,##0.00_);_("$"* \(#,##0.00\);_("$"* "-"??_);_(@_)</c:formatCode>
                <c:ptCount val="5"/>
                <c:pt idx="0">
                  <c:v>300</c:v>
                </c:pt>
                <c:pt idx="1">
                  <c:v>450</c:v>
                </c:pt>
                <c:pt idx="2">
                  <c:v>500</c:v>
                </c:pt>
                <c:pt idx="3">
                  <c:v>540</c:v>
                </c:pt>
                <c:pt idx="4">
                  <c:v>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99-A246-A243-27EA42A46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355328"/>
        <c:axId val="794348608"/>
      </c:scatterChart>
      <c:valAx>
        <c:axId val="79435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4348608"/>
        <c:crosses val="autoZero"/>
        <c:crossBetween val="midCat"/>
      </c:valAx>
      <c:valAx>
        <c:axId val="79434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435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COLA MAYOR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9796587926509191E-2"/>
                  <c:y val="-0.393692403032954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yVal>
            <c:numRef>
              <c:f>'ESTADÍSTICAS INDIVIDUALES'!$G$50:$G$54</c:f>
              <c:numCache>
                <c:formatCode>_("$"* #,##0.00_);_("$"* \(#,##0.00\);_("$"* "-"??_);_(@_)</c:formatCode>
                <c:ptCount val="5"/>
                <c:pt idx="0">
                  <c:v>900</c:v>
                </c:pt>
                <c:pt idx="1">
                  <c:v>800</c:v>
                </c:pt>
                <c:pt idx="2">
                  <c:v>700</c:v>
                </c:pt>
                <c:pt idx="3">
                  <c:v>650</c:v>
                </c:pt>
                <c:pt idx="4">
                  <c:v>600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EE-A246-9C38-D9F508394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9412992"/>
        <c:axId val="819419264"/>
      </c:scatterChart>
      <c:valAx>
        <c:axId val="81941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9419264"/>
        <c:crosses val="autoZero"/>
        <c:crossBetween val="midCat"/>
      </c:valAx>
      <c:valAx>
        <c:axId val="8194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941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287310988089939"/>
          <c:y val="3.2670310992696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'ESTADÍSTICAS INDIVIDUALES'!$D$31</c:f>
              <c:strCache>
                <c:ptCount val="1"/>
                <c:pt idx="0">
                  <c:v>Porcentaje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'ESTADÍSTICAS INDIVIDUALES'!$B$32:$B$40</c:f>
              <c:numCache>
                <c:formatCode>_("$"* #,##0.00_);_("$"* \(#,##0.00\);_("$"* "-"??_);_(@_)</c:formatCode>
                <c:ptCount val="9"/>
                <c:pt idx="0">
                  <c:v>900</c:v>
                </c:pt>
                <c:pt idx="1">
                  <c:v>800</c:v>
                </c:pt>
                <c:pt idx="2">
                  <c:v>700</c:v>
                </c:pt>
                <c:pt idx="3">
                  <c:v>650</c:v>
                </c:pt>
                <c:pt idx="4">
                  <c:v>600</c:v>
                </c:pt>
                <c:pt idx="5">
                  <c:v>540</c:v>
                </c:pt>
                <c:pt idx="6">
                  <c:v>500</c:v>
                </c:pt>
                <c:pt idx="7">
                  <c:v>450</c:v>
                </c:pt>
                <c:pt idx="8">
                  <c:v>300</c:v>
                </c:pt>
              </c:numCache>
            </c:numRef>
          </c:xVal>
          <c:yVal>
            <c:numRef>
              <c:f>'ESTADÍSTICAS INDIVIDUALES'!$D$32:$D$40</c:f>
              <c:numCache>
                <c:formatCode>0.00%</c:formatCode>
                <c:ptCount val="9"/>
                <c:pt idx="0">
                  <c:v>1</c:v>
                </c:pt>
                <c:pt idx="1">
                  <c:v>0.875</c:v>
                </c:pt>
                <c:pt idx="2">
                  <c:v>0.75</c:v>
                </c:pt>
                <c:pt idx="3">
                  <c:v>0.625</c:v>
                </c:pt>
                <c:pt idx="4">
                  <c:v>0.5</c:v>
                </c:pt>
                <c:pt idx="5">
                  <c:v>0.375</c:v>
                </c:pt>
                <c:pt idx="6">
                  <c:v>0.25</c:v>
                </c:pt>
                <c:pt idx="7">
                  <c:v>0.125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DF-CF47-85C6-EAFFC2300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410752"/>
        <c:axId val="713419264"/>
      </c:scatterChart>
      <c:valAx>
        <c:axId val="71341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3419264"/>
        <c:crosses val="autoZero"/>
        <c:crossBetween val="midCat"/>
      </c:valAx>
      <c:valAx>
        <c:axId val="71341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341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5216447944007"/>
          <c:y val="0.14721984920421324"/>
          <c:w val="0.8172799650043745"/>
          <c:h val="0.5704555038024031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'ANÁLISIS DE TENDENCIA TEMPORAL'!$E$6</c:f>
              <c:strCache>
                <c:ptCount val="1"/>
                <c:pt idx="0">
                  <c:v>ACUMULADO 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'ANÁLISIS DE TENDENCIA TEMPORAL'!$C$7:$C$15</c:f>
              <c:numCache>
                <c:formatCode>m/d/yy</c:formatCode>
                <c:ptCount val="9"/>
                <c:pt idx="0">
                  <c:v>46023</c:v>
                </c:pt>
                <c:pt idx="1">
                  <c:v>46035</c:v>
                </c:pt>
                <c:pt idx="2">
                  <c:v>46050</c:v>
                </c:pt>
                <c:pt idx="3">
                  <c:v>46056</c:v>
                </c:pt>
                <c:pt idx="4">
                  <c:v>46071</c:v>
                </c:pt>
                <c:pt idx="5">
                  <c:v>46078</c:v>
                </c:pt>
                <c:pt idx="6">
                  <c:v>46080</c:v>
                </c:pt>
                <c:pt idx="7">
                  <c:v>46082</c:v>
                </c:pt>
                <c:pt idx="8">
                  <c:v>46096</c:v>
                </c:pt>
              </c:numCache>
            </c:numRef>
          </c:xVal>
          <c:yVal>
            <c:numRef>
              <c:f>'ANÁLISIS DE TENDENCIA TEMPORAL'!$E$7:$E$15</c:f>
              <c:numCache>
                <c:formatCode>_("$"* #,##0.00_);_("$"* \(#,##0.00\);_("$"* "-"??_);_(@_)</c:formatCode>
                <c:ptCount val="9"/>
                <c:pt idx="0">
                  <c:v>300</c:v>
                </c:pt>
                <c:pt idx="1">
                  <c:v>900</c:v>
                </c:pt>
                <c:pt idx="2">
                  <c:v>1700</c:v>
                </c:pt>
                <c:pt idx="3">
                  <c:v>2240</c:v>
                </c:pt>
                <c:pt idx="4">
                  <c:v>2940</c:v>
                </c:pt>
                <c:pt idx="5">
                  <c:v>3440</c:v>
                </c:pt>
                <c:pt idx="6">
                  <c:v>4340</c:v>
                </c:pt>
                <c:pt idx="7">
                  <c:v>4990</c:v>
                </c:pt>
                <c:pt idx="8">
                  <c:v>5440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58-E547-B96C-901621F69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008640"/>
        <c:axId val="794299904"/>
      </c:scatterChart>
      <c:valAx>
        <c:axId val="71400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36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4299904"/>
        <c:crosses val="autoZero"/>
        <c:crossBetween val="midCat"/>
      </c:valAx>
      <c:valAx>
        <c:axId val="7942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400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'ANÁLISIS DE TENDENCIA TEMPORAL'!$F$6</c:f>
              <c:strCache>
                <c:ptCount val="1"/>
                <c:pt idx="0">
                  <c:v>% ACUMULADO 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'ANÁLISIS DE TENDENCIA TEMPORAL'!$C$7:$C$15</c:f>
              <c:numCache>
                <c:formatCode>m/d/yy</c:formatCode>
                <c:ptCount val="9"/>
                <c:pt idx="0">
                  <c:v>46023</c:v>
                </c:pt>
                <c:pt idx="1">
                  <c:v>46035</c:v>
                </c:pt>
                <c:pt idx="2">
                  <c:v>46050</c:v>
                </c:pt>
                <c:pt idx="3">
                  <c:v>46056</c:v>
                </c:pt>
                <c:pt idx="4">
                  <c:v>46071</c:v>
                </c:pt>
                <c:pt idx="5">
                  <c:v>46078</c:v>
                </c:pt>
                <c:pt idx="6">
                  <c:v>46080</c:v>
                </c:pt>
                <c:pt idx="7">
                  <c:v>46082</c:v>
                </c:pt>
                <c:pt idx="8">
                  <c:v>46096</c:v>
                </c:pt>
              </c:numCache>
            </c:numRef>
          </c:cat>
          <c:val>
            <c:numRef>
              <c:f>'ANÁLISIS DE TENDENCIA TEMPORAL'!$F$7:$F$15</c:f>
              <c:numCache>
                <c:formatCode>0%</c:formatCode>
                <c:ptCount val="9"/>
                <c:pt idx="0">
                  <c:v>5.514705882352941E-2</c:v>
                </c:pt>
                <c:pt idx="1">
                  <c:v>0.16544117647058823</c:v>
                </c:pt>
                <c:pt idx="2">
                  <c:v>0.3125</c:v>
                </c:pt>
                <c:pt idx="3">
                  <c:v>0.41176470588235292</c:v>
                </c:pt>
                <c:pt idx="4">
                  <c:v>0.5404411764705882</c:v>
                </c:pt>
                <c:pt idx="5">
                  <c:v>0.63235294117647056</c:v>
                </c:pt>
                <c:pt idx="6">
                  <c:v>0.79779411764705888</c:v>
                </c:pt>
                <c:pt idx="7">
                  <c:v>0.91727941176470584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E-6A42-A862-DA1422825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993344"/>
        <c:axId val="791995584"/>
      </c:areaChart>
      <c:dateAx>
        <c:axId val="79199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1995584"/>
        <c:crosses val="autoZero"/>
        <c:auto val="1"/>
        <c:lblOffset val="100"/>
        <c:baseTimeUnit val="days"/>
      </c:dateAx>
      <c:valAx>
        <c:axId val="79199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9199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C878-3744-ACFF-66D9EE7AD4ED}">
          <cx:tx>
            <cx:txData>
              <cx:f>_xlchart.v1.0</cx:f>
              <cx:v>X</cx:v>
            </cx:txData>
          </cx:tx>
          <cx:dataPt idx="0"/>
          <cx:dataPt idx="1"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65625</xdr:colOff>
      <xdr:row>26</xdr:row>
      <xdr:rowOff>57200</xdr:rowOff>
    </xdr:from>
    <xdr:to>
      <xdr:col>20</xdr:col>
      <xdr:colOff>509430</xdr:colOff>
      <xdr:row>39</xdr:row>
      <xdr:rowOff>177387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4AD1D39-6C99-92F6-A9B5-EA7D571F1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26</xdr:row>
      <xdr:rowOff>136084</xdr:rowOff>
    </xdr:from>
    <xdr:to>
      <xdr:col>26</xdr:col>
      <xdr:colOff>445314</xdr:colOff>
      <xdr:row>40</xdr:row>
      <xdr:rowOff>3085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2526D83-D8C6-AF68-D9B0-56548A647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108477</xdr:colOff>
      <xdr:row>55</xdr:row>
      <xdr:rowOff>19509</xdr:rowOff>
    </xdr:from>
    <xdr:to>
      <xdr:col>10</xdr:col>
      <xdr:colOff>274826</xdr:colOff>
      <xdr:row>68</xdr:row>
      <xdr:rowOff>148448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9FFC15A-237F-7839-9837-B84A3507B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666096</xdr:colOff>
      <xdr:row>54</xdr:row>
      <xdr:rowOff>194427</xdr:rowOff>
    </xdr:from>
    <xdr:to>
      <xdr:col>16</xdr:col>
      <xdr:colOff>273987</xdr:colOff>
      <xdr:row>68</xdr:row>
      <xdr:rowOff>124336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44BE7B3-5A7C-45AB-13E7-A372CF0C8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77645</xdr:colOff>
      <xdr:row>43</xdr:row>
      <xdr:rowOff>165153</xdr:rowOff>
    </xdr:from>
    <xdr:to>
      <xdr:col>4</xdr:col>
      <xdr:colOff>609423</xdr:colOff>
      <xdr:row>57</xdr:row>
      <xdr:rowOff>99860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C5D9525-6D11-E80F-5A0E-6FD9BD2C5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216090</xdr:colOff>
      <xdr:row>71</xdr:row>
      <xdr:rowOff>54781</xdr:rowOff>
    </xdr:from>
    <xdr:to>
      <xdr:col>9</xdr:col>
      <xdr:colOff>96672</xdr:colOff>
      <xdr:row>84</xdr:row>
      <xdr:rowOff>191638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E579890B-3ED5-A447-62F9-5BB5E207F7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56239" y="1424276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29427</xdr:colOff>
      <xdr:row>3</xdr:row>
      <xdr:rowOff>53278</xdr:rowOff>
    </xdr:from>
    <xdr:to>
      <xdr:col>12</xdr:col>
      <xdr:colOff>179658</xdr:colOff>
      <xdr:row>19</xdr:row>
      <xdr:rowOff>30975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FB45246-124B-4DC5-BB73-53598E10A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37171</xdr:colOff>
      <xdr:row>19</xdr:row>
      <xdr:rowOff>76509</xdr:rowOff>
    </xdr:from>
    <xdr:to>
      <xdr:col>12</xdr:col>
      <xdr:colOff>187402</xdr:colOff>
      <xdr:row>33</xdr:row>
      <xdr:rowOff>929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8EC2BA1-207D-EB5F-58BD-5628DF616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0109-6B03-3C4B-A697-C8F35337A5BC}">
  <dimension ref="A1:R77"/>
  <sheetViews>
    <sheetView topLeftCell="A15" zoomScale="134" workbookViewId="0">
      <selection activeCell="D21" sqref="D21"/>
    </sheetView>
  </sheetViews>
  <sheetFormatPr baseColWidth="10" defaultRowHeight="16" x14ac:dyDescent="0.2"/>
  <cols>
    <col min="1" max="1" width="24.1640625" customWidth="1"/>
    <col min="2" max="2" width="19" customWidth="1"/>
    <col min="3" max="3" width="12.83203125" customWidth="1"/>
    <col min="4" max="4" width="18.5" customWidth="1"/>
    <col min="5" max="5" width="14.5" customWidth="1"/>
    <col min="7" max="7" width="13.33203125" customWidth="1"/>
    <col min="8" max="9" width="11.5" customWidth="1"/>
  </cols>
  <sheetData>
    <row r="1" spans="3:14" x14ac:dyDescent="0.2">
      <c r="D1" t="s">
        <v>9</v>
      </c>
    </row>
    <row r="2" spans="3:14" x14ac:dyDescent="0.2">
      <c r="C2" s="1" t="s">
        <v>4</v>
      </c>
      <c r="D2" s="8" t="s">
        <v>8</v>
      </c>
    </row>
    <row r="3" spans="3:14" x14ac:dyDescent="0.2">
      <c r="C3" s="1" t="s">
        <v>3</v>
      </c>
      <c r="D3" t="s">
        <v>7</v>
      </c>
      <c r="G3" s="5" t="s">
        <v>114</v>
      </c>
      <c r="H3" s="6"/>
      <c r="I3" s="6"/>
      <c r="J3" s="6"/>
      <c r="K3" s="6"/>
      <c r="L3" s="6"/>
      <c r="M3" s="6"/>
      <c r="N3" s="7"/>
    </row>
    <row r="4" spans="3:14" x14ac:dyDescent="0.2">
      <c r="C4" s="1" t="s">
        <v>2</v>
      </c>
      <c r="D4" t="s">
        <v>6</v>
      </c>
    </row>
    <row r="6" spans="3:14" x14ac:dyDescent="0.2">
      <c r="C6" s="4" t="s">
        <v>0</v>
      </c>
      <c r="D6" s="3" t="s">
        <v>1</v>
      </c>
      <c r="F6" s="26" t="s">
        <v>10</v>
      </c>
      <c r="G6" s="26"/>
      <c r="H6" s="26"/>
      <c r="I6" s="26"/>
      <c r="J6" s="26"/>
      <c r="K6" s="26"/>
      <c r="L6" s="26"/>
      <c r="M6" s="26"/>
      <c r="N6" s="27"/>
    </row>
    <row r="7" spans="3:14" x14ac:dyDescent="0.2">
      <c r="C7" s="2">
        <v>46023</v>
      </c>
      <c r="D7" s="12">
        <v>300</v>
      </c>
    </row>
    <row r="8" spans="3:14" x14ac:dyDescent="0.2">
      <c r="C8" s="2">
        <v>46035</v>
      </c>
      <c r="D8" s="12">
        <v>600</v>
      </c>
      <c r="J8" t="s">
        <v>11</v>
      </c>
      <c r="M8" t="s">
        <v>15</v>
      </c>
    </row>
    <row r="9" spans="3:14" x14ac:dyDescent="0.2">
      <c r="C9" s="2">
        <v>46050</v>
      </c>
      <c r="D9" s="12">
        <v>800</v>
      </c>
    </row>
    <row r="10" spans="3:14" x14ac:dyDescent="0.2">
      <c r="C10" s="2">
        <v>46056</v>
      </c>
      <c r="D10" s="12">
        <v>540</v>
      </c>
      <c r="G10" t="s">
        <v>14</v>
      </c>
      <c r="H10" s="31">
        <f>COUNT(D7:D15)</f>
        <v>9</v>
      </c>
      <c r="I10" s="10"/>
      <c r="J10" t="s">
        <v>12</v>
      </c>
      <c r="M10" t="s">
        <v>16</v>
      </c>
    </row>
    <row r="11" spans="3:14" x14ac:dyDescent="0.2">
      <c r="C11" s="2">
        <v>46071</v>
      </c>
      <c r="D11" s="12">
        <v>700</v>
      </c>
      <c r="G11" t="s">
        <v>13</v>
      </c>
      <c r="H11" s="13">
        <f>SUM(D7:D15)</f>
        <v>5440</v>
      </c>
      <c r="I11" s="11"/>
      <c r="J11" t="s">
        <v>13</v>
      </c>
      <c r="M11" t="s">
        <v>19</v>
      </c>
    </row>
    <row r="12" spans="3:14" x14ac:dyDescent="0.2">
      <c r="C12" s="2">
        <v>46078</v>
      </c>
      <c r="D12" s="12">
        <v>500</v>
      </c>
      <c r="G12" t="s">
        <v>17</v>
      </c>
      <c r="H12" s="13">
        <f>AVERAGE(D7:D15)</f>
        <v>604.44444444444446</v>
      </c>
      <c r="I12" s="11"/>
      <c r="J12" t="s">
        <v>18</v>
      </c>
      <c r="M12" t="s">
        <v>20</v>
      </c>
    </row>
    <row r="13" spans="3:14" x14ac:dyDescent="0.2">
      <c r="C13" s="2">
        <v>46080</v>
      </c>
      <c r="D13" s="12">
        <v>900</v>
      </c>
      <c r="G13" t="s">
        <v>21</v>
      </c>
      <c r="H13" s="14">
        <f>_xlfn.STDEV.S(D7:D15)</f>
        <v>183.17417333723046</v>
      </c>
      <c r="J13" t="s">
        <v>22</v>
      </c>
      <c r="M13" t="s">
        <v>23</v>
      </c>
    </row>
    <row r="14" spans="3:14" x14ac:dyDescent="0.2">
      <c r="C14" s="2">
        <v>46082</v>
      </c>
      <c r="D14" s="12">
        <v>650</v>
      </c>
    </row>
    <row r="15" spans="3:14" x14ac:dyDescent="0.2">
      <c r="C15" s="2">
        <v>46096</v>
      </c>
      <c r="D15" s="12">
        <v>450</v>
      </c>
    </row>
    <row r="16" spans="3:14" x14ac:dyDescent="0.2">
      <c r="K16" t="s">
        <v>24</v>
      </c>
    </row>
    <row r="17" spans="1:18" x14ac:dyDescent="0.2">
      <c r="A17" s="60" t="s">
        <v>117</v>
      </c>
      <c r="B17" s="23" t="s">
        <v>118</v>
      </c>
      <c r="C17" s="23"/>
      <c r="D17" s="23"/>
      <c r="E17" s="23"/>
      <c r="F17" s="23"/>
      <c r="K17" s="17">
        <v>0.67</v>
      </c>
      <c r="M17">
        <v>1</v>
      </c>
      <c r="N17" s="16">
        <f>$O$17-$H$13*M17</f>
        <v>421.270271107214</v>
      </c>
      <c r="O17" s="15">
        <f>$H$12</f>
        <v>604.44444444444446</v>
      </c>
      <c r="P17" s="16">
        <f>$O$17+$H$13*M17</f>
        <v>787.61861778167486</v>
      </c>
      <c r="R17" s="18" cm="1">
        <f t="array" ref="R17">COUNT(_xlfn._xlws.FILTER($D$7:$D$15,($D$7:$D$15&gt;=$N17)*($D$7:$D$15&lt;=$P17))) / COUNTA($D$7:$D$15)</f>
        <v>0.66666666666666663</v>
      </c>
    </row>
    <row r="18" spans="1:18" x14ac:dyDescent="0.2">
      <c r="C18" s="1"/>
      <c r="D18" s="9"/>
      <c r="K18" s="20">
        <v>0.95</v>
      </c>
      <c r="M18">
        <v>2</v>
      </c>
      <c r="N18" s="19">
        <f t="shared" ref="N18:N19" si="0">$O$17-$H$13*M18</f>
        <v>238.09609776998354</v>
      </c>
      <c r="O18" s="15">
        <f t="shared" ref="O18:O19" si="1">$H$12</f>
        <v>604.44444444444446</v>
      </c>
      <c r="P18" s="19">
        <f t="shared" ref="P18:P19" si="2">$O$17+$H$13*M18</f>
        <v>970.79279111890537</v>
      </c>
      <c r="R18" s="18" cm="1">
        <f t="array" ref="R18">COUNT(_xlfn._xlws.FILTER($D$7:$D$15,($D$7:$D$15&gt;=$N18)*($D$7:$D$15&lt;=$P18))) / COUNTA($D$7:$D$15)</f>
        <v>1</v>
      </c>
    </row>
    <row r="19" spans="1:18" x14ac:dyDescent="0.2">
      <c r="B19" s="1" t="s">
        <v>1</v>
      </c>
      <c r="C19" s="1"/>
      <c r="F19" s="24" t="s">
        <v>44</v>
      </c>
      <c r="G19" s="24"/>
      <c r="H19" s="24"/>
      <c r="I19" s="24"/>
      <c r="K19" s="22">
        <v>0.99</v>
      </c>
      <c r="M19">
        <v>3</v>
      </c>
      <c r="N19" s="21">
        <f t="shared" si="0"/>
        <v>54.921924432753144</v>
      </c>
      <c r="O19" s="15">
        <f t="shared" si="1"/>
        <v>604.44444444444446</v>
      </c>
      <c r="P19" s="21">
        <f t="shared" si="2"/>
        <v>1153.9669644561359</v>
      </c>
      <c r="R19" s="18" cm="1">
        <f t="array" ref="R19">COUNT(_xlfn._xlws.FILTER($D$7:$D$15,($D$7:$D$15&gt;=$N19)*($D$7:$D$15&lt;=$P19))) / COUNTA($D$7:$D$15)</f>
        <v>1</v>
      </c>
    </row>
    <row r="20" spans="1:18" x14ac:dyDescent="0.2">
      <c r="A20" s="46">
        <v>1</v>
      </c>
      <c r="B20" s="29">
        <v>300</v>
      </c>
      <c r="C20" s="1"/>
      <c r="F20" s="25"/>
      <c r="G20" s="25" t="s">
        <v>45</v>
      </c>
      <c r="H20" s="25"/>
      <c r="I20" s="25"/>
    </row>
    <row r="21" spans="1:18" x14ac:dyDescent="0.2">
      <c r="A21">
        <v>2</v>
      </c>
      <c r="B21" s="29">
        <v>600</v>
      </c>
      <c r="C21" s="1"/>
    </row>
    <row r="22" spans="1:18" x14ac:dyDescent="0.2">
      <c r="A22" s="42">
        <v>3</v>
      </c>
      <c r="B22" s="29">
        <v>800</v>
      </c>
      <c r="C22" s="1"/>
      <c r="G22" t="s">
        <v>50</v>
      </c>
      <c r="H22" s="12">
        <f>MIN(D7:D15)</f>
        <v>300</v>
      </c>
      <c r="J22" t="s">
        <v>50</v>
      </c>
      <c r="M22" t="s">
        <v>61</v>
      </c>
    </row>
    <row r="23" spans="1:18" x14ac:dyDescent="0.2">
      <c r="A23" s="52">
        <v>4</v>
      </c>
      <c r="B23" s="29">
        <v>540</v>
      </c>
      <c r="C23" s="28"/>
      <c r="D23" s="12"/>
    </row>
    <row r="24" spans="1:18" x14ac:dyDescent="0.2">
      <c r="A24" s="44">
        <v>5</v>
      </c>
      <c r="B24" s="29">
        <v>700</v>
      </c>
      <c r="C24" s="1"/>
      <c r="G24" t="s">
        <v>25</v>
      </c>
      <c r="H24" s="12">
        <f>_xlfn.PERCENTILE.INC(D7:D15,0.25)</f>
        <v>500</v>
      </c>
      <c r="J24" t="s">
        <v>46</v>
      </c>
      <c r="M24" t="s">
        <v>63</v>
      </c>
    </row>
    <row r="25" spans="1:18" x14ac:dyDescent="0.2">
      <c r="A25" s="49">
        <v>6</v>
      </c>
      <c r="B25" s="29">
        <v>500</v>
      </c>
      <c r="C25" s="1"/>
      <c r="F25" t="s">
        <v>28</v>
      </c>
      <c r="G25" t="s">
        <v>26</v>
      </c>
      <c r="H25" s="12">
        <f>_xlfn.PERCENTILE.INC(D7:D15,0.5)</f>
        <v>600</v>
      </c>
      <c r="J25" t="s">
        <v>47</v>
      </c>
      <c r="M25" t="s">
        <v>64</v>
      </c>
    </row>
    <row r="26" spans="1:18" x14ac:dyDescent="0.2">
      <c r="A26" s="39">
        <v>7</v>
      </c>
      <c r="B26" s="29">
        <v>900</v>
      </c>
      <c r="C26" s="1"/>
      <c r="G26" t="s">
        <v>27</v>
      </c>
      <c r="H26" s="12">
        <f>_xlfn.PERCENTILE.INC(D7:D15,0.75)</f>
        <v>700</v>
      </c>
      <c r="J26" t="s">
        <v>48</v>
      </c>
      <c r="M26" t="s">
        <v>65</v>
      </c>
    </row>
    <row r="27" spans="1:18" x14ac:dyDescent="0.2">
      <c r="A27" s="53">
        <v>8</v>
      </c>
      <c r="B27" s="29">
        <v>650</v>
      </c>
      <c r="C27" s="1"/>
    </row>
    <row r="28" spans="1:18" x14ac:dyDescent="0.2">
      <c r="A28" s="48">
        <v>9</v>
      </c>
      <c r="B28" s="29">
        <v>450</v>
      </c>
      <c r="C28" s="1"/>
      <c r="G28" t="s">
        <v>29</v>
      </c>
      <c r="H28" s="12">
        <f>_xlfn.PERCENTILE.INC(D7:D15,0.2)</f>
        <v>480</v>
      </c>
      <c r="J28" t="s">
        <v>51</v>
      </c>
      <c r="M28" t="s">
        <v>66</v>
      </c>
    </row>
    <row r="29" spans="1:18" x14ac:dyDescent="0.2">
      <c r="D29" t="s">
        <v>92</v>
      </c>
      <c r="G29" t="s">
        <v>30</v>
      </c>
      <c r="H29" s="12">
        <f>_xlfn.PERCENTILE.INC(D7:D15,0.4)</f>
        <v>552</v>
      </c>
      <c r="J29" t="s">
        <v>52</v>
      </c>
      <c r="M29" t="s">
        <v>67</v>
      </c>
    </row>
    <row r="30" spans="1:18" ht="17" thickBot="1" x14ac:dyDescent="0.25">
      <c r="G30" t="s">
        <v>31</v>
      </c>
      <c r="H30" s="12">
        <f>_xlfn.PERCENTILE.INC(D7:D15,0.6)</f>
        <v>640</v>
      </c>
      <c r="J30" t="s">
        <v>53</v>
      </c>
      <c r="M30" t="s">
        <v>68</v>
      </c>
    </row>
    <row r="31" spans="1:18" x14ac:dyDescent="0.2">
      <c r="A31" s="38" t="s">
        <v>89</v>
      </c>
      <c r="B31" s="38" t="s">
        <v>1</v>
      </c>
      <c r="C31" s="38" t="s">
        <v>90</v>
      </c>
      <c r="D31" s="38" t="s">
        <v>91</v>
      </c>
      <c r="G31" t="s">
        <v>32</v>
      </c>
      <c r="H31" s="12">
        <f>_xlfn.PERCENTILE.INC(D7:D15,0.8)</f>
        <v>740</v>
      </c>
      <c r="J31" t="s">
        <v>57</v>
      </c>
      <c r="M31" t="s">
        <v>69</v>
      </c>
    </row>
    <row r="32" spans="1:18" x14ac:dyDescent="0.2">
      <c r="A32" s="40">
        <v>7</v>
      </c>
      <c r="B32" s="33">
        <v>900</v>
      </c>
      <c r="C32" s="32">
        <v>1</v>
      </c>
      <c r="D32" s="34">
        <v>1</v>
      </c>
    </row>
    <row r="33" spans="1:13" x14ac:dyDescent="0.2">
      <c r="A33" s="41">
        <v>3</v>
      </c>
      <c r="B33" s="33">
        <v>800</v>
      </c>
      <c r="C33" s="32">
        <v>2</v>
      </c>
      <c r="D33" s="34">
        <v>0.875</v>
      </c>
      <c r="G33" t="s">
        <v>34</v>
      </c>
      <c r="H33" s="12">
        <f>_xlfn.PERCENTILE.INC(D7:D15,0.1)</f>
        <v>420</v>
      </c>
      <c r="J33" t="s">
        <v>58</v>
      </c>
      <c r="M33" t="s">
        <v>78</v>
      </c>
    </row>
    <row r="34" spans="1:13" x14ac:dyDescent="0.2">
      <c r="A34" s="43">
        <v>5</v>
      </c>
      <c r="B34" s="33">
        <v>700</v>
      </c>
      <c r="C34" s="32">
        <v>3</v>
      </c>
      <c r="D34" s="34">
        <v>0.75</v>
      </c>
      <c r="F34" t="s">
        <v>29</v>
      </c>
      <c r="G34" t="s">
        <v>35</v>
      </c>
      <c r="H34" s="12">
        <f>_xlfn.PERCENTILE.INC(D7:D15,0.2)</f>
        <v>480</v>
      </c>
      <c r="J34" t="s">
        <v>51</v>
      </c>
      <c r="M34" t="s">
        <v>70</v>
      </c>
    </row>
    <row r="35" spans="1:13" x14ac:dyDescent="0.2">
      <c r="A35" s="54">
        <v>8</v>
      </c>
      <c r="B35" s="33">
        <v>650</v>
      </c>
      <c r="C35" s="32">
        <v>4</v>
      </c>
      <c r="D35" s="34">
        <v>0.625</v>
      </c>
      <c r="G35" t="s">
        <v>36</v>
      </c>
      <c r="H35" s="12">
        <f>_xlfn.PERCENTILE.INC(D7:D15,0.3)</f>
        <v>516</v>
      </c>
      <c r="J35" t="s">
        <v>59</v>
      </c>
      <c r="M35" t="s">
        <v>71</v>
      </c>
    </row>
    <row r="36" spans="1:13" x14ac:dyDescent="0.2">
      <c r="A36" s="32">
        <v>2</v>
      </c>
      <c r="B36" s="33">
        <v>600</v>
      </c>
      <c r="C36" s="32">
        <v>5</v>
      </c>
      <c r="D36" s="34">
        <v>0.5</v>
      </c>
      <c r="F36" t="s">
        <v>30</v>
      </c>
      <c r="G36" t="s">
        <v>37</v>
      </c>
      <c r="H36" s="12">
        <f>_xlfn.PERCENTILE.INC(D7:D15,0.4)</f>
        <v>552</v>
      </c>
      <c r="J36" t="s">
        <v>52</v>
      </c>
      <c r="M36" t="s">
        <v>72</v>
      </c>
    </row>
    <row r="37" spans="1:13" x14ac:dyDescent="0.2">
      <c r="A37" s="51">
        <v>4</v>
      </c>
      <c r="B37" s="33">
        <v>540</v>
      </c>
      <c r="C37" s="32">
        <v>6</v>
      </c>
      <c r="D37" s="34">
        <v>0.375</v>
      </c>
      <c r="F37" t="s">
        <v>28</v>
      </c>
      <c r="G37" t="s">
        <v>38</v>
      </c>
      <c r="H37" s="12">
        <f>_xlfn.PERCENTILE.INC(D7:D15,0.5)</f>
        <v>600</v>
      </c>
      <c r="J37" t="s">
        <v>47</v>
      </c>
      <c r="M37" t="s">
        <v>73</v>
      </c>
    </row>
    <row r="38" spans="1:13" x14ac:dyDescent="0.2">
      <c r="A38" s="50">
        <v>6</v>
      </c>
      <c r="B38" s="33">
        <v>500</v>
      </c>
      <c r="C38" s="32">
        <v>7</v>
      </c>
      <c r="D38" s="34">
        <v>0.25</v>
      </c>
      <c r="F38" t="s">
        <v>31</v>
      </c>
      <c r="G38" t="s">
        <v>39</v>
      </c>
      <c r="H38" s="12">
        <f>_xlfn.PERCENTILE.INC(D7:D15,0.6)</f>
        <v>640</v>
      </c>
      <c r="J38" t="s">
        <v>53</v>
      </c>
      <c r="M38" t="s">
        <v>74</v>
      </c>
    </row>
    <row r="39" spans="1:13" x14ac:dyDescent="0.2">
      <c r="A39" s="47">
        <v>9</v>
      </c>
      <c r="B39" s="33">
        <v>450</v>
      </c>
      <c r="C39" s="32">
        <v>8</v>
      </c>
      <c r="D39" s="34">
        <v>0.125</v>
      </c>
      <c r="G39" t="s">
        <v>40</v>
      </c>
      <c r="H39" s="12">
        <f>_xlfn.PERCENTILE.INC(D7:D15,0.7)</f>
        <v>680</v>
      </c>
      <c r="J39" t="s">
        <v>54</v>
      </c>
      <c r="M39" t="s">
        <v>75</v>
      </c>
    </row>
    <row r="40" spans="1:13" ht="17" thickBot="1" x14ac:dyDescent="0.25">
      <c r="A40" s="45">
        <v>1</v>
      </c>
      <c r="B40" s="36">
        <v>300</v>
      </c>
      <c r="C40" s="35">
        <v>9</v>
      </c>
      <c r="D40" s="37">
        <v>0</v>
      </c>
      <c r="F40" t="s">
        <v>32</v>
      </c>
      <c r="G40" t="s">
        <v>41</v>
      </c>
      <c r="H40" s="12">
        <f>_xlfn.PERCENTILE.INC(D7:D15,0.8)</f>
        <v>740</v>
      </c>
      <c r="J40" t="s">
        <v>57</v>
      </c>
      <c r="M40" t="s">
        <v>76</v>
      </c>
    </row>
    <row r="41" spans="1:13" x14ac:dyDescent="0.2">
      <c r="G41" t="s">
        <v>42</v>
      </c>
      <c r="H41" s="12">
        <f>_xlfn.PERCENTILE.INC(D7:D15,0.9)</f>
        <v>819.99999999999989</v>
      </c>
      <c r="J41" t="s">
        <v>60</v>
      </c>
      <c r="M41" t="s">
        <v>77</v>
      </c>
    </row>
    <row r="43" spans="1:13" x14ac:dyDescent="0.2">
      <c r="D43" t="s">
        <v>43</v>
      </c>
      <c r="E43" t="s">
        <v>33</v>
      </c>
      <c r="F43" t="s">
        <v>56</v>
      </c>
      <c r="G43" t="s">
        <v>49</v>
      </c>
      <c r="H43" s="12">
        <f>MAX(D7:D15)</f>
        <v>900</v>
      </c>
      <c r="J43" t="s">
        <v>49</v>
      </c>
      <c r="K43" t="s">
        <v>55</v>
      </c>
      <c r="M43" t="s">
        <v>62</v>
      </c>
    </row>
    <row r="44" spans="1:13" x14ac:dyDescent="0.2">
      <c r="M44" t="s">
        <v>79</v>
      </c>
    </row>
    <row r="46" spans="1:13" x14ac:dyDescent="0.2">
      <c r="F46" s="24" t="s">
        <v>80</v>
      </c>
      <c r="G46" s="24"/>
      <c r="H46" s="24"/>
      <c r="I46" s="24"/>
    </row>
    <row r="47" spans="1:13" x14ac:dyDescent="0.2">
      <c r="F47" s="24"/>
      <c r="G47" s="24" t="s">
        <v>81</v>
      </c>
      <c r="H47" s="24"/>
      <c r="I47" s="24"/>
    </row>
    <row r="49" spans="1:11" x14ac:dyDescent="0.2">
      <c r="F49" s="1" t="s">
        <v>82</v>
      </c>
      <c r="G49" s="1" t="s">
        <v>83</v>
      </c>
      <c r="H49" s="1" t="s">
        <v>84</v>
      </c>
      <c r="J49" s="1" t="s">
        <v>85</v>
      </c>
    </row>
    <row r="50" spans="1:11" x14ac:dyDescent="0.2">
      <c r="F50" s="1">
        <v>1</v>
      </c>
      <c r="G50" s="29">
        <f>LARGE($D$7:$D$15,F50)</f>
        <v>900</v>
      </c>
      <c r="H50" s="29">
        <f>SMALL($D$7:$D$15,F50)</f>
        <v>300</v>
      </c>
    </row>
    <row r="51" spans="1:11" x14ac:dyDescent="0.2">
      <c r="F51" s="1">
        <v>2</v>
      </c>
      <c r="G51" s="29">
        <f t="shared" ref="G51:G54" si="3">LARGE($D$7:$D$15,F51)</f>
        <v>800</v>
      </c>
      <c r="H51" s="29">
        <f t="shared" ref="H51:H54" si="4">SMALL($D$7:$D$15,F51)</f>
        <v>450</v>
      </c>
      <c r="J51" t="s">
        <v>86</v>
      </c>
    </row>
    <row r="52" spans="1:11" x14ac:dyDescent="0.2">
      <c r="F52" s="1">
        <v>3</v>
      </c>
      <c r="G52" s="29">
        <f t="shared" si="3"/>
        <v>700</v>
      </c>
      <c r="H52" s="29">
        <f t="shared" si="4"/>
        <v>500</v>
      </c>
    </row>
    <row r="53" spans="1:11" x14ac:dyDescent="0.2">
      <c r="F53" s="1">
        <v>4</v>
      </c>
      <c r="G53" s="29">
        <f t="shared" si="3"/>
        <v>650</v>
      </c>
      <c r="H53" s="29">
        <f t="shared" si="4"/>
        <v>540</v>
      </c>
      <c r="J53" t="s">
        <v>87</v>
      </c>
    </row>
    <row r="54" spans="1:11" x14ac:dyDescent="0.2">
      <c r="F54" s="1">
        <v>5</v>
      </c>
      <c r="G54" s="29">
        <f t="shared" si="3"/>
        <v>600</v>
      </c>
      <c r="H54" s="29">
        <f t="shared" si="4"/>
        <v>600</v>
      </c>
      <c r="K54" t="s">
        <v>88</v>
      </c>
    </row>
    <row r="59" spans="1:11" ht="17" thickBot="1" x14ac:dyDescent="0.25"/>
    <row r="60" spans="1:11" x14ac:dyDescent="0.2">
      <c r="A60" s="55" t="s">
        <v>1</v>
      </c>
      <c r="B60" s="55"/>
    </row>
    <row r="61" spans="1:11" x14ac:dyDescent="0.2">
      <c r="A61" s="32"/>
      <c r="B61" s="32"/>
    </row>
    <row r="62" spans="1:11" x14ac:dyDescent="0.2">
      <c r="A62" s="32" t="s">
        <v>93</v>
      </c>
      <c r="B62" s="56">
        <v>604.44444444444446</v>
      </c>
    </row>
    <row r="63" spans="1:11" x14ac:dyDescent="0.2">
      <c r="A63" s="32" t="s">
        <v>94</v>
      </c>
      <c r="B63" s="56">
        <v>61.058057779076819</v>
      </c>
    </row>
    <row r="64" spans="1:11" x14ac:dyDescent="0.2">
      <c r="A64" s="32" t="s">
        <v>95</v>
      </c>
      <c r="B64" s="56">
        <v>600</v>
      </c>
    </row>
    <row r="65" spans="1:3" x14ac:dyDescent="0.2">
      <c r="A65" s="32" t="s">
        <v>96</v>
      </c>
      <c r="B65" s="56" t="e">
        <v>#N/A</v>
      </c>
    </row>
    <row r="66" spans="1:3" x14ac:dyDescent="0.2">
      <c r="A66" s="32" t="s">
        <v>97</v>
      </c>
      <c r="B66" s="56">
        <v>183.17417333723046</v>
      </c>
    </row>
    <row r="67" spans="1:3" x14ac:dyDescent="0.2">
      <c r="A67" s="32" t="s">
        <v>98</v>
      </c>
      <c r="B67" s="56">
        <v>33552.777777777752</v>
      </c>
      <c r="C67" s="58" t="s">
        <v>109</v>
      </c>
    </row>
    <row r="68" spans="1:3" x14ac:dyDescent="0.2">
      <c r="A68" s="32" t="s">
        <v>99</v>
      </c>
      <c r="B68" s="57">
        <v>-0.17530200924055883</v>
      </c>
      <c r="C68" t="s">
        <v>111</v>
      </c>
    </row>
    <row r="69" spans="1:3" x14ac:dyDescent="0.2">
      <c r="A69" s="32" t="s">
        <v>100</v>
      </c>
      <c r="B69" s="57">
        <v>2.4952986154485358E-2</v>
      </c>
      <c r="C69" t="s">
        <v>110</v>
      </c>
    </row>
    <row r="70" spans="1:3" x14ac:dyDescent="0.2">
      <c r="A70" s="32" t="s">
        <v>101</v>
      </c>
      <c r="B70" s="56">
        <v>600</v>
      </c>
    </row>
    <row r="71" spans="1:3" x14ac:dyDescent="0.2">
      <c r="A71" s="32" t="s">
        <v>102</v>
      </c>
      <c r="B71" s="56">
        <v>300</v>
      </c>
    </row>
    <row r="72" spans="1:3" x14ac:dyDescent="0.2">
      <c r="A72" s="32" t="s">
        <v>103</v>
      </c>
      <c r="B72" s="56">
        <v>900</v>
      </c>
    </row>
    <row r="73" spans="1:3" x14ac:dyDescent="0.2">
      <c r="A73" s="32" t="s">
        <v>104</v>
      </c>
      <c r="B73" s="56">
        <v>5440</v>
      </c>
    </row>
    <row r="74" spans="1:3" x14ac:dyDescent="0.2">
      <c r="A74" s="32" t="s">
        <v>105</v>
      </c>
      <c r="B74" s="32">
        <v>9</v>
      </c>
    </row>
    <row r="75" spans="1:3" x14ac:dyDescent="0.2">
      <c r="A75" s="32" t="s">
        <v>106</v>
      </c>
      <c r="B75" s="56">
        <v>600</v>
      </c>
      <c r="C75" t="s">
        <v>112</v>
      </c>
    </row>
    <row r="76" spans="1:3" x14ac:dyDescent="0.2">
      <c r="A76" s="32" t="s">
        <v>107</v>
      </c>
      <c r="B76" s="56">
        <v>600</v>
      </c>
      <c r="C76" t="s">
        <v>113</v>
      </c>
    </row>
    <row r="77" spans="1:3" ht="17" thickBot="1" x14ac:dyDescent="0.25">
      <c r="A77" s="35" t="s">
        <v>108</v>
      </c>
      <c r="B77" s="59">
        <v>140.80013372608605</v>
      </c>
    </row>
  </sheetData>
  <sortState xmlns:xlrd2="http://schemas.microsoft.com/office/spreadsheetml/2017/richdata2" ref="A32:D40">
    <sortCondition ref="C33"/>
  </sortState>
  <mergeCells count="3">
    <mergeCell ref="G3:N3"/>
    <mergeCell ref="F6:N6"/>
    <mergeCell ref="B17:F17"/>
  </mergeCells>
  <phoneticPr fontId="8" type="noConversion"/>
  <conditionalFormatting sqref="B32:B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0:B2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8B85-3B90-E049-B8F3-24B4AF3EEEA9}">
  <dimension ref="A1:O29"/>
  <sheetViews>
    <sheetView zoomScale="164" workbookViewId="0">
      <selection activeCell="B1" sqref="B1"/>
    </sheetView>
  </sheetViews>
  <sheetFormatPr baseColWidth="10" defaultRowHeight="16" x14ac:dyDescent="0.2"/>
  <cols>
    <col min="3" max="3" width="12.83203125" customWidth="1"/>
    <col min="4" max="4" width="13.6640625" customWidth="1"/>
    <col min="5" max="6" width="16.1640625" customWidth="1"/>
    <col min="8" max="8" width="13.33203125" customWidth="1"/>
    <col min="9" max="10" width="11.5" customWidth="1"/>
  </cols>
  <sheetData>
    <row r="1" spans="2:15" x14ac:dyDescent="0.2">
      <c r="D1" t="s">
        <v>9</v>
      </c>
    </row>
    <row r="2" spans="2:15" x14ac:dyDescent="0.2">
      <c r="C2" s="1" t="s">
        <v>4</v>
      </c>
      <c r="D2" s="8" t="s">
        <v>8</v>
      </c>
    </row>
    <row r="3" spans="2:15" x14ac:dyDescent="0.2">
      <c r="C3" s="1" t="s">
        <v>3</v>
      </c>
      <c r="D3" t="s">
        <v>7</v>
      </c>
      <c r="H3" s="5" t="s">
        <v>5</v>
      </c>
      <c r="I3" s="6"/>
      <c r="J3" s="6"/>
      <c r="K3" s="6"/>
      <c r="L3" s="6"/>
      <c r="M3" s="6"/>
      <c r="N3" s="6"/>
      <c r="O3" s="7"/>
    </row>
    <row r="4" spans="2:15" x14ac:dyDescent="0.2">
      <c r="C4" s="1" t="s">
        <v>2</v>
      </c>
      <c r="D4" t="s">
        <v>6</v>
      </c>
    </row>
    <row r="6" spans="2:15" x14ac:dyDescent="0.2">
      <c r="B6" s="1" t="s">
        <v>119</v>
      </c>
      <c r="C6" s="4" t="s">
        <v>0</v>
      </c>
      <c r="D6" s="3" t="s">
        <v>1</v>
      </c>
      <c r="E6" s="1" t="s">
        <v>115</v>
      </c>
      <c r="F6" s="1" t="s">
        <v>116</v>
      </c>
      <c r="H6" s="30"/>
      <c r="I6" s="30"/>
      <c r="J6" s="30"/>
      <c r="K6" s="30"/>
      <c r="L6" s="30"/>
      <c r="M6" s="30"/>
      <c r="N6" s="30"/>
      <c r="O6" s="30"/>
    </row>
    <row r="7" spans="2:15" x14ac:dyDescent="0.2">
      <c r="B7">
        <v>1</v>
      </c>
      <c r="C7" s="2">
        <v>46023</v>
      </c>
      <c r="D7" s="12">
        <v>300</v>
      </c>
      <c r="E7" s="15" cm="1">
        <f t="array" ref="E7">SUM(INDEX($D$7:$D$15,_xlfn.SEQUENCE(B7),1))</f>
        <v>300</v>
      </c>
      <c r="F7" s="18">
        <f>E7/$E$16</f>
        <v>5.514705882352941E-2</v>
      </c>
    </row>
    <row r="8" spans="2:15" x14ac:dyDescent="0.2">
      <c r="B8">
        <v>2</v>
      </c>
      <c r="C8" s="2">
        <v>46035</v>
      </c>
      <c r="D8" s="12">
        <v>600</v>
      </c>
      <c r="E8" s="15" cm="1">
        <f t="array" ref="E8">SUM(INDEX($D$7:$D$15,_xlfn.SEQUENCE(B8),1))</f>
        <v>900</v>
      </c>
      <c r="F8" s="18">
        <f t="shared" ref="F8:F15" si="0">E8/$E$16</f>
        <v>0.16544117647058823</v>
      </c>
    </row>
    <row r="9" spans="2:15" x14ac:dyDescent="0.2">
      <c r="B9">
        <v>3</v>
      </c>
      <c r="C9" s="2">
        <v>46050</v>
      </c>
      <c r="D9" s="12">
        <v>800</v>
      </c>
      <c r="E9" s="15" cm="1">
        <f t="array" ref="E9">SUM(INDEX($D$7:$D$15,_xlfn.SEQUENCE(B9),1))</f>
        <v>1700</v>
      </c>
      <c r="F9" s="18">
        <f t="shared" si="0"/>
        <v>0.3125</v>
      </c>
    </row>
    <row r="10" spans="2:15" x14ac:dyDescent="0.2">
      <c r="B10">
        <v>4</v>
      </c>
      <c r="C10" s="2">
        <v>46056</v>
      </c>
      <c r="D10" s="12">
        <v>540</v>
      </c>
      <c r="E10" s="15" cm="1">
        <f t="array" ref="E10">SUM(INDEX($D$7:$D$15,_xlfn.SEQUENCE(B10),1))</f>
        <v>2240</v>
      </c>
      <c r="F10" s="18">
        <f t="shared" si="0"/>
        <v>0.41176470588235292</v>
      </c>
    </row>
    <row r="11" spans="2:15" x14ac:dyDescent="0.2">
      <c r="B11">
        <v>5</v>
      </c>
      <c r="C11" s="2">
        <v>46071</v>
      </c>
      <c r="D11" s="12">
        <v>700</v>
      </c>
      <c r="E11" s="15" cm="1">
        <f t="array" ref="E11">SUM(INDEX($D$7:$D$15,_xlfn.SEQUENCE(B11),1))</f>
        <v>2940</v>
      </c>
      <c r="F11" s="18">
        <f t="shared" si="0"/>
        <v>0.5404411764705882</v>
      </c>
    </row>
    <row r="12" spans="2:15" x14ac:dyDescent="0.2">
      <c r="B12">
        <v>6</v>
      </c>
      <c r="C12" s="2">
        <v>46078</v>
      </c>
      <c r="D12" s="12">
        <v>500</v>
      </c>
      <c r="E12" s="15" cm="1">
        <f t="array" ref="E12">SUM(INDEX($D$7:$D$15,_xlfn.SEQUENCE(B12),1))</f>
        <v>3440</v>
      </c>
      <c r="F12" s="18">
        <f t="shared" si="0"/>
        <v>0.63235294117647056</v>
      </c>
    </row>
    <row r="13" spans="2:15" x14ac:dyDescent="0.2">
      <c r="B13">
        <v>7</v>
      </c>
      <c r="C13" s="2">
        <v>46080</v>
      </c>
      <c r="D13" s="12">
        <v>900</v>
      </c>
      <c r="E13" s="15" cm="1">
        <f t="array" ref="E13">SUM(INDEX($D$7:$D$15,_xlfn.SEQUENCE(B13),1))</f>
        <v>4340</v>
      </c>
      <c r="F13" s="18">
        <f t="shared" si="0"/>
        <v>0.79779411764705888</v>
      </c>
    </row>
    <row r="14" spans="2:15" x14ac:dyDescent="0.2">
      <c r="B14">
        <v>8</v>
      </c>
      <c r="C14" s="2">
        <v>46082</v>
      </c>
      <c r="D14" s="12">
        <v>650</v>
      </c>
      <c r="E14" s="15" cm="1">
        <f t="array" ref="E14">SUM(INDEX($D$7:$D$15,_xlfn.SEQUENCE(B14),1))</f>
        <v>4990</v>
      </c>
      <c r="F14" s="18">
        <f t="shared" si="0"/>
        <v>0.91727941176470584</v>
      </c>
    </row>
    <row r="15" spans="2:15" x14ac:dyDescent="0.2">
      <c r="B15">
        <v>9</v>
      </c>
      <c r="C15" s="2">
        <v>46096</v>
      </c>
      <c r="D15" s="12">
        <v>450</v>
      </c>
      <c r="E15" s="15" cm="1">
        <f t="array" ref="E15">SUM(INDEX($D$7:$D$15,_xlfn.SEQUENCE(B15),1))</f>
        <v>5440</v>
      </c>
      <c r="F15" s="18">
        <f t="shared" si="0"/>
        <v>1</v>
      </c>
    </row>
    <row r="16" spans="2:15" x14ac:dyDescent="0.2">
      <c r="E16" s="15">
        <f>SUM(D7:D15)</f>
        <v>5440</v>
      </c>
    </row>
    <row r="18" spans="1:10" x14ac:dyDescent="0.2">
      <c r="D18" s="9"/>
    </row>
    <row r="19" spans="1:10" x14ac:dyDescent="0.2">
      <c r="D19" cm="1">
        <f t="array" ref="D19">INDEX(B7:D15,{1.3},3)</f>
        <v>300</v>
      </c>
      <c r="H19" cm="1">
        <f t="array" ref="H19:J27">B7:D15</f>
        <v>1</v>
      </c>
      <c r="I19">
        <v>46023</v>
      </c>
      <c r="J19">
        <v>300</v>
      </c>
    </row>
    <row r="20" spans="1:10" x14ac:dyDescent="0.2">
      <c r="H20">
        <v>2</v>
      </c>
      <c r="I20">
        <v>46035</v>
      </c>
      <c r="J20">
        <v>600</v>
      </c>
    </row>
    <row r="21" spans="1:10" x14ac:dyDescent="0.2">
      <c r="H21">
        <v>3</v>
      </c>
      <c r="I21">
        <v>46050</v>
      </c>
      <c r="J21">
        <v>800</v>
      </c>
    </row>
    <row r="22" spans="1:10" x14ac:dyDescent="0.2">
      <c r="H22">
        <v>4</v>
      </c>
      <c r="I22">
        <v>46056</v>
      </c>
      <c r="J22">
        <v>540</v>
      </c>
    </row>
    <row r="23" spans="1:10" x14ac:dyDescent="0.2">
      <c r="A23" t="s">
        <v>120</v>
      </c>
      <c r="B23" t="s">
        <v>121</v>
      </c>
      <c r="C23" s="28"/>
      <c r="D23" t="s">
        <v>120</v>
      </c>
      <c r="E23" t="s">
        <v>122</v>
      </c>
      <c r="H23">
        <v>5</v>
      </c>
      <c r="I23">
        <v>46071</v>
      </c>
      <c r="J23">
        <v>700</v>
      </c>
    </row>
    <row r="24" spans="1:10" x14ac:dyDescent="0.2">
      <c r="H24">
        <v>6</v>
      </c>
      <c r="I24">
        <v>46078</v>
      </c>
      <c r="J24">
        <v>500</v>
      </c>
    </row>
    <row r="25" spans="1:10" x14ac:dyDescent="0.2">
      <c r="B25" s="61" cm="1">
        <f t="array" ref="B25:B29">_xlfn.SEQUENCE(5)</f>
        <v>1</v>
      </c>
      <c r="E25" cm="1">
        <f t="array" ref="E25:E29">INDEX(D7:D15, _xlfn.SEQUENCE(5), 1)</f>
        <v>300</v>
      </c>
      <c r="H25">
        <v>7</v>
      </c>
      <c r="I25">
        <v>46080</v>
      </c>
      <c r="J25">
        <v>900</v>
      </c>
    </row>
    <row r="26" spans="1:10" x14ac:dyDescent="0.2">
      <c r="B26">
        <v>2</v>
      </c>
      <c r="E26">
        <v>600</v>
      </c>
      <c r="H26">
        <v>8</v>
      </c>
      <c r="I26">
        <v>46082</v>
      </c>
      <c r="J26">
        <v>650</v>
      </c>
    </row>
    <row r="27" spans="1:10" x14ac:dyDescent="0.2">
      <c r="B27">
        <v>3</v>
      </c>
      <c r="E27">
        <v>800</v>
      </c>
      <c r="H27">
        <v>9</v>
      </c>
      <c r="I27">
        <v>46096</v>
      </c>
      <c r="J27">
        <v>450</v>
      </c>
    </row>
    <row r="28" spans="1:10" x14ac:dyDescent="0.2">
      <c r="B28">
        <v>4</v>
      </c>
      <c r="E28">
        <v>540</v>
      </c>
    </row>
    <row r="29" spans="1:10" x14ac:dyDescent="0.2">
      <c r="B29">
        <v>5</v>
      </c>
      <c r="E29">
        <v>700</v>
      </c>
    </row>
  </sheetData>
  <mergeCells count="1">
    <mergeCell ref="H3:O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BAE8-D56B-544A-A7AD-5B2CFD8F4C82}">
  <dimension ref="C4:D13"/>
  <sheetViews>
    <sheetView tabSelected="1" topLeftCell="B1" zoomScale="177" workbookViewId="0">
      <selection activeCell="F5" sqref="F5"/>
    </sheetView>
  </sheetViews>
  <sheetFormatPr baseColWidth="10" defaultRowHeight="16" x14ac:dyDescent="0.2"/>
  <sheetData>
    <row r="4" spans="3:4" x14ac:dyDescent="0.2">
      <c r="C4" s="1" t="s">
        <v>0</v>
      </c>
      <c r="D4" s="1" t="s">
        <v>1</v>
      </c>
    </row>
    <row r="5" spans="3:4" x14ac:dyDescent="0.2">
      <c r="C5" s="62">
        <v>46023</v>
      </c>
      <c r="D5" s="29">
        <v>300</v>
      </c>
    </row>
    <row r="6" spans="3:4" x14ac:dyDescent="0.2">
      <c r="C6" s="62">
        <v>46035</v>
      </c>
      <c r="D6" s="29">
        <v>600</v>
      </c>
    </row>
    <row r="7" spans="3:4" x14ac:dyDescent="0.2">
      <c r="C7" s="62">
        <v>46050</v>
      </c>
      <c r="D7" s="29">
        <v>800</v>
      </c>
    </row>
    <row r="8" spans="3:4" x14ac:dyDescent="0.2">
      <c r="C8" s="62">
        <v>46056</v>
      </c>
      <c r="D8" s="29">
        <v>540</v>
      </c>
    </row>
    <row r="9" spans="3:4" x14ac:dyDescent="0.2">
      <c r="C9" s="62">
        <v>46071</v>
      </c>
      <c r="D9" s="29">
        <v>700</v>
      </c>
    </row>
    <row r="10" spans="3:4" x14ac:dyDescent="0.2">
      <c r="C10" s="62">
        <v>46078</v>
      </c>
      <c r="D10" s="29">
        <v>500</v>
      </c>
    </row>
    <row r="11" spans="3:4" x14ac:dyDescent="0.2">
      <c r="C11" s="62">
        <v>46080</v>
      </c>
      <c r="D11" s="29">
        <v>900</v>
      </c>
    </row>
    <row r="12" spans="3:4" x14ac:dyDescent="0.2">
      <c r="C12" s="62">
        <v>46082</v>
      </c>
      <c r="D12" s="29">
        <v>650</v>
      </c>
    </row>
    <row r="13" spans="3:4" x14ac:dyDescent="0.2">
      <c r="C13" s="62">
        <v>46096</v>
      </c>
      <c r="D13" s="29">
        <v>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6423C3-49D8-0849-949A-A1FB63A6BF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ESTADÍSTICAS INDIVIDUALES</vt:lpstr>
      <vt:lpstr>ANÁLISIS DE TENDENCIA TEMPORAL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2026-06-24T21:09:42Z</dcterms:created>
  <dcterms:modified xsi:type="dcterms:W3CDTF">2026-06-24T23:07:39Z</dcterms:modified>
</cp:coreProperties>
</file>