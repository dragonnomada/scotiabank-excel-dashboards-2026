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gonnomada/Desktop/GitHub/scotiabank-excel-dashboards-2026/GRUPO 1/"/>
    </mc:Choice>
  </mc:AlternateContent>
  <xr:revisionPtr revIDLastSave="0" documentId="13_ncr:1_{971503B9-B25A-DB48-B63F-911CA38FDAC7}" xr6:coauthVersionLast="47" xr6:coauthVersionMax="47" xr10:uidLastSave="{00000000-0000-0000-0000-000000000000}"/>
  <bookViews>
    <workbookView xWindow="0" yWindow="0" windowWidth="38400" windowHeight="21600" activeTab="3" xr2:uid="{A4B55B58-9F05-F14F-9A40-32694C1340FF}"/>
  </bookViews>
  <sheets>
    <sheet name="Tipos de análisis" sheetId="2" r:id="rId1"/>
    <sheet name="Titanic" sheetId="1" r:id="rId2"/>
    <sheet name="Análisis de Edades por Deciles" sheetId="5" r:id="rId3"/>
    <sheet name="Hoja8" sheetId="8" r:id="rId4"/>
    <sheet name="Hoja3" sheetId="3" r:id="rId5"/>
    <sheet name="Práctica 1" sheetId="4" r:id="rId6"/>
    <sheet name="Hoja6" sheetId="6" r:id="rId7"/>
    <sheet name="Hoja7" sheetId="7" r:id="rId8"/>
  </sheets>
  <definedNames>
    <definedName name="_xlnm._FilterDatabase" localSheetId="6" hidden="1">Hoja6!$B$2:$B$893</definedName>
    <definedName name="_xlnm._FilterDatabase" localSheetId="5" hidden="1">'Práctica 1'!$C$7:$E$898</definedName>
    <definedName name="_xlchart.v1.0" hidden="1">Hoja3!$B$4:$B$894</definedName>
    <definedName name="_xlchart.v1.1" hidden="1">Hoja3!$B$4:$B$894</definedName>
    <definedName name="_xlchart.v1.2" hidden="1">Hoja3!$B$4:$B$894</definedName>
    <definedName name="SegmentaciónDeDatos_C_Edad">#N/A</definedName>
    <definedName name="SegmentaciónDeDatos_Clase">#N/A</definedName>
    <definedName name="SegmentaciónDeDatos_Sexo">#N/A</definedName>
  </definedNames>
  <calcPr calcId="181029"/>
  <pivotCaches>
    <pivotCache cacheId="88" r:id="rId9"/>
  </pivotCaches>
  <extLst>
    <ext xmlns:x14="http://schemas.microsoft.com/office/spreadsheetml/2009/9/main" uri="{BBE1A952-AA13-448e-AADC-164F8A28A991}">
      <x14:slicerCaches>
        <x14:slicerCache r:id="rId10"/>
        <x14:slicerCache r:id="rId11"/>
        <x14:slicerCache r:id="rId12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8" l="1"/>
  <c r="G5" i="8"/>
  <c r="G6" i="8"/>
  <c r="G7" i="8"/>
  <c r="G3" i="8"/>
  <c r="D3" i="8"/>
  <c r="D4" i="8"/>
  <c r="D5" i="8"/>
  <c r="D6" i="8"/>
  <c r="D7" i="8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K244" i="4"/>
  <c r="K245" i="4"/>
  <c r="K246" i="4"/>
  <c r="K247" i="4"/>
  <c r="K243" i="4"/>
  <c r="B3" i="6" a="1"/>
  <c r="B3" i="6" s="1"/>
  <c r="G2" i="1" a="1"/>
  <c r="G2" i="1" s="1"/>
  <c r="K232" i="4"/>
  <c r="M232" i="4" s="1" a="1"/>
  <c r="M232" i="4" s="1"/>
  <c r="K233" i="4"/>
  <c r="M233" i="4" s="1" a="1"/>
  <c r="M233" i="4" s="1"/>
  <c r="K234" i="4"/>
  <c r="M234" i="4" s="1" a="1"/>
  <c r="M234" i="4" s="1"/>
  <c r="K235" i="4"/>
  <c r="M235" i="4" s="1" a="1"/>
  <c r="M235" i="4" s="1"/>
  <c r="K236" i="4"/>
  <c r="M236" i="4" s="1" a="1"/>
  <c r="M236" i="4" s="1"/>
  <c r="K237" i="4"/>
  <c r="M237" i="4" s="1" a="1"/>
  <c r="M237" i="4" s="1"/>
  <c r="K238" i="4"/>
  <c r="M238" i="4" s="1" a="1"/>
  <c r="M238" i="4" s="1"/>
  <c r="K239" i="4"/>
  <c r="M239" i="4" s="1" a="1"/>
  <c r="M239" i="4" s="1"/>
  <c r="K240" i="4"/>
  <c r="M240" i="4" s="1" a="1"/>
  <c r="M240" i="4" s="1"/>
  <c r="K231" i="4"/>
  <c r="M231" i="4" s="1" a="1"/>
  <c r="M231" i="4" s="1"/>
  <c r="L200" i="4" a="1"/>
  <c r="L200" i="4" s="1"/>
  <c r="L199" i="4" s="1" a="1"/>
  <c r="L199" i="4" s="1"/>
  <c r="H207" i="4"/>
  <c r="J207" i="4" s="1"/>
  <c r="H201" i="4"/>
  <c r="J201" i="4" s="1"/>
  <c r="H191" i="4"/>
  <c r="J191" i="4" s="1"/>
  <c r="E4" i="3" a="1"/>
  <c r="F6" i="3" s="1"/>
  <c r="B4" i="3" a="1"/>
  <c r="C35" i="3" s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Q11" i="1" l="1"/>
  <c r="Q895" i="1"/>
  <c r="Q887" i="1"/>
  <c r="Q879" i="1"/>
  <c r="Q871" i="1"/>
  <c r="Q863" i="1"/>
  <c r="Q855" i="1"/>
  <c r="Q847" i="1"/>
  <c r="Q839" i="1"/>
  <c r="Q831" i="1"/>
  <c r="Q823" i="1"/>
  <c r="Q815" i="1"/>
  <c r="Q807" i="1"/>
  <c r="Q799" i="1"/>
  <c r="Q791" i="1"/>
  <c r="Q783" i="1"/>
  <c r="Q775" i="1"/>
  <c r="Q767" i="1"/>
  <c r="Q759" i="1"/>
  <c r="Q751" i="1"/>
  <c r="Q743" i="1"/>
  <c r="Q735" i="1"/>
  <c r="Q727" i="1"/>
  <c r="Q719" i="1"/>
  <c r="Q711" i="1"/>
  <c r="Q703" i="1"/>
  <c r="Q695" i="1"/>
  <c r="Q687" i="1"/>
  <c r="Q676" i="1"/>
  <c r="Q665" i="1"/>
  <c r="Q651" i="1"/>
  <c r="Q637" i="1"/>
  <c r="Q626" i="1"/>
  <c r="Q612" i="1"/>
  <c r="Q601" i="1"/>
  <c r="Q587" i="1"/>
  <c r="Q573" i="1"/>
  <c r="Q562" i="1"/>
  <c r="Q548" i="1"/>
  <c r="Q537" i="1"/>
  <c r="Q523" i="1"/>
  <c r="Q509" i="1"/>
  <c r="Q498" i="1"/>
  <c r="Q484" i="1"/>
  <c r="Q473" i="1"/>
  <c r="Q459" i="1"/>
  <c r="Q445" i="1"/>
  <c r="Q434" i="1"/>
  <c r="Q420" i="1"/>
  <c r="Q409" i="1"/>
  <c r="Q395" i="1"/>
  <c r="Q381" i="1"/>
  <c r="Q370" i="1"/>
  <c r="Q356" i="1"/>
  <c r="Q345" i="1"/>
  <c r="Q331" i="1"/>
  <c r="Q317" i="1"/>
  <c r="Q306" i="1"/>
  <c r="Q292" i="1"/>
  <c r="Q281" i="1"/>
  <c r="Q267" i="1"/>
  <c r="Q253" i="1"/>
  <c r="Q242" i="1"/>
  <c r="Q228" i="1"/>
  <c r="Q217" i="1"/>
  <c r="Q203" i="1"/>
  <c r="Q189" i="1"/>
  <c r="Q178" i="1"/>
  <c r="Q164" i="1"/>
  <c r="Q153" i="1"/>
  <c r="Q139" i="1"/>
  <c r="Q125" i="1"/>
  <c r="Q114" i="1"/>
  <c r="Q100" i="1"/>
  <c r="Q89" i="1"/>
  <c r="Q75" i="1"/>
  <c r="Q61" i="1"/>
  <c r="Q50" i="1"/>
  <c r="Q36" i="1"/>
  <c r="Q25" i="1"/>
  <c r="Q6" i="1"/>
  <c r="Q14" i="1"/>
  <c r="Q22" i="1"/>
  <c r="Q30" i="1"/>
  <c r="Q38" i="1"/>
  <c r="Q46" i="1"/>
  <c r="Q54" i="1"/>
  <c r="Q62" i="1"/>
  <c r="Q70" i="1"/>
  <c r="Q78" i="1"/>
  <c r="Q86" i="1"/>
  <c r="Q94" i="1"/>
  <c r="Q102" i="1"/>
  <c r="Q110" i="1"/>
  <c r="Q118" i="1"/>
  <c r="Q126" i="1"/>
  <c r="Q134" i="1"/>
  <c r="Q142" i="1"/>
  <c r="Q150" i="1"/>
  <c r="Q158" i="1"/>
  <c r="Q166" i="1"/>
  <c r="Q174" i="1"/>
  <c r="Q182" i="1"/>
  <c r="Q190" i="1"/>
  <c r="Q198" i="1"/>
  <c r="Q206" i="1"/>
  <c r="Q214" i="1"/>
  <c r="Q222" i="1"/>
  <c r="Q230" i="1"/>
  <c r="Q238" i="1"/>
  <c r="Q246" i="1"/>
  <c r="Q254" i="1"/>
  <c r="Q262" i="1"/>
  <c r="Q270" i="1"/>
  <c r="Q278" i="1"/>
  <c r="Q286" i="1"/>
  <c r="Q294" i="1"/>
  <c r="Q302" i="1"/>
  <c r="Q310" i="1"/>
  <c r="Q318" i="1"/>
  <c r="Q326" i="1"/>
  <c r="Q334" i="1"/>
  <c r="Q342" i="1"/>
  <c r="Q350" i="1"/>
  <c r="Q358" i="1"/>
  <c r="Q366" i="1"/>
  <c r="Q374" i="1"/>
  <c r="Q382" i="1"/>
  <c r="Q390" i="1"/>
  <c r="Q398" i="1"/>
  <c r="Q406" i="1"/>
  <c r="Q414" i="1"/>
  <c r="Q422" i="1"/>
  <c r="Q430" i="1"/>
  <c r="Q438" i="1"/>
  <c r="Q446" i="1"/>
  <c r="Q454" i="1"/>
  <c r="Q462" i="1"/>
  <c r="Q470" i="1"/>
  <c r="Q478" i="1"/>
  <c r="Q486" i="1"/>
  <c r="Q494" i="1"/>
  <c r="Q502" i="1"/>
  <c r="Q510" i="1"/>
  <c r="Q518" i="1"/>
  <c r="Q526" i="1"/>
  <c r="Q534" i="1"/>
  <c r="Q542" i="1"/>
  <c r="Q550" i="1"/>
  <c r="Q558" i="1"/>
  <c r="Q566" i="1"/>
  <c r="Q574" i="1"/>
  <c r="Q582" i="1"/>
  <c r="Q590" i="1"/>
  <c r="Q598" i="1"/>
  <c r="Q606" i="1"/>
  <c r="Q614" i="1"/>
  <c r="Q622" i="1"/>
  <c r="Q630" i="1"/>
  <c r="Q638" i="1"/>
  <c r="Q646" i="1"/>
  <c r="Q654" i="1"/>
  <c r="Q662" i="1"/>
  <c r="Q670" i="1"/>
  <c r="Q678" i="1"/>
  <c r="Q7" i="1"/>
  <c r="Q15" i="1"/>
  <c r="Q23" i="1"/>
  <c r="Q31" i="1"/>
  <c r="Q39" i="1"/>
  <c r="Q47" i="1"/>
  <c r="Q55" i="1"/>
  <c r="Q63" i="1"/>
  <c r="Q71" i="1"/>
  <c r="Q79" i="1"/>
  <c r="Q87" i="1"/>
  <c r="Q95" i="1"/>
  <c r="Q103" i="1"/>
  <c r="Q111" i="1"/>
  <c r="Q119" i="1"/>
  <c r="Q127" i="1"/>
  <c r="Q135" i="1"/>
  <c r="Q143" i="1"/>
  <c r="Q151" i="1"/>
  <c r="Q159" i="1"/>
  <c r="Q167" i="1"/>
  <c r="Q175" i="1"/>
  <c r="Q183" i="1"/>
  <c r="Q191" i="1"/>
  <c r="Q199" i="1"/>
  <c r="Q207" i="1"/>
  <c r="Q215" i="1"/>
  <c r="Q223" i="1"/>
  <c r="Q231" i="1"/>
  <c r="Q239" i="1"/>
  <c r="Q247" i="1"/>
  <c r="Q255" i="1"/>
  <c r="Q263" i="1"/>
  <c r="Q271" i="1"/>
  <c r="Q279" i="1"/>
  <c r="Q287" i="1"/>
  <c r="Q295" i="1"/>
  <c r="Q303" i="1"/>
  <c r="Q311" i="1"/>
  <c r="Q319" i="1"/>
  <c r="Q327" i="1"/>
  <c r="Q335" i="1"/>
  <c r="Q343" i="1"/>
  <c r="Q351" i="1"/>
  <c r="Q359" i="1"/>
  <c r="Q367" i="1"/>
  <c r="Q375" i="1"/>
  <c r="Q383" i="1"/>
  <c r="Q391" i="1"/>
  <c r="Q399" i="1"/>
  <c r="Q407" i="1"/>
  <c r="Q415" i="1"/>
  <c r="Q423" i="1"/>
  <c r="Q431" i="1"/>
  <c r="Q439" i="1"/>
  <c r="Q447" i="1"/>
  <c r="Q455" i="1"/>
  <c r="Q463" i="1"/>
  <c r="Q471" i="1"/>
  <c r="Q479" i="1"/>
  <c r="Q487" i="1"/>
  <c r="Q495" i="1"/>
  <c r="Q503" i="1"/>
  <c r="Q511" i="1"/>
  <c r="Q519" i="1"/>
  <c r="Q527" i="1"/>
  <c r="Q535" i="1"/>
  <c r="Q543" i="1"/>
  <c r="Q551" i="1"/>
  <c r="Q559" i="1"/>
  <c r="Q567" i="1"/>
  <c r="Q575" i="1"/>
  <c r="Q583" i="1"/>
  <c r="Q591" i="1"/>
  <c r="Q599" i="1"/>
  <c r="Q607" i="1"/>
  <c r="Q615" i="1"/>
  <c r="Q623" i="1"/>
  <c r="Q631" i="1"/>
  <c r="Q639" i="1"/>
  <c r="Q647" i="1"/>
  <c r="Q655" i="1"/>
  <c r="Q663" i="1"/>
  <c r="Q671" i="1"/>
  <c r="Q679" i="1"/>
  <c r="Q8" i="1"/>
  <c r="Q16" i="1"/>
  <c r="Q24" i="1"/>
  <c r="Q32" i="1"/>
  <c r="Q40" i="1"/>
  <c r="Q48" i="1"/>
  <c r="Q56" i="1"/>
  <c r="Q64" i="1"/>
  <c r="Q72" i="1"/>
  <c r="Q80" i="1"/>
  <c r="Q88" i="1"/>
  <c r="Q96" i="1"/>
  <c r="Q104" i="1"/>
  <c r="Q112" i="1"/>
  <c r="Q120" i="1"/>
  <c r="Q128" i="1"/>
  <c r="Q136" i="1"/>
  <c r="Q144" i="1"/>
  <c r="Q152" i="1"/>
  <c r="Q160" i="1"/>
  <c r="Q168" i="1"/>
  <c r="Q176" i="1"/>
  <c r="Q184" i="1"/>
  <c r="Q192" i="1"/>
  <c r="Q200" i="1"/>
  <c r="Q208" i="1"/>
  <c r="Q216" i="1"/>
  <c r="Q224" i="1"/>
  <c r="Q232" i="1"/>
  <c r="Q240" i="1"/>
  <c r="Q248" i="1"/>
  <c r="Q256" i="1"/>
  <c r="Q264" i="1"/>
  <c r="Q272" i="1"/>
  <c r="Q280" i="1"/>
  <c r="Q288" i="1"/>
  <c r="Q296" i="1"/>
  <c r="Q304" i="1"/>
  <c r="Q312" i="1"/>
  <c r="Q320" i="1"/>
  <c r="Q328" i="1"/>
  <c r="Q336" i="1"/>
  <c r="Q344" i="1"/>
  <c r="Q352" i="1"/>
  <c r="Q360" i="1"/>
  <c r="Q368" i="1"/>
  <c r="Q376" i="1"/>
  <c r="Q384" i="1"/>
  <c r="Q392" i="1"/>
  <c r="Q400" i="1"/>
  <c r="Q408" i="1"/>
  <c r="Q416" i="1"/>
  <c r="Q424" i="1"/>
  <c r="Q432" i="1"/>
  <c r="Q440" i="1"/>
  <c r="Q448" i="1"/>
  <c r="Q456" i="1"/>
  <c r="Q464" i="1"/>
  <c r="Q472" i="1"/>
  <c r="Q480" i="1"/>
  <c r="Q488" i="1"/>
  <c r="Q496" i="1"/>
  <c r="Q504" i="1"/>
  <c r="Q512" i="1"/>
  <c r="Q520" i="1"/>
  <c r="Q528" i="1"/>
  <c r="Q536" i="1"/>
  <c r="Q544" i="1"/>
  <c r="Q552" i="1"/>
  <c r="Q560" i="1"/>
  <c r="Q568" i="1"/>
  <c r="Q576" i="1"/>
  <c r="Q584" i="1"/>
  <c r="Q592" i="1"/>
  <c r="Q600" i="1"/>
  <c r="Q608" i="1"/>
  <c r="Q616" i="1"/>
  <c r="Q624" i="1"/>
  <c r="Q632" i="1"/>
  <c r="Q640" i="1"/>
  <c r="Q648" i="1"/>
  <c r="Q656" i="1"/>
  <c r="Q664" i="1"/>
  <c r="Q672" i="1"/>
  <c r="Q680" i="1"/>
  <c r="Q894" i="1"/>
  <c r="Q886" i="1"/>
  <c r="Q878" i="1"/>
  <c r="Q870" i="1"/>
  <c r="Q862" i="1"/>
  <c r="Q854" i="1"/>
  <c r="Q846" i="1"/>
  <c r="Q838" i="1"/>
  <c r="Q830" i="1"/>
  <c r="Q822" i="1"/>
  <c r="Q814" i="1"/>
  <c r="Q806" i="1"/>
  <c r="Q798" i="1"/>
  <c r="Q790" i="1"/>
  <c r="Q782" i="1"/>
  <c r="Q774" i="1"/>
  <c r="Q766" i="1"/>
  <c r="Q758" i="1"/>
  <c r="Q750" i="1"/>
  <c r="Q742" i="1"/>
  <c r="Q734" i="1"/>
  <c r="Q726" i="1"/>
  <c r="Q718" i="1"/>
  <c r="Q710" i="1"/>
  <c r="Q702" i="1"/>
  <c r="Q694" i="1"/>
  <c r="Q686" i="1"/>
  <c r="Q675" i="1"/>
  <c r="Q661" i="1"/>
  <c r="Q650" i="1"/>
  <c r="Q636" i="1"/>
  <c r="Q625" i="1"/>
  <c r="Q611" i="1"/>
  <c r="Q597" i="1"/>
  <c r="Q586" i="1"/>
  <c r="Q572" i="1"/>
  <c r="Q561" i="1"/>
  <c r="Q547" i="1"/>
  <c r="Q533" i="1"/>
  <c r="Q522" i="1"/>
  <c r="Q508" i="1"/>
  <c r="Q497" i="1"/>
  <c r="Q483" i="1"/>
  <c r="Q469" i="1"/>
  <c r="Q458" i="1"/>
  <c r="Q444" i="1"/>
  <c r="Q433" i="1"/>
  <c r="Q419" i="1"/>
  <c r="Q405" i="1"/>
  <c r="Q394" i="1"/>
  <c r="Q380" i="1"/>
  <c r="Q369" i="1"/>
  <c r="Q355" i="1"/>
  <c r="Q341" i="1"/>
  <c r="Q330" i="1"/>
  <c r="Q316" i="1"/>
  <c r="Q305" i="1"/>
  <c r="Q291" i="1"/>
  <c r="Q277" i="1"/>
  <c r="Q266" i="1"/>
  <c r="Q252" i="1"/>
  <c r="Q241" i="1"/>
  <c r="Q227" i="1"/>
  <c r="Q213" i="1"/>
  <c r="Q202" i="1"/>
  <c r="Q188" i="1"/>
  <c r="Q177" i="1"/>
  <c r="Q163" i="1"/>
  <c r="Q149" i="1"/>
  <c r="Q138" i="1"/>
  <c r="Q124" i="1"/>
  <c r="Q113" i="1"/>
  <c r="Q99" i="1"/>
  <c r="Q85" i="1"/>
  <c r="Q74" i="1"/>
  <c r="Q60" i="1"/>
  <c r="Q49" i="1"/>
  <c r="Q35" i="1"/>
  <c r="Q21" i="1"/>
  <c r="Q10" i="1"/>
  <c r="Q893" i="1"/>
  <c r="Q885" i="1"/>
  <c r="Q877" i="1"/>
  <c r="Q869" i="1"/>
  <c r="Q861" i="1"/>
  <c r="Q853" i="1"/>
  <c r="Q845" i="1"/>
  <c r="Q837" i="1"/>
  <c r="Q829" i="1"/>
  <c r="Q821" i="1"/>
  <c r="Q813" i="1"/>
  <c r="Q805" i="1"/>
  <c r="Q797" i="1"/>
  <c r="Q789" i="1"/>
  <c r="Q781" i="1"/>
  <c r="Q773" i="1"/>
  <c r="Q765" i="1"/>
  <c r="Q757" i="1"/>
  <c r="Q749" i="1"/>
  <c r="Q741" i="1"/>
  <c r="Q733" i="1"/>
  <c r="Q725" i="1"/>
  <c r="Q717" i="1"/>
  <c r="Q709" i="1"/>
  <c r="Q701" i="1"/>
  <c r="Q693" i="1"/>
  <c r="Q685" i="1"/>
  <c r="Q674" i="1"/>
  <c r="Q660" i="1"/>
  <c r="Q649" i="1"/>
  <c r="Q635" i="1"/>
  <c r="Q621" i="1"/>
  <c r="Q610" i="1"/>
  <c r="Q596" i="1"/>
  <c r="Q585" i="1"/>
  <c r="Q571" i="1"/>
  <c r="Q557" i="1"/>
  <c r="Q546" i="1"/>
  <c r="Q532" i="1"/>
  <c r="Q521" i="1"/>
  <c r="Q507" i="1"/>
  <c r="Q493" i="1"/>
  <c r="Q482" i="1"/>
  <c r="Q468" i="1"/>
  <c r="Q457" i="1"/>
  <c r="Q443" i="1"/>
  <c r="Q429" i="1"/>
  <c r="Q418" i="1"/>
  <c r="Q404" i="1"/>
  <c r="Q393" i="1"/>
  <c r="Q379" i="1"/>
  <c r="Q365" i="1"/>
  <c r="Q354" i="1"/>
  <c r="Q340" i="1"/>
  <c r="Q329" i="1"/>
  <c r="Q315" i="1"/>
  <c r="Q301" i="1"/>
  <c r="Q290" i="1"/>
  <c r="Q276" i="1"/>
  <c r="Q265" i="1"/>
  <c r="Q251" i="1"/>
  <c r="Q237" i="1"/>
  <c r="Q226" i="1"/>
  <c r="Q212" i="1"/>
  <c r="Q201" i="1"/>
  <c r="Q187" i="1"/>
  <c r="Q173" i="1"/>
  <c r="Q162" i="1"/>
  <c r="Q148" i="1"/>
  <c r="Q137" i="1"/>
  <c r="Q123" i="1"/>
  <c r="Q109" i="1"/>
  <c r="Q98" i="1"/>
  <c r="Q84" i="1"/>
  <c r="Q73" i="1"/>
  <c r="Q59" i="1"/>
  <c r="Q45" i="1"/>
  <c r="Q34" i="1"/>
  <c r="Q20" i="1"/>
  <c r="Q9" i="1"/>
  <c r="Q892" i="1"/>
  <c r="Q884" i="1"/>
  <c r="Q876" i="1"/>
  <c r="Q868" i="1"/>
  <c r="Q860" i="1"/>
  <c r="Q852" i="1"/>
  <c r="Q844" i="1"/>
  <c r="Q836" i="1"/>
  <c r="Q828" i="1"/>
  <c r="Q820" i="1"/>
  <c r="Q812" i="1"/>
  <c r="Q804" i="1"/>
  <c r="Q796" i="1"/>
  <c r="Q788" i="1"/>
  <c r="Q780" i="1"/>
  <c r="Q772" i="1"/>
  <c r="Q764" i="1"/>
  <c r="Q756" i="1"/>
  <c r="Q748" i="1"/>
  <c r="Q740" i="1"/>
  <c r="Q732" i="1"/>
  <c r="Q724" i="1"/>
  <c r="Q716" i="1"/>
  <c r="Q708" i="1"/>
  <c r="Q700" i="1"/>
  <c r="Q692" i="1"/>
  <c r="Q684" i="1"/>
  <c r="Q673" i="1"/>
  <c r="Q659" i="1"/>
  <c r="Q645" i="1"/>
  <c r="Q634" i="1"/>
  <c r="Q620" i="1"/>
  <c r="Q609" i="1"/>
  <c r="Q595" i="1"/>
  <c r="Q581" i="1"/>
  <c r="Q570" i="1"/>
  <c r="Q556" i="1"/>
  <c r="Q545" i="1"/>
  <c r="Q531" i="1"/>
  <c r="Q517" i="1"/>
  <c r="Q506" i="1"/>
  <c r="Q492" i="1"/>
  <c r="Q481" i="1"/>
  <c r="Q467" i="1"/>
  <c r="Q453" i="1"/>
  <c r="Q442" i="1"/>
  <c r="Q428" i="1"/>
  <c r="Q417" i="1"/>
  <c r="Q403" i="1"/>
  <c r="Q389" i="1"/>
  <c r="Q378" i="1"/>
  <c r="Q364" i="1"/>
  <c r="Q353" i="1"/>
  <c r="Q339" i="1"/>
  <c r="Q325" i="1"/>
  <c r="Q314" i="1"/>
  <c r="Q300" i="1"/>
  <c r="Q289" i="1"/>
  <c r="Q275" i="1"/>
  <c r="Q261" i="1"/>
  <c r="Q250" i="1"/>
  <c r="Q236" i="1"/>
  <c r="Q225" i="1"/>
  <c r="Q211" i="1"/>
  <c r="Q197" i="1"/>
  <c r="Q186" i="1"/>
  <c r="Q172" i="1"/>
  <c r="Q161" i="1"/>
  <c r="Q147" i="1"/>
  <c r="Q133" i="1"/>
  <c r="Q122" i="1"/>
  <c r="Q108" i="1"/>
  <c r="Q97" i="1"/>
  <c r="Q83" i="1"/>
  <c r="Q69" i="1"/>
  <c r="Q58" i="1"/>
  <c r="Q44" i="1"/>
  <c r="Q33" i="1"/>
  <c r="Q19" i="1"/>
  <c r="Q891" i="1"/>
  <c r="Q883" i="1"/>
  <c r="Q875" i="1"/>
  <c r="Q867" i="1"/>
  <c r="Q859" i="1"/>
  <c r="Q851" i="1"/>
  <c r="Q843" i="1"/>
  <c r="Q835" i="1"/>
  <c r="Q827" i="1"/>
  <c r="Q819" i="1"/>
  <c r="Q811" i="1"/>
  <c r="Q803" i="1"/>
  <c r="Q795" i="1"/>
  <c r="Q787" i="1"/>
  <c r="Q779" i="1"/>
  <c r="Q771" i="1"/>
  <c r="Q763" i="1"/>
  <c r="Q755" i="1"/>
  <c r="Q747" i="1"/>
  <c r="Q739" i="1"/>
  <c r="Q731" i="1"/>
  <c r="Q723" i="1"/>
  <c r="Q715" i="1"/>
  <c r="Q707" i="1"/>
  <c r="Q699" i="1"/>
  <c r="Q691" i="1"/>
  <c r="Q683" i="1"/>
  <c r="Q669" i="1"/>
  <c r="Q658" i="1"/>
  <c r="Q644" i="1"/>
  <c r="Q633" i="1"/>
  <c r="Q619" i="1"/>
  <c r="Q605" i="1"/>
  <c r="Q594" i="1"/>
  <c r="Q580" i="1"/>
  <c r="Q569" i="1"/>
  <c r="Q555" i="1"/>
  <c r="Q541" i="1"/>
  <c r="Q530" i="1"/>
  <c r="Q516" i="1"/>
  <c r="Q505" i="1"/>
  <c r="Q491" i="1"/>
  <c r="Q477" i="1"/>
  <c r="Q466" i="1"/>
  <c r="Q452" i="1"/>
  <c r="Q441" i="1"/>
  <c r="Q427" i="1"/>
  <c r="Q413" i="1"/>
  <c r="Q402" i="1"/>
  <c r="Q388" i="1"/>
  <c r="Q377" i="1"/>
  <c r="Q363" i="1"/>
  <c r="Q349" i="1"/>
  <c r="Q338" i="1"/>
  <c r="Q324" i="1"/>
  <c r="Q313" i="1"/>
  <c r="Q299" i="1"/>
  <c r="Q285" i="1"/>
  <c r="Q274" i="1"/>
  <c r="Q260" i="1"/>
  <c r="Q249" i="1"/>
  <c r="Q235" i="1"/>
  <c r="Q221" i="1"/>
  <c r="Q210" i="1"/>
  <c r="Q196" i="1"/>
  <c r="Q185" i="1"/>
  <c r="Q171" i="1"/>
  <c r="Q157" i="1"/>
  <c r="Q146" i="1"/>
  <c r="Q132" i="1"/>
  <c r="Q121" i="1"/>
  <c r="Q107" i="1"/>
  <c r="Q93" i="1"/>
  <c r="Q82" i="1"/>
  <c r="Q68" i="1"/>
  <c r="Q57" i="1"/>
  <c r="Q43" i="1"/>
  <c r="Q29" i="1"/>
  <c r="Q18" i="1"/>
  <c r="Q890" i="1"/>
  <c r="Q882" i="1"/>
  <c r="Q874" i="1"/>
  <c r="Q866" i="1"/>
  <c r="Q858" i="1"/>
  <c r="Q850" i="1"/>
  <c r="Q842" i="1"/>
  <c r="Q834" i="1"/>
  <c r="Q826" i="1"/>
  <c r="Q818" i="1"/>
  <c r="Q810" i="1"/>
  <c r="Q802" i="1"/>
  <c r="Q794" i="1"/>
  <c r="Q786" i="1"/>
  <c r="Q778" i="1"/>
  <c r="Q770" i="1"/>
  <c r="Q762" i="1"/>
  <c r="Q754" i="1"/>
  <c r="Q746" i="1"/>
  <c r="Q738" i="1"/>
  <c r="Q730" i="1"/>
  <c r="Q722" i="1"/>
  <c r="Q714" i="1"/>
  <c r="Q706" i="1"/>
  <c r="Q698" i="1"/>
  <c r="Q690" i="1"/>
  <c r="Q682" i="1"/>
  <c r="Q668" i="1"/>
  <c r="Q657" i="1"/>
  <c r="Q643" i="1"/>
  <c r="Q629" i="1"/>
  <c r="Q618" i="1"/>
  <c r="Q604" i="1"/>
  <c r="Q593" i="1"/>
  <c r="Q579" i="1"/>
  <c r="Q565" i="1"/>
  <c r="Q554" i="1"/>
  <c r="Q540" i="1"/>
  <c r="Q529" i="1"/>
  <c r="Q515" i="1"/>
  <c r="Q501" i="1"/>
  <c r="Q490" i="1"/>
  <c r="Q476" i="1"/>
  <c r="Q465" i="1"/>
  <c r="Q451" i="1"/>
  <c r="Q437" i="1"/>
  <c r="Q426" i="1"/>
  <c r="Q412" i="1"/>
  <c r="Q401" i="1"/>
  <c r="Q387" i="1"/>
  <c r="Q373" i="1"/>
  <c r="Q362" i="1"/>
  <c r="Q348" i="1"/>
  <c r="Q337" i="1"/>
  <c r="Q323" i="1"/>
  <c r="Q309" i="1"/>
  <c r="Q298" i="1"/>
  <c r="Q284" i="1"/>
  <c r="Q273" i="1"/>
  <c r="Q259" i="1"/>
  <c r="Q245" i="1"/>
  <c r="Q234" i="1"/>
  <c r="Q220" i="1"/>
  <c r="Q209" i="1"/>
  <c r="Q195" i="1"/>
  <c r="Q181" i="1"/>
  <c r="Q170" i="1"/>
  <c r="Q156" i="1"/>
  <c r="Q145" i="1"/>
  <c r="Q131" i="1"/>
  <c r="Q117" i="1"/>
  <c r="Q106" i="1"/>
  <c r="Q92" i="1"/>
  <c r="Q81" i="1"/>
  <c r="Q67" i="1"/>
  <c r="Q53" i="1"/>
  <c r="Q42" i="1"/>
  <c r="Q28" i="1"/>
  <c r="Q17" i="1"/>
  <c r="Q889" i="1"/>
  <c r="Q881" i="1"/>
  <c r="Q873" i="1"/>
  <c r="Q865" i="1"/>
  <c r="Q857" i="1"/>
  <c r="Q849" i="1"/>
  <c r="Q841" i="1"/>
  <c r="Q833" i="1"/>
  <c r="Q825" i="1"/>
  <c r="Q817" i="1"/>
  <c r="Q809" i="1"/>
  <c r="Q801" i="1"/>
  <c r="Q793" i="1"/>
  <c r="Q785" i="1"/>
  <c r="Q777" i="1"/>
  <c r="Q769" i="1"/>
  <c r="Q761" i="1"/>
  <c r="Q753" i="1"/>
  <c r="Q745" i="1"/>
  <c r="Q737" i="1"/>
  <c r="Q729" i="1"/>
  <c r="Q721" i="1"/>
  <c r="Q713" i="1"/>
  <c r="Q705" i="1"/>
  <c r="Q697" i="1"/>
  <c r="Q689" i="1"/>
  <c r="Q681" i="1"/>
  <c r="Q667" i="1"/>
  <c r="Q653" i="1"/>
  <c r="Q642" i="1"/>
  <c r="Q628" i="1"/>
  <c r="Q617" i="1"/>
  <c r="Q603" i="1"/>
  <c r="Q589" i="1"/>
  <c r="Q578" i="1"/>
  <c r="Q564" i="1"/>
  <c r="Q553" i="1"/>
  <c r="Q539" i="1"/>
  <c r="Q525" i="1"/>
  <c r="Q514" i="1"/>
  <c r="Q500" i="1"/>
  <c r="Q489" i="1"/>
  <c r="Q475" i="1"/>
  <c r="Q461" i="1"/>
  <c r="Q450" i="1"/>
  <c r="Q436" i="1"/>
  <c r="Q425" i="1"/>
  <c r="Q411" i="1"/>
  <c r="Q397" i="1"/>
  <c r="Q386" i="1"/>
  <c r="Q372" i="1"/>
  <c r="Q361" i="1"/>
  <c r="Q347" i="1"/>
  <c r="Q333" i="1"/>
  <c r="Q322" i="1"/>
  <c r="Q308" i="1"/>
  <c r="Q297" i="1"/>
  <c r="Q283" i="1"/>
  <c r="Q269" i="1"/>
  <c r="Q258" i="1"/>
  <c r="Q244" i="1"/>
  <c r="Q233" i="1"/>
  <c r="Q219" i="1"/>
  <c r="Q205" i="1"/>
  <c r="Q194" i="1"/>
  <c r="Q180" i="1"/>
  <c r="Q169" i="1"/>
  <c r="Q155" i="1"/>
  <c r="Q141" i="1"/>
  <c r="Q130" i="1"/>
  <c r="Q116" i="1"/>
  <c r="Q105" i="1"/>
  <c r="Q91" i="1"/>
  <c r="Q77" i="1"/>
  <c r="Q66" i="1"/>
  <c r="Q52" i="1"/>
  <c r="Q41" i="1"/>
  <c r="Q27" i="1"/>
  <c r="Q13" i="1"/>
  <c r="Q896" i="1"/>
  <c r="Q888" i="1"/>
  <c r="Q880" i="1"/>
  <c r="Q872" i="1"/>
  <c r="Q864" i="1"/>
  <c r="Q856" i="1"/>
  <c r="Q848" i="1"/>
  <c r="Q840" i="1"/>
  <c r="Q832" i="1"/>
  <c r="Q824" i="1"/>
  <c r="Q816" i="1"/>
  <c r="Q808" i="1"/>
  <c r="Q800" i="1"/>
  <c r="Q792" i="1"/>
  <c r="Q784" i="1"/>
  <c r="Q776" i="1"/>
  <c r="Q768" i="1"/>
  <c r="Q760" i="1"/>
  <c r="Q752" i="1"/>
  <c r="Q744" i="1"/>
  <c r="Q736" i="1"/>
  <c r="Q728" i="1"/>
  <c r="Q720" i="1"/>
  <c r="Q712" i="1"/>
  <c r="Q704" i="1"/>
  <c r="Q696" i="1"/>
  <c r="Q688" i="1"/>
  <c r="Q677" i="1"/>
  <c r="Q666" i="1"/>
  <c r="Q652" i="1"/>
  <c r="Q641" i="1"/>
  <c r="Q627" i="1"/>
  <c r="Q613" i="1"/>
  <c r="Q602" i="1"/>
  <c r="Q588" i="1"/>
  <c r="Q577" i="1"/>
  <c r="Q563" i="1"/>
  <c r="Q549" i="1"/>
  <c r="Q538" i="1"/>
  <c r="Q524" i="1"/>
  <c r="Q513" i="1"/>
  <c r="Q499" i="1"/>
  <c r="Q485" i="1"/>
  <c r="Q474" i="1"/>
  <c r="Q460" i="1"/>
  <c r="Q449" i="1"/>
  <c r="Q435" i="1"/>
  <c r="Q421" i="1"/>
  <c r="Q410" i="1"/>
  <c r="Q396" i="1"/>
  <c r="Q385" i="1"/>
  <c r="Q371" i="1"/>
  <c r="Q357" i="1"/>
  <c r="Q346" i="1"/>
  <c r="Q332" i="1"/>
  <c r="Q321" i="1"/>
  <c r="Q307" i="1"/>
  <c r="Q293" i="1"/>
  <c r="Q282" i="1"/>
  <c r="Q268" i="1"/>
  <c r="Q257" i="1"/>
  <c r="Q243" i="1"/>
  <c r="Q229" i="1"/>
  <c r="Q218" i="1"/>
  <c r="Q204" i="1"/>
  <c r="Q193" i="1"/>
  <c r="Q179" i="1"/>
  <c r="Q165" i="1"/>
  <c r="Q154" i="1"/>
  <c r="Q140" i="1"/>
  <c r="Q129" i="1"/>
  <c r="Q115" i="1"/>
  <c r="Q101" i="1"/>
  <c r="Q90" i="1"/>
  <c r="Q76" i="1"/>
  <c r="Q65" i="1"/>
  <c r="Q51" i="1"/>
  <c r="Q37" i="1"/>
  <c r="Q26" i="1"/>
  <c r="Q12" i="1"/>
  <c r="L202" i="4" a="1"/>
  <c r="L202" i="4" s="1"/>
  <c r="N202" i="4" a="1"/>
  <c r="N202" i="4" s="1"/>
  <c r="O202" i="4" a="1"/>
  <c r="O202" i="4" s="1"/>
  <c r="P202" i="4" a="1"/>
  <c r="P202" i="4" s="1"/>
  <c r="M199" i="4" a="1"/>
  <c r="M199" i="4" s="1"/>
  <c r="N199" i="4" a="1"/>
  <c r="N199" i="4" s="1"/>
  <c r="O199" i="4" a="1"/>
  <c r="O199" i="4" s="1"/>
  <c r="M202" i="4" a="1"/>
  <c r="M202" i="4" s="1"/>
  <c r="P199" i="4" a="1"/>
  <c r="P199" i="4" s="1"/>
  <c r="F66" i="3"/>
  <c r="F24" i="3"/>
  <c r="C883" i="3"/>
  <c r="C840" i="3"/>
  <c r="C770" i="3"/>
  <c r="C689" i="3"/>
  <c r="C590" i="3"/>
  <c r="C123" i="3"/>
  <c r="F74" i="3"/>
  <c r="F11" i="3"/>
  <c r="C838" i="3"/>
  <c r="C756" i="3"/>
  <c r="C672" i="3"/>
  <c r="C537" i="3"/>
  <c r="C185" i="3"/>
  <c r="F82" i="3"/>
  <c r="F10" i="3"/>
  <c r="C869" i="3"/>
  <c r="C837" i="3"/>
  <c r="C816" i="3"/>
  <c r="C792" i="3"/>
  <c r="C779" i="3"/>
  <c r="C767" i="3"/>
  <c r="C755" i="3"/>
  <c r="C743" i="3"/>
  <c r="C715" i="3"/>
  <c r="C701" i="3"/>
  <c r="C685" i="3"/>
  <c r="C669" i="3"/>
  <c r="C653" i="3"/>
  <c r="C620" i="3"/>
  <c r="C601" i="3"/>
  <c r="C584" i="3"/>
  <c r="C569" i="3"/>
  <c r="C552" i="3"/>
  <c r="C536" i="3"/>
  <c r="C518" i="3"/>
  <c r="C501" i="3"/>
  <c r="C486" i="3"/>
  <c r="C469" i="3"/>
  <c r="C453" i="3"/>
  <c r="C435" i="3"/>
  <c r="C417" i="3"/>
  <c r="C400" i="3"/>
  <c r="C380" i="3"/>
  <c r="C357" i="3"/>
  <c r="C332" i="3"/>
  <c r="C305" i="3"/>
  <c r="C277" i="3"/>
  <c r="C251" i="3"/>
  <c r="C217" i="3"/>
  <c r="C182" i="3"/>
  <c r="C149" i="3"/>
  <c r="C113" i="3"/>
  <c r="C80" i="3"/>
  <c r="C46" i="3"/>
  <c r="C89" i="3"/>
  <c r="F65" i="3"/>
  <c r="F33" i="3"/>
  <c r="C892" i="3"/>
  <c r="C870" i="3"/>
  <c r="C849" i="3"/>
  <c r="C817" i="3"/>
  <c r="C793" i="3"/>
  <c r="C768" i="3"/>
  <c r="C731" i="3"/>
  <c r="C703" i="3"/>
  <c r="C654" i="3"/>
  <c r="C605" i="3"/>
  <c r="C589" i="3"/>
  <c r="C571" i="3"/>
  <c r="C520" i="3"/>
  <c r="C487" i="3"/>
  <c r="C470" i="3"/>
  <c r="C454" i="3"/>
  <c r="C437" i="3"/>
  <c r="C422" i="3"/>
  <c r="C381" i="3"/>
  <c r="C358" i="3"/>
  <c r="C334" i="3"/>
  <c r="C307" i="3"/>
  <c r="C278" i="3"/>
  <c r="C252" i="3"/>
  <c r="C219" i="3"/>
  <c r="C48" i="3"/>
  <c r="F72" i="3"/>
  <c r="F62" i="3"/>
  <c r="F51" i="3"/>
  <c r="F41" i="3"/>
  <c r="F30" i="3"/>
  <c r="F19" i="3"/>
  <c r="F9" i="3"/>
  <c r="C889" i="3"/>
  <c r="C878" i="3"/>
  <c r="C868" i="3"/>
  <c r="C857" i="3"/>
  <c r="C846" i="3"/>
  <c r="C836" i="3"/>
  <c r="C813" i="3"/>
  <c r="C802" i="3"/>
  <c r="C789" i="3"/>
  <c r="C777" i="3"/>
  <c r="C765" i="3"/>
  <c r="C753" i="3"/>
  <c r="C740" i="3"/>
  <c r="C729" i="3"/>
  <c r="C713" i="3"/>
  <c r="C698" i="3"/>
  <c r="C684" i="3"/>
  <c r="C667" i="3"/>
  <c r="C652" i="3"/>
  <c r="C633" i="3"/>
  <c r="C616" i="3"/>
  <c r="C600" i="3"/>
  <c r="C583" i="3"/>
  <c r="C568" i="3"/>
  <c r="C550" i="3"/>
  <c r="C533" i="3"/>
  <c r="C517" i="3"/>
  <c r="C500" i="3"/>
  <c r="C484" i="3"/>
  <c r="C465" i="3"/>
  <c r="C449" i="3"/>
  <c r="C433" i="3"/>
  <c r="C416" i="3"/>
  <c r="C397" i="3"/>
  <c r="C376" i="3"/>
  <c r="C352" i="3"/>
  <c r="C328" i="3"/>
  <c r="C300" i="3"/>
  <c r="C272" i="3"/>
  <c r="C249" i="3"/>
  <c r="C214" i="3"/>
  <c r="C181" i="3"/>
  <c r="C145" i="3"/>
  <c r="C112" i="3"/>
  <c r="C78" i="3"/>
  <c r="C43" i="3"/>
  <c r="C807" i="3"/>
  <c r="C783" i="3"/>
  <c r="C746" i="3"/>
  <c r="C733" i="3"/>
  <c r="C704" i="3"/>
  <c r="C673" i="3"/>
  <c r="C656" i="3"/>
  <c r="C641" i="3"/>
  <c r="C623" i="3"/>
  <c r="C606" i="3"/>
  <c r="C573" i="3"/>
  <c r="C557" i="3"/>
  <c r="C539" i="3"/>
  <c r="C523" i="3"/>
  <c r="C507" i="3"/>
  <c r="C489" i="3"/>
  <c r="C473" i="3"/>
  <c r="C455" i="3"/>
  <c r="C438" i="3"/>
  <c r="C423" i="3"/>
  <c r="C404" i="3"/>
  <c r="C382" i="3"/>
  <c r="C360" i="3"/>
  <c r="C336" i="3"/>
  <c r="C309" i="3"/>
  <c r="C281" i="3"/>
  <c r="C257" i="3"/>
  <c r="C225" i="3"/>
  <c r="C54" i="3"/>
  <c r="C401" i="3"/>
  <c r="F91" i="3"/>
  <c r="F73" i="3"/>
  <c r="F64" i="3"/>
  <c r="F53" i="3"/>
  <c r="F42" i="3"/>
  <c r="F32" i="3"/>
  <c r="F21" i="3"/>
  <c r="C891" i="3"/>
  <c r="C880" i="3"/>
  <c r="C859" i="3"/>
  <c r="C848" i="3"/>
  <c r="C827" i="3"/>
  <c r="C636" i="3"/>
  <c r="C825" i="3"/>
  <c r="F89" i="3"/>
  <c r="F80" i="3"/>
  <c r="F71" i="3"/>
  <c r="F61" i="3"/>
  <c r="F50" i="3"/>
  <c r="F40" i="3"/>
  <c r="F29" i="3"/>
  <c r="F18" i="3"/>
  <c r="F8" i="3"/>
  <c r="C888" i="3"/>
  <c r="C877" i="3"/>
  <c r="C867" i="3"/>
  <c r="C856" i="3"/>
  <c r="C845" i="3"/>
  <c r="C835" i="3"/>
  <c r="C824" i="3"/>
  <c r="C812" i="3"/>
  <c r="C801" i="3"/>
  <c r="C788" i="3"/>
  <c r="C776" i="3"/>
  <c r="C764" i="3"/>
  <c r="C752" i="3"/>
  <c r="C739" i="3"/>
  <c r="C725" i="3"/>
  <c r="C712" i="3"/>
  <c r="C697" i="3"/>
  <c r="C683" i="3"/>
  <c r="C664" i="3"/>
  <c r="C647" i="3"/>
  <c r="C632" i="3"/>
  <c r="C615" i="3"/>
  <c r="C599" i="3"/>
  <c r="C581" i="3"/>
  <c r="C564" i="3"/>
  <c r="C548" i="3"/>
  <c r="C532" i="3"/>
  <c r="C516" i="3"/>
  <c r="C497" i="3"/>
  <c r="C480" i="3"/>
  <c r="C464" i="3"/>
  <c r="C447" i="3"/>
  <c r="C432" i="3"/>
  <c r="C414" i="3"/>
  <c r="C392" i="3"/>
  <c r="C372" i="3"/>
  <c r="C348" i="3"/>
  <c r="C324" i="3"/>
  <c r="C294" i="3"/>
  <c r="C270" i="3"/>
  <c r="C241" i="3"/>
  <c r="C208" i="3"/>
  <c r="C174" i="3"/>
  <c r="C140" i="3"/>
  <c r="C107" i="3"/>
  <c r="C70" i="3"/>
  <c r="B4" i="3"/>
  <c r="C4" i="3" s="1"/>
  <c r="C5" i="3"/>
  <c r="C13" i="3"/>
  <c r="C21" i="3"/>
  <c r="C29" i="3"/>
  <c r="C37" i="3"/>
  <c r="C45" i="3"/>
  <c r="C7" i="3"/>
  <c r="C15" i="3"/>
  <c r="C23" i="3"/>
  <c r="C31" i="3"/>
  <c r="C39" i="3"/>
  <c r="C47" i="3"/>
  <c r="C55" i="3"/>
  <c r="C63" i="3"/>
  <c r="C71" i="3"/>
  <c r="C79" i="3"/>
  <c r="C87" i="3"/>
  <c r="C95" i="3"/>
  <c r="C103" i="3"/>
  <c r="C111" i="3"/>
  <c r="C119" i="3"/>
  <c r="C127" i="3"/>
  <c r="C135" i="3"/>
  <c r="C143" i="3"/>
  <c r="C151" i="3"/>
  <c r="C159" i="3"/>
  <c r="C167" i="3"/>
  <c r="C175" i="3"/>
  <c r="C183" i="3"/>
  <c r="C191" i="3"/>
  <c r="C199" i="3"/>
  <c r="C207" i="3"/>
  <c r="C215" i="3"/>
  <c r="C223" i="3"/>
  <c r="C231" i="3"/>
  <c r="C239" i="3"/>
  <c r="C247" i="3"/>
  <c r="C255" i="3"/>
  <c r="C263" i="3"/>
  <c r="C271" i="3"/>
  <c r="C279" i="3"/>
  <c r="C287" i="3"/>
  <c r="C295" i="3"/>
  <c r="C303" i="3"/>
  <c r="C311" i="3"/>
  <c r="C319" i="3"/>
  <c r="C327" i="3"/>
  <c r="C335" i="3"/>
  <c r="C343" i="3"/>
  <c r="C351" i="3"/>
  <c r="C359" i="3"/>
  <c r="C367" i="3"/>
  <c r="C10" i="3"/>
  <c r="C18" i="3"/>
  <c r="C26" i="3"/>
  <c r="C34" i="3"/>
  <c r="C42" i="3"/>
  <c r="C50" i="3"/>
  <c r="C58" i="3"/>
  <c r="C66" i="3"/>
  <c r="C74" i="3"/>
  <c r="C82" i="3"/>
  <c r="C90" i="3"/>
  <c r="C98" i="3"/>
  <c r="C106" i="3"/>
  <c r="C114" i="3"/>
  <c r="C122" i="3"/>
  <c r="C130" i="3"/>
  <c r="C138" i="3"/>
  <c r="C146" i="3"/>
  <c r="C154" i="3"/>
  <c r="C162" i="3"/>
  <c r="C170" i="3"/>
  <c r="C178" i="3"/>
  <c r="C186" i="3"/>
  <c r="C194" i="3"/>
  <c r="C202" i="3"/>
  <c r="C210" i="3"/>
  <c r="C218" i="3"/>
  <c r="C226" i="3"/>
  <c r="C234" i="3"/>
  <c r="C242" i="3"/>
  <c r="C250" i="3"/>
  <c r="C258" i="3"/>
  <c r="C266" i="3"/>
  <c r="C274" i="3"/>
  <c r="C282" i="3"/>
  <c r="C290" i="3"/>
  <c r="C298" i="3"/>
  <c r="C306" i="3"/>
  <c r="C314" i="3"/>
  <c r="C322" i="3"/>
  <c r="C330" i="3"/>
  <c r="C338" i="3"/>
  <c r="C346" i="3"/>
  <c r="C354" i="3"/>
  <c r="C362" i="3"/>
  <c r="C370" i="3"/>
  <c r="C378" i="3"/>
  <c r="C386" i="3"/>
  <c r="C394" i="3"/>
  <c r="C402" i="3"/>
  <c r="C410" i="3"/>
  <c r="C418" i="3"/>
  <c r="C426" i="3"/>
  <c r="C434" i="3"/>
  <c r="C442" i="3"/>
  <c r="C450" i="3"/>
  <c r="C458" i="3"/>
  <c r="C466" i="3"/>
  <c r="C474" i="3"/>
  <c r="C482" i="3"/>
  <c r="C490" i="3"/>
  <c r="C498" i="3"/>
  <c r="C506" i="3"/>
  <c r="C514" i="3"/>
  <c r="C522" i="3"/>
  <c r="C530" i="3"/>
  <c r="C538" i="3"/>
  <c r="C546" i="3"/>
  <c r="C554" i="3"/>
  <c r="C562" i="3"/>
  <c r="C570" i="3"/>
  <c r="C578" i="3"/>
  <c r="C586" i="3"/>
  <c r="C594" i="3"/>
  <c r="C602" i="3"/>
  <c r="C610" i="3"/>
  <c r="C618" i="3"/>
  <c r="C626" i="3"/>
  <c r="C634" i="3"/>
  <c r="C642" i="3"/>
  <c r="C650" i="3"/>
  <c r="C658" i="3"/>
  <c r="C666" i="3"/>
  <c r="C674" i="3"/>
  <c r="C682" i="3"/>
  <c r="C6" i="3"/>
  <c r="C19" i="3"/>
  <c r="C32" i="3"/>
  <c r="C44" i="3"/>
  <c r="C56" i="3"/>
  <c r="C67" i="3"/>
  <c r="C77" i="3"/>
  <c r="C88" i="3"/>
  <c r="C99" i="3"/>
  <c r="C109" i="3"/>
  <c r="C120" i="3"/>
  <c r="C131" i="3"/>
  <c r="C141" i="3"/>
  <c r="C152" i="3"/>
  <c r="C163" i="3"/>
  <c r="C173" i="3"/>
  <c r="C184" i="3"/>
  <c r="C195" i="3"/>
  <c r="C205" i="3"/>
  <c r="C216" i="3"/>
  <c r="C227" i="3"/>
  <c r="C237" i="3"/>
  <c r="C248" i="3"/>
  <c r="C259" i="3"/>
  <c r="C269" i="3"/>
  <c r="C280" i="3"/>
  <c r="C291" i="3"/>
  <c r="C301" i="3"/>
  <c r="C312" i="3"/>
  <c r="C323" i="3"/>
  <c r="C333" i="3"/>
  <c r="C344" i="3"/>
  <c r="C355" i="3"/>
  <c r="C365" i="3"/>
  <c r="C375" i="3"/>
  <c r="C384" i="3"/>
  <c r="C393" i="3"/>
  <c r="C403" i="3"/>
  <c r="C412" i="3"/>
  <c r="C421" i="3"/>
  <c r="C430" i="3"/>
  <c r="C439" i="3"/>
  <c r="C448" i="3"/>
  <c r="C457" i="3"/>
  <c r="C467" i="3"/>
  <c r="C476" i="3"/>
  <c r="C485" i="3"/>
  <c r="C494" i="3"/>
  <c r="C503" i="3"/>
  <c r="C512" i="3"/>
  <c r="C521" i="3"/>
  <c r="C531" i="3"/>
  <c r="C540" i="3"/>
  <c r="C549" i="3"/>
  <c r="C558" i="3"/>
  <c r="C567" i="3"/>
  <c r="C576" i="3"/>
  <c r="C585" i="3"/>
  <c r="C595" i="3"/>
  <c r="C604" i="3"/>
  <c r="C613" i="3"/>
  <c r="C622" i="3"/>
  <c r="C631" i="3"/>
  <c r="C640" i="3"/>
  <c r="C649" i="3"/>
  <c r="C659" i="3"/>
  <c r="C668" i="3"/>
  <c r="C677" i="3"/>
  <c r="C686" i="3"/>
  <c r="C694" i="3"/>
  <c r="C702" i="3"/>
  <c r="C710" i="3"/>
  <c r="C718" i="3"/>
  <c r="C726" i="3"/>
  <c r="C734" i="3"/>
  <c r="C742" i="3"/>
  <c r="C750" i="3"/>
  <c r="C758" i="3"/>
  <c r="C766" i="3"/>
  <c r="C774" i="3"/>
  <c r="C782" i="3"/>
  <c r="C790" i="3"/>
  <c r="C798" i="3"/>
  <c r="C806" i="3"/>
  <c r="C814" i="3"/>
  <c r="C8" i="3"/>
  <c r="C12" i="3"/>
  <c r="C25" i="3"/>
  <c r="C38" i="3"/>
  <c r="C51" i="3"/>
  <c r="C61" i="3"/>
  <c r="C72" i="3"/>
  <c r="C83" i="3"/>
  <c r="C93" i="3"/>
  <c r="C104" i="3"/>
  <c r="C115" i="3"/>
  <c r="C125" i="3"/>
  <c r="C136" i="3"/>
  <c r="C147" i="3"/>
  <c r="C157" i="3"/>
  <c r="C168" i="3"/>
  <c r="C179" i="3"/>
  <c r="C189" i="3"/>
  <c r="C200" i="3"/>
  <c r="C211" i="3"/>
  <c r="C221" i="3"/>
  <c r="C232" i="3"/>
  <c r="C243" i="3"/>
  <c r="C14" i="3"/>
  <c r="C27" i="3"/>
  <c r="C40" i="3"/>
  <c r="C52" i="3"/>
  <c r="C62" i="3"/>
  <c r="C73" i="3"/>
  <c r="C84" i="3"/>
  <c r="C94" i="3"/>
  <c r="C105" i="3"/>
  <c r="C116" i="3"/>
  <c r="C126" i="3"/>
  <c r="C137" i="3"/>
  <c r="C148" i="3"/>
  <c r="C158" i="3"/>
  <c r="C169" i="3"/>
  <c r="C180" i="3"/>
  <c r="C190" i="3"/>
  <c r="C201" i="3"/>
  <c r="C212" i="3"/>
  <c r="C222" i="3"/>
  <c r="C233" i="3"/>
  <c r="C244" i="3"/>
  <c r="C254" i="3"/>
  <c r="C265" i="3"/>
  <c r="C276" i="3"/>
  <c r="C286" i="3"/>
  <c r="C297" i="3"/>
  <c r="C308" i="3"/>
  <c r="C318" i="3"/>
  <c r="C9" i="3"/>
  <c r="C30" i="3"/>
  <c r="C49" i="3"/>
  <c r="C68" i="3"/>
  <c r="C85" i="3"/>
  <c r="C101" i="3"/>
  <c r="C118" i="3"/>
  <c r="C134" i="3"/>
  <c r="C153" i="3"/>
  <c r="C171" i="3"/>
  <c r="C187" i="3"/>
  <c r="C204" i="3"/>
  <c r="C220" i="3"/>
  <c r="C238" i="3"/>
  <c r="C253" i="3"/>
  <c r="C268" i="3"/>
  <c r="C283" i="3"/>
  <c r="C296" i="3"/>
  <c r="C310" i="3"/>
  <c r="C325" i="3"/>
  <c r="C337" i="3"/>
  <c r="C349" i="3"/>
  <c r="C361" i="3"/>
  <c r="C373" i="3"/>
  <c r="C383" i="3"/>
  <c r="C395" i="3"/>
  <c r="C405" i="3"/>
  <c r="C415" i="3"/>
  <c r="C425" i="3"/>
  <c r="C436" i="3"/>
  <c r="C446" i="3"/>
  <c r="C456" i="3"/>
  <c r="C468" i="3"/>
  <c r="C478" i="3"/>
  <c r="C488" i="3"/>
  <c r="C499" i="3"/>
  <c r="C509" i="3"/>
  <c r="C519" i="3"/>
  <c r="C529" i="3"/>
  <c r="C541" i="3"/>
  <c r="C551" i="3"/>
  <c r="C561" i="3"/>
  <c r="C572" i="3"/>
  <c r="C582" i="3"/>
  <c r="C592" i="3"/>
  <c r="C603" i="3"/>
  <c r="C614" i="3"/>
  <c r="C624" i="3"/>
  <c r="C635" i="3"/>
  <c r="C645" i="3"/>
  <c r="C655" i="3"/>
  <c r="C665" i="3"/>
  <c r="C676" i="3"/>
  <c r="C687" i="3"/>
  <c r="C696" i="3"/>
  <c r="C705" i="3"/>
  <c r="C714" i="3"/>
  <c r="C723" i="3"/>
  <c r="C732" i="3"/>
  <c r="C741" i="3"/>
  <c r="C751" i="3"/>
  <c r="C760" i="3"/>
  <c r="C769" i="3"/>
  <c r="C778" i="3"/>
  <c r="C787" i="3"/>
  <c r="C796" i="3"/>
  <c r="C805" i="3"/>
  <c r="C815" i="3"/>
  <c r="C823" i="3"/>
  <c r="C831" i="3"/>
  <c r="C839" i="3"/>
  <c r="C847" i="3"/>
  <c r="C855" i="3"/>
  <c r="C863" i="3"/>
  <c r="C871" i="3"/>
  <c r="C879" i="3"/>
  <c r="C887" i="3"/>
  <c r="C11" i="3"/>
  <c r="C33" i="3"/>
  <c r="C53" i="3"/>
  <c r="C69" i="3"/>
  <c r="C86" i="3"/>
  <c r="C102" i="3"/>
  <c r="C121" i="3"/>
  <c r="C139" i="3"/>
  <c r="C155" i="3"/>
  <c r="C172" i="3"/>
  <c r="C188" i="3"/>
  <c r="C206" i="3"/>
  <c r="C224" i="3"/>
  <c r="C240" i="3"/>
  <c r="C256" i="3"/>
  <c r="C284" i="3"/>
  <c r="C299" i="3"/>
  <c r="C313" i="3"/>
  <c r="C326" i="3"/>
  <c r="C339" i="3"/>
  <c r="C350" i="3"/>
  <c r="C363" i="3"/>
  <c r="C374" i="3"/>
  <c r="C385" i="3"/>
  <c r="C396" i="3"/>
  <c r="C406" i="3"/>
  <c r="C16" i="3"/>
  <c r="C17" i="3"/>
  <c r="C36" i="3"/>
  <c r="C57" i="3"/>
  <c r="C75" i="3"/>
  <c r="C91" i="3"/>
  <c r="C108" i="3"/>
  <c r="C124" i="3"/>
  <c r="C142" i="3"/>
  <c r="C160" i="3"/>
  <c r="C176" i="3"/>
  <c r="C193" i="3"/>
  <c r="C209" i="3"/>
  <c r="C228" i="3"/>
  <c r="C245" i="3"/>
  <c r="C260" i="3"/>
  <c r="C273" i="3"/>
  <c r="C288" i="3"/>
  <c r="C302" i="3"/>
  <c r="C316" i="3"/>
  <c r="C329" i="3"/>
  <c r="C341" i="3"/>
  <c r="C353" i="3"/>
  <c r="C366" i="3"/>
  <c r="C377" i="3"/>
  <c r="C388" i="3"/>
  <c r="C398" i="3"/>
  <c r="C408" i="3"/>
  <c r="C419" i="3"/>
  <c r="C429" i="3"/>
  <c r="C440" i="3"/>
  <c r="C451" i="3"/>
  <c r="C461" i="3"/>
  <c r="C471" i="3"/>
  <c r="C481" i="3"/>
  <c r="C492" i="3"/>
  <c r="C502" i="3"/>
  <c r="C513" i="3"/>
  <c r="C524" i="3"/>
  <c r="C534" i="3"/>
  <c r="C544" i="3"/>
  <c r="C555" i="3"/>
  <c r="C565" i="3"/>
  <c r="C575" i="3"/>
  <c r="C587" i="3"/>
  <c r="C597" i="3"/>
  <c r="C607" i="3"/>
  <c r="C617" i="3"/>
  <c r="C628" i="3"/>
  <c r="C638" i="3"/>
  <c r="C648" i="3"/>
  <c r="C660" i="3"/>
  <c r="C670" i="3"/>
  <c r="C680" i="3"/>
  <c r="C690" i="3"/>
  <c r="C699" i="3"/>
  <c r="C708" i="3"/>
  <c r="C717" i="3"/>
  <c r="C727" i="3"/>
  <c r="C736" i="3"/>
  <c r="C745" i="3"/>
  <c r="C754" i="3"/>
  <c r="C763" i="3"/>
  <c r="C772" i="3"/>
  <c r="C781" i="3"/>
  <c r="C791" i="3"/>
  <c r="C800" i="3"/>
  <c r="C809" i="3"/>
  <c r="C818" i="3"/>
  <c r="C826" i="3"/>
  <c r="C834" i="3"/>
  <c r="C842" i="3"/>
  <c r="C850" i="3"/>
  <c r="C858" i="3"/>
  <c r="C866" i="3"/>
  <c r="C874" i="3"/>
  <c r="C882" i="3"/>
  <c r="C890" i="3"/>
  <c r="C20" i="3"/>
  <c r="C41" i="3"/>
  <c r="C59" i="3"/>
  <c r="C76" i="3"/>
  <c r="C92" i="3"/>
  <c r="C110" i="3"/>
  <c r="C128" i="3"/>
  <c r="C144" i="3"/>
  <c r="C161" i="3"/>
  <c r="C177" i="3"/>
  <c r="C196" i="3"/>
  <c r="C213" i="3"/>
  <c r="C229" i="3"/>
  <c r="C246" i="3"/>
  <c r="C261" i="3"/>
  <c r="C275" i="3"/>
  <c r="C289" i="3"/>
  <c r="C304" i="3"/>
  <c r="C317" i="3"/>
  <c r="C331" i="3"/>
  <c r="C342" i="3"/>
  <c r="C356" i="3"/>
  <c r="C368" i="3"/>
  <c r="C379" i="3"/>
  <c r="C389" i="3"/>
  <c r="C399" i="3"/>
  <c r="C409" i="3"/>
  <c r="C420" i="3"/>
  <c r="C431" i="3"/>
  <c r="C441" i="3"/>
  <c r="C452" i="3"/>
  <c r="C462" i="3"/>
  <c r="C472" i="3"/>
  <c r="C483" i="3"/>
  <c r="C493" i="3"/>
  <c r="C504" i="3"/>
  <c r="C515" i="3"/>
  <c r="C525" i="3"/>
  <c r="C535" i="3"/>
  <c r="C545" i="3"/>
  <c r="C556" i="3"/>
  <c r="C566" i="3"/>
  <c r="C577" i="3"/>
  <c r="C588" i="3"/>
  <c r="C598" i="3"/>
  <c r="C608" i="3"/>
  <c r="C619" i="3"/>
  <c r="C629" i="3"/>
  <c r="C639" i="3"/>
  <c r="C651" i="3"/>
  <c r="C661" i="3"/>
  <c r="C671" i="3"/>
  <c r="C681" i="3"/>
  <c r="C691" i="3"/>
  <c r="C700" i="3"/>
  <c r="C709" i="3"/>
  <c r="C719" i="3"/>
  <c r="C728" i="3"/>
  <c r="F85" i="3"/>
  <c r="F75" i="3"/>
  <c r="F56" i="3"/>
  <c r="F45" i="3"/>
  <c r="F34" i="3"/>
  <c r="F13" i="3"/>
  <c r="C893" i="3"/>
  <c r="C872" i="3"/>
  <c r="C861" i="3"/>
  <c r="C851" i="3"/>
  <c r="C829" i="3"/>
  <c r="C819" i="3"/>
  <c r="C794" i="3"/>
  <c r="C757" i="3"/>
  <c r="C720" i="3"/>
  <c r="C192" i="3"/>
  <c r="C81" i="3"/>
  <c r="C803" i="3"/>
  <c r="F90" i="3"/>
  <c r="F79" i="3"/>
  <c r="F59" i="3"/>
  <c r="F38" i="3"/>
  <c r="F17" i="3"/>
  <c r="C865" i="3"/>
  <c r="C844" i="3"/>
  <c r="C822" i="3"/>
  <c r="C799" i="3"/>
  <c r="C775" i="3"/>
  <c r="C749" i="3"/>
  <c r="C724" i="3"/>
  <c r="C695" i="3"/>
  <c r="C663" i="3"/>
  <c r="C630" i="3"/>
  <c r="C596" i="3"/>
  <c r="C563" i="3"/>
  <c r="C528" i="3"/>
  <c r="C496" i="3"/>
  <c r="C445" i="3"/>
  <c r="C413" i="3"/>
  <c r="C371" i="3"/>
  <c r="C347" i="3"/>
  <c r="C321" i="3"/>
  <c r="C293" i="3"/>
  <c r="C267" i="3"/>
  <c r="C236" i="3"/>
  <c r="C203" i="3"/>
  <c r="C166" i="3"/>
  <c r="C100" i="3"/>
  <c r="C65" i="3"/>
  <c r="C28" i="3"/>
  <c r="E4" i="3"/>
  <c r="F4" i="3" s="1"/>
  <c r="F12" i="3"/>
  <c r="F20" i="3"/>
  <c r="F28" i="3"/>
  <c r="F36" i="3"/>
  <c r="F44" i="3"/>
  <c r="F52" i="3"/>
  <c r="F60" i="3"/>
  <c r="F68" i="3"/>
  <c r="F76" i="3"/>
  <c r="F84" i="3"/>
  <c r="F7" i="3"/>
  <c r="F15" i="3"/>
  <c r="F23" i="3"/>
  <c r="F31" i="3"/>
  <c r="F39" i="3"/>
  <c r="F47" i="3"/>
  <c r="F55" i="3"/>
  <c r="F63" i="3"/>
  <c r="F43" i="3"/>
  <c r="C881" i="3"/>
  <c r="C828" i="3"/>
  <c r="C780" i="3"/>
  <c r="C716" i="3"/>
  <c r="C637" i="3"/>
  <c r="C505" i="3"/>
  <c r="C150" i="3"/>
  <c r="C730" i="3"/>
  <c r="F81" i="3"/>
  <c r="F87" i="3"/>
  <c r="F78" i="3"/>
  <c r="F69" i="3"/>
  <c r="F58" i="3"/>
  <c r="F48" i="3"/>
  <c r="F37" i="3"/>
  <c r="F26" i="3"/>
  <c r="F16" i="3"/>
  <c r="F5" i="3"/>
  <c r="C885" i="3"/>
  <c r="C875" i="3"/>
  <c r="C864" i="3"/>
  <c r="C853" i="3"/>
  <c r="C843" i="3"/>
  <c r="C832" i="3"/>
  <c r="C821" i="3"/>
  <c r="C810" i="3"/>
  <c r="C797" i="3"/>
  <c r="C773" i="3"/>
  <c r="C761" i="3"/>
  <c r="C748" i="3"/>
  <c r="C737" i="3"/>
  <c r="C722" i="3"/>
  <c r="C707" i="3"/>
  <c r="C693" i="3"/>
  <c r="C678" i="3"/>
  <c r="C662" i="3"/>
  <c r="C644" i="3"/>
  <c r="C627" i="3"/>
  <c r="C611" i="3"/>
  <c r="C593" i="3"/>
  <c r="C579" i="3"/>
  <c r="C560" i="3"/>
  <c r="C543" i="3"/>
  <c r="C527" i="3"/>
  <c r="C510" i="3"/>
  <c r="C495" i="3"/>
  <c r="C477" i="3"/>
  <c r="C460" i="3"/>
  <c r="C444" i="3"/>
  <c r="C427" i="3"/>
  <c r="C411" i="3"/>
  <c r="C390" i="3"/>
  <c r="C369" i="3"/>
  <c r="C345" i="3"/>
  <c r="C320" i="3"/>
  <c r="C292" i="3"/>
  <c r="C264" i="3"/>
  <c r="C235" i="3"/>
  <c r="C198" i="3"/>
  <c r="C165" i="3"/>
  <c r="C132" i="3"/>
  <c r="C97" i="3"/>
  <c r="C64" i="3"/>
  <c r="C24" i="3"/>
  <c r="C156" i="3"/>
  <c r="F83" i="3"/>
  <c r="F54" i="3"/>
  <c r="F22" i="3"/>
  <c r="C860" i="3"/>
  <c r="C804" i="3"/>
  <c r="C744" i="3"/>
  <c r="C688" i="3"/>
  <c r="C621" i="3"/>
  <c r="C553" i="3"/>
  <c r="C117" i="3"/>
  <c r="F88" i="3"/>
  <c r="F70" i="3"/>
  <c r="F49" i="3"/>
  <c r="F27" i="3"/>
  <c r="C886" i="3"/>
  <c r="C876" i="3"/>
  <c r="C854" i="3"/>
  <c r="C833" i="3"/>
  <c r="C811" i="3"/>
  <c r="C786" i="3"/>
  <c r="C762" i="3"/>
  <c r="C738" i="3"/>
  <c r="C711" i="3"/>
  <c r="C679" i="3"/>
  <c r="C646" i="3"/>
  <c r="C612" i="3"/>
  <c r="C580" i="3"/>
  <c r="C547" i="3"/>
  <c r="C511" i="3"/>
  <c r="C479" i="3"/>
  <c r="C463" i="3"/>
  <c r="C428" i="3"/>
  <c r="C391" i="3"/>
  <c r="C133" i="3"/>
  <c r="C785" i="3"/>
  <c r="F86" i="3"/>
  <c r="F77" i="3"/>
  <c r="F67" i="3"/>
  <c r="F57" i="3"/>
  <c r="F46" i="3"/>
  <c r="F35" i="3"/>
  <c r="F25" i="3"/>
  <c r="F14" i="3"/>
  <c r="C894" i="3"/>
  <c r="C884" i="3"/>
  <c r="C873" i="3"/>
  <c r="C862" i="3"/>
  <c r="C852" i="3"/>
  <c r="C841" i="3"/>
  <c r="C830" i="3"/>
  <c r="C820" i="3"/>
  <c r="C808" i="3"/>
  <c r="C795" i="3"/>
  <c r="C784" i="3"/>
  <c r="C771" i="3"/>
  <c r="C759" i="3"/>
  <c r="C747" i="3"/>
  <c r="C735" i="3"/>
  <c r="C721" i="3"/>
  <c r="C706" i="3"/>
  <c r="C692" i="3"/>
  <c r="C675" i="3"/>
  <c r="C657" i="3"/>
  <c r="C643" i="3"/>
  <c r="C625" i="3"/>
  <c r="C609" i="3"/>
  <c r="C591" i="3"/>
  <c r="C574" i="3"/>
  <c r="C559" i="3"/>
  <c r="C542" i="3"/>
  <c r="C526" i="3"/>
  <c r="C508" i="3"/>
  <c r="C491" i="3"/>
  <c r="C475" i="3"/>
  <c r="C459" i="3"/>
  <c r="C443" i="3"/>
  <c r="C424" i="3"/>
  <c r="C407" i="3"/>
  <c r="C387" i="3"/>
  <c r="C364" i="3"/>
  <c r="C340" i="3"/>
  <c r="C315" i="3"/>
  <c r="C285" i="3"/>
  <c r="C262" i="3"/>
  <c r="C230" i="3"/>
  <c r="C197" i="3"/>
  <c r="C164" i="3"/>
  <c r="C129" i="3"/>
  <c r="C96" i="3"/>
  <c r="C60" i="3"/>
  <c r="C2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<sst xmlns="http://schemas.openxmlformats.org/spreadsheetml/2006/main" count="3161" uniqueCount="1019">
  <si>
    <t>Sobrevive</t>
  </si>
  <si>
    <t>Clase</t>
  </si>
  <si>
    <t>Nombre</t>
  </si>
  <si>
    <t>Sexo</t>
  </si>
  <si>
    <t>Edad</t>
  </si>
  <si>
    <t>Familia Horizontal</t>
  </si>
  <si>
    <t>Familia Vertical</t>
  </si>
  <si>
    <t>Pagado</t>
  </si>
  <si>
    <t>Cabina</t>
  </si>
  <si>
    <t>Puerto</t>
  </si>
  <si>
    <t>Braund, Mr. Owen Harris</t>
  </si>
  <si>
    <t>Hombre</t>
  </si>
  <si>
    <t>Southampton</t>
  </si>
  <si>
    <t>Cumings, Mrs. John Bradley (Florence Briggs Thayer)</t>
  </si>
  <si>
    <t>Mujer</t>
  </si>
  <si>
    <t>Cherburg</t>
  </si>
  <si>
    <t>Heikkinen, Miss. Laina</t>
  </si>
  <si>
    <t>Futrelle, Mrs. Jacques Heath (Lily May Peel)</t>
  </si>
  <si>
    <t>Allen, Mr. William Henry</t>
  </si>
  <si>
    <t>Moran, Mr. James</t>
  </si>
  <si>
    <t>Queenstown</t>
  </si>
  <si>
    <t>McCarthy, Mr. Timothy J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</si>
  <si>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</si>
  <si>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</si>
  <si>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</si>
  <si>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</si>
  <si>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Bonnell, Miss. Elizabeth</t>
  </si>
  <si>
    <t>Saundercock, Mr. William Henry</t>
  </si>
  <si>
    <t>Andersson, Mr. Anders Johan</t>
  </si>
  <si>
    <t>Vestrom, Miss. Hulda Amanda Adolfina</t>
  </si>
  <si>
    <t>Hewlett, Mrs. (Mary D Kingcome) 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</si>
  <si>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</si>
  <si>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</si>
  <si>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</si>
  <si>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</si>
  <si>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</si>
  <si>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</si>
  <si>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McGowan, Miss. Anna "Annie"</t>
  </si>
  <si>
    <t>Sloper, Mr. William Thompson</t>
  </si>
  <si>
    <t>Palsson, Miss. Torborg Danira</t>
  </si>
  <si>
    <t>Asplund, Mrs. Carl Oscar (Selma Augusta Emilia Johansson)</t>
  </si>
  <si>
    <t>Emir, Mr. Farred Chehab</t>
  </si>
  <si>
    <t>Fortune, Mr. Charles Alexander</t>
  </si>
  <si>
    <t>O'Dwyer, Miss. Ellen "Nellie"</t>
  </si>
  <si>
    <t>Todoroff, Mr. Lalio</t>
  </si>
  <si>
    <t>Uruchurtu, Don. Manuel E</t>
  </si>
  <si>
    <t>Spencer, Mrs. William Augustus (Marie Eugenie)</t>
  </si>
  <si>
    <t>Glynn, Miss. Mary Agatha</t>
  </si>
  <si>
    <t>Wheadon, Mr. Edward H</t>
  </si>
  <si>
    <t>Meyer, Mr. Edgar Joseph</t>
  </si>
  <si>
    <t>Holverson, Mr. Alexander Oskar</t>
  </si>
  <si>
    <t>Mamee, Mr. Hanna</t>
  </si>
  <si>
    <t>Cann, Mr. Ernest Charles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</si>
  <si>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</si>
  <si>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</si>
  <si>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</si>
  <si>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</si>
  <si>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</si>
  <si>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</si>
  <si>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Devaney, Miss. Margaret Delia</t>
  </si>
  <si>
    <t>Rogers, Mr. William John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</si>
  <si>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</si>
  <si>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</si>
  <si>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</si>
  <si>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</si>
  <si>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</si>
  <si>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</si>
  <si>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Harper, Mrs. Henry Sleeper (Myna Haxtun)</t>
  </si>
  <si>
    <t>Faunthorpe, Mrs. Lizzie (Elizabeth Anne Wilkinson)</t>
  </si>
  <si>
    <t>Ostby, Mr. Engelhart Cornelius</t>
  </si>
  <si>
    <t>Woolner, Mr. Hugh</t>
  </si>
  <si>
    <t>Rugg, Miss. Emily</t>
  </si>
  <si>
    <t>Novel, Mr. Mansouer</t>
  </si>
  <si>
    <t>West, Miss. Constance Mirium</t>
  </si>
  <si>
    <t>Goodwin, Master. William Frederick</t>
  </si>
  <si>
    <t>Sirayanian, Mr. Orsen</t>
  </si>
  <si>
    <t>Icard, Miss. Amelie</t>
  </si>
  <si>
    <t>Harris, Mr. Henry Birkhardt</t>
  </si>
  <si>
    <t>Skoog, Master. Harald</t>
  </si>
  <si>
    <t>Stewart, Mr. Albert A</t>
  </si>
  <si>
    <t>Moubarek, Master. Gerios</t>
  </si>
  <si>
    <t>Nye, Mrs. (Elizabeth Ramell)</t>
  </si>
  <si>
    <t>Crease, Mr. Ernest James</t>
  </si>
  <si>
    <t>Andersson, Miss. Erna Alexandra</t>
  </si>
  <si>
    <t>Kink, Mr. Vincenz</t>
  </si>
  <si>
    <t>Jenkin, Mr. Stephen Curnow</t>
  </si>
  <si>
    <t>Goodwin, Miss. Lillian Amy</t>
  </si>
  <si>
    <t>Hood, Mr. Ambrose Jr</t>
  </si>
  <si>
    <t>Chronopoulos, Mr. Apostolos</t>
  </si>
  <si>
    <t>Bing, Mr. Lee</t>
  </si>
  <si>
    <t>Moen, Mr. Sigurd Hansen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</si>
  <si>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</si>
  <si>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</si>
  <si>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</si>
  <si>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</si>
  <si>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</si>
  <si>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</si>
  <si>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</si>
  <si>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</si>
  <si>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</si>
  <si>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Backstrom, Mrs. Karl Alfred (Maria Mathilda Gustafsson)</t>
  </si>
  <si>
    <t>Ford, Mr. William Neal</t>
  </si>
  <si>
    <t>Slocovski, Mr. Selman Francis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</si>
  <si>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</si>
  <si>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</si>
  <si>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</si>
  <si>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</si>
  <si>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</si>
  <si>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Dean, Mr. Bertram Frank</t>
  </si>
  <si>
    <t>Coxon, Mr. Daniel</t>
  </si>
  <si>
    <t>Shorney, Mr. Charles Joseph</t>
  </si>
  <si>
    <t>Goldschmidt, Mr. George B</t>
  </si>
  <si>
    <t>Greenfield, Mr. William Bertram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</si>
  <si>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</si>
  <si>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</si>
  <si>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</si>
  <si>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</si>
  <si>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</si>
  <si>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</si>
  <si>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</si>
  <si>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</si>
  <si>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</si>
  <si>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</si>
  <si>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</si>
  <si>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</si>
  <si>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</si>
  <si>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Zabour, Miss. Hileni</t>
  </si>
  <si>
    <t>Barton, Mr. David John</t>
  </si>
  <si>
    <t>Jussila, Miss. Katriina</t>
  </si>
  <si>
    <t>Attalah, Miss. Malake</t>
  </si>
  <si>
    <t>Pekoniemi, Mr. Edvard</t>
  </si>
  <si>
    <t>Connors, Mr. Patrick</t>
  </si>
  <si>
    <t>Turpin, Mr. William John Robert</t>
  </si>
  <si>
    <t>Baxter, Mr. Quigg Edmond</t>
  </si>
  <si>
    <t>Andersson, Miss. Ellis Anna Maria</t>
  </si>
  <si>
    <t>Hickman, Mr. Stanley George</t>
  </si>
  <si>
    <t>Moore, Mr. Leonard Charles</t>
  </si>
  <si>
    <t>Nasser, Mr. Nicholas</t>
  </si>
  <si>
    <t>Webber, Miss. Susan</t>
  </si>
  <si>
    <t>White, Mr. Percival Wayland</t>
  </si>
  <si>
    <t>Nicola-Yarred, Master. Elias</t>
  </si>
  <si>
    <t>McMahon, Mr. Martin</t>
  </si>
  <si>
    <t>Madsen, Mr. Fridtjof Arne</t>
  </si>
  <si>
    <t>Peter, Miss. Anna</t>
  </si>
  <si>
    <t>Ekstrom, Mr. Johan</t>
  </si>
  <si>
    <t>Drazenoic, Mr. Jozef</t>
  </si>
  <si>
    <t>Coelho, Mr. Domingos Fernandeo</t>
  </si>
  <si>
    <t>Robins, Mrs. Alexander A (Grace Charity Laury)</t>
  </si>
  <si>
    <t>Weisz, Mrs. Leopold (Mathilde Francoise Pede)</t>
  </si>
  <si>
    <t>Sobey, Mr. Samuel James Hayden</t>
  </si>
  <si>
    <t>Richard, Mr. Emile</t>
  </si>
  <si>
    <t>Newsom, Miss. Helen Monypeny</t>
  </si>
  <si>
    <t>Futrelle, Mr. Jacques Heath</t>
  </si>
  <si>
    <t>Osen, Mr. Olaf Elon</t>
  </si>
  <si>
    <t>Giglio, Mr. Victor</t>
  </si>
  <si>
    <t>Boulos, Mrs. Joseph (Sultana)</t>
  </si>
  <si>
    <t>Nysten, Miss. Anna Sofia</t>
  </si>
  <si>
    <t>Hakkarainen, Mrs. Pekka Pietari (Elin Matilda Dolck)</t>
  </si>
  <si>
    <t>Burke, Mr. Jeremiah</t>
  </si>
  <si>
    <t>Andrew, Mr. Edgardo Samuel</t>
  </si>
  <si>
    <t>Nicholls, Mr. Joseph Charles</t>
  </si>
  <si>
    <t>Andersson, Mr. August Edvard ("Wennerstrom")</t>
  </si>
  <si>
    <t>Ford, Miss. Robina Maggie "Ruby"</t>
  </si>
  <si>
    <t>Navratil, Mr. Michel ("Louis M Hoffman")</t>
  </si>
  <si>
    <t>Byles, Rev. Thomas Roussel Davids</t>
  </si>
  <si>
    <t>Bateman, Rev. Robert James</t>
  </si>
  <si>
    <t>Pears, Mrs. Thomas (Edith Wearne)</t>
  </si>
  <si>
    <t>Meo, Mr. Alfonzo</t>
  </si>
  <si>
    <t>van Billiard, Mr. Austin Blyler</t>
  </si>
  <si>
    <t>Olsen, Mr. Ole Martin</t>
  </si>
  <si>
    <t>Williams, Mr. Charles Duane</t>
  </si>
  <si>
    <t>Gilnagh, Miss. Katherine "Katie"</t>
  </si>
  <si>
    <t>Corn, Mr. Harry</t>
  </si>
  <si>
    <t>Smiljanic, Mr. Mile</t>
  </si>
  <si>
    <t>Sage, Master. Thomas Henry</t>
  </si>
  <si>
    <t>Cribb, Mr. John Hatfield</t>
  </si>
  <si>
    <t>Watt, Mrs. James (Elizabeth "Bessie" Inglis Milne)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</si>
  <si>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</si>
  <si>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</si>
  <si>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</si>
  <si>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</si>
  <si>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</si>
  <si>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Skoog, Mrs. William (Anna Bernhardina Karlsson)</t>
  </si>
  <si>
    <t>Baumann, Mr. John D</t>
  </si>
  <si>
    <t>Ling, Mr. Lee</t>
  </si>
  <si>
    <t>Van der hoef, Mr. Wyckoff</t>
  </si>
  <si>
    <t>Rice, Master. Arthur</t>
  </si>
  <si>
    <t>Johnson, Miss. Eleanor Ileen</t>
  </si>
  <si>
    <t>Sivola, Mr. Antti Wilhelm</t>
  </si>
  <si>
    <t>Smith, Mr. James Clinch</t>
  </si>
  <si>
    <t>Klasen, Mr. Klas Albin</t>
  </si>
  <si>
    <t>Lefebre, Master. Henry Forbes</t>
  </si>
  <si>
    <t>Isham, Miss. Ann Elizabeth</t>
  </si>
  <si>
    <t>Hale, Mr. Reginald</t>
  </si>
  <si>
    <t>Leonard, Mr. Lionel</t>
  </si>
  <si>
    <t>Sage, Miss. Constance Gladys</t>
  </si>
  <si>
    <t>Pernot, Mr. Rene</t>
  </si>
  <si>
    <t>Asplund, Master. Clarence Gustaf Hugo</t>
  </si>
  <si>
    <t>Becker, Master. Richard F</t>
  </si>
  <si>
    <t>Kink-Heilmann, Miss. Luise Gretchen</t>
  </si>
  <si>
    <t>Rood, Mr. Hugh Roscoe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</si>
  <si>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</si>
  <si>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</si>
  <si>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</si>
  <si>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</si>
  <si>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</si>
  <si>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</si>
  <si>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</si>
  <si>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</si>
  <si>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</si>
  <si>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Lurette, Miss. Elise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</si>
  <si>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</si>
  <si>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</si>
  <si>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</si>
  <si>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</si>
  <si>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</si>
  <si>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</si>
  <si>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</si>
  <si>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</si>
  <si>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</si>
  <si>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</si>
  <si>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</si>
  <si>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</si>
  <si>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</si>
  <si>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</si>
  <si>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Ali, Mr. Ahmed</t>
  </si>
  <si>
    <t>Cameron, Miss. Clear Annie</t>
  </si>
  <si>
    <t>Perkin, Mr. John Henry</t>
  </si>
  <si>
    <t>Givard, Mr. Hans Kristensen</t>
  </si>
  <si>
    <t>Kiernan, Mr. Philip</t>
  </si>
  <si>
    <t>Newell, Miss. Madeleine</t>
  </si>
  <si>
    <t>Honkanen, Miss. Eliina</t>
  </si>
  <si>
    <t>Jacobsohn, Mr. Sidney Samuel</t>
  </si>
  <si>
    <t>Bazzani, Miss. Albina</t>
  </si>
  <si>
    <t>Harris, Mr. Walter</t>
  </si>
  <si>
    <t>Sunderland, Mr. Victor Francis</t>
  </si>
  <si>
    <t>Bracken, Mr. James H</t>
  </si>
  <si>
    <t>Green, Mr. George Henry</t>
  </si>
  <si>
    <t>Nenkoff, Mr. Christo</t>
  </si>
  <si>
    <t>Hoyt, Mr. Frederick Maxfield</t>
  </si>
  <si>
    <t>Berglund, Mr. Karl Ivar Sven</t>
  </si>
  <si>
    <t>Mellors, Mr. William John</t>
  </si>
  <si>
    <t>Lovell, Mr. John Hall ("Henry")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</si>
  <si>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</si>
  <si>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</si>
  <si>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</si>
  <si>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</si>
  <si>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</si>
  <si>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</si>
  <si>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</si>
  <si>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Harknett, Miss. Alice Phoebe</t>
  </si>
  <si>
    <t>Hold, Mr. Stephen</t>
  </si>
  <si>
    <t>Collyer, Miss. Marjorie "Lottie"</t>
  </si>
  <si>
    <t>Pengelly, Mr. Frederick William</t>
  </si>
  <si>
    <t>Hunt, Mr. George Henry</t>
  </si>
  <si>
    <t>Zabour, Miss. Thamine</t>
  </si>
  <si>
    <t>Murphy, Miss. Katherine "Kate"</t>
  </si>
  <si>
    <t>Coleridge, Mr. Reginald Charles</t>
  </si>
  <si>
    <t>Maenpaa, Mr. Matti Alexanteri</t>
  </si>
  <si>
    <t>Attalah, Mr. Sleiman</t>
  </si>
  <si>
    <t>Minahan, Dr. William Edward</t>
  </si>
  <si>
    <t>Lindahl, Miss. Agda Thorilda Viktoria</t>
  </si>
  <si>
    <t>Hamalainen, Mrs. William (Anna)</t>
  </si>
  <si>
    <t>Beckwith, Mr. Richard Leonard</t>
  </si>
  <si>
    <t>Carter, Rev. Ernest Courtenay</t>
  </si>
  <si>
    <t>Reed, Mr. James George</t>
  </si>
  <si>
    <t>Strom, Mrs. Wilhelm (Elna Matilda Persson)</t>
  </si>
  <si>
    <t>Stead, Mr. William Thomas</t>
  </si>
  <si>
    <t>Lobb, Mr. William Arthur</t>
  </si>
  <si>
    <t>Rosblom, Mrs. Viktor (Helena Wilhelmina)</t>
  </si>
  <si>
    <t>Touma, Mrs. Darwis (Hanne Youssef Razi)</t>
  </si>
  <si>
    <t>Thorne, Mrs. Gertrude Maybelle</t>
  </si>
  <si>
    <t>Cherry, Miss. Gladys</t>
  </si>
  <si>
    <t>Ward, Miss. Anna</t>
  </si>
  <si>
    <t>Parrish, Mrs. (Lutie Davis)</t>
  </si>
  <si>
    <t>Smith, Mr. Thomas</t>
  </si>
  <si>
    <t>Asplund, Master. Edvin Rojj Felix</t>
  </si>
  <si>
    <t>Taussig, Mr. Emil</t>
  </si>
  <si>
    <t>Harrison, Mr. William</t>
  </si>
  <si>
    <t>Henry, Miss. Delia</t>
  </si>
  <si>
    <t>Reeves, Mr. David</t>
  </si>
  <si>
    <t>Panula, Mr. Ernesti Arvid</t>
  </si>
  <si>
    <t>Persson, Mr. Ernst Ulrik</t>
  </si>
  <si>
    <t>Graham, Mrs. William Thompson (Edith Junkins)</t>
  </si>
  <si>
    <t>Bissette, Miss. Amelia</t>
  </si>
  <si>
    <t>Cairns, Mr. Alexander</t>
  </si>
  <si>
    <t>Tornquist, Mr. William Henry</t>
  </si>
  <si>
    <t>Mellinger, Mrs. (Elizabeth Anne Maidment)</t>
  </si>
  <si>
    <t>Natsch, Mr. Charles H</t>
  </si>
  <si>
    <t>Healy, Miss. Hanora "Nora"</t>
  </si>
  <si>
    <t>Andrews, Miss. Kornelia Theodosia</t>
  </si>
  <si>
    <t>Lindblom, Miss. Augusta Charlotta</t>
  </si>
  <si>
    <t>Parkes, Mr. Francis "Frank"</t>
  </si>
  <si>
    <t>Rice, Master. Eric</t>
  </si>
  <si>
    <t>Abbott, Mrs. Stanton (Rosa Hunt)</t>
  </si>
  <si>
    <t>Duane, Mr. Frank</t>
  </si>
  <si>
    <t>Olsson, Mr. Nils Johan Goransson</t>
  </si>
  <si>
    <t>de Pelsmaeker, Mr. Alfons</t>
  </si>
  <si>
    <t>Dorking, Mr. Edward Arthur</t>
  </si>
  <si>
    <t>Smith, Mr. Richard William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</si>
  <si>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</si>
  <si>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</si>
  <si>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</si>
  <si>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</si>
  <si>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</si>
  <si>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</si>
  <si>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</si>
  <si>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Levy, Mr. Rene Jacques</t>
  </si>
  <si>
    <t>Haas, Miss. Aloisia</t>
  </si>
  <si>
    <t>Mineff, Mr. Ivan</t>
  </si>
  <si>
    <t>Lewy, Mr. Ervin G</t>
  </si>
  <si>
    <t>Hanna, Mr. Mansour</t>
  </si>
  <si>
    <t>Allison, Miss. Helen Loraine</t>
  </si>
  <si>
    <t>Saalfeld, Mr. Adolphe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</si>
  <si>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</si>
  <si>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</si>
  <si>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</si>
  <si>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</si>
  <si>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</si>
  <si>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</si>
  <si>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Allison, Master. Hudson Trevor</t>
  </si>
  <si>
    <t>Fleming, Miss. Margaret</t>
  </si>
  <si>
    <t>Penasco y Castellana, Mrs. Victor de Satode (Maria Josefa Perez de Soto y Vallejo)</t>
  </si>
  <si>
    <t>Abelson, Mr. Samuel</t>
  </si>
  <si>
    <t>Francatelli, Miss. Laura Mabel</t>
  </si>
  <si>
    <t>Hays, Miss. Margaret Bechstein</t>
  </si>
  <si>
    <t>Ryerson, Miss. Emily Borie</t>
  </si>
  <si>
    <t>Lahtinen, Mrs. William (Anna Sylfven)</t>
  </si>
  <si>
    <t>Hendekovic, Mr. Ignjac</t>
  </si>
  <si>
    <t>Hart, Mr. Benjamin</t>
  </si>
  <si>
    <t>Nilsson, Miss. Helmina Josefina</t>
  </si>
  <si>
    <t>Kantor, Mrs. Sinai (Miriam Sternin)</t>
  </si>
  <si>
    <t>Moraweck, Dr. Ernest</t>
  </si>
  <si>
    <t>Wick, Miss. Mary Natalie</t>
  </si>
  <si>
    <t>Spedden, Mrs. Frederic Oakley (Margaretta Corning Stone)</t>
  </si>
  <si>
    <t>Dennis, Mr. Samuel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</si>
  <si>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</si>
  <si>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</si>
  <si>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</si>
  <si>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</si>
  <si>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</si>
  <si>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Nysveen, Mr. Johan Hansen</t>
  </si>
  <si>
    <t>Ball, Mrs. (Ada E Hall)</t>
  </si>
  <si>
    <t>Goldsmith, Mrs. Frank John (Emily Alice Brown)</t>
  </si>
  <si>
    <t>Hippach, Miss. Jean Gertrude</t>
  </si>
  <si>
    <t>McCoy, Miss. Agnes</t>
  </si>
  <si>
    <t>Partner, Mr. Austen</t>
  </si>
  <si>
    <t>Graham, Mr. George Edward</t>
  </si>
  <si>
    <t>Vander Planke, Mr. Leo Edmondus</t>
  </si>
  <si>
    <t>Frauenthal, Mrs. Henry William (Clara Heinsheimer)</t>
  </si>
  <si>
    <t>Denkoff, Mr. Mitto</t>
  </si>
  <si>
    <t>Pears, Mr. Thomas Clinton</t>
  </si>
  <si>
    <t>Burns, Miss. Elizabeth Margaret</t>
  </si>
  <si>
    <t>Dahl, Mr. Karl Edwart</t>
  </si>
  <si>
    <t>Blackwell, Mr. Stephen Weart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</si>
  <si>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</si>
  <si>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</si>
  <si>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</si>
  <si>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</si>
  <si>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</si>
  <si>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</si>
  <si>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</si>
  <si>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</si>
  <si>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</si>
  <si>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Dimic, Mr. Jovan</t>
  </si>
  <si>
    <t>Odahl, Mr. Nils Martin</t>
  </si>
  <si>
    <t>Williams-Lambert, Mr. Fletcher Fellows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</si>
  <si>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</si>
  <si>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</si>
  <si>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</si>
  <si>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</si>
  <si>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</si>
  <si>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</si>
  <si>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</si>
  <si>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</si>
  <si>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</si>
  <si>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</si>
  <si>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Barbara, Mrs. (Catherine David)</t>
  </si>
  <si>
    <t>Asim, Mr. Adola</t>
  </si>
  <si>
    <t>O'Brien, Mr. Thomas</t>
  </si>
  <si>
    <t>Adahl, Mr. Mauritz Nils Martin</t>
  </si>
  <si>
    <t>Warren, Mrs. Frank Manley (Anna Sophia Atkinson)</t>
  </si>
  <si>
    <t>Moussa, Mrs. (Mantoura Boulos)</t>
  </si>
  <si>
    <t>Jermyn, Miss. Annie</t>
  </si>
  <si>
    <t>Aubart, Mme. Leontine Pauline</t>
  </si>
  <si>
    <t>Harder, Mr. George Achilles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</si>
  <si>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</si>
  <si>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</si>
  <si>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</si>
  <si>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</si>
  <si>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</si>
  <si>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</si>
  <si>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Widener, Mr. Harry Elkins</t>
  </si>
  <si>
    <t>Betros, Mr. Tannous</t>
  </si>
  <si>
    <t>Gustafsson, Mr. Karl Gideon</t>
  </si>
  <si>
    <t>Bidois, Miss. Rosalie</t>
  </si>
  <si>
    <t>Nakid, Miss. Maria ("Mary")</t>
  </si>
  <si>
    <t>Tikkanen, Mr. Juho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</si>
  <si>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</si>
  <si>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</si>
  <si>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</si>
  <si>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</si>
  <si>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</si>
  <si>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</si>
  <si>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</si>
  <si>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Carter, Mr. William Ernest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</si>
  <si>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</si>
  <si>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</si>
  <si>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</si>
  <si>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</si>
  <si>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</si>
  <si>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</si>
  <si>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</si>
  <si>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</si>
  <si>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</si>
  <si>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</si>
  <si>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</si>
  <si>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</si>
  <si>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</si>
  <si>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</si>
  <si>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</si>
  <si>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</si>
  <si>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</si>
  <si>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</si>
  <si>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</si>
  <si>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</si>
  <si>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</si>
  <si>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</si>
  <si>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</si>
  <si>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</si>
  <si>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</si>
  <si>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</si>
  <si>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</si>
  <si>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</si>
  <si>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</si>
  <si>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</si>
  <si>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</si>
  <si>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Zimmerman, Mr. Leo</t>
  </si>
  <si>
    <t>Danbom, Mrs. Ernst Gilbert (Anna Sigrid Maria Brogren)</t>
  </si>
  <si>
    <t>Rosblom, Mr. Viktor Richard</t>
  </si>
  <si>
    <t>Wiseman, Mr. Phillippe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</si>
  <si>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</si>
  <si>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</si>
  <si>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</si>
  <si>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</si>
  <si>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Bjornstrom-Steffansson, Mr. Mauritz Hakan</t>
  </si>
  <si>
    <t>Thorneycroft, Mrs. Percival (Florence Kate White)</t>
  </si>
  <si>
    <t>Louch, Mrs. Charles Alexander (Alice Adelaide Slow)</t>
  </si>
  <si>
    <t>Kallio, Mr. Nikolai Erland</t>
  </si>
  <si>
    <t>Silvey, Mr. William Baird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</si>
  <si>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</si>
  <si>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</si>
  <si>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</si>
  <si>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</si>
  <si>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</si>
  <si>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</si>
  <si>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</si>
  <si>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</si>
  <si>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</si>
  <si>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</si>
  <si>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</si>
  <si>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Mellinger, Miss. Madeleine Violet</t>
  </si>
  <si>
    <t>Seward, Mr. Frederic Kimber</t>
  </si>
  <si>
    <t>Baclini, Miss. Marie Catherine</t>
  </si>
  <si>
    <t>Peuchen, Major. Arthur Godfrey</t>
  </si>
  <si>
    <t>West, Mr. Edwy Arthur</t>
  </si>
  <si>
    <t>Hagland, Mr. Ingvald Olai Olsen</t>
  </si>
  <si>
    <t>Foreman, Mr. Benjamin Laventall</t>
  </si>
  <si>
    <t>Goldenberg, Mr. Samuel L</t>
  </si>
  <si>
    <t>Peduzzi, Mr. Joseph</t>
  </si>
  <si>
    <t>Jalsevac, Mr. Ivan</t>
  </si>
  <si>
    <t>Millet, Mr. Francis Davis</t>
  </si>
  <si>
    <t>Kenyon, Mrs. Frederick R (Marion)</t>
  </si>
  <si>
    <t>Toomey, Miss. Ellen</t>
  </si>
  <si>
    <t>O'Connor, Mr. Maurice</t>
  </si>
  <si>
    <t>Anderson, Mr. Harry</t>
  </si>
  <si>
    <t>Morley, Mr. William</t>
  </si>
  <si>
    <t>Gee, Mr. Arthur H</t>
  </si>
  <si>
    <t>Milling, Mr. Jacob Christian</t>
  </si>
  <si>
    <t>Maisner, Mr. Simon</t>
  </si>
  <si>
    <t>Goncalves, Mr. Manuel Estanslas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</si>
  <si>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</si>
  <si>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</si>
  <si>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</si>
  <si>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</si>
  <si>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</si>
  <si>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</si>
  <si>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</si>
  <si>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</si>
  <si>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Strandberg, Miss. Ida Sofia</t>
  </si>
  <si>
    <t>Clifford, Mr. George Quincy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</si>
  <si>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</si>
  <si>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</si>
  <si>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</si>
  <si>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</si>
  <si>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</si>
  <si>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</si>
  <si>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</si>
  <si>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</si>
  <si>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</si>
  <si>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</si>
  <si>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</si>
  <si>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</si>
  <si>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Somerton, Mr. Francis William</t>
  </si>
  <si>
    <t>Coutts, Master. Eden Leslie "Neville"</t>
  </si>
  <si>
    <t>Hagland, Mr. Konrad Mathias Reiersen</t>
  </si>
  <si>
    <t>Windelov, Mr. Einar</t>
  </si>
  <si>
    <t>Molson, Mr. Harry Markland</t>
  </si>
  <si>
    <t>Artagaveytia, Mr. Ramon</t>
  </si>
  <si>
    <t>Stanley, Mr. Edward Roland</t>
  </si>
  <si>
    <t>Yousseff, Mr. Gerious</t>
  </si>
  <si>
    <t>Eustis, Miss. Elizabeth Mussey</t>
  </si>
  <si>
    <t>Shellard, Mr. Frederick William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</si>
  <si>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</si>
  <si>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</si>
  <si>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</si>
  <si>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</si>
  <si>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</si>
  <si>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</si>
  <si>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</si>
  <si>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</si>
  <si>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</si>
  <si>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</si>
  <si>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</si>
  <si>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Lang, Mr. Fang</t>
  </si>
  <si>
    <t>Daly, Mr. Eugene Patrick</t>
  </si>
  <si>
    <t>Webber, Mr. James</t>
  </si>
  <si>
    <t>McGough, Mr. James Robert</t>
  </si>
  <si>
    <t>Rothschild, Mrs. Martin (Elizabeth L. Barrett)</t>
  </si>
  <si>
    <t>Coleff, Mr. Satio</t>
  </si>
  <si>
    <t>Walker, Mr. William Anderson</t>
  </si>
  <si>
    <t>Lemore, Mrs. (Amelia Milley)</t>
  </si>
  <si>
    <t>Ryan, Mr. Patrick</t>
  </si>
  <si>
    <t>Angle, Mrs. William A (Florence "Mary" Agnes Hughes)</t>
  </si>
  <si>
    <t>Pavlovic, Mr. Stefo</t>
  </si>
  <si>
    <t>Perreault, Miss. Anne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</si>
  <si>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</si>
  <si>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</si>
  <si>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</si>
  <si>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</si>
  <si>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</si>
  <si>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</si>
  <si>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Farthing, Mr. John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</si>
  <si>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</si>
  <si>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</si>
  <si>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</si>
  <si>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</si>
  <si>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</si>
  <si>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</si>
  <si>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</si>
  <si>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</si>
  <si>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</si>
  <si>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LeRoy, Miss. Bertha</t>
  </si>
  <si>
    <t>Risien, Mr. Samuel Beard</t>
  </si>
  <si>
    <t>Frolicher, Miss. Hedwig Margaritha</t>
  </si>
  <si>
    <t>Crosby, Miss. Harriet R</t>
  </si>
  <si>
    <t>Andersson, Miss. Ingeborg Constanzia</t>
  </si>
  <si>
    <t>Andersson, Miss. Sigrid Elisabeth</t>
  </si>
  <si>
    <t>Beane, Mr. Edward</t>
  </si>
  <si>
    <t>Douglas, Mr. Walter Donald</t>
  </si>
  <si>
    <t>Nicholson, Mr. Arthur Ernest</t>
  </si>
  <si>
    <t>Beane, Mrs. Edward (Ethel Clarke)</t>
  </si>
  <si>
    <t>Padro y Manent, Mr. Julian</t>
  </si>
  <si>
    <t>Goldsmith, Mr. Frank John</t>
  </si>
  <si>
    <t>Davies, Master. John Morgan Jr</t>
  </si>
  <si>
    <t>Thayer, Mr. John Borland Jr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</si>
  <si>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</si>
  <si>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</si>
  <si>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</si>
  <si>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</si>
  <si>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</si>
  <si>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</si>
  <si>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</si>
  <si>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</si>
  <si>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</si>
  <si>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</si>
  <si>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</si>
  <si>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</si>
  <si>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</si>
  <si>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Meanwell, Miss. (Marion Ogden)</t>
  </si>
  <si>
    <t>Davies, Mr. Alfred J</t>
  </si>
  <si>
    <t>Stoytcheff, Mr. Ilia</t>
  </si>
  <si>
    <t>Palsson, Mrs. Nils (Alma Cornelia Berglund)</t>
  </si>
  <si>
    <t>Doharr, Mr. Tannous</t>
  </si>
  <si>
    <t>Jonsson, Mr. Carl</t>
  </si>
  <si>
    <t>Harris, Mr. George</t>
  </si>
  <si>
    <t>Appleton, Mrs. Edward Dale (Charlotte Lamson)</t>
  </si>
  <si>
    <t>Flynn, Mr. John Irwin ("Irving")</t>
  </si>
  <si>
    <t>Kelly, Miss. Mary</t>
  </si>
  <si>
    <t>Rush, Mr. Alfred George John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</si>
  <si>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</si>
  <si>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</si>
  <si>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</si>
  <si>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</si>
  <si>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</si>
  <si>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Christy, Miss. Julie Rachel</t>
  </si>
  <si>
    <t>Thayer, Mrs. John Borland (Marian Longstreth Morris)</t>
  </si>
  <si>
    <t>Downton, Mr. William James</t>
  </si>
  <si>
    <t>Ross, Mr. John Hugo</t>
  </si>
  <si>
    <t>Paulner, Mr. Uscher</t>
  </si>
  <si>
    <t>Taussig, Miss. Ruth</t>
  </si>
  <si>
    <t>Jarvis, Mr. John Denzil</t>
  </si>
  <si>
    <t>Frolicher-Stehli, Mr. Maxmillian</t>
  </si>
  <si>
    <t>Gilinski, Mr. Eliezer</t>
  </si>
  <si>
    <t>Murdlin, Mr. Joseph</t>
  </si>
  <si>
    <t>Rintamaki, Mr. Matti</t>
  </si>
  <si>
    <t>Stephenson, Mrs. Walter Bertram (Martha Eustis)</t>
  </si>
  <si>
    <t>Elsbury, Mr. William James</t>
  </si>
  <si>
    <t>Bourke, Miss. Mary</t>
  </si>
  <si>
    <t>Chapman, Mr. John Henry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</si>
  <si>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</si>
  <si>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</si>
  <si>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</si>
  <si>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</si>
  <si>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</si>
  <si>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</si>
  <si>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</si>
  <si>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</si>
  <si>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</si>
  <si>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</si>
  <si>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</si>
  <si>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</si>
  <si>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</si>
  <si>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</si>
  <si>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</si>
  <si>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</si>
  <si>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</si>
  <si>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</si>
  <si>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</si>
  <si>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</si>
  <si>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</si>
  <si>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</si>
  <si>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</si>
  <si>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</si>
  <si>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</si>
  <si>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</si>
  <si>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</si>
  <si>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Nakid, Mr. Sahid</t>
  </si>
  <si>
    <t>Hansen, Mr. Henry Damsgaard</t>
  </si>
  <si>
    <t>Bowen, Mr. David John "Dai"</t>
  </si>
  <si>
    <t>Sutton, Mr. Frederick</t>
  </si>
  <si>
    <t>Kirkland, Rev. Charles Leonard</t>
  </si>
  <si>
    <t>Longley, Miss. Gretchen Fiske</t>
  </si>
  <si>
    <t>Bostandyeff, Mr. Guentcho</t>
  </si>
  <si>
    <t>O'Connell, Mr. Patrick D</t>
  </si>
  <si>
    <t>Barkworth, Mr. Algernon Henry Wilson</t>
  </si>
  <si>
    <t>Lundahl, Mr. Johan Svensson</t>
  </si>
  <si>
    <t>Stahelin-Maeglin, Dr. Max</t>
  </si>
  <si>
    <t>Parr, Mr. William Henry Marsh</t>
  </si>
  <si>
    <t>Skoog, Miss. Mabel</t>
  </si>
  <si>
    <t>Davis, Miss. Mary</t>
  </si>
  <si>
    <t>Leinonen, Mr. Antti Gustaf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</si>
  <si>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</si>
  <si>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</si>
  <si>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</si>
  <si>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</si>
  <si>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</si>
  <si>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</si>
  <si>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</si>
  <si>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</si>
  <si>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</si>
  <si>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</si>
  <si>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</si>
  <si>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Willey, Mr. Edward</t>
  </si>
  <si>
    <t>Stanley, Miss. Amy Zillah Elsie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</si>
  <si>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</si>
  <si>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</si>
  <si>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</si>
  <si>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</si>
  <si>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</si>
  <si>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</si>
  <si>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</si>
  <si>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</si>
  <si>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</si>
  <si>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</si>
  <si>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Frauenthal, Dr. Henry William</t>
  </si>
  <si>
    <t>Badt, Mr. Mohamed</t>
  </si>
  <si>
    <t>Colley, Mr. Edward Pomeroy</t>
  </si>
  <si>
    <t>Coleff, Mr. Peju</t>
  </si>
  <si>
    <t>Lindqvist, Mr. Eino William</t>
  </si>
  <si>
    <t>Hickman, Mr. Lewis</t>
  </si>
  <si>
    <t>Butler, Mr. Reginald Fenton</t>
  </si>
  <si>
    <t>Rommetvedt, Mr. Knud Paust</t>
  </si>
  <si>
    <t>Cook, Mr. Jacob</t>
  </si>
  <si>
    <t>Taylor, Mrs. Elmer Zebley (Juliet Cummins Wright)</t>
  </si>
  <si>
    <t>Brown, Mrs. Thomas William Solomon (Elizabeth Catherine Ford)</t>
  </si>
  <si>
    <t>Davidson, Mr. Thornton</t>
  </si>
  <si>
    <t>Mitchell, Mr. Henry Michael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</si>
  <si>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</si>
  <si>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</si>
  <si>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</si>
  <si>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</si>
  <si>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</si>
  <si>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</si>
  <si>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</si>
  <si>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Peters, Miss. Katie</t>
  </si>
  <si>
    <t>Hassab, Mr. Hammad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</si>
  <si>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</si>
  <si>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</si>
  <si>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</si>
  <si>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</si>
  <si>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</si>
  <si>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</si>
  <si>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</si>
  <si>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</si>
  <si>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Dick, Mr. Albert Adrian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</si>
  <si>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</si>
  <si>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</si>
  <si>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</si>
  <si>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</si>
  <si>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</si>
  <si>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</si>
  <si>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</si>
  <si>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</si>
  <si>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</si>
  <si>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Astor, Mrs. John Jacob (Madeleine Talmadge Force)</t>
  </si>
  <si>
    <t>Silverthorne, Mr. Spencer Victor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</si>
  <si>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</si>
  <si>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</si>
  <si>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</si>
  <si>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</si>
  <si>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</si>
  <si>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</si>
  <si>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Cleaver, Miss. Alice</t>
  </si>
  <si>
    <t>Moubarek, Master. Halim Gonios ("William George")</t>
  </si>
  <si>
    <t>Mayne, Mlle. Berthe Antonine ("Mrs de Villiers")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</si>
  <si>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</si>
  <si>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</si>
  <si>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</si>
  <si>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</si>
  <si>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</si>
  <si>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</si>
  <si>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</si>
  <si>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</si>
  <si>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</si>
  <si>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</si>
  <si>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</si>
  <si>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</si>
  <si>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</si>
  <si>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</si>
  <si>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</si>
  <si>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</si>
  <si>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</si>
  <si>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</si>
  <si>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</si>
  <si>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</si>
  <si>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</si>
  <si>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</si>
  <si>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</si>
  <si>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</si>
  <si>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</si>
  <si>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</si>
  <si>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</si>
  <si>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Ivanoff, Mr. Kanio</t>
  </si>
  <si>
    <t>Nankoff, Mr. Minko</t>
  </si>
  <si>
    <t>Hawksford, Mr. Walter James</t>
  </si>
  <si>
    <t>Cavendish, Mr. Tyrell William</t>
  </si>
  <si>
    <t>Ryerson, Miss. Susan Parker "Suzette"</t>
  </si>
  <si>
    <t>McNamee, Mr. Neal</t>
  </si>
  <si>
    <t>Stranden, Mr. Juho</t>
  </si>
  <si>
    <t>Crosby, Capt. Edward Gifford</t>
  </si>
  <si>
    <t>Abbott, Mr. Rossmore Edward</t>
  </si>
  <si>
    <t>Sinkkonen, Miss. Anna</t>
  </si>
  <si>
    <t>Marvin, Mr. Daniel Warner</t>
  </si>
  <si>
    <t>Connaghton, Mr. Michael</t>
  </si>
  <si>
    <t>Wells, Miss. Joan</t>
  </si>
  <si>
    <t>Moor, Master. Meier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</si>
  <si>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</si>
  <si>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</si>
  <si>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</si>
  <si>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</si>
  <si>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</si>
  <si>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</si>
  <si>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</si>
  <si>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</si>
  <si>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</si>
  <si>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</si>
  <si>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Barah, Mr. Hanna Assi</t>
  </si>
  <si>
    <t>Carter, Mrs. William Ernest (Lucile Polk)</t>
  </si>
  <si>
    <t>Eklund, Mr. Hans Linus</t>
  </si>
  <si>
    <t>Hogeboom, Mrs. John C (Anna Andrews)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</si>
  <si>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</si>
  <si>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</si>
  <si>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</si>
  <si>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</si>
  <si>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</si>
  <si>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</si>
  <si>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</si>
  <si>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Elias, Mr. Dibo</t>
  </si>
  <si>
    <t>Hocking, Mrs. Elizabeth (Eliza Needs)</t>
  </si>
  <si>
    <t>Myhrman, Mr. Pehr Fabian Oliver Malkolm</t>
  </si>
  <si>
    <t>Tobin, Mr. Roger</t>
  </si>
  <si>
    <t>Emanuel, Miss. Virginia Ethel</t>
  </si>
  <si>
    <t>Kilgannon, Mr. Thomas J</t>
  </si>
  <si>
    <t>Robert, Mrs. Edward Scott (Elisabeth Walton McMillan)</t>
  </si>
  <si>
    <t>Ayoub, Miss. Banoura</t>
  </si>
  <si>
    <t>Dick, Mrs. Albert Adrian (Vera Gillespie)</t>
  </si>
  <si>
    <t>Long, Mr. Milton Clyde</t>
  </si>
  <si>
    <t>Johnston, Mr. Andrew G</t>
  </si>
  <si>
    <t>Ali, Mr. William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</si>
  <si>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</si>
  <si>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</si>
  <si>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</si>
  <si>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</si>
  <si>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</si>
  <si>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Keane, Mr. Andrew "Andy"</t>
  </si>
  <si>
    <t>Gaskell, Mr. Alfred</t>
  </si>
  <si>
    <t>Sage, Miss. Stella Anna</t>
  </si>
  <si>
    <t>Hoyt, Mr. William Fisher</t>
  </si>
  <si>
    <t>Dantcheff, Mr. Ristiu</t>
  </si>
  <si>
    <t>Otter, Mr. Richard</t>
  </si>
  <si>
    <t>Leader, Dr. Alice (Farnham)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</si>
  <si>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</si>
  <si>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</si>
  <si>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</si>
  <si>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</si>
  <si>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</si>
  <si>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</si>
  <si>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</si>
  <si>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</si>
  <si>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</si>
  <si>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</si>
  <si>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</si>
  <si>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</si>
  <si>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</si>
  <si>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</si>
  <si>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</si>
  <si>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</si>
  <si>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</si>
  <si>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</si>
  <si>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</si>
  <si>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Heininen, Miss. Wendla Maria</t>
  </si>
  <si>
    <t>Mallet, Mr. Albert</t>
  </si>
  <si>
    <t>Holm, Mr. John Fredrik Alexander</t>
  </si>
  <si>
    <t>Skoog, Master. Karl Thorsten</t>
  </si>
  <si>
    <t>Hays, Mrs. Charles Melville (Clara Jennings Gregg)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</si>
  <si>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</si>
  <si>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</si>
  <si>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</si>
  <si>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</si>
  <si>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</si>
  <si>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</si>
  <si>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</si>
  <si>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</si>
  <si>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</si>
  <si>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</si>
  <si>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</si>
  <si>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</si>
  <si>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</si>
  <si>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</si>
  <si>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</si>
  <si>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Pasic, Mr. Jakob</t>
  </si>
  <si>
    <t>Sirota, Mr. Maurice</t>
  </si>
  <si>
    <t>Chip, Mr. Chang</t>
  </si>
  <si>
    <t>Marechal, Mr. Pierre</t>
  </si>
  <si>
    <t>Alhomaki, Mr. Ilmari Rudolf</t>
  </si>
  <si>
    <t>Mudd, Mr. Thomas Charles</t>
  </si>
  <si>
    <t>Serepeca, Miss. Augusta</t>
  </si>
  <si>
    <t>Lemberopolous, Mr. Peter L</t>
  </si>
  <si>
    <t>Culumovic, Mr. Jeso</t>
  </si>
  <si>
    <t>Abbing, Mr. Anthony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</si>
  <si>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</si>
  <si>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</si>
  <si>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</si>
  <si>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</si>
  <si>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</si>
  <si>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</si>
  <si>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</si>
  <si>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</si>
  <si>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Carter, Mrs. Ernest Courtenay (Lilian Hughes)</t>
  </si>
  <si>
    <t>Aks, Mrs. Sam (Leah Rosen)</t>
  </si>
  <si>
    <t>Wick, Mrs. George Dennick (Mary Hitchcock)</t>
  </si>
  <si>
    <t>Daly, Mr. Peter Denis 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</si>
  <si>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</si>
  <si>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</si>
  <si>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</si>
  <si>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</si>
  <si>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</si>
  <si>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</si>
  <si>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</si>
  <si>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</si>
  <si>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</si>
  <si>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Roebling, Mr. Washington Augustus II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</si>
  <si>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</si>
  <si>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</si>
  <si>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</si>
  <si>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</si>
  <si>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</si>
  <si>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</si>
  <si>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</si>
  <si>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</si>
  <si>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</si>
  <si>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</si>
  <si>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</si>
  <si>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</si>
  <si>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Shelley, Mrs. William (Imanita Parrish Hall)</t>
  </si>
  <si>
    <t>Markun, Mr. Johann</t>
  </si>
  <si>
    <t>Dahlberg, Miss. Gerda Ulrika</t>
  </si>
  <si>
    <t>Banfield, Mr. Frederick James</t>
  </si>
  <si>
    <t>Sutehall, Mr. Henry Jr</t>
  </si>
  <si>
    <t>Rice, Mrs. William (Margaret Norton)</t>
  </si>
  <si>
    <t>Montvila, Rev. Juozas</t>
  </si>
  <si>
    <t>Graham, Miss. Margaret Edith</t>
  </si>
  <si>
    <t>Johnston, Miss. Catherine Helen "Carrie"</t>
  </si>
  <si>
    <t>Behr, Mr. Karl Howell</t>
  </si>
  <si>
    <t>Dooley, Mr. Patrick</t>
  </si>
  <si>
    <t>Análisis en Grupos de Datos</t>
  </si>
  <si>
    <t>Todo es una categoría y se observa un valor resumido</t>
  </si>
  <si>
    <t>Valor agregado: Suma, Promedio, Recuento, Mínimo, Máximo, …</t>
  </si>
  <si>
    <t>Conteos de grupos que se transforman en probabilidades</t>
  </si>
  <si>
    <t>Análisis de Tendencia de Datos</t>
  </si>
  <si>
    <t>Todo es una tendencia y ser observa un valor continuo</t>
  </si>
  <si>
    <t>Series de datos: Lineales/Indexados, Temporales/Periódicos</t>
  </si>
  <si>
    <t>Acumulaciones, Diferencias y Regresiones que se transforman en tendencias</t>
  </si>
  <si>
    <t>Indice</t>
  </si>
  <si>
    <t>C Sobrevive</t>
  </si>
  <si>
    <t>C Clase</t>
  </si>
  <si>
    <t>C Sexo</t>
  </si>
  <si>
    <t>C Edad</t>
  </si>
  <si>
    <t>Familiares</t>
  </si>
  <si>
    <t>C Familiares</t>
  </si>
  <si>
    <t>C Pago</t>
  </si>
  <si>
    <t>C Cabina</t>
  </si>
  <si>
    <t>C Puerto</t>
  </si>
  <si>
    <t>Edad Corrigida</t>
  </si>
  <si>
    <t>EJE PERCENTIL</t>
  </si>
  <si>
    <t/>
  </si>
  <si>
    <t>X</t>
  </si>
  <si>
    <t>A</t>
  </si>
  <si>
    <t>I</t>
  </si>
  <si>
    <t>PERCENTIL</t>
  </si>
  <si>
    <t>0% - 10%</t>
  </si>
  <si>
    <t>11%-20%</t>
  </si>
  <si>
    <t>21%-30%</t>
  </si>
  <si>
    <t>31%-40%</t>
  </si>
  <si>
    <t>41%-50%</t>
  </si>
  <si>
    <t>51%-60%</t>
  </si>
  <si>
    <t>61%-70%</t>
  </si>
  <si>
    <t>71%-80%</t>
  </si>
  <si>
    <t>81%-90%</t>
  </si>
  <si>
    <t>91%-100%</t>
  </si>
  <si>
    <t>CORTE DECIL</t>
  </si>
  <si>
    <t>DECILES 10%</t>
  </si>
  <si>
    <t>QUINTILES 20%</t>
  </si>
  <si>
    <t>CUARTILES 25%</t>
  </si>
  <si>
    <t>DECIL 1</t>
  </si>
  <si>
    <t>DECIL 2</t>
  </si>
  <si>
    <t>DECIL 3</t>
  </si>
  <si>
    <t>DECIL 4</t>
  </si>
  <si>
    <t>DECIL 5</t>
  </si>
  <si>
    <t>DECIL 6</t>
  </si>
  <si>
    <t>DECIL 7</t>
  </si>
  <si>
    <t>DECIL 8</t>
  </si>
  <si>
    <t>DECIL 9</t>
  </si>
  <si>
    <t>DECIL 10</t>
  </si>
  <si>
    <t>GRUPOS AUTOMÁTICOS</t>
  </si>
  <si>
    <t>(Grupos uniformes)</t>
  </si>
  <si>
    <t>QUINTIL 1</t>
  </si>
  <si>
    <t>QUINTIL 2</t>
  </si>
  <si>
    <t>QUINTIL 3</t>
  </si>
  <si>
    <t>QUINTIL 4</t>
  </si>
  <si>
    <t>QUINTIL 5</t>
  </si>
  <si>
    <t>CORTE QUINTIL</t>
  </si>
  <si>
    <t>Etiquetas de columna</t>
  </si>
  <si>
    <t>NO SOBREVIVE</t>
  </si>
  <si>
    <t>SOBREVIVE</t>
  </si>
  <si>
    <t>Total general</t>
  </si>
  <si>
    <t>Etiquetas de fila</t>
  </si>
  <si>
    <t>Cuenta de C Sobrevive</t>
  </si>
  <si>
    <t>0-20%</t>
  </si>
  <si>
    <t>21%-40%</t>
  </si>
  <si>
    <t>41%-60%</t>
  </si>
  <si>
    <t>61%-80%</t>
  </si>
  <si>
    <t>81%-100%</t>
  </si>
  <si>
    <t>SI([@Edad]="", "", SI([@Edad]&gt;=100, [@Edad] / 10, [@Edad]))</t>
  </si>
  <si>
    <t>SI.ERROR(RANGO.PERCENTIL.INC(Titanic[Edad Corrigida], B4), "")</t>
  </si>
  <si>
    <t>EDAD</t>
  </si>
  <si>
    <t>Posición</t>
  </si>
  <si>
    <t>Jerarquía</t>
  </si>
  <si>
    <t>Porcentaje</t>
  </si>
  <si>
    <t>PERCENTIL.INC(Titanic[Edad Corrigida], H243)</t>
  </si>
  <si>
    <t>1. Corregir la edad</t>
  </si>
  <si>
    <t>2. Obtener solo los percentiles de interés (deciles, quintiles, cuartiles) y tratarlos como cortes categóricos (grupos automáticos/uniformes)</t>
  </si>
  <si>
    <t>(Opcional) Obtener todos los percentiles</t>
  </si>
  <si>
    <t>Asigna una etiqueta humana a cada grupo quintil</t>
  </si>
  <si>
    <t>Crea una tabla dinámica para anlizar las edades quintiles contra la supervivencia y agrega un segmentador</t>
  </si>
  <si>
    <t>Práctica 1:</t>
  </si>
  <si>
    <t>Reclasifica las edades por grupos quintiles</t>
  </si>
  <si>
    <t>* Para el fin de semana</t>
  </si>
  <si>
    <t>Anoten un informe/reporte de lo que observan en la gráfica de barras apiladas al 100%, para determinar como cambia la supervivencia por edad y sexo (similar al Análisis de Edades por Deciles)</t>
  </si>
  <si>
    <t>Entrega</t>
  </si>
  <si>
    <t>alan@belatrix.com</t>
  </si>
  <si>
    <t>administracion@belatrix.com</t>
  </si>
  <si>
    <t>laura.ramirezt@scotiabank.com.mx</t>
  </si>
  <si>
    <t>Informe</t>
  </si>
  <si>
    <t>Para hombres</t>
  </si>
  <si>
    <t>La supervivencia aumenta ligeramente cuando la edad pertence a Adulto 1 (cerca de los 32 años) y Adulto 3 (cerca de los 42 años)</t>
  </si>
  <si>
    <t>Para mujeres</t>
  </si>
  <si>
    <t>…</t>
  </si>
  <si>
    <t>1. INFANTE</t>
  </si>
  <si>
    <t>2. ADOLESCENTE</t>
  </si>
  <si>
    <t>3. JOVEN</t>
  </si>
  <si>
    <t>4. ADULTO JOVEN</t>
  </si>
  <si>
    <t>5. ADULTO</t>
  </si>
  <si>
    <t>6. ADULTO 1</t>
  </si>
  <si>
    <t>7. ADULTO 2</t>
  </si>
  <si>
    <t>8. ADULTO 3</t>
  </si>
  <si>
    <t>9. ADULTO 4</t>
  </si>
  <si>
    <t>A. ADULTO MAYOR</t>
  </si>
  <si>
    <t>Cortes de Familiares</t>
  </si>
  <si>
    <t>Cortes de Pagado</t>
  </si>
  <si>
    <t>SOLO</t>
  </si>
  <si>
    <t>FAMILIA NORMAL</t>
  </si>
  <si>
    <t>FAMILIA GRANDE</t>
  </si>
  <si>
    <t>PAGO NORMAL</t>
  </si>
  <si>
    <t>PAGO BÁSICO</t>
  </si>
  <si>
    <t>PAGO LUJO</t>
  </si>
  <si>
    <t>PAGO SÚPER LUJO</t>
  </si>
  <si>
    <t>MILLONARIO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</si>
</sst>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0"/>
      <color theme="0"/>
      <name val="Helvetica Neue"/>
      <family val="2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rgb="FF7030A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1" fillId="0" borderId="0" applyNumberFormat="0" applyFill="0" applyBorder="0" applyAlignment="0" applyProtection="0"/>
  </cellStyleXfs>
  <cellXfs count="38">
    <xf numFmtId="0" fontId="0" fillId="0" borderId="0" xfId="0"/>
    <xf numFmtId="0" fontId="2" fillId="2" borderId="0" xfId="2"/>
    <xf numFmtId="0" fontId="3" fillId="3" borderId="1" xfId="3"/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9" fontId="0" fillId="0" borderId="0" xfId="1" applyFont="1"/>
    <xf numFmtId="9" fontId="0" fillId="0" borderId="0" xfId="1" applyFont="1" applyAlignment="1">
      <alignment horizontal="center"/>
    </xf>
    <xf numFmtId="0" fontId="12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4" fillId="0" borderId="0" xfId="0" applyFont="1"/>
    <xf numFmtId="0" fontId="0" fillId="0" borderId="0" xfId="0" applyFill="1" applyBorder="1" applyAlignment="1"/>
    <xf numFmtId="0" fontId="0" fillId="0" borderId="0" xfId="0" applyNumberFormat="1" applyFill="1" applyBorder="1" applyAlignment="1"/>
    <xf numFmtId="10" fontId="0" fillId="0" borderId="0" xfId="0" applyNumberFormat="1" applyFill="1" applyBorder="1" applyAlignment="1"/>
    <xf numFmtId="0" fontId="0" fillId="0" borderId="2" xfId="0" applyFill="1" applyBorder="1" applyAlignment="1"/>
    <xf numFmtId="0" fontId="0" fillId="0" borderId="2" xfId="0" applyNumberFormat="1" applyFill="1" applyBorder="1" applyAlignment="1"/>
    <xf numFmtId="10" fontId="0" fillId="0" borderId="2" xfId="0" applyNumberFormat="1" applyFill="1" applyBorder="1" applyAlignment="1"/>
    <xf numFmtId="0" fontId="13" fillId="0" borderId="3" xfId="0" applyFont="1" applyFill="1" applyBorder="1" applyAlignment="1">
      <alignment horizontal="center"/>
    </xf>
    <xf numFmtId="0" fontId="0" fillId="5" borderId="0" xfId="0" applyFill="1"/>
    <xf numFmtId="0" fontId="2" fillId="2" borderId="1" xfId="2" applyBorder="1" applyAlignment="1">
      <alignment horizontal="center" vertical="center" wrapText="1"/>
    </xf>
    <xf numFmtId="9" fontId="8" fillId="6" borderId="0" xfId="1" applyFont="1" applyFill="1" applyAlignment="1">
      <alignment horizontal="left"/>
    </xf>
    <xf numFmtId="0" fontId="0" fillId="6" borderId="0" xfId="0" applyFill="1"/>
    <xf numFmtId="9" fontId="0" fillId="6" borderId="0" xfId="1" applyFont="1" applyFill="1" applyAlignment="1">
      <alignment horizontal="left"/>
    </xf>
    <xf numFmtId="9" fontId="0" fillId="6" borderId="0" xfId="1" applyFont="1" applyFill="1" applyAlignment="1">
      <alignment horizontal="left" vertical="top" wrapText="1"/>
    </xf>
    <xf numFmtId="9" fontId="14" fillId="0" borderId="0" xfId="1" applyFont="1" applyAlignment="1">
      <alignment horizontal="left"/>
    </xf>
    <xf numFmtId="0" fontId="0" fillId="6" borderId="0" xfId="0" applyFill="1" applyAlignment="1">
      <alignment horizontal="left" vertical="top" wrapText="1"/>
    </xf>
    <xf numFmtId="0" fontId="11" fillId="0" borderId="0" xfId="4"/>
  </cellXfs>
  <cellStyles count="5">
    <cellStyle name="Cálculo" xfId="3" builtinId="22"/>
    <cellStyle name="Hipervínculo" xfId="4" builtinId="8"/>
    <cellStyle name="Neutral" xfId="2" builtinId="28"/>
    <cellStyle name="Normal" xfId="0" builtinId="0"/>
    <cellStyle name="Porcentaje" xfId="1" builtinId="5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[S104.xlsx]Análisis de Edades por Deciles!TablaDinámica8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'Análisis de Edades por Deciles'!$C$3:$C$4</c:f>
              <c:strCache>
                <c:ptCount val="1"/>
                <c:pt idx="0">
                  <c:v>NO SOBREVIVE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'Análisis de Edades por Deciles'!$B$5:$B$15</c:f>
              <c:strCache>
                <c:ptCount val="10"/>
                <c:pt idx="0">
                  <c:v>1. INFANTE</c:v>
                </c:pt>
                <c:pt idx="1">
                  <c:v>2. ADOLESCENTE</c:v>
                </c:pt>
                <c:pt idx="2">
                  <c:v>3. JOVEN</c:v>
                </c:pt>
                <c:pt idx="3">
                  <c:v>4. ADULTO JOVEN</c:v>
                </c:pt>
                <c:pt idx="4">
                  <c:v>5. ADULTO</c:v>
                </c:pt>
                <c:pt idx="5">
                  <c:v>6. ADULTO 1</c:v>
                </c:pt>
                <c:pt idx="6">
                  <c:v>7. ADULTO 2</c:v>
                </c:pt>
                <c:pt idx="7">
                  <c:v>8. ADULTO 3</c:v>
                </c:pt>
                <c:pt idx="8">
                  <c:v>9. ADULTO 4</c:v>
                </c:pt>
                <c:pt idx="9">
                  <c:v>A. ADULTO MAYOR</c:v>
                </c:pt>
              </c:strCache>
            </c:strRef>
          </c:cat>
          <c:val>
            <c:numRef>
              <c:f>'Análisis de Edades por Deciles'!$C$5:$C$15</c:f>
              <c:numCache>
                <c:formatCode>General</c:formatCode>
                <c:ptCount val="1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9</c:v>
                </c:pt>
                <c:pt idx="7">
                  <c:v>13</c:v>
                </c:pt>
                <c:pt idx="8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8-C048-86E3-882FF3062DBE}"/>
            </c:ext>
          </c:extLst>
        </c:ser>
        <c:ser>
          <c:idx val="1"/>
          <c:order val="1"/>
          <c:tx>
            <c:strRef>
              <c:f>'Análisis de Edades por Deciles'!$D$3:$D$4</c:f>
              <c:strCache>
                <c:ptCount val="1"/>
                <c:pt idx="0">
                  <c:v>SOBREVIVE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'Análisis de Edades por Deciles'!$B$5:$B$15</c:f>
              <c:strCache>
                <c:ptCount val="10"/>
                <c:pt idx="0">
                  <c:v>1. INFANTE</c:v>
                </c:pt>
                <c:pt idx="1">
                  <c:v>2. ADOLESCENTE</c:v>
                </c:pt>
                <c:pt idx="2">
                  <c:v>3. JOVEN</c:v>
                </c:pt>
                <c:pt idx="3">
                  <c:v>4. ADULTO JOVEN</c:v>
                </c:pt>
                <c:pt idx="4">
                  <c:v>5. ADULTO</c:v>
                </c:pt>
                <c:pt idx="5">
                  <c:v>6. ADULTO 1</c:v>
                </c:pt>
                <c:pt idx="6">
                  <c:v>7. ADULTO 2</c:v>
                </c:pt>
                <c:pt idx="7">
                  <c:v>8. ADULTO 3</c:v>
                </c:pt>
                <c:pt idx="8">
                  <c:v>9. ADULTO 4</c:v>
                </c:pt>
                <c:pt idx="9">
                  <c:v>A. ADULTO MAYOR</c:v>
                </c:pt>
              </c:strCache>
            </c:strRef>
          </c:cat>
          <c:val>
            <c:numRef>
              <c:f>'Análisis de Edades por Deciles'!$D$5:$D$15</c:f>
              <c:numCache>
                <c:formatCode>General</c:formatCode>
                <c:ptCount val="10"/>
                <c:pt idx="0">
                  <c:v>10</c:v>
                </c:pt>
                <c:pt idx="1">
                  <c:v>5</c:v>
                </c:pt>
                <c:pt idx="2">
                  <c:v>12</c:v>
                </c:pt>
                <c:pt idx="3">
                  <c:v>9</c:v>
                </c:pt>
                <c:pt idx="4">
                  <c:v>9</c:v>
                </c:pt>
                <c:pt idx="5">
                  <c:v>15</c:v>
                </c:pt>
                <c:pt idx="6">
                  <c:v>20</c:v>
                </c:pt>
                <c:pt idx="7">
                  <c:v>18</c:v>
                </c:pt>
                <c:pt idx="8">
                  <c:v>20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8-C048-86E3-882FF3062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397706559"/>
        <c:axId val="586715967"/>
      </c:barChart>
      <c:catAx>
        <c:axId val="397706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86715967"/>
        <c:crosses val="autoZero"/>
        <c:auto val="1"/>
        <c:lblAlgn val="ctr"/>
        <c:lblOffset val="100"/>
        <c:noMultiLvlLbl val="0"/>
      </c:catAx>
      <c:valAx>
        <c:axId val="586715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97706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'Práctica 1'!$L$199:$P$199</c:f>
              <c:numCache>
                <c:formatCode>General</c:formatCode>
                <c:ptCount val="5"/>
                <c:pt idx="0">
                  <c:v>7</c:v>
                </c:pt>
                <c:pt idx="1">
                  <c:v>10</c:v>
                </c:pt>
                <c:pt idx="2">
                  <c:v>6</c:v>
                </c:pt>
                <c:pt idx="3">
                  <c:v>10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3B-2846-8D11-0CCED4F02D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0180159"/>
        <c:axId val="506350207"/>
      </c:barChart>
      <c:catAx>
        <c:axId val="3801801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06350207"/>
        <c:crosses val="autoZero"/>
        <c:auto val="1"/>
        <c:lblAlgn val="ctr"/>
        <c:lblOffset val="100"/>
        <c:noMultiLvlLbl val="0"/>
      </c:catAx>
      <c:valAx>
        <c:axId val="506350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01801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'Práctica 1'!$E$7:$E$184</c:f>
              <c:strCache>
                <c:ptCount val="178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'Práctica 1'!$D$185:$D$898</c:f>
              <c:numCache>
                <c:formatCode>General</c:formatCode>
                <c:ptCount val="7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2</c:v>
                </c:pt>
                <c:pt idx="17">
                  <c:v>3</c:v>
                </c:pt>
                <c:pt idx="18">
                  <c:v>3</c:v>
                </c:pt>
                <c:pt idx="19">
                  <c:v>3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6</c:v>
                </c:pt>
                <c:pt idx="38">
                  <c:v>6</c:v>
                </c:pt>
                <c:pt idx="39">
                  <c:v>6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8</c:v>
                </c:pt>
                <c:pt idx="44">
                  <c:v>8</c:v>
                </c:pt>
                <c:pt idx="45">
                  <c:v>8</c:v>
                </c:pt>
                <c:pt idx="46">
                  <c:v>8</c:v>
                </c:pt>
                <c:pt idx="47">
                  <c:v>9</c:v>
                </c:pt>
                <c:pt idx="48">
                  <c:v>9</c:v>
                </c:pt>
                <c:pt idx="49">
                  <c:v>9</c:v>
                </c:pt>
                <c:pt idx="50">
                  <c:v>9</c:v>
                </c:pt>
                <c:pt idx="51">
                  <c:v>9</c:v>
                </c:pt>
                <c:pt idx="52">
                  <c:v>9</c:v>
                </c:pt>
                <c:pt idx="53">
                  <c:v>9</c:v>
                </c:pt>
                <c:pt idx="54">
                  <c:v>9</c:v>
                </c:pt>
                <c:pt idx="55">
                  <c:v>10</c:v>
                </c:pt>
                <c:pt idx="56">
                  <c:v>10</c:v>
                </c:pt>
                <c:pt idx="57">
                  <c:v>11</c:v>
                </c:pt>
                <c:pt idx="58">
                  <c:v>11</c:v>
                </c:pt>
                <c:pt idx="59">
                  <c:v>11</c:v>
                </c:pt>
                <c:pt idx="60">
                  <c:v>11</c:v>
                </c:pt>
                <c:pt idx="61">
                  <c:v>12</c:v>
                </c:pt>
                <c:pt idx="62">
                  <c:v>13</c:v>
                </c:pt>
                <c:pt idx="63">
                  <c:v>13</c:v>
                </c:pt>
                <c:pt idx="64">
                  <c:v>14</c:v>
                </c:pt>
                <c:pt idx="65">
                  <c:v>14</c:v>
                </c:pt>
                <c:pt idx="66">
                  <c:v>14</c:v>
                </c:pt>
                <c:pt idx="67">
                  <c:v>14</c:v>
                </c:pt>
                <c:pt idx="68">
                  <c:v>14</c:v>
                </c:pt>
                <c:pt idx="69">
                  <c:v>14</c:v>
                </c:pt>
                <c:pt idx="70">
                  <c:v>14.5</c:v>
                </c:pt>
                <c:pt idx="71">
                  <c:v>15</c:v>
                </c:pt>
                <c:pt idx="72">
                  <c:v>15</c:v>
                </c:pt>
                <c:pt idx="73">
                  <c:v>15</c:v>
                </c:pt>
                <c:pt idx="74">
                  <c:v>15</c:v>
                </c:pt>
                <c:pt idx="75">
                  <c:v>15</c:v>
                </c:pt>
                <c:pt idx="76">
                  <c:v>16</c:v>
                </c:pt>
                <c:pt idx="77">
                  <c:v>16</c:v>
                </c:pt>
                <c:pt idx="78">
                  <c:v>16</c:v>
                </c:pt>
                <c:pt idx="79">
                  <c:v>16</c:v>
                </c:pt>
                <c:pt idx="80">
                  <c:v>16</c:v>
                </c:pt>
                <c:pt idx="81">
                  <c:v>16</c:v>
                </c:pt>
                <c:pt idx="82">
                  <c:v>16</c:v>
                </c:pt>
                <c:pt idx="83">
                  <c:v>16</c:v>
                </c:pt>
                <c:pt idx="84">
                  <c:v>16</c:v>
                </c:pt>
                <c:pt idx="85">
                  <c:v>16</c:v>
                </c:pt>
                <c:pt idx="86">
                  <c:v>16</c:v>
                </c:pt>
                <c:pt idx="87">
                  <c:v>16</c:v>
                </c:pt>
                <c:pt idx="88">
                  <c:v>16</c:v>
                </c:pt>
                <c:pt idx="89">
                  <c:v>16</c:v>
                </c:pt>
                <c:pt idx="90">
                  <c:v>16</c:v>
                </c:pt>
                <c:pt idx="91">
                  <c:v>16</c:v>
                </c:pt>
                <c:pt idx="92">
                  <c:v>16</c:v>
                </c:pt>
                <c:pt idx="93">
                  <c:v>17</c:v>
                </c:pt>
                <c:pt idx="94">
                  <c:v>17</c:v>
                </c:pt>
                <c:pt idx="95">
                  <c:v>17</c:v>
                </c:pt>
                <c:pt idx="96">
                  <c:v>17</c:v>
                </c:pt>
                <c:pt idx="97">
                  <c:v>17</c:v>
                </c:pt>
                <c:pt idx="98">
                  <c:v>17</c:v>
                </c:pt>
                <c:pt idx="99">
                  <c:v>17</c:v>
                </c:pt>
                <c:pt idx="100">
                  <c:v>17</c:v>
                </c:pt>
                <c:pt idx="101">
                  <c:v>17</c:v>
                </c:pt>
                <c:pt idx="102">
                  <c:v>17</c:v>
                </c:pt>
                <c:pt idx="103">
                  <c:v>17</c:v>
                </c:pt>
                <c:pt idx="104">
                  <c:v>17</c:v>
                </c:pt>
                <c:pt idx="105">
                  <c:v>17</c:v>
                </c:pt>
                <c:pt idx="106">
                  <c:v>18</c:v>
                </c:pt>
                <c:pt idx="107">
                  <c:v>18</c:v>
                </c:pt>
                <c:pt idx="108">
                  <c:v>18</c:v>
                </c:pt>
                <c:pt idx="109">
                  <c:v>18</c:v>
                </c:pt>
                <c:pt idx="110">
                  <c:v>18</c:v>
                </c:pt>
                <c:pt idx="111">
                  <c:v>18</c:v>
                </c:pt>
                <c:pt idx="112">
                  <c:v>18</c:v>
                </c:pt>
                <c:pt idx="113">
                  <c:v>18</c:v>
                </c:pt>
                <c:pt idx="114">
                  <c:v>18</c:v>
                </c:pt>
                <c:pt idx="115">
                  <c:v>18</c:v>
                </c:pt>
                <c:pt idx="116">
                  <c:v>18</c:v>
                </c:pt>
                <c:pt idx="117">
                  <c:v>18</c:v>
                </c:pt>
                <c:pt idx="118">
                  <c:v>18</c:v>
                </c:pt>
                <c:pt idx="119">
                  <c:v>18</c:v>
                </c:pt>
                <c:pt idx="120">
                  <c:v>18</c:v>
                </c:pt>
                <c:pt idx="121">
                  <c:v>18</c:v>
                </c:pt>
                <c:pt idx="122">
                  <c:v>18</c:v>
                </c:pt>
                <c:pt idx="123">
                  <c:v>18</c:v>
                </c:pt>
                <c:pt idx="124">
                  <c:v>18</c:v>
                </c:pt>
                <c:pt idx="125">
                  <c:v>18</c:v>
                </c:pt>
                <c:pt idx="126">
                  <c:v>18</c:v>
                </c:pt>
                <c:pt idx="127">
                  <c:v>18</c:v>
                </c:pt>
                <c:pt idx="128">
                  <c:v>18</c:v>
                </c:pt>
                <c:pt idx="129">
                  <c:v>18</c:v>
                </c:pt>
                <c:pt idx="130">
                  <c:v>18</c:v>
                </c:pt>
                <c:pt idx="131">
                  <c:v>18</c:v>
                </c:pt>
                <c:pt idx="132">
                  <c:v>19</c:v>
                </c:pt>
                <c:pt idx="133">
                  <c:v>19</c:v>
                </c:pt>
                <c:pt idx="134">
                  <c:v>19</c:v>
                </c:pt>
                <c:pt idx="135">
                  <c:v>19</c:v>
                </c:pt>
                <c:pt idx="136">
                  <c:v>19</c:v>
                </c:pt>
                <c:pt idx="137">
                  <c:v>19</c:v>
                </c:pt>
                <c:pt idx="138">
                  <c:v>19</c:v>
                </c:pt>
                <c:pt idx="139">
                  <c:v>19</c:v>
                </c:pt>
                <c:pt idx="140">
                  <c:v>19</c:v>
                </c:pt>
                <c:pt idx="141">
                  <c:v>19</c:v>
                </c:pt>
                <c:pt idx="142">
                  <c:v>19</c:v>
                </c:pt>
                <c:pt idx="143">
                  <c:v>19</c:v>
                </c:pt>
                <c:pt idx="144">
                  <c:v>19</c:v>
                </c:pt>
                <c:pt idx="145">
                  <c:v>19</c:v>
                </c:pt>
                <c:pt idx="146">
                  <c:v>19</c:v>
                </c:pt>
                <c:pt idx="147">
                  <c:v>19</c:v>
                </c:pt>
                <c:pt idx="148">
                  <c:v>19</c:v>
                </c:pt>
                <c:pt idx="149">
                  <c:v>19</c:v>
                </c:pt>
                <c:pt idx="150">
                  <c:v>19</c:v>
                </c:pt>
                <c:pt idx="151">
                  <c:v>19</c:v>
                </c:pt>
                <c:pt idx="152">
                  <c:v>19</c:v>
                </c:pt>
                <c:pt idx="153">
                  <c:v>19</c:v>
                </c:pt>
                <c:pt idx="154">
                  <c:v>19</c:v>
                </c:pt>
                <c:pt idx="155">
                  <c:v>19</c:v>
                </c:pt>
                <c:pt idx="156">
                  <c:v>19</c:v>
                </c:pt>
                <c:pt idx="157">
                  <c:v>20</c:v>
                </c:pt>
                <c:pt idx="158">
                  <c:v>20</c:v>
                </c:pt>
                <c:pt idx="159">
                  <c:v>20</c:v>
                </c:pt>
                <c:pt idx="160">
                  <c:v>20</c:v>
                </c:pt>
                <c:pt idx="161">
                  <c:v>20</c:v>
                </c:pt>
                <c:pt idx="162">
                  <c:v>20</c:v>
                </c:pt>
                <c:pt idx="163">
                  <c:v>20</c:v>
                </c:pt>
                <c:pt idx="164">
                  <c:v>20</c:v>
                </c:pt>
                <c:pt idx="165">
                  <c:v>20</c:v>
                </c:pt>
                <c:pt idx="166">
                  <c:v>20</c:v>
                </c:pt>
                <c:pt idx="167">
                  <c:v>20</c:v>
                </c:pt>
                <c:pt idx="168">
                  <c:v>20</c:v>
                </c:pt>
                <c:pt idx="169">
                  <c:v>20</c:v>
                </c:pt>
                <c:pt idx="170">
                  <c:v>20</c:v>
                </c:pt>
                <c:pt idx="171">
                  <c:v>20</c:v>
                </c:pt>
                <c:pt idx="172">
                  <c:v>20.5</c:v>
                </c:pt>
                <c:pt idx="173">
                  <c:v>21</c:v>
                </c:pt>
                <c:pt idx="174">
                  <c:v>21</c:v>
                </c:pt>
                <c:pt idx="175">
                  <c:v>21</c:v>
                </c:pt>
                <c:pt idx="176">
                  <c:v>21</c:v>
                </c:pt>
                <c:pt idx="177">
                  <c:v>21</c:v>
                </c:pt>
                <c:pt idx="178">
                  <c:v>21</c:v>
                </c:pt>
                <c:pt idx="179">
                  <c:v>21</c:v>
                </c:pt>
                <c:pt idx="180">
                  <c:v>21</c:v>
                </c:pt>
                <c:pt idx="181">
                  <c:v>21</c:v>
                </c:pt>
                <c:pt idx="182">
                  <c:v>21</c:v>
                </c:pt>
                <c:pt idx="183">
                  <c:v>21</c:v>
                </c:pt>
                <c:pt idx="184">
                  <c:v>21</c:v>
                </c:pt>
                <c:pt idx="185">
                  <c:v>21</c:v>
                </c:pt>
                <c:pt idx="186">
                  <c:v>21</c:v>
                </c:pt>
                <c:pt idx="187">
                  <c:v>21</c:v>
                </c:pt>
                <c:pt idx="188">
                  <c:v>21</c:v>
                </c:pt>
                <c:pt idx="189">
                  <c:v>21</c:v>
                </c:pt>
                <c:pt idx="190">
                  <c:v>21</c:v>
                </c:pt>
                <c:pt idx="191">
                  <c:v>21</c:v>
                </c:pt>
                <c:pt idx="192">
                  <c:v>21</c:v>
                </c:pt>
                <c:pt idx="193">
                  <c:v>21</c:v>
                </c:pt>
                <c:pt idx="194">
                  <c:v>21</c:v>
                </c:pt>
                <c:pt idx="195">
                  <c:v>21</c:v>
                </c:pt>
                <c:pt idx="196">
                  <c:v>21</c:v>
                </c:pt>
                <c:pt idx="197">
                  <c:v>22</c:v>
                </c:pt>
                <c:pt idx="198">
                  <c:v>22</c:v>
                </c:pt>
                <c:pt idx="199">
                  <c:v>22</c:v>
                </c:pt>
                <c:pt idx="200">
                  <c:v>22</c:v>
                </c:pt>
                <c:pt idx="201">
                  <c:v>22</c:v>
                </c:pt>
                <c:pt idx="202">
                  <c:v>22</c:v>
                </c:pt>
                <c:pt idx="203">
                  <c:v>22</c:v>
                </c:pt>
                <c:pt idx="204">
                  <c:v>22</c:v>
                </c:pt>
                <c:pt idx="205">
                  <c:v>22</c:v>
                </c:pt>
                <c:pt idx="206">
                  <c:v>22</c:v>
                </c:pt>
                <c:pt idx="207">
                  <c:v>22</c:v>
                </c:pt>
                <c:pt idx="208">
                  <c:v>22</c:v>
                </c:pt>
                <c:pt idx="209">
                  <c:v>22</c:v>
                </c:pt>
                <c:pt idx="210">
                  <c:v>22</c:v>
                </c:pt>
                <c:pt idx="211">
                  <c:v>22</c:v>
                </c:pt>
                <c:pt idx="212">
                  <c:v>22</c:v>
                </c:pt>
                <c:pt idx="213">
                  <c:v>22</c:v>
                </c:pt>
                <c:pt idx="214">
                  <c:v>22</c:v>
                </c:pt>
                <c:pt idx="215">
                  <c:v>22</c:v>
                </c:pt>
                <c:pt idx="216">
                  <c:v>22</c:v>
                </c:pt>
                <c:pt idx="217">
                  <c:v>22</c:v>
                </c:pt>
                <c:pt idx="218">
                  <c:v>22</c:v>
                </c:pt>
                <c:pt idx="219">
                  <c:v>22</c:v>
                </c:pt>
                <c:pt idx="220">
                  <c:v>22</c:v>
                </c:pt>
                <c:pt idx="221">
                  <c:v>22</c:v>
                </c:pt>
                <c:pt idx="222">
                  <c:v>22</c:v>
                </c:pt>
                <c:pt idx="223">
                  <c:v>22</c:v>
                </c:pt>
                <c:pt idx="224">
                  <c:v>23</c:v>
                </c:pt>
                <c:pt idx="225">
                  <c:v>23</c:v>
                </c:pt>
                <c:pt idx="226">
                  <c:v>23</c:v>
                </c:pt>
                <c:pt idx="227">
                  <c:v>23</c:v>
                </c:pt>
                <c:pt idx="228">
                  <c:v>23</c:v>
                </c:pt>
                <c:pt idx="229">
                  <c:v>23</c:v>
                </c:pt>
                <c:pt idx="230">
                  <c:v>23</c:v>
                </c:pt>
                <c:pt idx="231">
                  <c:v>23</c:v>
                </c:pt>
                <c:pt idx="232">
                  <c:v>23</c:v>
                </c:pt>
                <c:pt idx="233">
                  <c:v>23</c:v>
                </c:pt>
                <c:pt idx="234">
                  <c:v>23</c:v>
                </c:pt>
                <c:pt idx="235">
                  <c:v>23</c:v>
                </c:pt>
                <c:pt idx="236">
                  <c:v>23</c:v>
                </c:pt>
                <c:pt idx="237">
                  <c:v>23</c:v>
                </c:pt>
                <c:pt idx="238">
                  <c:v>23</c:v>
                </c:pt>
                <c:pt idx="239">
                  <c:v>23.5</c:v>
                </c:pt>
                <c:pt idx="240">
                  <c:v>24</c:v>
                </c:pt>
                <c:pt idx="241">
                  <c:v>24</c:v>
                </c:pt>
                <c:pt idx="242">
                  <c:v>24</c:v>
                </c:pt>
                <c:pt idx="243">
                  <c:v>24</c:v>
                </c:pt>
                <c:pt idx="244">
                  <c:v>24</c:v>
                </c:pt>
                <c:pt idx="245">
                  <c:v>24</c:v>
                </c:pt>
                <c:pt idx="246">
                  <c:v>24</c:v>
                </c:pt>
                <c:pt idx="247">
                  <c:v>24</c:v>
                </c:pt>
                <c:pt idx="248">
                  <c:v>24</c:v>
                </c:pt>
                <c:pt idx="249">
                  <c:v>24</c:v>
                </c:pt>
                <c:pt idx="250">
                  <c:v>24</c:v>
                </c:pt>
                <c:pt idx="251">
                  <c:v>24</c:v>
                </c:pt>
                <c:pt idx="252">
                  <c:v>24</c:v>
                </c:pt>
                <c:pt idx="253">
                  <c:v>24</c:v>
                </c:pt>
                <c:pt idx="254">
                  <c:v>24</c:v>
                </c:pt>
                <c:pt idx="255">
                  <c:v>24</c:v>
                </c:pt>
                <c:pt idx="256">
                  <c:v>24</c:v>
                </c:pt>
                <c:pt idx="257">
                  <c:v>24</c:v>
                </c:pt>
                <c:pt idx="258">
                  <c:v>24</c:v>
                </c:pt>
                <c:pt idx="259">
                  <c:v>24</c:v>
                </c:pt>
                <c:pt idx="260">
                  <c:v>24</c:v>
                </c:pt>
                <c:pt idx="261">
                  <c:v>24</c:v>
                </c:pt>
                <c:pt idx="262">
                  <c:v>24</c:v>
                </c:pt>
                <c:pt idx="263">
                  <c:v>24</c:v>
                </c:pt>
                <c:pt idx="264">
                  <c:v>24</c:v>
                </c:pt>
                <c:pt idx="265">
                  <c:v>24</c:v>
                </c:pt>
                <c:pt idx="266">
                  <c:v>24</c:v>
                </c:pt>
                <c:pt idx="267">
                  <c:v>24</c:v>
                </c:pt>
                <c:pt idx="268">
                  <c:v>24</c:v>
                </c:pt>
                <c:pt idx="269">
                  <c:v>24</c:v>
                </c:pt>
                <c:pt idx="270">
                  <c:v>24.5</c:v>
                </c:pt>
                <c:pt idx="271">
                  <c:v>25</c:v>
                </c:pt>
                <c:pt idx="272">
                  <c:v>25</c:v>
                </c:pt>
                <c:pt idx="273">
                  <c:v>25</c:v>
                </c:pt>
                <c:pt idx="274">
                  <c:v>25</c:v>
                </c:pt>
                <c:pt idx="275">
                  <c:v>25</c:v>
                </c:pt>
                <c:pt idx="276">
                  <c:v>25</c:v>
                </c:pt>
                <c:pt idx="277">
                  <c:v>25</c:v>
                </c:pt>
                <c:pt idx="278">
                  <c:v>25</c:v>
                </c:pt>
                <c:pt idx="279">
                  <c:v>25</c:v>
                </c:pt>
                <c:pt idx="280">
                  <c:v>25</c:v>
                </c:pt>
                <c:pt idx="281">
                  <c:v>25</c:v>
                </c:pt>
                <c:pt idx="282">
                  <c:v>25</c:v>
                </c:pt>
                <c:pt idx="283">
                  <c:v>25</c:v>
                </c:pt>
                <c:pt idx="284">
                  <c:v>25</c:v>
                </c:pt>
                <c:pt idx="285">
                  <c:v>25</c:v>
                </c:pt>
                <c:pt idx="286">
                  <c:v>25</c:v>
                </c:pt>
                <c:pt idx="287">
                  <c:v>25</c:v>
                </c:pt>
                <c:pt idx="288">
                  <c:v>25</c:v>
                </c:pt>
                <c:pt idx="289">
                  <c:v>25</c:v>
                </c:pt>
                <c:pt idx="290">
                  <c:v>25</c:v>
                </c:pt>
                <c:pt idx="291">
                  <c:v>25</c:v>
                </c:pt>
                <c:pt idx="292">
                  <c:v>25</c:v>
                </c:pt>
                <c:pt idx="293">
                  <c:v>25</c:v>
                </c:pt>
                <c:pt idx="294">
                  <c:v>26</c:v>
                </c:pt>
                <c:pt idx="295">
                  <c:v>26</c:v>
                </c:pt>
                <c:pt idx="296">
                  <c:v>26</c:v>
                </c:pt>
                <c:pt idx="297">
                  <c:v>26</c:v>
                </c:pt>
                <c:pt idx="298">
                  <c:v>26</c:v>
                </c:pt>
                <c:pt idx="299">
                  <c:v>26</c:v>
                </c:pt>
                <c:pt idx="300">
                  <c:v>26</c:v>
                </c:pt>
                <c:pt idx="301">
                  <c:v>26</c:v>
                </c:pt>
                <c:pt idx="302">
                  <c:v>26</c:v>
                </c:pt>
                <c:pt idx="303">
                  <c:v>26</c:v>
                </c:pt>
                <c:pt idx="304">
                  <c:v>26</c:v>
                </c:pt>
                <c:pt idx="305">
                  <c:v>26</c:v>
                </c:pt>
                <c:pt idx="306">
                  <c:v>26</c:v>
                </c:pt>
                <c:pt idx="307">
                  <c:v>26</c:v>
                </c:pt>
                <c:pt idx="308">
                  <c:v>26</c:v>
                </c:pt>
                <c:pt idx="309">
                  <c:v>26</c:v>
                </c:pt>
                <c:pt idx="310">
                  <c:v>26</c:v>
                </c:pt>
                <c:pt idx="311">
                  <c:v>26</c:v>
                </c:pt>
                <c:pt idx="312">
                  <c:v>27</c:v>
                </c:pt>
                <c:pt idx="313">
                  <c:v>27</c:v>
                </c:pt>
                <c:pt idx="314">
                  <c:v>27</c:v>
                </c:pt>
                <c:pt idx="315">
                  <c:v>27</c:v>
                </c:pt>
                <c:pt idx="316">
                  <c:v>27</c:v>
                </c:pt>
                <c:pt idx="317">
                  <c:v>27</c:v>
                </c:pt>
                <c:pt idx="318">
                  <c:v>27</c:v>
                </c:pt>
                <c:pt idx="319">
                  <c:v>27</c:v>
                </c:pt>
                <c:pt idx="320">
                  <c:v>27</c:v>
                </c:pt>
                <c:pt idx="321">
                  <c:v>27</c:v>
                </c:pt>
                <c:pt idx="322">
                  <c:v>27</c:v>
                </c:pt>
                <c:pt idx="323">
                  <c:v>27</c:v>
                </c:pt>
                <c:pt idx="324">
                  <c:v>27</c:v>
                </c:pt>
                <c:pt idx="325">
                  <c:v>27</c:v>
                </c:pt>
                <c:pt idx="326">
                  <c:v>27</c:v>
                </c:pt>
                <c:pt idx="327">
                  <c:v>27</c:v>
                </c:pt>
                <c:pt idx="328">
                  <c:v>27</c:v>
                </c:pt>
                <c:pt idx="329">
                  <c:v>27</c:v>
                </c:pt>
                <c:pt idx="330">
                  <c:v>28</c:v>
                </c:pt>
                <c:pt idx="331">
                  <c:v>28</c:v>
                </c:pt>
                <c:pt idx="332">
                  <c:v>28</c:v>
                </c:pt>
                <c:pt idx="333">
                  <c:v>28</c:v>
                </c:pt>
                <c:pt idx="334">
                  <c:v>28</c:v>
                </c:pt>
                <c:pt idx="335">
                  <c:v>28</c:v>
                </c:pt>
                <c:pt idx="336">
                  <c:v>28</c:v>
                </c:pt>
                <c:pt idx="337">
                  <c:v>28</c:v>
                </c:pt>
                <c:pt idx="338">
                  <c:v>28</c:v>
                </c:pt>
                <c:pt idx="339">
                  <c:v>28</c:v>
                </c:pt>
                <c:pt idx="340">
                  <c:v>28</c:v>
                </c:pt>
                <c:pt idx="341">
                  <c:v>28</c:v>
                </c:pt>
                <c:pt idx="342">
                  <c:v>28</c:v>
                </c:pt>
                <c:pt idx="343">
                  <c:v>28</c:v>
                </c:pt>
                <c:pt idx="344">
                  <c:v>28</c:v>
                </c:pt>
                <c:pt idx="345">
                  <c:v>28</c:v>
                </c:pt>
                <c:pt idx="346">
                  <c:v>28</c:v>
                </c:pt>
                <c:pt idx="347">
                  <c:v>28</c:v>
                </c:pt>
                <c:pt idx="348">
                  <c:v>28</c:v>
                </c:pt>
                <c:pt idx="349">
                  <c:v>28</c:v>
                </c:pt>
                <c:pt idx="350">
                  <c:v>28</c:v>
                </c:pt>
                <c:pt idx="351">
                  <c:v>28</c:v>
                </c:pt>
                <c:pt idx="352">
                  <c:v>28</c:v>
                </c:pt>
                <c:pt idx="353">
                  <c:v>28</c:v>
                </c:pt>
                <c:pt idx="354">
                  <c:v>28</c:v>
                </c:pt>
                <c:pt idx="355">
                  <c:v>28.5</c:v>
                </c:pt>
                <c:pt idx="356">
                  <c:v>28.5</c:v>
                </c:pt>
                <c:pt idx="357">
                  <c:v>29</c:v>
                </c:pt>
                <c:pt idx="358">
                  <c:v>29</c:v>
                </c:pt>
                <c:pt idx="359">
                  <c:v>29</c:v>
                </c:pt>
                <c:pt idx="360">
                  <c:v>29</c:v>
                </c:pt>
                <c:pt idx="361">
                  <c:v>29</c:v>
                </c:pt>
                <c:pt idx="362">
                  <c:v>29</c:v>
                </c:pt>
                <c:pt idx="363">
                  <c:v>29</c:v>
                </c:pt>
                <c:pt idx="364">
                  <c:v>29</c:v>
                </c:pt>
                <c:pt idx="365">
                  <c:v>29</c:v>
                </c:pt>
                <c:pt idx="366">
                  <c:v>29</c:v>
                </c:pt>
                <c:pt idx="367">
                  <c:v>29</c:v>
                </c:pt>
                <c:pt idx="368">
                  <c:v>29</c:v>
                </c:pt>
                <c:pt idx="369">
                  <c:v>29</c:v>
                </c:pt>
                <c:pt idx="370">
                  <c:v>29</c:v>
                </c:pt>
                <c:pt idx="371">
                  <c:v>29</c:v>
                </c:pt>
                <c:pt idx="372">
                  <c:v>29</c:v>
                </c:pt>
                <c:pt idx="373">
                  <c:v>29</c:v>
                </c:pt>
                <c:pt idx="374">
                  <c:v>29</c:v>
                </c:pt>
                <c:pt idx="375">
                  <c:v>29</c:v>
                </c:pt>
                <c:pt idx="376">
                  <c:v>29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30</c:v>
                </c:pt>
                <c:pt idx="382">
                  <c:v>30</c:v>
                </c:pt>
                <c:pt idx="383">
                  <c:v>30</c:v>
                </c:pt>
                <c:pt idx="384">
                  <c:v>30</c:v>
                </c:pt>
                <c:pt idx="385">
                  <c:v>30</c:v>
                </c:pt>
                <c:pt idx="386">
                  <c:v>30</c:v>
                </c:pt>
                <c:pt idx="387">
                  <c:v>30</c:v>
                </c:pt>
                <c:pt idx="388">
                  <c:v>30</c:v>
                </c:pt>
                <c:pt idx="389">
                  <c:v>30</c:v>
                </c:pt>
                <c:pt idx="390">
                  <c:v>30</c:v>
                </c:pt>
                <c:pt idx="391">
                  <c:v>30</c:v>
                </c:pt>
                <c:pt idx="392">
                  <c:v>30</c:v>
                </c:pt>
                <c:pt idx="393">
                  <c:v>30</c:v>
                </c:pt>
                <c:pt idx="394">
                  <c:v>30</c:v>
                </c:pt>
                <c:pt idx="395">
                  <c:v>30</c:v>
                </c:pt>
                <c:pt idx="396">
                  <c:v>30</c:v>
                </c:pt>
                <c:pt idx="397">
                  <c:v>30</c:v>
                </c:pt>
                <c:pt idx="398">
                  <c:v>30</c:v>
                </c:pt>
                <c:pt idx="399">
                  <c:v>30</c:v>
                </c:pt>
                <c:pt idx="400">
                  <c:v>30</c:v>
                </c:pt>
                <c:pt idx="401">
                  <c:v>30</c:v>
                </c:pt>
                <c:pt idx="402">
                  <c:v>30.5</c:v>
                </c:pt>
                <c:pt idx="403">
                  <c:v>30.5</c:v>
                </c:pt>
                <c:pt idx="404">
                  <c:v>31</c:v>
                </c:pt>
                <c:pt idx="405">
                  <c:v>31</c:v>
                </c:pt>
                <c:pt idx="406">
                  <c:v>31</c:v>
                </c:pt>
                <c:pt idx="407">
                  <c:v>31</c:v>
                </c:pt>
                <c:pt idx="408">
                  <c:v>31</c:v>
                </c:pt>
                <c:pt idx="409">
                  <c:v>31</c:v>
                </c:pt>
                <c:pt idx="410">
                  <c:v>31</c:v>
                </c:pt>
                <c:pt idx="411">
                  <c:v>31</c:v>
                </c:pt>
                <c:pt idx="412">
                  <c:v>31</c:v>
                </c:pt>
                <c:pt idx="413">
                  <c:v>31</c:v>
                </c:pt>
                <c:pt idx="414">
                  <c:v>31</c:v>
                </c:pt>
                <c:pt idx="415">
                  <c:v>31</c:v>
                </c:pt>
                <c:pt idx="416">
                  <c:v>31</c:v>
                </c:pt>
                <c:pt idx="417">
                  <c:v>31</c:v>
                </c:pt>
                <c:pt idx="418">
                  <c:v>31</c:v>
                </c:pt>
                <c:pt idx="419">
                  <c:v>31</c:v>
                </c:pt>
                <c:pt idx="420">
                  <c:v>31</c:v>
                </c:pt>
                <c:pt idx="421">
                  <c:v>32</c:v>
                </c:pt>
                <c:pt idx="422">
                  <c:v>32</c:v>
                </c:pt>
                <c:pt idx="423">
                  <c:v>32</c:v>
                </c:pt>
                <c:pt idx="424">
                  <c:v>32</c:v>
                </c:pt>
                <c:pt idx="425">
                  <c:v>32</c:v>
                </c:pt>
                <c:pt idx="426">
                  <c:v>32</c:v>
                </c:pt>
                <c:pt idx="427">
                  <c:v>32</c:v>
                </c:pt>
                <c:pt idx="428">
                  <c:v>32</c:v>
                </c:pt>
                <c:pt idx="429">
                  <c:v>32</c:v>
                </c:pt>
                <c:pt idx="430">
                  <c:v>32</c:v>
                </c:pt>
                <c:pt idx="431">
                  <c:v>32</c:v>
                </c:pt>
                <c:pt idx="432">
                  <c:v>32</c:v>
                </c:pt>
                <c:pt idx="433">
                  <c:v>32</c:v>
                </c:pt>
                <c:pt idx="434">
                  <c:v>32</c:v>
                </c:pt>
                <c:pt idx="435">
                  <c:v>32</c:v>
                </c:pt>
                <c:pt idx="436">
                  <c:v>32</c:v>
                </c:pt>
                <c:pt idx="437">
                  <c:v>32</c:v>
                </c:pt>
                <c:pt idx="438">
                  <c:v>32</c:v>
                </c:pt>
                <c:pt idx="439">
                  <c:v>32.5</c:v>
                </c:pt>
                <c:pt idx="440">
                  <c:v>32.5</c:v>
                </c:pt>
                <c:pt idx="441">
                  <c:v>33</c:v>
                </c:pt>
                <c:pt idx="442">
                  <c:v>33</c:v>
                </c:pt>
                <c:pt idx="443">
                  <c:v>33</c:v>
                </c:pt>
                <c:pt idx="444">
                  <c:v>33</c:v>
                </c:pt>
                <c:pt idx="445">
                  <c:v>33</c:v>
                </c:pt>
                <c:pt idx="446">
                  <c:v>33</c:v>
                </c:pt>
                <c:pt idx="447">
                  <c:v>33</c:v>
                </c:pt>
                <c:pt idx="448">
                  <c:v>33</c:v>
                </c:pt>
                <c:pt idx="449">
                  <c:v>33</c:v>
                </c:pt>
                <c:pt idx="450">
                  <c:v>33</c:v>
                </c:pt>
                <c:pt idx="451">
                  <c:v>33</c:v>
                </c:pt>
                <c:pt idx="452">
                  <c:v>33</c:v>
                </c:pt>
                <c:pt idx="453">
                  <c:v>33</c:v>
                </c:pt>
                <c:pt idx="454">
                  <c:v>33</c:v>
                </c:pt>
                <c:pt idx="455">
                  <c:v>33</c:v>
                </c:pt>
                <c:pt idx="456">
                  <c:v>34</c:v>
                </c:pt>
                <c:pt idx="457">
                  <c:v>34</c:v>
                </c:pt>
                <c:pt idx="458">
                  <c:v>34</c:v>
                </c:pt>
                <c:pt idx="459">
                  <c:v>34</c:v>
                </c:pt>
                <c:pt idx="460">
                  <c:v>34</c:v>
                </c:pt>
                <c:pt idx="461">
                  <c:v>34</c:v>
                </c:pt>
                <c:pt idx="462">
                  <c:v>34</c:v>
                </c:pt>
                <c:pt idx="463">
                  <c:v>34</c:v>
                </c:pt>
                <c:pt idx="464">
                  <c:v>34</c:v>
                </c:pt>
                <c:pt idx="465">
                  <c:v>34</c:v>
                </c:pt>
                <c:pt idx="466">
                  <c:v>34</c:v>
                </c:pt>
                <c:pt idx="467">
                  <c:v>34</c:v>
                </c:pt>
                <c:pt idx="468">
                  <c:v>34</c:v>
                </c:pt>
                <c:pt idx="469">
                  <c:v>34</c:v>
                </c:pt>
                <c:pt idx="470">
                  <c:v>34</c:v>
                </c:pt>
                <c:pt idx="471">
                  <c:v>34.5</c:v>
                </c:pt>
                <c:pt idx="472">
                  <c:v>35</c:v>
                </c:pt>
                <c:pt idx="473">
                  <c:v>35</c:v>
                </c:pt>
                <c:pt idx="474">
                  <c:v>35</c:v>
                </c:pt>
                <c:pt idx="475">
                  <c:v>35</c:v>
                </c:pt>
                <c:pt idx="476">
                  <c:v>35</c:v>
                </c:pt>
                <c:pt idx="477">
                  <c:v>35</c:v>
                </c:pt>
                <c:pt idx="478">
                  <c:v>35</c:v>
                </c:pt>
                <c:pt idx="479">
                  <c:v>35</c:v>
                </c:pt>
                <c:pt idx="480">
                  <c:v>35</c:v>
                </c:pt>
                <c:pt idx="481">
                  <c:v>35</c:v>
                </c:pt>
                <c:pt idx="482">
                  <c:v>35</c:v>
                </c:pt>
                <c:pt idx="483">
                  <c:v>35</c:v>
                </c:pt>
                <c:pt idx="484">
                  <c:v>35</c:v>
                </c:pt>
                <c:pt idx="485">
                  <c:v>35</c:v>
                </c:pt>
                <c:pt idx="486">
                  <c:v>35</c:v>
                </c:pt>
                <c:pt idx="487">
                  <c:v>35</c:v>
                </c:pt>
                <c:pt idx="488">
                  <c:v>35</c:v>
                </c:pt>
                <c:pt idx="489">
                  <c:v>35</c:v>
                </c:pt>
                <c:pt idx="490">
                  <c:v>36</c:v>
                </c:pt>
                <c:pt idx="491">
                  <c:v>36</c:v>
                </c:pt>
                <c:pt idx="492">
                  <c:v>36</c:v>
                </c:pt>
                <c:pt idx="493">
                  <c:v>36</c:v>
                </c:pt>
                <c:pt idx="494">
                  <c:v>36</c:v>
                </c:pt>
                <c:pt idx="495">
                  <c:v>36</c:v>
                </c:pt>
                <c:pt idx="496">
                  <c:v>36</c:v>
                </c:pt>
                <c:pt idx="497">
                  <c:v>36</c:v>
                </c:pt>
                <c:pt idx="498">
                  <c:v>36</c:v>
                </c:pt>
                <c:pt idx="499">
                  <c:v>36</c:v>
                </c:pt>
                <c:pt idx="500">
                  <c:v>36</c:v>
                </c:pt>
                <c:pt idx="501">
                  <c:v>36</c:v>
                </c:pt>
                <c:pt idx="502">
                  <c:v>36</c:v>
                </c:pt>
                <c:pt idx="503">
                  <c:v>36</c:v>
                </c:pt>
                <c:pt idx="504">
                  <c:v>36</c:v>
                </c:pt>
                <c:pt idx="505">
                  <c:v>36</c:v>
                </c:pt>
                <c:pt idx="506">
                  <c:v>36</c:v>
                </c:pt>
                <c:pt idx="507">
                  <c:v>36</c:v>
                </c:pt>
                <c:pt idx="508">
                  <c:v>36</c:v>
                </c:pt>
                <c:pt idx="509">
                  <c:v>36</c:v>
                </c:pt>
                <c:pt idx="510">
                  <c:v>36</c:v>
                </c:pt>
                <c:pt idx="511">
                  <c:v>36</c:v>
                </c:pt>
                <c:pt idx="512">
                  <c:v>36.5</c:v>
                </c:pt>
                <c:pt idx="513">
                  <c:v>37</c:v>
                </c:pt>
                <c:pt idx="514">
                  <c:v>37</c:v>
                </c:pt>
                <c:pt idx="515">
                  <c:v>37</c:v>
                </c:pt>
                <c:pt idx="516">
                  <c:v>37</c:v>
                </c:pt>
                <c:pt idx="517">
                  <c:v>37</c:v>
                </c:pt>
                <c:pt idx="518">
                  <c:v>37</c:v>
                </c:pt>
                <c:pt idx="519">
                  <c:v>38</c:v>
                </c:pt>
                <c:pt idx="520">
                  <c:v>38</c:v>
                </c:pt>
                <c:pt idx="521">
                  <c:v>38</c:v>
                </c:pt>
                <c:pt idx="522">
                  <c:v>38</c:v>
                </c:pt>
                <c:pt idx="523">
                  <c:v>38</c:v>
                </c:pt>
                <c:pt idx="524">
                  <c:v>38</c:v>
                </c:pt>
                <c:pt idx="525">
                  <c:v>38</c:v>
                </c:pt>
                <c:pt idx="526">
                  <c:v>38</c:v>
                </c:pt>
                <c:pt idx="527">
                  <c:v>38</c:v>
                </c:pt>
                <c:pt idx="528">
                  <c:v>38</c:v>
                </c:pt>
                <c:pt idx="529">
                  <c:v>38</c:v>
                </c:pt>
                <c:pt idx="530">
                  <c:v>39</c:v>
                </c:pt>
                <c:pt idx="531">
                  <c:v>39</c:v>
                </c:pt>
                <c:pt idx="532">
                  <c:v>39</c:v>
                </c:pt>
                <c:pt idx="533">
                  <c:v>39</c:v>
                </c:pt>
                <c:pt idx="534">
                  <c:v>39</c:v>
                </c:pt>
                <c:pt idx="535">
                  <c:v>39</c:v>
                </c:pt>
                <c:pt idx="536">
                  <c:v>39</c:v>
                </c:pt>
                <c:pt idx="537">
                  <c:v>39</c:v>
                </c:pt>
                <c:pt idx="538">
                  <c:v>39</c:v>
                </c:pt>
                <c:pt idx="539">
                  <c:v>39</c:v>
                </c:pt>
                <c:pt idx="540">
                  <c:v>39</c:v>
                </c:pt>
                <c:pt idx="541">
                  <c:v>39</c:v>
                </c:pt>
                <c:pt idx="542">
                  <c:v>39</c:v>
                </c:pt>
                <c:pt idx="543">
                  <c:v>39</c:v>
                </c:pt>
                <c:pt idx="544">
                  <c:v>40</c:v>
                </c:pt>
                <c:pt idx="545">
                  <c:v>40</c:v>
                </c:pt>
                <c:pt idx="546">
                  <c:v>40</c:v>
                </c:pt>
                <c:pt idx="547">
                  <c:v>40</c:v>
                </c:pt>
                <c:pt idx="548">
                  <c:v>40</c:v>
                </c:pt>
                <c:pt idx="549">
                  <c:v>40</c:v>
                </c:pt>
                <c:pt idx="550">
                  <c:v>40</c:v>
                </c:pt>
                <c:pt idx="551">
                  <c:v>40</c:v>
                </c:pt>
                <c:pt idx="552">
                  <c:v>40</c:v>
                </c:pt>
                <c:pt idx="553">
                  <c:v>40</c:v>
                </c:pt>
                <c:pt idx="554">
                  <c:v>40</c:v>
                </c:pt>
                <c:pt idx="555">
                  <c:v>40</c:v>
                </c:pt>
                <c:pt idx="556">
                  <c:v>40</c:v>
                </c:pt>
                <c:pt idx="557">
                  <c:v>40.5</c:v>
                </c:pt>
                <c:pt idx="558">
                  <c:v>40.5</c:v>
                </c:pt>
                <c:pt idx="559">
                  <c:v>41</c:v>
                </c:pt>
                <c:pt idx="560">
                  <c:v>41</c:v>
                </c:pt>
                <c:pt idx="561">
                  <c:v>41</c:v>
                </c:pt>
                <c:pt idx="562">
                  <c:v>41</c:v>
                </c:pt>
                <c:pt idx="563">
                  <c:v>41</c:v>
                </c:pt>
                <c:pt idx="564">
                  <c:v>41</c:v>
                </c:pt>
                <c:pt idx="565">
                  <c:v>42</c:v>
                </c:pt>
                <c:pt idx="566">
                  <c:v>42</c:v>
                </c:pt>
                <c:pt idx="567">
                  <c:v>42</c:v>
                </c:pt>
                <c:pt idx="568">
                  <c:v>42</c:v>
                </c:pt>
                <c:pt idx="569">
                  <c:v>42</c:v>
                </c:pt>
                <c:pt idx="570">
                  <c:v>42</c:v>
                </c:pt>
                <c:pt idx="571">
                  <c:v>42</c:v>
                </c:pt>
                <c:pt idx="572">
                  <c:v>42</c:v>
                </c:pt>
                <c:pt idx="573">
                  <c:v>42</c:v>
                </c:pt>
                <c:pt idx="574">
                  <c:v>42</c:v>
                </c:pt>
                <c:pt idx="575">
                  <c:v>42</c:v>
                </c:pt>
                <c:pt idx="576">
                  <c:v>42</c:v>
                </c:pt>
                <c:pt idx="577">
                  <c:v>42</c:v>
                </c:pt>
                <c:pt idx="578">
                  <c:v>42</c:v>
                </c:pt>
                <c:pt idx="579">
                  <c:v>43</c:v>
                </c:pt>
                <c:pt idx="580">
                  <c:v>43</c:v>
                </c:pt>
                <c:pt idx="581">
                  <c:v>43</c:v>
                </c:pt>
                <c:pt idx="582">
                  <c:v>43</c:v>
                </c:pt>
                <c:pt idx="583">
                  <c:v>43</c:v>
                </c:pt>
                <c:pt idx="584">
                  <c:v>44</c:v>
                </c:pt>
                <c:pt idx="585">
                  <c:v>44</c:v>
                </c:pt>
                <c:pt idx="586">
                  <c:v>44</c:v>
                </c:pt>
                <c:pt idx="587">
                  <c:v>44</c:v>
                </c:pt>
                <c:pt idx="588">
                  <c:v>44</c:v>
                </c:pt>
                <c:pt idx="589">
                  <c:v>44</c:v>
                </c:pt>
                <c:pt idx="590">
                  <c:v>44</c:v>
                </c:pt>
                <c:pt idx="591">
                  <c:v>44</c:v>
                </c:pt>
                <c:pt idx="592">
                  <c:v>44</c:v>
                </c:pt>
                <c:pt idx="593">
                  <c:v>45</c:v>
                </c:pt>
                <c:pt idx="594">
                  <c:v>45</c:v>
                </c:pt>
                <c:pt idx="595">
                  <c:v>45</c:v>
                </c:pt>
                <c:pt idx="596">
                  <c:v>45</c:v>
                </c:pt>
                <c:pt idx="597">
                  <c:v>45</c:v>
                </c:pt>
                <c:pt idx="598">
                  <c:v>45</c:v>
                </c:pt>
                <c:pt idx="599">
                  <c:v>45</c:v>
                </c:pt>
                <c:pt idx="600">
                  <c:v>45</c:v>
                </c:pt>
                <c:pt idx="601">
                  <c:v>45</c:v>
                </c:pt>
                <c:pt idx="602">
                  <c:v>45</c:v>
                </c:pt>
                <c:pt idx="603">
                  <c:v>45</c:v>
                </c:pt>
                <c:pt idx="604">
                  <c:v>45</c:v>
                </c:pt>
                <c:pt idx="605">
                  <c:v>45.5</c:v>
                </c:pt>
                <c:pt idx="606">
                  <c:v>45.5</c:v>
                </c:pt>
                <c:pt idx="607">
                  <c:v>46</c:v>
                </c:pt>
                <c:pt idx="608">
                  <c:v>46</c:v>
                </c:pt>
                <c:pt idx="609">
                  <c:v>46</c:v>
                </c:pt>
                <c:pt idx="610">
                  <c:v>47</c:v>
                </c:pt>
                <c:pt idx="611">
                  <c:v>47</c:v>
                </c:pt>
                <c:pt idx="612">
                  <c:v>47</c:v>
                </c:pt>
                <c:pt idx="613">
                  <c:v>47</c:v>
                </c:pt>
                <c:pt idx="614">
                  <c:v>47</c:v>
                </c:pt>
                <c:pt idx="615">
                  <c:v>47</c:v>
                </c:pt>
                <c:pt idx="616">
                  <c:v>47</c:v>
                </c:pt>
                <c:pt idx="617">
                  <c:v>47</c:v>
                </c:pt>
                <c:pt idx="618">
                  <c:v>47</c:v>
                </c:pt>
                <c:pt idx="619">
                  <c:v>48</c:v>
                </c:pt>
                <c:pt idx="620">
                  <c:v>48</c:v>
                </c:pt>
                <c:pt idx="621">
                  <c:v>48</c:v>
                </c:pt>
                <c:pt idx="622">
                  <c:v>48</c:v>
                </c:pt>
                <c:pt idx="623">
                  <c:v>48</c:v>
                </c:pt>
                <c:pt idx="624">
                  <c:v>48</c:v>
                </c:pt>
                <c:pt idx="625">
                  <c:v>48</c:v>
                </c:pt>
                <c:pt idx="626">
                  <c:v>48</c:v>
                </c:pt>
                <c:pt idx="627">
                  <c:v>48</c:v>
                </c:pt>
                <c:pt idx="628">
                  <c:v>49</c:v>
                </c:pt>
                <c:pt idx="629">
                  <c:v>49</c:v>
                </c:pt>
                <c:pt idx="630">
                  <c:v>49</c:v>
                </c:pt>
                <c:pt idx="631">
                  <c:v>49</c:v>
                </c:pt>
                <c:pt idx="632">
                  <c:v>49</c:v>
                </c:pt>
                <c:pt idx="633">
                  <c:v>49</c:v>
                </c:pt>
                <c:pt idx="634">
                  <c:v>50</c:v>
                </c:pt>
                <c:pt idx="635">
                  <c:v>50</c:v>
                </c:pt>
                <c:pt idx="636">
                  <c:v>50</c:v>
                </c:pt>
                <c:pt idx="637">
                  <c:v>50</c:v>
                </c:pt>
                <c:pt idx="638">
                  <c:v>50</c:v>
                </c:pt>
                <c:pt idx="639">
                  <c:v>50</c:v>
                </c:pt>
                <c:pt idx="640">
                  <c:v>50</c:v>
                </c:pt>
                <c:pt idx="641">
                  <c:v>50</c:v>
                </c:pt>
                <c:pt idx="642">
                  <c:v>50</c:v>
                </c:pt>
                <c:pt idx="643">
                  <c:v>50</c:v>
                </c:pt>
                <c:pt idx="644">
                  <c:v>51</c:v>
                </c:pt>
                <c:pt idx="645">
                  <c:v>51</c:v>
                </c:pt>
                <c:pt idx="646">
                  <c:v>51</c:v>
                </c:pt>
                <c:pt idx="647">
                  <c:v>51</c:v>
                </c:pt>
                <c:pt idx="648">
                  <c:v>51</c:v>
                </c:pt>
                <c:pt idx="649">
                  <c:v>51</c:v>
                </c:pt>
                <c:pt idx="650">
                  <c:v>51</c:v>
                </c:pt>
                <c:pt idx="651">
                  <c:v>52</c:v>
                </c:pt>
                <c:pt idx="652">
                  <c:v>52</c:v>
                </c:pt>
                <c:pt idx="653">
                  <c:v>52</c:v>
                </c:pt>
                <c:pt idx="654">
                  <c:v>52</c:v>
                </c:pt>
                <c:pt idx="655">
                  <c:v>52</c:v>
                </c:pt>
                <c:pt idx="656">
                  <c:v>52</c:v>
                </c:pt>
                <c:pt idx="657">
                  <c:v>53</c:v>
                </c:pt>
                <c:pt idx="658">
                  <c:v>54</c:v>
                </c:pt>
                <c:pt idx="659">
                  <c:v>54</c:v>
                </c:pt>
                <c:pt idx="660">
                  <c:v>54</c:v>
                </c:pt>
                <c:pt idx="661">
                  <c:v>54</c:v>
                </c:pt>
                <c:pt idx="662">
                  <c:v>54</c:v>
                </c:pt>
                <c:pt idx="663">
                  <c:v>54</c:v>
                </c:pt>
                <c:pt idx="664">
                  <c:v>54</c:v>
                </c:pt>
                <c:pt idx="665">
                  <c:v>54</c:v>
                </c:pt>
                <c:pt idx="666">
                  <c:v>55</c:v>
                </c:pt>
                <c:pt idx="667">
                  <c:v>55</c:v>
                </c:pt>
                <c:pt idx="668">
                  <c:v>55.5</c:v>
                </c:pt>
                <c:pt idx="669">
                  <c:v>56</c:v>
                </c:pt>
                <c:pt idx="670">
                  <c:v>56</c:v>
                </c:pt>
                <c:pt idx="671">
                  <c:v>56</c:v>
                </c:pt>
                <c:pt idx="672">
                  <c:v>56</c:v>
                </c:pt>
                <c:pt idx="673">
                  <c:v>57</c:v>
                </c:pt>
                <c:pt idx="674">
                  <c:v>57</c:v>
                </c:pt>
                <c:pt idx="675">
                  <c:v>58</c:v>
                </c:pt>
                <c:pt idx="676">
                  <c:v>58</c:v>
                </c:pt>
                <c:pt idx="677">
                  <c:v>58</c:v>
                </c:pt>
                <c:pt idx="678">
                  <c:v>58</c:v>
                </c:pt>
                <c:pt idx="679">
                  <c:v>58</c:v>
                </c:pt>
                <c:pt idx="680">
                  <c:v>59</c:v>
                </c:pt>
                <c:pt idx="681">
                  <c:v>59</c:v>
                </c:pt>
                <c:pt idx="682">
                  <c:v>60</c:v>
                </c:pt>
                <c:pt idx="683">
                  <c:v>60</c:v>
                </c:pt>
                <c:pt idx="684">
                  <c:v>60</c:v>
                </c:pt>
                <c:pt idx="685">
                  <c:v>60</c:v>
                </c:pt>
                <c:pt idx="686">
                  <c:v>61</c:v>
                </c:pt>
                <c:pt idx="687">
                  <c:v>61</c:v>
                </c:pt>
                <c:pt idx="688">
                  <c:v>61</c:v>
                </c:pt>
                <c:pt idx="689">
                  <c:v>62</c:v>
                </c:pt>
                <c:pt idx="690">
                  <c:v>62</c:v>
                </c:pt>
                <c:pt idx="691">
                  <c:v>62</c:v>
                </c:pt>
                <c:pt idx="692">
                  <c:v>62</c:v>
                </c:pt>
                <c:pt idx="693">
                  <c:v>63</c:v>
                </c:pt>
                <c:pt idx="694">
                  <c:v>63</c:v>
                </c:pt>
                <c:pt idx="695">
                  <c:v>64</c:v>
                </c:pt>
                <c:pt idx="696">
                  <c:v>64</c:v>
                </c:pt>
                <c:pt idx="697">
                  <c:v>65</c:v>
                </c:pt>
                <c:pt idx="698">
                  <c:v>65</c:v>
                </c:pt>
                <c:pt idx="699">
                  <c:v>65</c:v>
                </c:pt>
                <c:pt idx="700">
                  <c:v>66</c:v>
                </c:pt>
                <c:pt idx="701">
                  <c:v>67</c:v>
                </c:pt>
                <c:pt idx="702">
                  <c:v>70</c:v>
                </c:pt>
                <c:pt idx="703">
                  <c:v>70</c:v>
                </c:pt>
                <c:pt idx="704">
                  <c:v>70.5</c:v>
                </c:pt>
                <c:pt idx="705">
                  <c:v>71</c:v>
                </c:pt>
                <c:pt idx="706">
                  <c:v>71</c:v>
                </c:pt>
                <c:pt idx="707">
                  <c:v>74</c:v>
                </c:pt>
                <c:pt idx="708">
                  <c:v>75</c:v>
                </c:pt>
                <c:pt idx="709">
                  <c:v>75</c:v>
                </c:pt>
                <c:pt idx="710">
                  <c:v>80</c:v>
                </c:pt>
                <c:pt idx="711">
                  <c:v>83</c:v>
                </c:pt>
                <c:pt idx="712">
                  <c:v>83</c:v>
                </c:pt>
                <c:pt idx="713">
                  <c:v>92</c:v>
                </c:pt>
              </c:numCache>
            </c:numRef>
          </c:xVal>
          <c:yVal>
            <c:numRef>
              <c:f>'Práctica 1'!$E$185:$E$898</c:f>
              <c:numCache>
                <c:formatCode>0%</c:formatCode>
                <c:ptCount val="7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8.9999999999999993E-3</c:v>
                </c:pt>
                <c:pt idx="8">
                  <c:v>8.9999999999999993E-3</c:v>
                </c:pt>
                <c:pt idx="9">
                  <c:v>8.9999999999999993E-3</c:v>
                </c:pt>
                <c:pt idx="10">
                  <c:v>8.9999999999999993E-3</c:v>
                </c:pt>
                <c:pt idx="11">
                  <c:v>8.9999999999999993E-3</c:v>
                </c:pt>
                <c:pt idx="12">
                  <c:v>8.9999999999999993E-3</c:v>
                </c:pt>
                <c:pt idx="13">
                  <c:v>8.9999999999999993E-3</c:v>
                </c:pt>
                <c:pt idx="14">
                  <c:v>8.9999999999999993E-3</c:v>
                </c:pt>
                <c:pt idx="15">
                  <c:v>8.9999999999999993E-3</c:v>
                </c:pt>
                <c:pt idx="16">
                  <c:v>8.9999999999999993E-3</c:v>
                </c:pt>
                <c:pt idx="17">
                  <c:v>2.3E-2</c:v>
                </c:pt>
                <c:pt idx="18">
                  <c:v>2.3E-2</c:v>
                </c:pt>
                <c:pt idx="19">
                  <c:v>2.3E-2</c:v>
                </c:pt>
                <c:pt idx="20">
                  <c:v>2.3E-2</c:v>
                </c:pt>
                <c:pt idx="21">
                  <c:v>2.3E-2</c:v>
                </c:pt>
                <c:pt idx="22">
                  <c:v>2.3E-2</c:v>
                </c:pt>
                <c:pt idx="23">
                  <c:v>3.2000000000000001E-2</c:v>
                </c:pt>
                <c:pt idx="24">
                  <c:v>3.2000000000000001E-2</c:v>
                </c:pt>
                <c:pt idx="25">
                  <c:v>3.2000000000000001E-2</c:v>
                </c:pt>
                <c:pt idx="26">
                  <c:v>3.2000000000000001E-2</c:v>
                </c:pt>
                <c:pt idx="27">
                  <c:v>3.2000000000000001E-2</c:v>
                </c:pt>
                <c:pt idx="28">
                  <c:v>3.2000000000000001E-2</c:v>
                </c:pt>
                <c:pt idx="29">
                  <c:v>3.2000000000000001E-2</c:v>
                </c:pt>
                <c:pt idx="30">
                  <c:v>3.2000000000000001E-2</c:v>
                </c:pt>
                <c:pt idx="31">
                  <c:v>3.2000000000000001E-2</c:v>
                </c:pt>
                <c:pt idx="32">
                  <c:v>3.2000000000000001E-2</c:v>
                </c:pt>
                <c:pt idx="33">
                  <c:v>4.5999999999999999E-2</c:v>
                </c:pt>
                <c:pt idx="34">
                  <c:v>4.5999999999999999E-2</c:v>
                </c:pt>
                <c:pt idx="35">
                  <c:v>4.5999999999999999E-2</c:v>
                </c:pt>
                <c:pt idx="36">
                  <c:v>4.5999999999999999E-2</c:v>
                </c:pt>
                <c:pt idx="37">
                  <c:v>5.0999999999999997E-2</c:v>
                </c:pt>
                <c:pt idx="38">
                  <c:v>5.0999999999999997E-2</c:v>
                </c:pt>
                <c:pt idx="39">
                  <c:v>5.0999999999999997E-2</c:v>
                </c:pt>
                <c:pt idx="40">
                  <c:v>5.6000000000000001E-2</c:v>
                </c:pt>
                <c:pt idx="41">
                  <c:v>5.6000000000000001E-2</c:v>
                </c:pt>
                <c:pt idx="42">
                  <c:v>5.6000000000000001E-2</c:v>
                </c:pt>
                <c:pt idx="43">
                  <c:v>0.06</c:v>
                </c:pt>
                <c:pt idx="44">
                  <c:v>0.06</c:v>
                </c:pt>
                <c:pt idx="45">
                  <c:v>0.06</c:v>
                </c:pt>
                <c:pt idx="46">
                  <c:v>0.06</c:v>
                </c:pt>
                <c:pt idx="47">
                  <c:v>6.5000000000000002E-2</c:v>
                </c:pt>
                <c:pt idx="48">
                  <c:v>6.5000000000000002E-2</c:v>
                </c:pt>
                <c:pt idx="49">
                  <c:v>6.5000000000000002E-2</c:v>
                </c:pt>
                <c:pt idx="50">
                  <c:v>6.5000000000000002E-2</c:v>
                </c:pt>
                <c:pt idx="51">
                  <c:v>6.5000000000000002E-2</c:v>
                </c:pt>
                <c:pt idx="52">
                  <c:v>6.5000000000000002E-2</c:v>
                </c:pt>
                <c:pt idx="53">
                  <c:v>6.5000000000000002E-2</c:v>
                </c:pt>
                <c:pt idx="54">
                  <c:v>6.5000000000000002E-2</c:v>
                </c:pt>
                <c:pt idx="55">
                  <c:v>7.6999999999999999E-2</c:v>
                </c:pt>
                <c:pt idx="56">
                  <c:v>7.6999999999999999E-2</c:v>
                </c:pt>
                <c:pt idx="57">
                  <c:v>7.9000000000000001E-2</c:v>
                </c:pt>
                <c:pt idx="58">
                  <c:v>7.9000000000000001E-2</c:v>
                </c:pt>
                <c:pt idx="59">
                  <c:v>7.9000000000000001E-2</c:v>
                </c:pt>
                <c:pt idx="60">
                  <c:v>7.9000000000000001E-2</c:v>
                </c:pt>
                <c:pt idx="61">
                  <c:v>8.5000000000000006E-2</c:v>
                </c:pt>
                <c:pt idx="62">
                  <c:v>8.5999999999999993E-2</c:v>
                </c:pt>
                <c:pt idx="63">
                  <c:v>8.5999999999999993E-2</c:v>
                </c:pt>
                <c:pt idx="64">
                  <c:v>8.8999999999999996E-2</c:v>
                </c:pt>
                <c:pt idx="65">
                  <c:v>8.8999999999999996E-2</c:v>
                </c:pt>
                <c:pt idx="66">
                  <c:v>8.8999999999999996E-2</c:v>
                </c:pt>
                <c:pt idx="67">
                  <c:v>8.8999999999999996E-2</c:v>
                </c:pt>
                <c:pt idx="68">
                  <c:v>8.8999999999999996E-2</c:v>
                </c:pt>
                <c:pt idx="69">
                  <c:v>8.8999999999999996E-2</c:v>
                </c:pt>
                <c:pt idx="70">
                  <c:v>9.8000000000000004E-2</c:v>
                </c:pt>
                <c:pt idx="71">
                  <c:v>9.9000000000000005E-2</c:v>
                </c:pt>
                <c:pt idx="72">
                  <c:v>9.9000000000000005E-2</c:v>
                </c:pt>
                <c:pt idx="73">
                  <c:v>9.9000000000000005E-2</c:v>
                </c:pt>
                <c:pt idx="74">
                  <c:v>9.9000000000000005E-2</c:v>
                </c:pt>
                <c:pt idx="75">
                  <c:v>9.9000000000000005E-2</c:v>
                </c:pt>
                <c:pt idx="76">
                  <c:v>0.106</c:v>
                </c:pt>
                <c:pt idx="77">
                  <c:v>0.106</c:v>
                </c:pt>
                <c:pt idx="78">
                  <c:v>0.106</c:v>
                </c:pt>
                <c:pt idx="79">
                  <c:v>0.106</c:v>
                </c:pt>
                <c:pt idx="80">
                  <c:v>0.106</c:v>
                </c:pt>
                <c:pt idx="81">
                  <c:v>0.106</c:v>
                </c:pt>
                <c:pt idx="82">
                  <c:v>0.106</c:v>
                </c:pt>
                <c:pt idx="83">
                  <c:v>0.106</c:v>
                </c:pt>
                <c:pt idx="84">
                  <c:v>0.106</c:v>
                </c:pt>
                <c:pt idx="85">
                  <c:v>0.106</c:v>
                </c:pt>
                <c:pt idx="86">
                  <c:v>0.106</c:v>
                </c:pt>
                <c:pt idx="87">
                  <c:v>0.106</c:v>
                </c:pt>
                <c:pt idx="88">
                  <c:v>0.106</c:v>
                </c:pt>
                <c:pt idx="89">
                  <c:v>0.106</c:v>
                </c:pt>
                <c:pt idx="90">
                  <c:v>0.106</c:v>
                </c:pt>
                <c:pt idx="91">
                  <c:v>0.106</c:v>
                </c:pt>
                <c:pt idx="92">
                  <c:v>0.106</c:v>
                </c:pt>
                <c:pt idx="93">
                  <c:v>0.13</c:v>
                </c:pt>
                <c:pt idx="94">
                  <c:v>0.13</c:v>
                </c:pt>
                <c:pt idx="95">
                  <c:v>0.13</c:v>
                </c:pt>
                <c:pt idx="96">
                  <c:v>0.13</c:v>
                </c:pt>
                <c:pt idx="97">
                  <c:v>0.13</c:v>
                </c:pt>
                <c:pt idx="98">
                  <c:v>0.13</c:v>
                </c:pt>
                <c:pt idx="99">
                  <c:v>0.13</c:v>
                </c:pt>
                <c:pt idx="100">
                  <c:v>0.13</c:v>
                </c:pt>
                <c:pt idx="101">
                  <c:v>0.13</c:v>
                </c:pt>
                <c:pt idx="102">
                  <c:v>0.13</c:v>
                </c:pt>
                <c:pt idx="103">
                  <c:v>0.13</c:v>
                </c:pt>
                <c:pt idx="104">
                  <c:v>0.13</c:v>
                </c:pt>
                <c:pt idx="105">
                  <c:v>0.13</c:v>
                </c:pt>
                <c:pt idx="106">
                  <c:v>0.14799999999999999</c:v>
                </c:pt>
                <c:pt idx="107">
                  <c:v>0.14799999999999999</c:v>
                </c:pt>
                <c:pt idx="108">
                  <c:v>0.14799999999999999</c:v>
                </c:pt>
                <c:pt idx="109">
                  <c:v>0.14799999999999999</c:v>
                </c:pt>
                <c:pt idx="110">
                  <c:v>0.14799999999999999</c:v>
                </c:pt>
                <c:pt idx="111">
                  <c:v>0.14799999999999999</c:v>
                </c:pt>
                <c:pt idx="112">
                  <c:v>0.14799999999999999</c:v>
                </c:pt>
                <c:pt idx="113">
                  <c:v>0.14799999999999999</c:v>
                </c:pt>
                <c:pt idx="114">
                  <c:v>0.14799999999999999</c:v>
                </c:pt>
                <c:pt idx="115">
                  <c:v>0.14799999999999999</c:v>
                </c:pt>
                <c:pt idx="116">
                  <c:v>0.14799999999999999</c:v>
                </c:pt>
                <c:pt idx="117">
                  <c:v>0.14799999999999999</c:v>
                </c:pt>
                <c:pt idx="118">
                  <c:v>0.14799999999999999</c:v>
                </c:pt>
                <c:pt idx="119">
                  <c:v>0.14799999999999999</c:v>
                </c:pt>
                <c:pt idx="120">
                  <c:v>0.14799999999999999</c:v>
                </c:pt>
                <c:pt idx="121">
                  <c:v>0.14799999999999999</c:v>
                </c:pt>
                <c:pt idx="122">
                  <c:v>0.14799999999999999</c:v>
                </c:pt>
                <c:pt idx="123">
                  <c:v>0.14799999999999999</c:v>
                </c:pt>
                <c:pt idx="124">
                  <c:v>0.14799999999999999</c:v>
                </c:pt>
                <c:pt idx="125">
                  <c:v>0.14799999999999999</c:v>
                </c:pt>
                <c:pt idx="126">
                  <c:v>0.14799999999999999</c:v>
                </c:pt>
                <c:pt idx="127">
                  <c:v>0.14799999999999999</c:v>
                </c:pt>
                <c:pt idx="128">
                  <c:v>0.14799999999999999</c:v>
                </c:pt>
                <c:pt idx="129">
                  <c:v>0.14799999999999999</c:v>
                </c:pt>
                <c:pt idx="130">
                  <c:v>0.14799999999999999</c:v>
                </c:pt>
                <c:pt idx="131">
                  <c:v>0.14799999999999999</c:v>
                </c:pt>
                <c:pt idx="132">
                  <c:v>0.185</c:v>
                </c:pt>
                <c:pt idx="133">
                  <c:v>0.185</c:v>
                </c:pt>
                <c:pt idx="134">
                  <c:v>0.185</c:v>
                </c:pt>
                <c:pt idx="135">
                  <c:v>0.185</c:v>
                </c:pt>
                <c:pt idx="136">
                  <c:v>0.185</c:v>
                </c:pt>
                <c:pt idx="137">
                  <c:v>0.185</c:v>
                </c:pt>
                <c:pt idx="138">
                  <c:v>0.185</c:v>
                </c:pt>
                <c:pt idx="139">
                  <c:v>0.185</c:v>
                </c:pt>
                <c:pt idx="140">
                  <c:v>0.185</c:v>
                </c:pt>
                <c:pt idx="141">
                  <c:v>0.185</c:v>
                </c:pt>
                <c:pt idx="142">
                  <c:v>0.185</c:v>
                </c:pt>
                <c:pt idx="143">
                  <c:v>0.185</c:v>
                </c:pt>
                <c:pt idx="144">
                  <c:v>0.185</c:v>
                </c:pt>
                <c:pt idx="145">
                  <c:v>0.185</c:v>
                </c:pt>
                <c:pt idx="146">
                  <c:v>0.185</c:v>
                </c:pt>
                <c:pt idx="147">
                  <c:v>0.185</c:v>
                </c:pt>
                <c:pt idx="148">
                  <c:v>0.185</c:v>
                </c:pt>
                <c:pt idx="149">
                  <c:v>0.185</c:v>
                </c:pt>
                <c:pt idx="150">
                  <c:v>0.185</c:v>
                </c:pt>
                <c:pt idx="151">
                  <c:v>0.185</c:v>
                </c:pt>
                <c:pt idx="152">
                  <c:v>0.185</c:v>
                </c:pt>
                <c:pt idx="153">
                  <c:v>0.185</c:v>
                </c:pt>
                <c:pt idx="154">
                  <c:v>0.185</c:v>
                </c:pt>
                <c:pt idx="155">
                  <c:v>0.185</c:v>
                </c:pt>
                <c:pt idx="156">
                  <c:v>0.185</c:v>
                </c:pt>
                <c:pt idx="157">
                  <c:v>0.22</c:v>
                </c:pt>
                <c:pt idx="158">
                  <c:v>0.22</c:v>
                </c:pt>
                <c:pt idx="159">
                  <c:v>0.22</c:v>
                </c:pt>
                <c:pt idx="160">
                  <c:v>0.22</c:v>
                </c:pt>
                <c:pt idx="161">
                  <c:v>0.22</c:v>
                </c:pt>
                <c:pt idx="162">
                  <c:v>0.22</c:v>
                </c:pt>
                <c:pt idx="163">
                  <c:v>0.22</c:v>
                </c:pt>
                <c:pt idx="164">
                  <c:v>0.22</c:v>
                </c:pt>
                <c:pt idx="165">
                  <c:v>0.22</c:v>
                </c:pt>
                <c:pt idx="166">
                  <c:v>0.22</c:v>
                </c:pt>
                <c:pt idx="167">
                  <c:v>0.22</c:v>
                </c:pt>
                <c:pt idx="168">
                  <c:v>0.22</c:v>
                </c:pt>
                <c:pt idx="169">
                  <c:v>0.22</c:v>
                </c:pt>
                <c:pt idx="170">
                  <c:v>0.22</c:v>
                </c:pt>
                <c:pt idx="171">
                  <c:v>0.22</c:v>
                </c:pt>
                <c:pt idx="172">
                  <c:v>0.24099999999999999</c:v>
                </c:pt>
                <c:pt idx="173">
                  <c:v>0.24199999999999999</c:v>
                </c:pt>
                <c:pt idx="174">
                  <c:v>0.24199999999999999</c:v>
                </c:pt>
                <c:pt idx="175">
                  <c:v>0.24199999999999999</c:v>
                </c:pt>
                <c:pt idx="176">
                  <c:v>0.24199999999999999</c:v>
                </c:pt>
                <c:pt idx="177">
                  <c:v>0.24199999999999999</c:v>
                </c:pt>
                <c:pt idx="178">
                  <c:v>0.24199999999999999</c:v>
                </c:pt>
                <c:pt idx="179">
                  <c:v>0.24199999999999999</c:v>
                </c:pt>
                <c:pt idx="180">
                  <c:v>0.24199999999999999</c:v>
                </c:pt>
                <c:pt idx="181">
                  <c:v>0.24199999999999999</c:v>
                </c:pt>
                <c:pt idx="182">
                  <c:v>0.24199999999999999</c:v>
                </c:pt>
                <c:pt idx="183">
                  <c:v>0.24199999999999999</c:v>
                </c:pt>
                <c:pt idx="184">
                  <c:v>0.24199999999999999</c:v>
                </c:pt>
                <c:pt idx="185">
                  <c:v>0.24199999999999999</c:v>
                </c:pt>
                <c:pt idx="186">
                  <c:v>0.24199999999999999</c:v>
                </c:pt>
                <c:pt idx="187">
                  <c:v>0.24199999999999999</c:v>
                </c:pt>
                <c:pt idx="188">
                  <c:v>0.24199999999999999</c:v>
                </c:pt>
                <c:pt idx="189">
                  <c:v>0.24199999999999999</c:v>
                </c:pt>
                <c:pt idx="190">
                  <c:v>0.24199999999999999</c:v>
                </c:pt>
                <c:pt idx="191">
                  <c:v>0.24199999999999999</c:v>
                </c:pt>
                <c:pt idx="192">
                  <c:v>0.24199999999999999</c:v>
                </c:pt>
                <c:pt idx="193">
                  <c:v>0.24199999999999999</c:v>
                </c:pt>
                <c:pt idx="194">
                  <c:v>0.24199999999999999</c:v>
                </c:pt>
                <c:pt idx="195">
                  <c:v>0.24199999999999999</c:v>
                </c:pt>
                <c:pt idx="196">
                  <c:v>0.24199999999999999</c:v>
                </c:pt>
                <c:pt idx="197">
                  <c:v>0.27600000000000002</c:v>
                </c:pt>
                <c:pt idx="198">
                  <c:v>0.27600000000000002</c:v>
                </c:pt>
                <c:pt idx="199">
                  <c:v>0.27600000000000002</c:v>
                </c:pt>
                <c:pt idx="200">
                  <c:v>0.27600000000000002</c:v>
                </c:pt>
                <c:pt idx="201">
                  <c:v>0.27600000000000002</c:v>
                </c:pt>
                <c:pt idx="202">
                  <c:v>0.27600000000000002</c:v>
                </c:pt>
                <c:pt idx="203">
                  <c:v>0.27600000000000002</c:v>
                </c:pt>
                <c:pt idx="204">
                  <c:v>0.27600000000000002</c:v>
                </c:pt>
                <c:pt idx="205">
                  <c:v>0.27600000000000002</c:v>
                </c:pt>
                <c:pt idx="206">
                  <c:v>0.27600000000000002</c:v>
                </c:pt>
                <c:pt idx="207">
                  <c:v>0.27600000000000002</c:v>
                </c:pt>
                <c:pt idx="208">
                  <c:v>0.27600000000000002</c:v>
                </c:pt>
                <c:pt idx="209">
                  <c:v>0.27600000000000002</c:v>
                </c:pt>
                <c:pt idx="210">
                  <c:v>0.27600000000000002</c:v>
                </c:pt>
                <c:pt idx="211">
                  <c:v>0.27600000000000002</c:v>
                </c:pt>
                <c:pt idx="212">
                  <c:v>0.27600000000000002</c:v>
                </c:pt>
                <c:pt idx="213">
                  <c:v>0.27600000000000002</c:v>
                </c:pt>
                <c:pt idx="214">
                  <c:v>0.27600000000000002</c:v>
                </c:pt>
                <c:pt idx="215">
                  <c:v>0.27600000000000002</c:v>
                </c:pt>
                <c:pt idx="216">
                  <c:v>0.27600000000000002</c:v>
                </c:pt>
                <c:pt idx="217">
                  <c:v>0.27600000000000002</c:v>
                </c:pt>
                <c:pt idx="218">
                  <c:v>0.27600000000000002</c:v>
                </c:pt>
                <c:pt idx="219">
                  <c:v>0.27600000000000002</c:v>
                </c:pt>
                <c:pt idx="220">
                  <c:v>0.27600000000000002</c:v>
                </c:pt>
                <c:pt idx="221">
                  <c:v>0.27600000000000002</c:v>
                </c:pt>
                <c:pt idx="222">
                  <c:v>0.27600000000000002</c:v>
                </c:pt>
                <c:pt idx="223">
                  <c:v>0.27600000000000002</c:v>
                </c:pt>
                <c:pt idx="224">
                  <c:v>0.314</c:v>
                </c:pt>
                <c:pt idx="225">
                  <c:v>0.314</c:v>
                </c:pt>
                <c:pt idx="226">
                  <c:v>0.314</c:v>
                </c:pt>
                <c:pt idx="227">
                  <c:v>0.314</c:v>
                </c:pt>
                <c:pt idx="228">
                  <c:v>0.314</c:v>
                </c:pt>
                <c:pt idx="229">
                  <c:v>0.314</c:v>
                </c:pt>
                <c:pt idx="230">
                  <c:v>0.314</c:v>
                </c:pt>
                <c:pt idx="231">
                  <c:v>0.314</c:v>
                </c:pt>
                <c:pt idx="232">
                  <c:v>0.314</c:v>
                </c:pt>
                <c:pt idx="233">
                  <c:v>0.314</c:v>
                </c:pt>
                <c:pt idx="234">
                  <c:v>0.314</c:v>
                </c:pt>
                <c:pt idx="235">
                  <c:v>0.314</c:v>
                </c:pt>
                <c:pt idx="236">
                  <c:v>0.314</c:v>
                </c:pt>
                <c:pt idx="237">
                  <c:v>0.314</c:v>
                </c:pt>
                <c:pt idx="238">
                  <c:v>0.314</c:v>
                </c:pt>
                <c:pt idx="239">
                  <c:v>0.33500000000000002</c:v>
                </c:pt>
                <c:pt idx="240">
                  <c:v>0.33600000000000002</c:v>
                </c:pt>
                <c:pt idx="241">
                  <c:v>0.33600000000000002</c:v>
                </c:pt>
                <c:pt idx="242">
                  <c:v>0.33600000000000002</c:v>
                </c:pt>
                <c:pt idx="243">
                  <c:v>0.33600000000000002</c:v>
                </c:pt>
                <c:pt idx="244">
                  <c:v>0.33600000000000002</c:v>
                </c:pt>
                <c:pt idx="245">
                  <c:v>0.33600000000000002</c:v>
                </c:pt>
                <c:pt idx="246">
                  <c:v>0.33600000000000002</c:v>
                </c:pt>
                <c:pt idx="247">
                  <c:v>0.33600000000000002</c:v>
                </c:pt>
                <c:pt idx="248">
                  <c:v>0.33600000000000002</c:v>
                </c:pt>
                <c:pt idx="249">
                  <c:v>0.33600000000000002</c:v>
                </c:pt>
                <c:pt idx="250">
                  <c:v>0.33600000000000002</c:v>
                </c:pt>
                <c:pt idx="251">
                  <c:v>0.33600000000000002</c:v>
                </c:pt>
                <c:pt idx="252">
                  <c:v>0.33600000000000002</c:v>
                </c:pt>
                <c:pt idx="253">
                  <c:v>0.33600000000000002</c:v>
                </c:pt>
                <c:pt idx="254">
                  <c:v>0.33600000000000002</c:v>
                </c:pt>
                <c:pt idx="255">
                  <c:v>0.33600000000000002</c:v>
                </c:pt>
                <c:pt idx="256">
                  <c:v>0.33600000000000002</c:v>
                </c:pt>
                <c:pt idx="257">
                  <c:v>0.33600000000000002</c:v>
                </c:pt>
                <c:pt idx="258">
                  <c:v>0.33600000000000002</c:v>
                </c:pt>
                <c:pt idx="259">
                  <c:v>0.33600000000000002</c:v>
                </c:pt>
                <c:pt idx="260">
                  <c:v>0.33600000000000002</c:v>
                </c:pt>
                <c:pt idx="261">
                  <c:v>0.33600000000000002</c:v>
                </c:pt>
                <c:pt idx="262">
                  <c:v>0.33600000000000002</c:v>
                </c:pt>
                <c:pt idx="263">
                  <c:v>0.33600000000000002</c:v>
                </c:pt>
                <c:pt idx="264">
                  <c:v>0.33600000000000002</c:v>
                </c:pt>
                <c:pt idx="265">
                  <c:v>0.33600000000000002</c:v>
                </c:pt>
                <c:pt idx="266">
                  <c:v>0.33600000000000002</c:v>
                </c:pt>
                <c:pt idx="267">
                  <c:v>0.33600000000000002</c:v>
                </c:pt>
                <c:pt idx="268">
                  <c:v>0.33600000000000002</c:v>
                </c:pt>
                <c:pt idx="269">
                  <c:v>0.33600000000000002</c:v>
                </c:pt>
                <c:pt idx="270">
                  <c:v>0.378</c:v>
                </c:pt>
                <c:pt idx="271">
                  <c:v>0.38</c:v>
                </c:pt>
                <c:pt idx="272">
                  <c:v>0.38</c:v>
                </c:pt>
                <c:pt idx="273">
                  <c:v>0.38</c:v>
                </c:pt>
                <c:pt idx="274">
                  <c:v>0.38</c:v>
                </c:pt>
                <c:pt idx="275">
                  <c:v>0.38</c:v>
                </c:pt>
                <c:pt idx="276">
                  <c:v>0.38</c:v>
                </c:pt>
                <c:pt idx="277">
                  <c:v>0.38</c:v>
                </c:pt>
                <c:pt idx="278">
                  <c:v>0.38</c:v>
                </c:pt>
                <c:pt idx="279">
                  <c:v>0.38</c:v>
                </c:pt>
                <c:pt idx="280">
                  <c:v>0.38</c:v>
                </c:pt>
                <c:pt idx="281">
                  <c:v>0.38</c:v>
                </c:pt>
                <c:pt idx="282">
                  <c:v>0.38</c:v>
                </c:pt>
                <c:pt idx="283">
                  <c:v>0.38</c:v>
                </c:pt>
                <c:pt idx="284">
                  <c:v>0.38</c:v>
                </c:pt>
                <c:pt idx="285">
                  <c:v>0.38</c:v>
                </c:pt>
                <c:pt idx="286">
                  <c:v>0.38</c:v>
                </c:pt>
                <c:pt idx="287">
                  <c:v>0.38</c:v>
                </c:pt>
                <c:pt idx="288">
                  <c:v>0.38</c:v>
                </c:pt>
                <c:pt idx="289">
                  <c:v>0.38</c:v>
                </c:pt>
                <c:pt idx="290">
                  <c:v>0.38</c:v>
                </c:pt>
                <c:pt idx="291">
                  <c:v>0.38</c:v>
                </c:pt>
                <c:pt idx="292">
                  <c:v>0.38</c:v>
                </c:pt>
                <c:pt idx="293">
                  <c:v>0.38</c:v>
                </c:pt>
                <c:pt idx="294">
                  <c:v>0.41199999999999998</c:v>
                </c:pt>
                <c:pt idx="295">
                  <c:v>0.41199999999999998</c:v>
                </c:pt>
                <c:pt idx="296">
                  <c:v>0.41199999999999998</c:v>
                </c:pt>
                <c:pt idx="297">
                  <c:v>0.41199999999999998</c:v>
                </c:pt>
                <c:pt idx="298">
                  <c:v>0.41199999999999998</c:v>
                </c:pt>
                <c:pt idx="299">
                  <c:v>0.41199999999999998</c:v>
                </c:pt>
                <c:pt idx="300">
                  <c:v>0.41199999999999998</c:v>
                </c:pt>
                <c:pt idx="301">
                  <c:v>0.41199999999999998</c:v>
                </c:pt>
                <c:pt idx="302">
                  <c:v>0.41199999999999998</c:v>
                </c:pt>
                <c:pt idx="303">
                  <c:v>0.41199999999999998</c:v>
                </c:pt>
                <c:pt idx="304">
                  <c:v>0.41199999999999998</c:v>
                </c:pt>
                <c:pt idx="305">
                  <c:v>0.41199999999999998</c:v>
                </c:pt>
                <c:pt idx="306">
                  <c:v>0.41199999999999998</c:v>
                </c:pt>
                <c:pt idx="307">
                  <c:v>0.41199999999999998</c:v>
                </c:pt>
                <c:pt idx="308">
                  <c:v>0.41199999999999998</c:v>
                </c:pt>
                <c:pt idx="309">
                  <c:v>0.41199999999999998</c:v>
                </c:pt>
                <c:pt idx="310">
                  <c:v>0.41199999999999998</c:v>
                </c:pt>
                <c:pt idx="311">
                  <c:v>0.41199999999999998</c:v>
                </c:pt>
                <c:pt idx="312">
                  <c:v>0.437</c:v>
                </c:pt>
                <c:pt idx="313">
                  <c:v>0.437</c:v>
                </c:pt>
                <c:pt idx="314">
                  <c:v>0.437</c:v>
                </c:pt>
                <c:pt idx="315">
                  <c:v>0.437</c:v>
                </c:pt>
                <c:pt idx="316">
                  <c:v>0.437</c:v>
                </c:pt>
                <c:pt idx="317">
                  <c:v>0.437</c:v>
                </c:pt>
                <c:pt idx="318">
                  <c:v>0.437</c:v>
                </c:pt>
                <c:pt idx="319">
                  <c:v>0.437</c:v>
                </c:pt>
                <c:pt idx="320">
                  <c:v>0.437</c:v>
                </c:pt>
                <c:pt idx="321">
                  <c:v>0.437</c:v>
                </c:pt>
                <c:pt idx="322">
                  <c:v>0.437</c:v>
                </c:pt>
                <c:pt idx="323">
                  <c:v>0.437</c:v>
                </c:pt>
                <c:pt idx="324">
                  <c:v>0.437</c:v>
                </c:pt>
                <c:pt idx="325">
                  <c:v>0.437</c:v>
                </c:pt>
                <c:pt idx="326">
                  <c:v>0.437</c:v>
                </c:pt>
                <c:pt idx="327">
                  <c:v>0.437</c:v>
                </c:pt>
                <c:pt idx="328">
                  <c:v>0.437</c:v>
                </c:pt>
                <c:pt idx="329">
                  <c:v>0.437</c:v>
                </c:pt>
                <c:pt idx="330">
                  <c:v>0.46200000000000002</c:v>
                </c:pt>
                <c:pt idx="331">
                  <c:v>0.46200000000000002</c:v>
                </c:pt>
                <c:pt idx="332">
                  <c:v>0.46200000000000002</c:v>
                </c:pt>
                <c:pt idx="333">
                  <c:v>0.46200000000000002</c:v>
                </c:pt>
                <c:pt idx="334">
                  <c:v>0.46200000000000002</c:v>
                </c:pt>
                <c:pt idx="335">
                  <c:v>0.46200000000000002</c:v>
                </c:pt>
                <c:pt idx="336">
                  <c:v>0.46200000000000002</c:v>
                </c:pt>
                <c:pt idx="337">
                  <c:v>0.46200000000000002</c:v>
                </c:pt>
                <c:pt idx="338">
                  <c:v>0.46200000000000002</c:v>
                </c:pt>
                <c:pt idx="339">
                  <c:v>0.46200000000000002</c:v>
                </c:pt>
                <c:pt idx="340">
                  <c:v>0.46200000000000002</c:v>
                </c:pt>
                <c:pt idx="341">
                  <c:v>0.46200000000000002</c:v>
                </c:pt>
                <c:pt idx="342">
                  <c:v>0.46200000000000002</c:v>
                </c:pt>
                <c:pt idx="343">
                  <c:v>0.46200000000000002</c:v>
                </c:pt>
                <c:pt idx="344">
                  <c:v>0.46200000000000002</c:v>
                </c:pt>
                <c:pt idx="345">
                  <c:v>0.46200000000000002</c:v>
                </c:pt>
                <c:pt idx="346">
                  <c:v>0.46200000000000002</c:v>
                </c:pt>
                <c:pt idx="347">
                  <c:v>0.46200000000000002</c:v>
                </c:pt>
                <c:pt idx="348">
                  <c:v>0.46200000000000002</c:v>
                </c:pt>
                <c:pt idx="349">
                  <c:v>0.46200000000000002</c:v>
                </c:pt>
                <c:pt idx="350">
                  <c:v>0.46200000000000002</c:v>
                </c:pt>
                <c:pt idx="351">
                  <c:v>0.46200000000000002</c:v>
                </c:pt>
                <c:pt idx="352">
                  <c:v>0.46200000000000002</c:v>
                </c:pt>
                <c:pt idx="353">
                  <c:v>0.46200000000000002</c:v>
                </c:pt>
                <c:pt idx="354">
                  <c:v>0.46200000000000002</c:v>
                </c:pt>
                <c:pt idx="355">
                  <c:v>0.497</c:v>
                </c:pt>
                <c:pt idx="356">
                  <c:v>0.497</c:v>
                </c:pt>
                <c:pt idx="357">
                  <c:v>0.5</c:v>
                </c:pt>
                <c:pt idx="358">
                  <c:v>0.5</c:v>
                </c:pt>
                <c:pt idx="359">
                  <c:v>0.5</c:v>
                </c:pt>
                <c:pt idx="360">
                  <c:v>0.5</c:v>
                </c:pt>
                <c:pt idx="361">
                  <c:v>0.5</c:v>
                </c:pt>
                <c:pt idx="362">
                  <c:v>0.5</c:v>
                </c:pt>
                <c:pt idx="363">
                  <c:v>0.5</c:v>
                </c:pt>
                <c:pt idx="364">
                  <c:v>0.5</c:v>
                </c:pt>
                <c:pt idx="365">
                  <c:v>0.5</c:v>
                </c:pt>
                <c:pt idx="366">
                  <c:v>0.5</c:v>
                </c:pt>
                <c:pt idx="367">
                  <c:v>0.5</c:v>
                </c:pt>
                <c:pt idx="368">
                  <c:v>0.5</c:v>
                </c:pt>
                <c:pt idx="369">
                  <c:v>0.5</c:v>
                </c:pt>
                <c:pt idx="370">
                  <c:v>0.5</c:v>
                </c:pt>
                <c:pt idx="371">
                  <c:v>0.5</c:v>
                </c:pt>
                <c:pt idx="372">
                  <c:v>0.5</c:v>
                </c:pt>
                <c:pt idx="373">
                  <c:v>0.5</c:v>
                </c:pt>
                <c:pt idx="374">
                  <c:v>0.5</c:v>
                </c:pt>
                <c:pt idx="375">
                  <c:v>0.5</c:v>
                </c:pt>
                <c:pt idx="376">
                  <c:v>0.5</c:v>
                </c:pt>
                <c:pt idx="377">
                  <c:v>0.52800000000000002</c:v>
                </c:pt>
                <c:pt idx="378">
                  <c:v>0.52800000000000002</c:v>
                </c:pt>
                <c:pt idx="379">
                  <c:v>0.52800000000000002</c:v>
                </c:pt>
                <c:pt idx="380">
                  <c:v>0.52800000000000002</c:v>
                </c:pt>
                <c:pt idx="381">
                  <c:v>0.52800000000000002</c:v>
                </c:pt>
                <c:pt idx="382">
                  <c:v>0.52800000000000002</c:v>
                </c:pt>
                <c:pt idx="383">
                  <c:v>0.52800000000000002</c:v>
                </c:pt>
                <c:pt idx="384">
                  <c:v>0.52800000000000002</c:v>
                </c:pt>
                <c:pt idx="385">
                  <c:v>0.52800000000000002</c:v>
                </c:pt>
                <c:pt idx="386">
                  <c:v>0.52800000000000002</c:v>
                </c:pt>
                <c:pt idx="387">
                  <c:v>0.52800000000000002</c:v>
                </c:pt>
                <c:pt idx="388">
                  <c:v>0.52800000000000002</c:v>
                </c:pt>
                <c:pt idx="389">
                  <c:v>0.52800000000000002</c:v>
                </c:pt>
                <c:pt idx="390">
                  <c:v>0.52800000000000002</c:v>
                </c:pt>
                <c:pt idx="391">
                  <c:v>0.52800000000000002</c:v>
                </c:pt>
                <c:pt idx="392">
                  <c:v>0.52800000000000002</c:v>
                </c:pt>
                <c:pt idx="393">
                  <c:v>0.52800000000000002</c:v>
                </c:pt>
                <c:pt idx="394">
                  <c:v>0.52800000000000002</c:v>
                </c:pt>
                <c:pt idx="395">
                  <c:v>0.52800000000000002</c:v>
                </c:pt>
                <c:pt idx="396">
                  <c:v>0.52800000000000002</c:v>
                </c:pt>
                <c:pt idx="397">
                  <c:v>0.52800000000000002</c:v>
                </c:pt>
                <c:pt idx="398">
                  <c:v>0.52800000000000002</c:v>
                </c:pt>
                <c:pt idx="399">
                  <c:v>0.52800000000000002</c:v>
                </c:pt>
                <c:pt idx="400">
                  <c:v>0.52800000000000002</c:v>
                </c:pt>
                <c:pt idx="401">
                  <c:v>0.52800000000000002</c:v>
                </c:pt>
                <c:pt idx="402">
                  <c:v>0.56299999999999994</c:v>
                </c:pt>
                <c:pt idx="403">
                  <c:v>0.56299999999999994</c:v>
                </c:pt>
                <c:pt idx="404">
                  <c:v>0.56599999999999995</c:v>
                </c:pt>
                <c:pt idx="405">
                  <c:v>0.56599999999999995</c:v>
                </c:pt>
                <c:pt idx="406">
                  <c:v>0.56599999999999995</c:v>
                </c:pt>
                <c:pt idx="407">
                  <c:v>0.56599999999999995</c:v>
                </c:pt>
                <c:pt idx="408">
                  <c:v>0.56599999999999995</c:v>
                </c:pt>
                <c:pt idx="409">
                  <c:v>0.56599999999999995</c:v>
                </c:pt>
                <c:pt idx="410">
                  <c:v>0.56599999999999995</c:v>
                </c:pt>
                <c:pt idx="411">
                  <c:v>0.56599999999999995</c:v>
                </c:pt>
                <c:pt idx="412">
                  <c:v>0.56599999999999995</c:v>
                </c:pt>
                <c:pt idx="413">
                  <c:v>0.56599999999999995</c:v>
                </c:pt>
                <c:pt idx="414">
                  <c:v>0.56599999999999995</c:v>
                </c:pt>
                <c:pt idx="415">
                  <c:v>0.56599999999999995</c:v>
                </c:pt>
                <c:pt idx="416">
                  <c:v>0.56599999999999995</c:v>
                </c:pt>
                <c:pt idx="417">
                  <c:v>0.56599999999999995</c:v>
                </c:pt>
                <c:pt idx="418">
                  <c:v>0.56599999999999995</c:v>
                </c:pt>
                <c:pt idx="419">
                  <c:v>0.56599999999999995</c:v>
                </c:pt>
                <c:pt idx="420">
                  <c:v>0.56599999999999995</c:v>
                </c:pt>
                <c:pt idx="421">
                  <c:v>0.59</c:v>
                </c:pt>
                <c:pt idx="422">
                  <c:v>0.59</c:v>
                </c:pt>
                <c:pt idx="423">
                  <c:v>0.59</c:v>
                </c:pt>
                <c:pt idx="424">
                  <c:v>0.59</c:v>
                </c:pt>
                <c:pt idx="425">
                  <c:v>0.59</c:v>
                </c:pt>
                <c:pt idx="426">
                  <c:v>0.59</c:v>
                </c:pt>
                <c:pt idx="427">
                  <c:v>0.59</c:v>
                </c:pt>
                <c:pt idx="428">
                  <c:v>0.59</c:v>
                </c:pt>
                <c:pt idx="429">
                  <c:v>0.59</c:v>
                </c:pt>
                <c:pt idx="430">
                  <c:v>0.59</c:v>
                </c:pt>
                <c:pt idx="431">
                  <c:v>0.59</c:v>
                </c:pt>
                <c:pt idx="432">
                  <c:v>0.59</c:v>
                </c:pt>
                <c:pt idx="433">
                  <c:v>0.59</c:v>
                </c:pt>
                <c:pt idx="434">
                  <c:v>0.59</c:v>
                </c:pt>
                <c:pt idx="435">
                  <c:v>0.59</c:v>
                </c:pt>
                <c:pt idx="436">
                  <c:v>0.59</c:v>
                </c:pt>
                <c:pt idx="437">
                  <c:v>0.59</c:v>
                </c:pt>
                <c:pt idx="438">
                  <c:v>0.59</c:v>
                </c:pt>
                <c:pt idx="439">
                  <c:v>0.61499999999999999</c:v>
                </c:pt>
                <c:pt idx="440">
                  <c:v>0.61499999999999999</c:v>
                </c:pt>
                <c:pt idx="441">
                  <c:v>0.61799999999999999</c:v>
                </c:pt>
                <c:pt idx="442">
                  <c:v>0.61799999999999999</c:v>
                </c:pt>
                <c:pt idx="443">
                  <c:v>0.61799999999999999</c:v>
                </c:pt>
                <c:pt idx="444">
                  <c:v>0.61799999999999999</c:v>
                </c:pt>
                <c:pt idx="445">
                  <c:v>0.61799999999999999</c:v>
                </c:pt>
                <c:pt idx="446">
                  <c:v>0.61799999999999999</c:v>
                </c:pt>
                <c:pt idx="447">
                  <c:v>0.61799999999999999</c:v>
                </c:pt>
                <c:pt idx="448">
                  <c:v>0.61799999999999999</c:v>
                </c:pt>
                <c:pt idx="449">
                  <c:v>0.61799999999999999</c:v>
                </c:pt>
                <c:pt idx="450">
                  <c:v>0.61799999999999999</c:v>
                </c:pt>
                <c:pt idx="451">
                  <c:v>0.61799999999999999</c:v>
                </c:pt>
                <c:pt idx="452">
                  <c:v>0.61799999999999999</c:v>
                </c:pt>
                <c:pt idx="453">
                  <c:v>0.61799999999999999</c:v>
                </c:pt>
                <c:pt idx="454">
                  <c:v>0.61799999999999999</c:v>
                </c:pt>
                <c:pt idx="455">
                  <c:v>0.61799999999999999</c:v>
                </c:pt>
                <c:pt idx="456">
                  <c:v>0.63900000000000001</c:v>
                </c:pt>
                <c:pt idx="457">
                  <c:v>0.63900000000000001</c:v>
                </c:pt>
                <c:pt idx="458">
                  <c:v>0.63900000000000001</c:v>
                </c:pt>
                <c:pt idx="459">
                  <c:v>0.63900000000000001</c:v>
                </c:pt>
                <c:pt idx="460">
                  <c:v>0.63900000000000001</c:v>
                </c:pt>
                <c:pt idx="461">
                  <c:v>0.63900000000000001</c:v>
                </c:pt>
                <c:pt idx="462">
                  <c:v>0.63900000000000001</c:v>
                </c:pt>
                <c:pt idx="463">
                  <c:v>0.63900000000000001</c:v>
                </c:pt>
                <c:pt idx="464">
                  <c:v>0.63900000000000001</c:v>
                </c:pt>
                <c:pt idx="465">
                  <c:v>0.63900000000000001</c:v>
                </c:pt>
                <c:pt idx="466">
                  <c:v>0.63900000000000001</c:v>
                </c:pt>
                <c:pt idx="467">
                  <c:v>0.63900000000000001</c:v>
                </c:pt>
                <c:pt idx="468">
                  <c:v>0.63900000000000001</c:v>
                </c:pt>
                <c:pt idx="469">
                  <c:v>0.63900000000000001</c:v>
                </c:pt>
                <c:pt idx="470">
                  <c:v>0.63900000000000001</c:v>
                </c:pt>
                <c:pt idx="471">
                  <c:v>0.66</c:v>
                </c:pt>
                <c:pt idx="472">
                  <c:v>0.66100000000000003</c:v>
                </c:pt>
                <c:pt idx="473">
                  <c:v>0.66100000000000003</c:v>
                </c:pt>
                <c:pt idx="474">
                  <c:v>0.66100000000000003</c:v>
                </c:pt>
                <c:pt idx="475">
                  <c:v>0.66100000000000003</c:v>
                </c:pt>
                <c:pt idx="476">
                  <c:v>0.66100000000000003</c:v>
                </c:pt>
                <c:pt idx="477">
                  <c:v>0.66100000000000003</c:v>
                </c:pt>
                <c:pt idx="478">
                  <c:v>0.66100000000000003</c:v>
                </c:pt>
                <c:pt idx="479">
                  <c:v>0.66100000000000003</c:v>
                </c:pt>
                <c:pt idx="480">
                  <c:v>0.66100000000000003</c:v>
                </c:pt>
                <c:pt idx="481">
                  <c:v>0.66100000000000003</c:v>
                </c:pt>
                <c:pt idx="482">
                  <c:v>0.66100000000000003</c:v>
                </c:pt>
                <c:pt idx="483">
                  <c:v>0.66100000000000003</c:v>
                </c:pt>
                <c:pt idx="484">
                  <c:v>0.66100000000000003</c:v>
                </c:pt>
                <c:pt idx="485">
                  <c:v>0.66100000000000003</c:v>
                </c:pt>
                <c:pt idx="486">
                  <c:v>0.66100000000000003</c:v>
                </c:pt>
                <c:pt idx="487">
                  <c:v>0.66100000000000003</c:v>
                </c:pt>
                <c:pt idx="488">
                  <c:v>0.66100000000000003</c:v>
                </c:pt>
                <c:pt idx="489">
                  <c:v>0.66100000000000003</c:v>
                </c:pt>
                <c:pt idx="490">
                  <c:v>0.68700000000000006</c:v>
                </c:pt>
                <c:pt idx="491">
                  <c:v>0.68700000000000006</c:v>
                </c:pt>
                <c:pt idx="492">
                  <c:v>0.68700000000000006</c:v>
                </c:pt>
                <c:pt idx="493">
                  <c:v>0.68700000000000006</c:v>
                </c:pt>
                <c:pt idx="494">
                  <c:v>0.68700000000000006</c:v>
                </c:pt>
                <c:pt idx="495">
                  <c:v>0.68700000000000006</c:v>
                </c:pt>
                <c:pt idx="496">
                  <c:v>0.68700000000000006</c:v>
                </c:pt>
                <c:pt idx="497">
                  <c:v>0.68700000000000006</c:v>
                </c:pt>
                <c:pt idx="498">
                  <c:v>0.68700000000000006</c:v>
                </c:pt>
                <c:pt idx="499">
                  <c:v>0.68700000000000006</c:v>
                </c:pt>
                <c:pt idx="500">
                  <c:v>0.68700000000000006</c:v>
                </c:pt>
                <c:pt idx="501">
                  <c:v>0.68700000000000006</c:v>
                </c:pt>
                <c:pt idx="502">
                  <c:v>0.68700000000000006</c:v>
                </c:pt>
                <c:pt idx="503">
                  <c:v>0.68700000000000006</c:v>
                </c:pt>
                <c:pt idx="504">
                  <c:v>0.68700000000000006</c:v>
                </c:pt>
                <c:pt idx="505">
                  <c:v>0.68700000000000006</c:v>
                </c:pt>
                <c:pt idx="506">
                  <c:v>0.68700000000000006</c:v>
                </c:pt>
                <c:pt idx="507">
                  <c:v>0.68700000000000006</c:v>
                </c:pt>
                <c:pt idx="508">
                  <c:v>0.68700000000000006</c:v>
                </c:pt>
                <c:pt idx="509">
                  <c:v>0.68700000000000006</c:v>
                </c:pt>
                <c:pt idx="510">
                  <c:v>0.68700000000000006</c:v>
                </c:pt>
                <c:pt idx="511">
                  <c:v>0.68700000000000006</c:v>
                </c:pt>
                <c:pt idx="512">
                  <c:v>0.71799999999999997</c:v>
                </c:pt>
                <c:pt idx="513">
                  <c:v>0.71899999999999997</c:v>
                </c:pt>
                <c:pt idx="514">
                  <c:v>0.71899999999999997</c:v>
                </c:pt>
                <c:pt idx="515">
                  <c:v>0.71899999999999997</c:v>
                </c:pt>
                <c:pt idx="516">
                  <c:v>0.71899999999999997</c:v>
                </c:pt>
                <c:pt idx="517">
                  <c:v>0.71899999999999997</c:v>
                </c:pt>
                <c:pt idx="518">
                  <c:v>0.71899999999999997</c:v>
                </c:pt>
                <c:pt idx="519">
                  <c:v>0.72699999999999998</c:v>
                </c:pt>
                <c:pt idx="520">
                  <c:v>0.72699999999999998</c:v>
                </c:pt>
                <c:pt idx="521">
                  <c:v>0.72699999999999998</c:v>
                </c:pt>
                <c:pt idx="522">
                  <c:v>0.72699999999999998</c:v>
                </c:pt>
                <c:pt idx="523">
                  <c:v>0.72699999999999998</c:v>
                </c:pt>
                <c:pt idx="524">
                  <c:v>0.72699999999999998</c:v>
                </c:pt>
                <c:pt idx="525">
                  <c:v>0.72699999999999998</c:v>
                </c:pt>
                <c:pt idx="526">
                  <c:v>0.72699999999999998</c:v>
                </c:pt>
                <c:pt idx="527">
                  <c:v>0.72699999999999998</c:v>
                </c:pt>
                <c:pt idx="528">
                  <c:v>0.72699999999999998</c:v>
                </c:pt>
                <c:pt idx="529">
                  <c:v>0.72699999999999998</c:v>
                </c:pt>
                <c:pt idx="530">
                  <c:v>0.74299999999999999</c:v>
                </c:pt>
                <c:pt idx="531">
                  <c:v>0.74299999999999999</c:v>
                </c:pt>
                <c:pt idx="532">
                  <c:v>0.74299999999999999</c:v>
                </c:pt>
                <c:pt idx="533">
                  <c:v>0.74299999999999999</c:v>
                </c:pt>
                <c:pt idx="534">
                  <c:v>0.74299999999999999</c:v>
                </c:pt>
                <c:pt idx="535">
                  <c:v>0.74299999999999999</c:v>
                </c:pt>
                <c:pt idx="536">
                  <c:v>0.74299999999999999</c:v>
                </c:pt>
                <c:pt idx="537">
                  <c:v>0.74299999999999999</c:v>
                </c:pt>
                <c:pt idx="538">
                  <c:v>0.74299999999999999</c:v>
                </c:pt>
                <c:pt idx="539">
                  <c:v>0.74299999999999999</c:v>
                </c:pt>
                <c:pt idx="540">
                  <c:v>0.74299999999999999</c:v>
                </c:pt>
                <c:pt idx="541">
                  <c:v>0.74299999999999999</c:v>
                </c:pt>
                <c:pt idx="542">
                  <c:v>0.74299999999999999</c:v>
                </c:pt>
                <c:pt idx="543">
                  <c:v>0.74299999999999999</c:v>
                </c:pt>
                <c:pt idx="544">
                  <c:v>0.76200000000000001</c:v>
                </c:pt>
                <c:pt idx="545">
                  <c:v>0.76200000000000001</c:v>
                </c:pt>
                <c:pt idx="546">
                  <c:v>0.76200000000000001</c:v>
                </c:pt>
                <c:pt idx="547">
                  <c:v>0.76200000000000001</c:v>
                </c:pt>
                <c:pt idx="548">
                  <c:v>0.76200000000000001</c:v>
                </c:pt>
                <c:pt idx="549">
                  <c:v>0.76200000000000001</c:v>
                </c:pt>
                <c:pt idx="550">
                  <c:v>0.76200000000000001</c:v>
                </c:pt>
                <c:pt idx="551">
                  <c:v>0.76200000000000001</c:v>
                </c:pt>
                <c:pt idx="552">
                  <c:v>0.76200000000000001</c:v>
                </c:pt>
                <c:pt idx="553">
                  <c:v>0.76200000000000001</c:v>
                </c:pt>
                <c:pt idx="554">
                  <c:v>0.76200000000000001</c:v>
                </c:pt>
                <c:pt idx="555">
                  <c:v>0.76200000000000001</c:v>
                </c:pt>
                <c:pt idx="556">
                  <c:v>0.76200000000000001</c:v>
                </c:pt>
                <c:pt idx="557">
                  <c:v>0.78100000000000003</c:v>
                </c:pt>
                <c:pt idx="558">
                  <c:v>0.78100000000000003</c:v>
                </c:pt>
                <c:pt idx="559">
                  <c:v>0.78400000000000003</c:v>
                </c:pt>
                <c:pt idx="560">
                  <c:v>0.78400000000000003</c:v>
                </c:pt>
                <c:pt idx="561">
                  <c:v>0.78400000000000003</c:v>
                </c:pt>
                <c:pt idx="562">
                  <c:v>0.78400000000000003</c:v>
                </c:pt>
                <c:pt idx="563">
                  <c:v>0.78400000000000003</c:v>
                </c:pt>
                <c:pt idx="564">
                  <c:v>0.78400000000000003</c:v>
                </c:pt>
                <c:pt idx="565">
                  <c:v>0.79200000000000004</c:v>
                </c:pt>
                <c:pt idx="566">
                  <c:v>0.79200000000000004</c:v>
                </c:pt>
                <c:pt idx="567">
                  <c:v>0.79200000000000004</c:v>
                </c:pt>
                <c:pt idx="568">
                  <c:v>0.79200000000000004</c:v>
                </c:pt>
                <c:pt idx="569">
                  <c:v>0.79200000000000004</c:v>
                </c:pt>
                <c:pt idx="570">
                  <c:v>0.79200000000000004</c:v>
                </c:pt>
                <c:pt idx="571">
                  <c:v>0.79200000000000004</c:v>
                </c:pt>
                <c:pt idx="572">
                  <c:v>0.79200000000000004</c:v>
                </c:pt>
                <c:pt idx="573">
                  <c:v>0.79200000000000004</c:v>
                </c:pt>
                <c:pt idx="574">
                  <c:v>0.79200000000000004</c:v>
                </c:pt>
                <c:pt idx="575">
                  <c:v>0.79200000000000004</c:v>
                </c:pt>
                <c:pt idx="576">
                  <c:v>0.79200000000000004</c:v>
                </c:pt>
                <c:pt idx="577">
                  <c:v>0.79200000000000004</c:v>
                </c:pt>
                <c:pt idx="578">
                  <c:v>0.79200000000000004</c:v>
                </c:pt>
                <c:pt idx="579">
                  <c:v>0.81200000000000006</c:v>
                </c:pt>
                <c:pt idx="580">
                  <c:v>0.81200000000000006</c:v>
                </c:pt>
                <c:pt idx="581">
                  <c:v>0.81200000000000006</c:v>
                </c:pt>
                <c:pt idx="582">
                  <c:v>0.81200000000000006</c:v>
                </c:pt>
                <c:pt idx="583">
                  <c:v>0.81200000000000006</c:v>
                </c:pt>
                <c:pt idx="584">
                  <c:v>0.81899999999999995</c:v>
                </c:pt>
                <c:pt idx="585">
                  <c:v>0.81899999999999995</c:v>
                </c:pt>
                <c:pt idx="586">
                  <c:v>0.81899999999999995</c:v>
                </c:pt>
                <c:pt idx="587">
                  <c:v>0.81899999999999995</c:v>
                </c:pt>
                <c:pt idx="588">
                  <c:v>0.81899999999999995</c:v>
                </c:pt>
                <c:pt idx="589">
                  <c:v>0.81899999999999995</c:v>
                </c:pt>
                <c:pt idx="590">
                  <c:v>0.81899999999999995</c:v>
                </c:pt>
                <c:pt idx="591">
                  <c:v>0.81899999999999995</c:v>
                </c:pt>
                <c:pt idx="592">
                  <c:v>0.81899999999999995</c:v>
                </c:pt>
                <c:pt idx="593">
                  <c:v>0.83099999999999996</c:v>
                </c:pt>
                <c:pt idx="594">
                  <c:v>0.83099999999999996</c:v>
                </c:pt>
                <c:pt idx="595">
                  <c:v>0.83099999999999996</c:v>
                </c:pt>
                <c:pt idx="596">
                  <c:v>0.83099999999999996</c:v>
                </c:pt>
                <c:pt idx="597">
                  <c:v>0.83099999999999996</c:v>
                </c:pt>
                <c:pt idx="598">
                  <c:v>0.83099999999999996</c:v>
                </c:pt>
                <c:pt idx="599">
                  <c:v>0.83099999999999996</c:v>
                </c:pt>
                <c:pt idx="600">
                  <c:v>0.83099999999999996</c:v>
                </c:pt>
                <c:pt idx="601">
                  <c:v>0.83099999999999996</c:v>
                </c:pt>
                <c:pt idx="602">
                  <c:v>0.83099999999999996</c:v>
                </c:pt>
                <c:pt idx="603">
                  <c:v>0.83099999999999996</c:v>
                </c:pt>
                <c:pt idx="604">
                  <c:v>0.83099999999999996</c:v>
                </c:pt>
                <c:pt idx="605">
                  <c:v>0.84799999999999998</c:v>
                </c:pt>
                <c:pt idx="606">
                  <c:v>0.84799999999999998</c:v>
                </c:pt>
                <c:pt idx="607">
                  <c:v>0.85099999999999998</c:v>
                </c:pt>
                <c:pt idx="608">
                  <c:v>0.85099999999999998</c:v>
                </c:pt>
                <c:pt idx="609">
                  <c:v>0.85099999999999998</c:v>
                </c:pt>
                <c:pt idx="610">
                  <c:v>0.85499999999999998</c:v>
                </c:pt>
                <c:pt idx="611">
                  <c:v>0.85499999999999998</c:v>
                </c:pt>
                <c:pt idx="612">
                  <c:v>0.85499999999999998</c:v>
                </c:pt>
                <c:pt idx="613">
                  <c:v>0.85499999999999998</c:v>
                </c:pt>
                <c:pt idx="614">
                  <c:v>0.85499999999999998</c:v>
                </c:pt>
                <c:pt idx="615">
                  <c:v>0.85499999999999998</c:v>
                </c:pt>
                <c:pt idx="616">
                  <c:v>0.85499999999999998</c:v>
                </c:pt>
                <c:pt idx="617">
                  <c:v>0.85499999999999998</c:v>
                </c:pt>
                <c:pt idx="618">
                  <c:v>0.85499999999999998</c:v>
                </c:pt>
                <c:pt idx="619">
                  <c:v>0.86799999999999999</c:v>
                </c:pt>
                <c:pt idx="620">
                  <c:v>0.86799999999999999</c:v>
                </c:pt>
                <c:pt idx="621">
                  <c:v>0.86799999999999999</c:v>
                </c:pt>
                <c:pt idx="622">
                  <c:v>0.86799999999999999</c:v>
                </c:pt>
                <c:pt idx="623">
                  <c:v>0.86799999999999999</c:v>
                </c:pt>
                <c:pt idx="624">
                  <c:v>0.86799999999999999</c:v>
                </c:pt>
                <c:pt idx="625">
                  <c:v>0.86799999999999999</c:v>
                </c:pt>
                <c:pt idx="626">
                  <c:v>0.86799999999999999</c:v>
                </c:pt>
                <c:pt idx="627">
                  <c:v>0.86799999999999999</c:v>
                </c:pt>
                <c:pt idx="628">
                  <c:v>0.88</c:v>
                </c:pt>
                <c:pt idx="629">
                  <c:v>0.88</c:v>
                </c:pt>
                <c:pt idx="630">
                  <c:v>0.88</c:v>
                </c:pt>
                <c:pt idx="631">
                  <c:v>0.88</c:v>
                </c:pt>
                <c:pt idx="632">
                  <c:v>0.88</c:v>
                </c:pt>
                <c:pt idx="633">
                  <c:v>0.88</c:v>
                </c:pt>
                <c:pt idx="634">
                  <c:v>0.88900000000000001</c:v>
                </c:pt>
                <c:pt idx="635">
                  <c:v>0.88900000000000001</c:v>
                </c:pt>
                <c:pt idx="636">
                  <c:v>0.88900000000000001</c:v>
                </c:pt>
                <c:pt idx="637">
                  <c:v>0.88900000000000001</c:v>
                </c:pt>
                <c:pt idx="638">
                  <c:v>0.88900000000000001</c:v>
                </c:pt>
                <c:pt idx="639">
                  <c:v>0.88900000000000001</c:v>
                </c:pt>
                <c:pt idx="640">
                  <c:v>0.88900000000000001</c:v>
                </c:pt>
                <c:pt idx="641">
                  <c:v>0.88900000000000001</c:v>
                </c:pt>
                <c:pt idx="642">
                  <c:v>0.88900000000000001</c:v>
                </c:pt>
                <c:pt idx="643">
                  <c:v>0.88900000000000001</c:v>
                </c:pt>
                <c:pt idx="644">
                  <c:v>0.90300000000000002</c:v>
                </c:pt>
                <c:pt idx="645">
                  <c:v>0.90300000000000002</c:v>
                </c:pt>
                <c:pt idx="646">
                  <c:v>0.90300000000000002</c:v>
                </c:pt>
                <c:pt idx="647">
                  <c:v>0.90300000000000002</c:v>
                </c:pt>
                <c:pt idx="648">
                  <c:v>0.90300000000000002</c:v>
                </c:pt>
                <c:pt idx="649">
                  <c:v>0.90300000000000002</c:v>
                </c:pt>
                <c:pt idx="650">
                  <c:v>0.90300000000000002</c:v>
                </c:pt>
                <c:pt idx="651">
                  <c:v>0.91300000000000003</c:v>
                </c:pt>
                <c:pt idx="652">
                  <c:v>0.91300000000000003</c:v>
                </c:pt>
                <c:pt idx="653">
                  <c:v>0.91300000000000003</c:v>
                </c:pt>
                <c:pt idx="654">
                  <c:v>0.91300000000000003</c:v>
                </c:pt>
                <c:pt idx="655">
                  <c:v>0.91300000000000003</c:v>
                </c:pt>
                <c:pt idx="656">
                  <c:v>0.91300000000000003</c:v>
                </c:pt>
                <c:pt idx="657">
                  <c:v>0.92100000000000004</c:v>
                </c:pt>
                <c:pt idx="658">
                  <c:v>0.92200000000000004</c:v>
                </c:pt>
                <c:pt idx="659">
                  <c:v>0.92200000000000004</c:v>
                </c:pt>
                <c:pt idx="660">
                  <c:v>0.92200000000000004</c:v>
                </c:pt>
                <c:pt idx="661">
                  <c:v>0.92200000000000004</c:v>
                </c:pt>
                <c:pt idx="662">
                  <c:v>0.92200000000000004</c:v>
                </c:pt>
                <c:pt idx="663">
                  <c:v>0.92200000000000004</c:v>
                </c:pt>
                <c:pt idx="664">
                  <c:v>0.92200000000000004</c:v>
                </c:pt>
                <c:pt idx="665">
                  <c:v>0.92200000000000004</c:v>
                </c:pt>
                <c:pt idx="666">
                  <c:v>0.93400000000000005</c:v>
                </c:pt>
                <c:pt idx="667">
                  <c:v>0.93400000000000005</c:v>
                </c:pt>
                <c:pt idx="668">
                  <c:v>0.93600000000000005</c:v>
                </c:pt>
                <c:pt idx="669">
                  <c:v>0.93799999999999994</c:v>
                </c:pt>
                <c:pt idx="670">
                  <c:v>0.93799999999999994</c:v>
                </c:pt>
                <c:pt idx="671">
                  <c:v>0.93799999999999994</c:v>
                </c:pt>
                <c:pt idx="672">
                  <c:v>0.93799999999999994</c:v>
                </c:pt>
                <c:pt idx="673">
                  <c:v>0.94299999999999995</c:v>
                </c:pt>
                <c:pt idx="674">
                  <c:v>0.94299999999999995</c:v>
                </c:pt>
                <c:pt idx="675">
                  <c:v>0.94599999999999995</c:v>
                </c:pt>
                <c:pt idx="676">
                  <c:v>0.94599999999999995</c:v>
                </c:pt>
                <c:pt idx="677">
                  <c:v>0.94599999999999995</c:v>
                </c:pt>
                <c:pt idx="678">
                  <c:v>0.94599999999999995</c:v>
                </c:pt>
                <c:pt idx="679">
                  <c:v>0.94599999999999995</c:v>
                </c:pt>
                <c:pt idx="680">
                  <c:v>0.95299999999999996</c:v>
                </c:pt>
                <c:pt idx="681">
                  <c:v>0.95299999999999996</c:v>
                </c:pt>
                <c:pt idx="682">
                  <c:v>0.95599999999999996</c:v>
                </c:pt>
                <c:pt idx="683">
                  <c:v>0.95599999999999996</c:v>
                </c:pt>
                <c:pt idx="684">
                  <c:v>0.95599999999999996</c:v>
                </c:pt>
                <c:pt idx="685">
                  <c:v>0.95599999999999996</c:v>
                </c:pt>
                <c:pt idx="686">
                  <c:v>0.96199999999999997</c:v>
                </c:pt>
                <c:pt idx="687">
                  <c:v>0.96199999999999997</c:v>
                </c:pt>
                <c:pt idx="688">
                  <c:v>0.96199999999999997</c:v>
                </c:pt>
                <c:pt idx="689">
                  <c:v>0.96599999999999997</c:v>
                </c:pt>
                <c:pt idx="690">
                  <c:v>0.96599999999999997</c:v>
                </c:pt>
                <c:pt idx="691">
                  <c:v>0.96599999999999997</c:v>
                </c:pt>
                <c:pt idx="692">
                  <c:v>0.96599999999999997</c:v>
                </c:pt>
                <c:pt idx="693">
                  <c:v>0.97099999999999997</c:v>
                </c:pt>
                <c:pt idx="694">
                  <c:v>0.97099999999999997</c:v>
                </c:pt>
                <c:pt idx="695">
                  <c:v>0.97399999999999998</c:v>
                </c:pt>
                <c:pt idx="696">
                  <c:v>0.97399999999999998</c:v>
                </c:pt>
                <c:pt idx="697">
                  <c:v>0.97699999999999998</c:v>
                </c:pt>
                <c:pt idx="698">
                  <c:v>0.97699999999999998</c:v>
                </c:pt>
                <c:pt idx="699">
                  <c:v>0.97699999999999998</c:v>
                </c:pt>
                <c:pt idx="700">
                  <c:v>0.98099999999999998</c:v>
                </c:pt>
                <c:pt idx="701">
                  <c:v>0.98299999999999998</c:v>
                </c:pt>
                <c:pt idx="702">
                  <c:v>0.98399999999999999</c:v>
                </c:pt>
                <c:pt idx="703">
                  <c:v>0.98399999999999999</c:v>
                </c:pt>
                <c:pt idx="704">
                  <c:v>0.98699999999999999</c:v>
                </c:pt>
                <c:pt idx="705">
                  <c:v>0.98799999999999999</c:v>
                </c:pt>
                <c:pt idx="706">
                  <c:v>0.98799999999999999</c:v>
                </c:pt>
                <c:pt idx="707">
                  <c:v>0.99099999999999999</c:v>
                </c:pt>
                <c:pt idx="708">
                  <c:v>0.99199999999999999</c:v>
                </c:pt>
                <c:pt idx="709">
                  <c:v>0.99199999999999999</c:v>
                </c:pt>
                <c:pt idx="710">
                  <c:v>0.995</c:v>
                </c:pt>
                <c:pt idx="711">
                  <c:v>0.997</c:v>
                </c:pt>
                <c:pt idx="712">
                  <c:v>0.997</c:v>
                </c:pt>
                <c:pt idx="71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B95-DE40-AC43-3A4BD6409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6273663"/>
        <c:axId val="330437439"/>
      </c:scatterChart>
      <c:valAx>
        <c:axId val="53627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30437439"/>
        <c:crosses val="autoZero"/>
        <c:crossBetween val="midCat"/>
      </c:valAx>
      <c:valAx>
        <c:axId val="330437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3627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D3AE-4C43-9F03-7855EA945F0A}">
          <cx:dataPt idx="0"/>
          <cx:dataPt idx="1"/>
          <cx:dataPt idx="2"/>
          <cx:dataPt idx="3"/>
          <cx:dataPt idx="4"/>
          <cx:dataPt idx="5"/>
          <cx:dataPt idx="6"/>
          <cx:dataPt idx="7"/>
          <cx:dataPt idx="8"/>
          <cx:dataPt idx="9"/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304800</xdr:colOff>
      <xdr:row>2</xdr:row>
      <xdr:rowOff>76200</xdr:rowOff>
    </xdr:from>
    <xdr:to>
      <xdr:col>14</xdr:col>
      <xdr:colOff>482600</xdr:colOff>
      <xdr:row>15</xdr:row>
      <xdr:rowOff>53972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C Edad">
              <a:extLst>
                <a:ext uri="{FF2B5EF4-FFF2-40B4-BE49-F238E27FC236}">
                  <a16:creationId xmlns:a16="http://schemas.microsoft.com/office/drawing/2014/main" id="{4F6ED664-EA04-59A6-0447-1E27A0EAF2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 Eda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801642" y="477253"/>
              <a:ext cx="1826572" cy="25846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800100</xdr:colOff>
      <xdr:row>15</xdr:row>
      <xdr:rowOff>177800</xdr:rowOff>
    </xdr:from>
    <xdr:to>
      <xdr:col>10</xdr:col>
      <xdr:colOff>292100</xdr:colOff>
      <xdr:row>41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68017F5-9147-B794-8EB9-E60E6B856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292100</xdr:colOff>
      <xdr:row>16</xdr:row>
      <xdr:rowOff>152400</xdr:rowOff>
    </xdr:from>
    <xdr:to>
      <xdr:col>14</xdr:col>
      <xdr:colOff>469900</xdr:colOff>
      <xdr:row>29</xdr:row>
      <xdr:rowOff>130172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exo">
              <a:extLst>
                <a:ext uri="{FF2B5EF4-FFF2-40B4-BE49-F238E27FC236}">
                  <a16:creationId xmlns:a16="http://schemas.microsoft.com/office/drawing/2014/main" id="{4D6A43E9-13F4-192B-84AD-A92D092A58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88942" y="3360821"/>
              <a:ext cx="1826572" cy="25846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570832</xdr:colOff>
      <xdr:row>9</xdr:row>
      <xdr:rowOff>122544</xdr:rowOff>
    </xdr:from>
    <xdr:to>
      <xdr:col>17</xdr:col>
      <xdr:colOff>750860</xdr:colOff>
      <xdr:row>22</xdr:row>
      <xdr:rowOff>135074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Clase">
              <a:extLst>
                <a:ext uri="{FF2B5EF4-FFF2-40B4-BE49-F238E27FC236}">
                  <a16:creationId xmlns:a16="http://schemas.microsoft.com/office/drawing/2014/main" id="{A8655901-81EE-AA8E-AFC3-86AE0998B3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as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540832" y="1927281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594054</xdr:colOff>
      <xdr:row>1</xdr:row>
      <xdr:rowOff>182936</xdr:rowOff>
    </xdr:from>
    <xdr:to>
      <xdr:col>14</xdr:col>
      <xdr:colOff>210972</xdr:colOff>
      <xdr:row>15</xdr:row>
      <xdr:rowOff>108541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7A733DBA-17AA-ACD1-FEF3-9430063BC70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08098" y="384193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MX" sz="1100"/>
                <a:t>Este gráfico no está disponible en tu versión de Excel.
Si editas esta forma o guardas el libro en un formato de archivo diferente, el gráfico no se podrá utilizar.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404726</xdr:colOff>
      <xdr:row>6</xdr:row>
      <xdr:rowOff>170543</xdr:rowOff>
    </xdr:from>
    <xdr:to>
      <xdr:col>16</xdr:col>
      <xdr:colOff>272143</xdr:colOff>
      <xdr:row>197</xdr:row>
      <xdr:rowOff>80666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D9A5FA6-B71D-2961-9069-A77185862A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213</xdr:row>
      <xdr:rowOff>0</xdr:rowOff>
    </xdr:from>
    <xdr:to>
      <xdr:col>16</xdr:col>
      <xdr:colOff>397748</xdr:colOff>
      <xdr:row>228</xdr:row>
      <xdr:rowOff>139560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4BD042A-FD19-0147-AFE0-21976C4C3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an Badillo Salas" refreshedDate="46191.706420486109" createdVersion="8" refreshedVersion="8" minRefreshableVersion="3" recordCount="891" xr:uid="{91D1B69D-36FC-5F42-A05A-8427D7DBD054}">
  <cacheSource type="worksheet">
    <worksheetSource name="Titanic"/>
  </cacheSource>
  <cacheFields count="21">
    <cacheField name="Indice" numFmtId="0">
      <sharedItems containsSemiMixedTypes="0" containsString="0" containsNumber="1" containsInteger="1" minValue="1" maxValue="891"/>
    </cacheField>
    <cacheField name="Sobrevive" numFmtId="0">
      <sharedItems containsSemiMixedTypes="0" containsString="0" containsNumber="1" containsInteger="1" minValue="0" maxValue="1"/>
    </cacheField>
    <cacheField name="Clase" numFmtId="0">
      <sharedItems containsSemiMixedTypes="0" containsString="0" containsNumber="1" containsInteger="1" minValue="1" maxValue="3" count="3">
        <n v="3"/>
        <n v="1"/>
        <n v="2"/>
      </sharedItems>
    </cacheField>
    <cacheField name="Nombre" numFmtId="0">
      <sharedItems/>
    </cacheField>
    <cacheField name="Sexo" numFmtId="0">
      <sharedItems count="2">
        <s v="Hombre"/>
        <s v="Mujer"/>
      </sharedItems>
    </cacheField>
    <cacheField name="Edad" numFmtId="0">
      <sharedItems containsString="0" containsBlank="1" containsNumber="1" containsInteger="1" minValue="1" maxValue="705"/>
    </cacheField>
    <cacheField name="Familia Horizontal" numFmtId="0">
      <sharedItems containsSemiMixedTypes="0" containsString="0" containsNumber="1" containsInteger="1" minValue="0" maxValue="8"/>
    </cacheField>
    <cacheField name="Familia Vertical" numFmtId="0">
      <sharedItems containsSemiMixedTypes="0" containsString="0" containsNumber="1" containsInteger="1" minValue="0" maxValue="6"/>
    </cacheField>
    <cacheField name="Pagado" numFmtId="0">
      <sharedItems containsSemiMixedTypes="0" containsString="0" containsNumber="1" containsInteger="1" minValue="0" maxValue="5123292"/>
    </cacheField>
    <cacheField name="Cabina" numFmtId="0">
      <sharedItems containsSemiMixedTypes="0" containsString="0" containsNumber="1" containsInteger="1" minValue="0" maxValue="1"/>
    </cacheField>
    <cacheField name="Puerto" numFmtId="0">
      <sharedItems containsBlank="1"/>
    </cacheField>
    <cacheField name="C Sobrevive" numFmtId="0">
      <sharedItems count="2">
        <s v="NO SOBREVIVE"/>
        <s v="SOBREVIVE"/>
      </sharedItems>
    </cacheField>
    <cacheField name="C Clase" numFmtId="0">
      <sharedItems/>
    </cacheField>
    <cacheField name="C Sexo" numFmtId="0">
      <sharedItems/>
    </cacheField>
    <cacheField name="Edad Corrigida" numFmtId="0">
      <sharedItems containsMixedTypes="1" containsNumber="1" minValue="1" maxValue="92"/>
    </cacheField>
    <cacheField name="C Edad" numFmtId="0">
      <sharedItems count="22">
        <s v="3. JOVEN"/>
        <s v="7. ADULTO 2"/>
        <s v="4. ADULTO JOVEN"/>
        <s v="6. ADULTO 1"/>
        <s v="DESCONOCIDO"/>
        <s v="9. ADULTO 4"/>
        <s v="2. ADOLESCENTE"/>
        <s v="5. ADULTO"/>
        <s v="1. INFANTE"/>
        <s v="8. ADULTO 3"/>
        <s v="A. ADULTO MAYOR"/>
        <s v="10. ADULTO MAYOR" u="1"/>
        <s v="JOVEN" u="1"/>
        <s v="ADULTO 2" u="1"/>
        <s v="ADULTO JOVEN" u="1"/>
        <s v="ADULTO 1" u="1"/>
        <s v="ADULTO 4" u="1"/>
        <s v="ADOLESCENTE" u="1"/>
        <s v="ADULTO" u="1"/>
        <s v="INFANTE" u="1"/>
        <s v="ADULTO 3" u="1"/>
        <s v="ADULTO MAYOR" u="1"/>
      </sharedItems>
    </cacheField>
    <cacheField name="Familiares" numFmtId="0">
      <sharedItems containsNonDate="0" containsString="0" containsBlank="1"/>
    </cacheField>
    <cacheField name="C Familiares" numFmtId="0">
      <sharedItems containsNonDate="0" containsString="0" containsBlank="1"/>
    </cacheField>
    <cacheField name="C Pago" numFmtId="0">
      <sharedItems containsNonDate="0" containsString="0" containsBlank="1"/>
    </cacheField>
    <cacheField name="C Cabina" numFmtId="0">
      <sharedItems containsNonDate="0" containsString="0" containsBlank="1"/>
    </cacheField>
    <cacheField name="C Puerto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58519470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n v="1"/>
    <n v="0"/>
    <x v="0"/>
    <s v="Braund, Mr. Owen Harris"/>
    <x v="0"/>
    <n v="22"/>
    <n v="1"/>
    <n v="0"/>
    <n v="725"/>
    <n v="0"/>
    <s v="Southampton"/>
    <x v="0"/>
    <s v="TERCERA"/>
    <s v="HOMBRE"/>
    <n v="22"/>
    <x v="0"/>
    <m/>
    <m/>
    <m/>
    <m/>
    <m/>
  </r>
  <r>
    <n v="2"/>
    <n v="1"/>
    <x v="1"/>
    <s v="Cumings, Mrs. John Bradley (Florence Briggs Thayer)"/>
    <x v="1"/>
    <n v="38"/>
    <n v="1"/>
    <n v="0"/>
    <n v="712833"/>
    <n v="1"/>
    <s v="Cherburg"/>
    <x v="1"/>
    <s v="PRIMERA"/>
    <s v="MUJER"/>
    <n v="38"/>
    <x v="1"/>
    <m/>
    <m/>
    <m/>
    <m/>
    <m/>
  </r>
  <r>
    <n v="3"/>
    <n v="1"/>
    <x v="0"/>
    <s v="Heikkinen, Miss. Laina"/>
    <x v="1"/>
    <n v="26"/>
    <n v="0"/>
    <n v="0"/>
    <n v="7925"/>
    <n v="0"/>
    <s v="Southampton"/>
    <x v="1"/>
    <s v="TERCERA"/>
    <s v="MUJER"/>
    <n v="26"/>
    <x v="2"/>
    <m/>
    <m/>
    <m/>
    <m/>
    <m/>
  </r>
  <r>
    <n v="4"/>
    <n v="1"/>
    <x v="1"/>
    <s v="Futrelle, Mrs. Jacques Heath (Lily May Peel)"/>
    <x v="1"/>
    <n v="35"/>
    <n v="1"/>
    <n v="0"/>
    <n v="531"/>
    <n v="1"/>
    <s v="Southampton"/>
    <x v="1"/>
    <s v="PRIMERA"/>
    <s v="MUJER"/>
    <n v="35"/>
    <x v="3"/>
    <m/>
    <m/>
    <m/>
    <m/>
    <m/>
  </r>
  <r>
    <n v="5"/>
    <n v="0"/>
    <x v="0"/>
    <s v="Allen, Mr. William Henry"/>
    <x v="0"/>
    <n v="35"/>
    <n v="0"/>
    <n v="0"/>
    <n v="805"/>
    <n v="0"/>
    <s v="Southampton"/>
    <x v="0"/>
    <s v="TERCERA"/>
    <s v="HOMBRE"/>
    <n v="35"/>
    <x v="3"/>
    <m/>
    <m/>
    <m/>
    <m/>
    <m/>
  </r>
  <r>
    <n v="6"/>
    <n v="0"/>
    <x v="0"/>
    <s v="Moran, Mr. James"/>
    <x v="0"/>
    <m/>
    <n v="0"/>
    <n v="0"/>
    <n v="84583"/>
    <n v="0"/>
    <s v="Queenstown"/>
    <x v="0"/>
    <s v="TERCERA"/>
    <s v="HOMBRE"/>
    <s v=""/>
    <x v="4"/>
    <m/>
    <m/>
    <m/>
    <m/>
    <m/>
  </r>
  <r>
    <n v="7"/>
    <n v="0"/>
    <x v="1"/>
    <s v="McCarthy, Mr. Timothy J"/>
    <x v="0"/>
    <n v="54"/>
    <n v="0"/>
    <n v="0"/>
    <n v="518625"/>
    <n v="1"/>
    <s v="Southampton"/>
    <x v="0"/>
    <s v="PRIMERA"/>
    <s v="HOMBRE"/>
    <n v="54"/>
    <x v="5"/>
    <m/>
    <m/>
    <m/>
    <m/>
    <m/>
  </r>
  <r>
    <n v="8"/>
    <n v="0"/>
    <x v="0"/>
    <s v="Palsson, Master. Gosta Leonard"/>
    <x v="0"/>
    <n v="2"/>
    <n v="3"/>
    <n v="1"/>
    <n v="21075"/>
    <n v="0"/>
    <s v="Southampton"/>
    <x v="0"/>
    <s v="TERCERA"/>
    <s v="HOMBRE"/>
    <n v="2"/>
    <x v="4"/>
    <m/>
    <m/>
    <m/>
    <m/>
    <m/>
  </r>
  <r>
    <n v="9"/>
    <n v="1"/>
    <x v="0"/>
    <s v="Johnson, Mrs. Oscar W (Elisabeth Vilhelmina Berg)"/>
    <x v="1"/>
    <n v="27"/>
    <n v="0"/>
    <n v="2"/>
    <n v="111333"/>
    <n v="0"/>
    <s v="Southampton"/>
    <x v="1"/>
    <s v="TERCERA"/>
    <s v="MUJER"/>
    <n v="27"/>
    <x v="2"/>
    <m/>
    <m/>
    <m/>
    <m/>
    <m/>
  </r>
  <r>
    <n v="10"/>
    <n v="1"/>
    <x v="2"/>
    <s v="Nasser, Mrs. Nicholas (Adele Achem)"/>
    <x v="1"/>
    <n v="14"/>
    <n v="1"/>
    <n v="0"/>
    <n v="300708"/>
    <n v="0"/>
    <s v="Cherburg"/>
    <x v="1"/>
    <s v="SEGUNDA"/>
    <s v="MUJER"/>
    <n v="14"/>
    <x v="4"/>
    <m/>
    <m/>
    <m/>
    <m/>
    <m/>
  </r>
  <r>
    <n v="11"/>
    <n v="1"/>
    <x v="0"/>
    <s v="Sandstrom, Miss. Marguerite Rut"/>
    <x v="1"/>
    <n v="4"/>
    <n v="1"/>
    <n v="1"/>
    <n v="167"/>
    <n v="1"/>
    <s v="Southampton"/>
    <x v="1"/>
    <s v="TERCERA"/>
    <s v="MUJER"/>
    <n v="4"/>
    <x v="4"/>
    <m/>
    <m/>
    <m/>
    <m/>
    <m/>
  </r>
  <r>
    <n v="12"/>
    <n v="1"/>
    <x v="1"/>
    <s v="Bonnell, Miss. Elizabeth"/>
    <x v="1"/>
    <n v="58"/>
    <n v="0"/>
    <n v="0"/>
    <n v="2655"/>
    <n v="1"/>
    <s v="Southampton"/>
    <x v="1"/>
    <s v="PRIMERA"/>
    <s v="MUJER"/>
    <n v="58"/>
    <x v="5"/>
    <m/>
    <m/>
    <m/>
    <m/>
    <m/>
  </r>
  <r>
    <n v="13"/>
    <n v="0"/>
    <x v="0"/>
    <s v="Saundercock, Mr. William Henry"/>
    <x v="0"/>
    <n v="20"/>
    <n v="0"/>
    <n v="0"/>
    <n v="805"/>
    <n v="0"/>
    <s v="Southampton"/>
    <x v="0"/>
    <s v="TERCERA"/>
    <s v="HOMBRE"/>
    <n v="20"/>
    <x v="6"/>
    <m/>
    <m/>
    <m/>
    <m/>
    <m/>
  </r>
  <r>
    <n v="14"/>
    <n v="0"/>
    <x v="0"/>
    <s v="Andersson, Mr. Anders Johan"/>
    <x v="0"/>
    <n v="39"/>
    <n v="1"/>
    <n v="5"/>
    <n v="31275"/>
    <n v="0"/>
    <s v="Southampton"/>
    <x v="0"/>
    <s v="TERCERA"/>
    <s v="HOMBRE"/>
    <n v="39"/>
    <x v="1"/>
    <m/>
    <m/>
    <m/>
    <m/>
    <m/>
  </r>
  <r>
    <n v="15"/>
    <n v="0"/>
    <x v="0"/>
    <s v="Vestrom, Miss. Hulda Amanda Adolfina"/>
    <x v="1"/>
    <n v="14"/>
    <n v="0"/>
    <n v="0"/>
    <n v="78542"/>
    <n v="0"/>
    <s v="Southampton"/>
    <x v="0"/>
    <s v="TERCERA"/>
    <s v="MUJER"/>
    <n v="14"/>
    <x v="4"/>
    <m/>
    <m/>
    <m/>
    <m/>
    <m/>
  </r>
  <r>
    <n v="16"/>
    <n v="1"/>
    <x v="2"/>
    <s v="Hewlett, Mrs. (Mary D Kingcome) "/>
    <x v="1"/>
    <n v="55"/>
    <n v="0"/>
    <n v="0"/>
    <n v="16"/>
    <n v="0"/>
    <s v="Southampton"/>
    <x v="1"/>
    <s v="SEGUNDA"/>
    <s v="MUJER"/>
    <n v="55"/>
    <x v="5"/>
    <m/>
    <m/>
    <m/>
    <m/>
    <m/>
  </r>
  <r>
    <n v="17"/>
    <n v="0"/>
    <x v="0"/>
    <s v="Rice, Master. Eugene"/>
    <x v="0"/>
    <n v="2"/>
    <n v="4"/>
    <n v="1"/>
    <n v="29125"/>
    <n v="0"/>
    <s v="Queenstown"/>
    <x v="0"/>
    <s v="TERCERA"/>
    <s v="HOMBRE"/>
    <n v="2"/>
    <x v="4"/>
    <m/>
    <m/>
    <m/>
    <m/>
    <m/>
  </r>
  <r>
    <n v="18"/>
    <n v="1"/>
    <x v="2"/>
    <s v="Williams, Mr. Charles Eugene"/>
    <x v="0"/>
    <m/>
    <n v="0"/>
    <n v="0"/>
    <n v="13"/>
    <n v="0"/>
    <s v="Southampton"/>
    <x v="1"/>
    <s v="SEGUNDA"/>
    <s v="HOMBRE"/>
    <s v=""/>
    <x v="4"/>
    <m/>
    <m/>
    <m/>
    <m/>
    <m/>
  </r>
  <r>
    <n v="19"/>
    <n v="0"/>
    <x v="0"/>
    <s v="Vander Planke, Mrs. Julius (Emelia Maria Vandemoortele)"/>
    <x v="1"/>
    <n v="31"/>
    <n v="1"/>
    <n v="0"/>
    <n v="18"/>
    <n v="0"/>
    <s v="Southampton"/>
    <x v="0"/>
    <s v="TERCERA"/>
    <s v="MUJER"/>
    <n v="31"/>
    <x v="7"/>
    <m/>
    <m/>
    <m/>
    <m/>
    <m/>
  </r>
  <r>
    <n v="20"/>
    <n v="1"/>
    <x v="0"/>
    <s v="Masselmani, Mrs. Fatima"/>
    <x v="1"/>
    <m/>
    <n v="0"/>
    <n v="0"/>
    <n v="7225"/>
    <n v="0"/>
    <s v="Cherburg"/>
    <x v="1"/>
    <s v="TERCERA"/>
    <s v="MUJER"/>
    <s v=""/>
    <x v="4"/>
    <m/>
    <m/>
    <m/>
    <m/>
    <m/>
  </r>
  <r>
    <n v="21"/>
    <n v="0"/>
    <x v="2"/>
    <s v="Fynney, Mr. Joseph J"/>
    <x v="0"/>
    <n v="35"/>
    <n v="0"/>
    <n v="0"/>
    <n v="26"/>
    <n v="0"/>
    <s v="Southampton"/>
    <x v="0"/>
    <s v="SEGUNDA"/>
    <s v="HOMBRE"/>
    <n v="35"/>
    <x v="3"/>
    <m/>
    <m/>
    <m/>
    <m/>
    <m/>
  </r>
  <r>
    <n v="22"/>
    <n v="1"/>
    <x v="2"/>
    <s v="Beesley, Mr. Lawrence"/>
    <x v="0"/>
    <n v="34"/>
    <n v="0"/>
    <n v="0"/>
    <n v="13"/>
    <n v="1"/>
    <s v="Southampton"/>
    <x v="1"/>
    <s v="SEGUNDA"/>
    <s v="HOMBRE"/>
    <n v="34"/>
    <x v="3"/>
    <m/>
    <m/>
    <m/>
    <m/>
    <m/>
  </r>
  <r>
    <n v="23"/>
    <n v="1"/>
    <x v="0"/>
    <s v="McGowan, Miss. Anna &quot;Annie&quot;"/>
    <x v="1"/>
    <n v="15"/>
    <n v="0"/>
    <n v="0"/>
    <n v="80292"/>
    <n v="0"/>
    <s v="Queenstown"/>
    <x v="1"/>
    <s v="TERCERA"/>
    <s v="MUJER"/>
    <n v="15"/>
    <x v="8"/>
    <m/>
    <m/>
    <m/>
    <m/>
    <m/>
  </r>
  <r>
    <n v="24"/>
    <n v="1"/>
    <x v="1"/>
    <s v="Sloper, Mr. William Thompson"/>
    <x v="0"/>
    <n v="28"/>
    <n v="0"/>
    <n v="0"/>
    <n v="355"/>
    <n v="1"/>
    <s v="Southampton"/>
    <x v="1"/>
    <s v="PRIMERA"/>
    <s v="HOMBRE"/>
    <n v="28"/>
    <x v="2"/>
    <m/>
    <m/>
    <m/>
    <m/>
    <m/>
  </r>
  <r>
    <n v="25"/>
    <n v="0"/>
    <x v="0"/>
    <s v="Palsson, Miss. Torborg Danira"/>
    <x v="1"/>
    <n v="8"/>
    <n v="3"/>
    <n v="1"/>
    <n v="21075"/>
    <n v="0"/>
    <s v="Southampton"/>
    <x v="0"/>
    <s v="TERCERA"/>
    <s v="MUJER"/>
    <n v="8"/>
    <x v="4"/>
    <m/>
    <m/>
    <m/>
    <m/>
    <m/>
  </r>
  <r>
    <n v="26"/>
    <n v="1"/>
    <x v="0"/>
    <s v="Asplund, Mrs. Carl Oscar (Selma Augusta Emilia Johansson)"/>
    <x v="1"/>
    <n v="38"/>
    <n v="1"/>
    <n v="5"/>
    <n v="313875"/>
    <n v="0"/>
    <s v="Southampton"/>
    <x v="1"/>
    <s v="TERCERA"/>
    <s v="MUJER"/>
    <n v="38"/>
    <x v="1"/>
    <m/>
    <m/>
    <m/>
    <m/>
    <m/>
  </r>
  <r>
    <n v="27"/>
    <n v="0"/>
    <x v="0"/>
    <s v="Emir, Mr. Farred Chehab"/>
    <x v="0"/>
    <m/>
    <n v="0"/>
    <n v="0"/>
    <n v="7225"/>
    <n v="0"/>
    <s v="Cherburg"/>
    <x v="0"/>
    <s v="TERCERA"/>
    <s v="HOMBRE"/>
    <s v=""/>
    <x v="4"/>
    <m/>
    <m/>
    <m/>
    <m/>
    <m/>
  </r>
  <r>
    <n v="28"/>
    <n v="0"/>
    <x v="1"/>
    <s v="Fortune, Mr. Charles Alexander"/>
    <x v="0"/>
    <n v="19"/>
    <n v="3"/>
    <n v="2"/>
    <n v="263"/>
    <n v="1"/>
    <s v="Southampton"/>
    <x v="0"/>
    <s v="PRIMERA"/>
    <s v="HOMBRE"/>
    <n v="19"/>
    <x v="6"/>
    <m/>
    <m/>
    <m/>
    <m/>
    <m/>
  </r>
  <r>
    <n v="29"/>
    <n v="1"/>
    <x v="0"/>
    <s v="O'Dwyer, Miss. Ellen &quot;Nellie&quot;"/>
    <x v="1"/>
    <m/>
    <n v="0"/>
    <n v="0"/>
    <n v="78792"/>
    <n v="0"/>
    <s v="Queenstown"/>
    <x v="1"/>
    <s v="TERCERA"/>
    <s v="MUJER"/>
    <s v=""/>
    <x v="4"/>
    <m/>
    <m/>
    <m/>
    <m/>
    <m/>
  </r>
  <r>
    <n v="30"/>
    <n v="0"/>
    <x v="0"/>
    <s v="Todoroff, Mr. Lalio"/>
    <x v="0"/>
    <m/>
    <n v="0"/>
    <n v="0"/>
    <n v="78958"/>
    <n v="0"/>
    <s v="Southampton"/>
    <x v="0"/>
    <s v="TERCERA"/>
    <s v="HOMBRE"/>
    <s v=""/>
    <x v="4"/>
    <m/>
    <m/>
    <m/>
    <m/>
    <m/>
  </r>
  <r>
    <n v="31"/>
    <n v="0"/>
    <x v="1"/>
    <s v="Uruchurtu, Don. Manuel E"/>
    <x v="0"/>
    <n v="40"/>
    <n v="0"/>
    <n v="0"/>
    <n v="277208"/>
    <n v="0"/>
    <s v="Cherburg"/>
    <x v="0"/>
    <s v="PRIMERA"/>
    <s v="HOMBRE"/>
    <n v="40"/>
    <x v="1"/>
    <m/>
    <m/>
    <m/>
    <m/>
    <m/>
  </r>
  <r>
    <n v="32"/>
    <n v="1"/>
    <x v="1"/>
    <s v="Spencer, Mrs. William Augustus (Marie Eugenie)"/>
    <x v="1"/>
    <m/>
    <n v="1"/>
    <n v="0"/>
    <n v="1465208"/>
    <n v="1"/>
    <s v="Cherburg"/>
    <x v="1"/>
    <s v="PRIMERA"/>
    <s v="MUJER"/>
    <s v=""/>
    <x v="4"/>
    <m/>
    <m/>
    <m/>
    <m/>
    <m/>
  </r>
  <r>
    <n v="33"/>
    <n v="1"/>
    <x v="0"/>
    <s v="Glynn, Miss. Mary Agatha"/>
    <x v="1"/>
    <m/>
    <n v="0"/>
    <n v="0"/>
    <n v="775"/>
    <n v="0"/>
    <s v="Queenstown"/>
    <x v="1"/>
    <s v="TERCERA"/>
    <s v="MUJER"/>
    <s v=""/>
    <x v="4"/>
    <m/>
    <m/>
    <m/>
    <m/>
    <m/>
  </r>
  <r>
    <n v="34"/>
    <n v="0"/>
    <x v="2"/>
    <s v="Wheadon, Mr. Edward H"/>
    <x v="0"/>
    <n v="66"/>
    <n v="0"/>
    <n v="0"/>
    <n v="105"/>
    <n v="0"/>
    <s v="Southampton"/>
    <x v="0"/>
    <s v="SEGUNDA"/>
    <s v="HOMBRE"/>
    <n v="66"/>
    <x v="5"/>
    <m/>
    <m/>
    <m/>
    <m/>
    <m/>
  </r>
  <r>
    <n v="35"/>
    <n v="0"/>
    <x v="1"/>
    <s v="Meyer, Mr. Edgar Joseph"/>
    <x v="0"/>
    <n v="28"/>
    <n v="1"/>
    <n v="0"/>
    <n v="821708"/>
    <n v="0"/>
    <s v="Cherburg"/>
    <x v="0"/>
    <s v="PRIMERA"/>
    <s v="HOMBRE"/>
    <n v="28"/>
    <x v="2"/>
    <m/>
    <m/>
    <m/>
    <m/>
    <m/>
  </r>
  <r>
    <n v="36"/>
    <n v="0"/>
    <x v="1"/>
    <s v="Holverson, Mr. Alexander Oskar"/>
    <x v="0"/>
    <n v="42"/>
    <n v="1"/>
    <n v="0"/>
    <n v="52"/>
    <n v="0"/>
    <s v="Southampton"/>
    <x v="0"/>
    <s v="PRIMERA"/>
    <s v="HOMBRE"/>
    <n v="42"/>
    <x v="9"/>
    <m/>
    <m/>
    <m/>
    <m/>
    <m/>
  </r>
  <r>
    <n v="37"/>
    <n v="1"/>
    <x v="0"/>
    <s v="Mamee, Mr. Hanna"/>
    <x v="0"/>
    <m/>
    <n v="0"/>
    <n v="0"/>
    <n v="72292"/>
    <n v="0"/>
    <s v="Cherburg"/>
    <x v="1"/>
    <s v="TERCERA"/>
    <s v="HOMBRE"/>
    <s v=""/>
    <x v="4"/>
    <m/>
    <m/>
    <m/>
    <m/>
    <m/>
  </r>
  <r>
    <n v="38"/>
    <n v="0"/>
    <x v="0"/>
    <s v="Cann, Mr. Ernest Charles"/>
    <x v="0"/>
    <n v="21"/>
    <n v="0"/>
    <n v="0"/>
    <n v="805"/>
    <n v="0"/>
    <s v="Southampton"/>
    <x v="0"/>
    <s v="TERCERA"/>
    <s v="HOMBRE"/>
    <n v="21"/>
    <x v="6"/>
    <m/>
    <m/>
    <m/>
    <m/>
    <m/>
  </r>
  <r>
    <n v="39"/>
    <n v="0"/>
    <x v="0"/>
    <s v="Vander Planke, Miss. Augusta Maria"/>
    <x v="1"/>
    <n v="18"/>
    <n v="2"/>
    <n v="0"/>
    <n v="18"/>
    <n v="0"/>
    <s v="Southampton"/>
    <x v="0"/>
    <s v="TERCERA"/>
    <s v="MUJER"/>
    <n v="18"/>
    <x v="8"/>
    <m/>
    <m/>
    <m/>
    <m/>
    <m/>
  </r>
  <r>
    <n v="40"/>
    <n v="1"/>
    <x v="0"/>
    <s v="Nicola-Yarred, Miss. Jamila"/>
    <x v="1"/>
    <n v="14"/>
    <n v="1"/>
    <n v="0"/>
    <n v="112417"/>
    <n v="0"/>
    <s v="Cherburg"/>
    <x v="1"/>
    <s v="TERCERA"/>
    <s v="MUJER"/>
    <n v="14"/>
    <x v="4"/>
    <m/>
    <m/>
    <m/>
    <m/>
    <m/>
  </r>
  <r>
    <n v="41"/>
    <n v="0"/>
    <x v="0"/>
    <s v="Ahlin, Mrs. Johan (Johanna Persdotter Larsson)"/>
    <x v="1"/>
    <n v="40"/>
    <n v="1"/>
    <n v="0"/>
    <n v="9475"/>
    <n v="0"/>
    <s v="Southampton"/>
    <x v="0"/>
    <s v="TERCERA"/>
    <s v="MUJER"/>
    <n v="40"/>
    <x v="1"/>
    <m/>
    <m/>
    <m/>
    <m/>
    <m/>
  </r>
  <r>
    <n v="42"/>
    <n v="0"/>
    <x v="2"/>
    <s v="Turpin, Mrs. William John Robert (Dorothy Ann Wonnacott)"/>
    <x v="1"/>
    <n v="27"/>
    <n v="1"/>
    <n v="0"/>
    <n v="21"/>
    <n v="0"/>
    <s v="Southampton"/>
    <x v="0"/>
    <s v="SEGUNDA"/>
    <s v="MUJER"/>
    <n v="27"/>
    <x v="2"/>
    <m/>
    <m/>
    <m/>
    <m/>
    <m/>
  </r>
  <r>
    <n v="43"/>
    <n v="0"/>
    <x v="0"/>
    <s v="Kraeff, Mr. Theodor"/>
    <x v="0"/>
    <m/>
    <n v="0"/>
    <n v="0"/>
    <n v="78958"/>
    <n v="0"/>
    <s v="Cherburg"/>
    <x v="0"/>
    <s v="TERCERA"/>
    <s v="HOMBRE"/>
    <s v=""/>
    <x v="4"/>
    <m/>
    <m/>
    <m/>
    <m/>
    <m/>
  </r>
  <r>
    <n v="44"/>
    <n v="1"/>
    <x v="2"/>
    <s v="Laroche, Miss. Simonne Marie Anne Andree"/>
    <x v="1"/>
    <n v="3"/>
    <n v="1"/>
    <n v="2"/>
    <n v="415792"/>
    <n v="0"/>
    <s v="Cherburg"/>
    <x v="1"/>
    <s v="SEGUNDA"/>
    <s v="MUJER"/>
    <n v="3"/>
    <x v="4"/>
    <m/>
    <m/>
    <m/>
    <m/>
    <m/>
  </r>
  <r>
    <n v="45"/>
    <n v="1"/>
    <x v="0"/>
    <s v="Devaney, Miss. Margaret Delia"/>
    <x v="1"/>
    <n v="19"/>
    <n v="0"/>
    <n v="0"/>
    <n v="78792"/>
    <n v="0"/>
    <s v="Queenstown"/>
    <x v="1"/>
    <s v="TERCERA"/>
    <s v="MUJER"/>
    <n v="19"/>
    <x v="6"/>
    <m/>
    <m/>
    <m/>
    <m/>
    <m/>
  </r>
  <r>
    <n v="46"/>
    <n v="0"/>
    <x v="0"/>
    <s v="Rogers, Mr. William John"/>
    <x v="0"/>
    <m/>
    <n v="0"/>
    <n v="0"/>
    <n v="805"/>
    <n v="0"/>
    <s v="Southampton"/>
    <x v="0"/>
    <s v="TERCERA"/>
    <s v="HOMBRE"/>
    <s v=""/>
    <x v="4"/>
    <m/>
    <m/>
    <m/>
    <m/>
    <m/>
  </r>
  <r>
    <n v="47"/>
    <n v="0"/>
    <x v="0"/>
    <s v="Lennon, Mr. Denis"/>
    <x v="0"/>
    <m/>
    <n v="1"/>
    <n v="0"/>
    <n v="155"/>
    <n v="0"/>
    <s v="Queenstown"/>
    <x v="0"/>
    <s v="TERCERA"/>
    <s v="HOMBRE"/>
    <s v=""/>
    <x v="4"/>
    <m/>
    <m/>
    <m/>
    <m/>
    <m/>
  </r>
  <r>
    <n v="48"/>
    <n v="1"/>
    <x v="0"/>
    <s v="O'Driscoll, Miss. Bridget"/>
    <x v="1"/>
    <m/>
    <n v="0"/>
    <n v="0"/>
    <n v="775"/>
    <n v="0"/>
    <s v="Queenstown"/>
    <x v="1"/>
    <s v="TERCERA"/>
    <s v="MUJER"/>
    <s v=""/>
    <x v="4"/>
    <m/>
    <m/>
    <m/>
    <m/>
    <m/>
  </r>
  <r>
    <n v="49"/>
    <n v="0"/>
    <x v="0"/>
    <s v="Samaan, Mr. Youssef"/>
    <x v="0"/>
    <m/>
    <n v="2"/>
    <n v="0"/>
    <n v="216792"/>
    <n v="0"/>
    <s v="Cherburg"/>
    <x v="0"/>
    <s v="TERCERA"/>
    <s v="HOMBRE"/>
    <s v=""/>
    <x v="4"/>
    <m/>
    <m/>
    <m/>
    <m/>
    <m/>
  </r>
  <r>
    <n v="50"/>
    <n v="0"/>
    <x v="0"/>
    <s v="Arnold-Franchi, Mrs. Josef (Josefine Franchi)"/>
    <x v="1"/>
    <n v="18"/>
    <n v="1"/>
    <n v="0"/>
    <n v="178"/>
    <n v="0"/>
    <s v="Southampton"/>
    <x v="0"/>
    <s v="TERCERA"/>
    <s v="MUJER"/>
    <n v="18"/>
    <x v="8"/>
    <m/>
    <m/>
    <m/>
    <m/>
    <m/>
  </r>
  <r>
    <n v="51"/>
    <n v="0"/>
    <x v="0"/>
    <s v="Panula, Master. Juha Niilo"/>
    <x v="0"/>
    <n v="7"/>
    <n v="4"/>
    <n v="1"/>
    <n v="396875"/>
    <n v="0"/>
    <s v="Southampton"/>
    <x v="0"/>
    <s v="TERCERA"/>
    <s v="HOMBRE"/>
    <n v="7"/>
    <x v="4"/>
    <m/>
    <m/>
    <m/>
    <m/>
    <m/>
  </r>
  <r>
    <n v="52"/>
    <n v="0"/>
    <x v="0"/>
    <s v="Nosworthy, Mr. Richard Cater"/>
    <x v="0"/>
    <n v="21"/>
    <n v="0"/>
    <n v="0"/>
    <n v="78"/>
    <n v="0"/>
    <s v="Southampton"/>
    <x v="0"/>
    <s v="TERCERA"/>
    <s v="HOMBRE"/>
    <n v="21"/>
    <x v="6"/>
    <m/>
    <m/>
    <m/>
    <m/>
    <m/>
  </r>
  <r>
    <n v="53"/>
    <n v="1"/>
    <x v="1"/>
    <s v="Harper, Mrs. Henry Sleeper (Myna Haxtun)"/>
    <x v="1"/>
    <n v="49"/>
    <n v="1"/>
    <n v="0"/>
    <n v="767292"/>
    <n v="1"/>
    <s v="Cherburg"/>
    <x v="1"/>
    <s v="PRIMERA"/>
    <s v="MUJER"/>
    <n v="49"/>
    <x v="9"/>
    <m/>
    <m/>
    <m/>
    <m/>
    <m/>
  </r>
  <r>
    <n v="54"/>
    <n v="1"/>
    <x v="2"/>
    <s v="Faunthorpe, Mrs. Lizzie (Elizabeth Anne Wilkinson)"/>
    <x v="1"/>
    <n v="29"/>
    <n v="1"/>
    <n v="0"/>
    <n v="26"/>
    <n v="0"/>
    <s v="Southampton"/>
    <x v="1"/>
    <s v="SEGUNDA"/>
    <s v="MUJER"/>
    <n v="29"/>
    <x v="7"/>
    <m/>
    <m/>
    <m/>
    <m/>
    <m/>
  </r>
  <r>
    <n v="55"/>
    <n v="0"/>
    <x v="1"/>
    <s v="Ostby, Mr. Engelhart Cornelius"/>
    <x v="0"/>
    <n v="65"/>
    <n v="0"/>
    <n v="1"/>
    <n v="619792"/>
    <n v="1"/>
    <s v="Cherburg"/>
    <x v="0"/>
    <s v="PRIMERA"/>
    <s v="HOMBRE"/>
    <n v="65"/>
    <x v="5"/>
    <m/>
    <m/>
    <m/>
    <m/>
    <m/>
  </r>
  <r>
    <n v="56"/>
    <n v="1"/>
    <x v="1"/>
    <s v="Woolner, Mr. Hugh"/>
    <x v="0"/>
    <m/>
    <n v="0"/>
    <n v="0"/>
    <n v="355"/>
    <n v="1"/>
    <s v="Southampton"/>
    <x v="1"/>
    <s v="PRIMERA"/>
    <s v="HOMBRE"/>
    <s v=""/>
    <x v="4"/>
    <m/>
    <m/>
    <m/>
    <m/>
    <m/>
  </r>
  <r>
    <n v="57"/>
    <n v="1"/>
    <x v="2"/>
    <s v="Rugg, Miss. Emily"/>
    <x v="1"/>
    <n v="21"/>
    <n v="0"/>
    <n v="0"/>
    <n v="105"/>
    <n v="0"/>
    <s v="Southampton"/>
    <x v="1"/>
    <s v="SEGUNDA"/>
    <s v="MUJER"/>
    <n v="21"/>
    <x v="6"/>
    <m/>
    <m/>
    <m/>
    <m/>
    <m/>
  </r>
  <r>
    <n v="58"/>
    <n v="0"/>
    <x v="0"/>
    <s v="Novel, Mr. Mansouer"/>
    <x v="0"/>
    <n v="285"/>
    <n v="0"/>
    <n v="0"/>
    <n v="72292"/>
    <n v="0"/>
    <s v="Cherburg"/>
    <x v="0"/>
    <s v="TERCERA"/>
    <s v="HOMBRE"/>
    <n v="28.5"/>
    <x v="2"/>
    <m/>
    <m/>
    <m/>
    <m/>
    <m/>
  </r>
  <r>
    <n v="59"/>
    <n v="1"/>
    <x v="2"/>
    <s v="West, Miss. Constance Mirium"/>
    <x v="1"/>
    <n v="5"/>
    <n v="1"/>
    <n v="2"/>
    <n v="2775"/>
    <n v="0"/>
    <s v="Southampton"/>
    <x v="1"/>
    <s v="SEGUNDA"/>
    <s v="MUJER"/>
    <n v="5"/>
    <x v="4"/>
    <m/>
    <m/>
    <m/>
    <m/>
    <m/>
  </r>
  <r>
    <n v="60"/>
    <n v="0"/>
    <x v="0"/>
    <s v="Goodwin, Master. William Frederick"/>
    <x v="0"/>
    <n v="11"/>
    <n v="5"/>
    <n v="2"/>
    <n v="469"/>
    <n v="0"/>
    <s v="Southampton"/>
    <x v="0"/>
    <s v="TERCERA"/>
    <s v="HOMBRE"/>
    <n v="11"/>
    <x v="4"/>
    <m/>
    <m/>
    <m/>
    <m/>
    <m/>
  </r>
  <r>
    <n v="61"/>
    <n v="0"/>
    <x v="0"/>
    <s v="Sirayanian, Mr. Orsen"/>
    <x v="0"/>
    <n v="22"/>
    <n v="0"/>
    <n v="0"/>
    <n v="72292"/>
    <n v="0"/>
    <s v="Cherburg"/>
    <x v="0"/>
    <s v="TERCERA"/>
    <s v="HOMBRE"/>
    <n v="22"/>
    <x v="0"/>
    <m/>
    <m/>
    <m/>
    <m/>
    <m/>
  </r>
  <r>
    <n v="62"/>
    <n v="1"/>
    <x v="1"/>
    <s v="Icard, Miss. Amelie"/>
    <x v="1"/>
    <n v="38"/>
    <n v="0"/>
    <n v="0"/>
    <n v="80"/>
    <n v="1"/>
    <m/>
    <x v="1"/>
    <s v="PRIMERA"/>
    <s v="MUJER"/>
    <n v="38"/>
    <x v="1"/>
    <m/>
    <m/>
    <m/>
    <m/>
    <m/>
  </r>
  <r>
    <n v="63"/>
    <n v="0"/>
    <x v="1"/>
    <s v="Harris, Mr. Henry Birkhardt"/>
    <x v="0"/>
    <n v="45"/>
    <n v="1"/>
    <n v="0"/>
    <n v="83475"/>
    <n v="1"/>
    <s v="Southampton"/>
    <x v="0"/>
    <s v="PRIMERA"/>
    <s v="HOMBRE"/>
    <n v="45"/>
    <x v="9"/>
    <m/>
    <m/>
    <m/>
    <m/>
    <m/>
  </r>
  <r>
    <n v="64"/>
    <n v="0"/>
    <x v="0"/>
    <s v="Skoog, Master. Harald"/>
    <x v="0"/>
    <n v="4"/>
    <n v="3"/>
    <n v="2"/>
    <n v="279"/>
    <n v="0"/>
    <s v="Southampton"/>
    <x v="0"/>
    <s v="TERCERA"/>
    <s v="HOMBRE"/>
    <n v="4"/>
    <x v="4"/>
    <m/>
    <m/>
    <m/>
    <m/>
    <m/>
  </r>
  <r>
    <n v="65"/>
    <n v="0"/>
    <x v="1"/>
    <s v="Stewart, Mr. Albert A"/>
    <x v="0"/>
    <m/>
    <n v="0"/>
    <n v="0"/>
    <n v="277208"/>
    <n v="0"/>
    <s v="Cherburg"/>
    <x v="0"/>
    <s v="PRIMERA"/>
    <s v="HOMBRE"/>
    <s v=""/>
    <x v="4"/>
    <m/>
    <m/>
    <m/>
    <m/>
    <m/>
  </r>
  <r>
    <n v="66"/>
    <n v="1"/>
    <x v="0"/>
    <s v="Moubarek, Master. Gerios"/>
    <x v="0"/>
    <m/>
    <n v="1"/>
    <n v="1"/>
    <n v="152458"/>
    <n v="0"/>
    <s v="Cherburg"/>
    <x v="1"/>
    <s v="TERCERA"/>
    <s v="HOMBRE"/>
    <s v=""/>
    <x v="4"/>
    <m/>
    <m/>
    <m/>
    <m/>
    <m/>
  </r>
  <r>
    <n v="67"/>
    <n v="1"/>
    <x v="2"/>
    <s v="Nye, Mrs. (Elizabeth Ramell)"/>
    <x v="1"/>
    <n v="29"/>
    <n v="0"/>
    <n v="0"/>
    <n v="105"/>
    <n v="1"/>
    <s v="Southampton"/>
    <x v="1"/>
    <s v="SEGUNDA"/>
    <s v="MUJER"/>
    <n v="29"/>
    <x v="7"/>
    <m/>
    <m/>
    <m/>
    <m/>
    <m/>
  </r>
  <r>
    <n v="68"/>
    <n v="0"/>
    <x v="0"/>
    <s v="Crease, Mr. Ernest James"/>
    <x v="0"/>
    <n v="19"/>
    <n v="0"/>
    <n v="0"/>
    <n v="81583"/>
    <n v="0"/>
    <s v="Southampton"/>
    <x v="0"/>
    <s v="TERCERA"/>
    <s v="HOMBRE"/>
    <n v="19"/>
    <x v="6"/>
    <m/>
    <m/>
    <m/>
    <m/>
    <m/>
  </r>
  <r>
    <n v="69"/>
    <n v="1"/>
    <x v="0"/>
    <s v="Andersson, Miss. Erna Alexandra"/>
    <x v="1"/>
    <n v="17"/>
    <n v="4"/>
    <n v="2"/>
    <n v="7925"/>
    <n v="0"/>
    <s v="Southampton"/>
    <x v="1"/>
    <s v="TERCERA"/>
    <s v="MUJER"/>
    <n v="17"/>
    <x v="8"/>
    <m/>
    <m/>
    <m/>
    <m/>
    <m/>
  </r>
  <r>
    <n v="70"/>
    <n v="0"/>
    <x v="0"/>
    <s v="Kink, Mr. Vincenz"/>
    <x v="0"/>
    <n v="26"/>
    <n v="2"/>
    <n v="0"/>
    <n v="86625"/>
    <n v="0"/>
    <s v="Southampton"/>
    <x v="0"/>
    <s v="TERCERA"/>
    <s v="HOMBRE"/>
    <n v="26"/>
    <x v="2"/>
    <m/>
    <m/>
    <m/>
    <m/>
    <m/>
  </r>
  <r>
    <n v="71"/>
    <n v="0"/>
    <x v="2"/>
    <s v="Jenkin, Mr. Stephen Curnow"/>
    <x v="0"/>
    <n v="32"/>
    <n v="0"/>
    <n v="0"/>
    <n v="105"/>
    <n v="0"/>
    <s v="Southampton"/>
    <x v="0"/>
    <s v="SEGUNDA"/>
    <s v="HOMBRE"/>
    <n v="32"/>
    <x v="3"/>
    <m/>
    <m/>
    <m/>
    <m/>
    <m/>
  </r>
  <r>
    <n v="72"/>
    <n v="0"/>
    <x v="0"/>
    <s v="Goodwin, Miss. Lillian Amy"/>
    <x v="1"/>
    <n v="16"/>
    <n v="5"/>
    <n v="2"/>
    <n v="469"/>
    <n v="0"/>
    <s v="Southampton"/>
    <x v="0"/>
    <s v="TERCERA"/>
    <s v="MUJER"/>
    <n v="16"/>
    <x v="8"/>
    <m/>
    <m/>
    <m/>
    <m/>
    <m/>
  </r>
  <r>
    <n v="73"/>
    <n v="0"/>
    <x v="2"/>
    <s v="Hood, Mr. Ambrose Jr"/>
    <x v="0"/>
    <n v="21"/>
    <n v="0"/>
    <n v="0"/>
    <n v="735"/>
    <n v="0"/>
    <s v="Southampton"/>
    <x v="0"/>
    <s v="SEGUNDA"/>
    <s v="HOMBRE"/>
    <n v="21"/>
    <x v="6"/>
    <m/>
    <m/>
    <m/>
    <m/>
    <m/>
  </r>
  <r>
    <n v="74"/>
    <n v="0"/>
    <x v="0"/>
    <s v="Chronopoulos, Mr. Apostolos"/>
    <x v="0"/>
    <n v="26"/>
    <n v="1"/>
    <n v="0"/>
    <n v="144542"/>
    <n v="0"/>
    <s v="Cherburg"/>
    <x v="0"/>
    <s v="TERCERA"/>
    <s v="HOMBRE"/>
    <n v="26"/>
    <x v="2"/>
    <m/>
    <m/>
    <m/>
    <m/>
    <m/>
  </r>
  <r>
    <n v="75"/>
    <n v="1"/>
    <x v="0"/>
    <s v="Bing, Mr. Lee"/>
    <x v="0"/>
    <n v="32"/>
    <n v="0"/>
    <n v="0"/>
    <n v="564958"/>
    <n v="0"/>
    <s v="Southampton"/>
    <x v="1"/>
    <s v="TERCERA"/>
    <s v="HOMBRE"/>
    <n v="32"/>
    <x v="3"/>
    <m/>
    <m/>
    <m/>
    <m/>
    <m/>
  </r>
  <r>
    <n v="76"/>
    <n v="0"/>
    <x v="0"/>
    <s v="Moen, Mr. Sigurd Hansen"/>
    <x v="0"/>
    <n v="25"/>
    <n v="0"/>
    <n v="0"/>
    <n v="765"/>
    <n v="1"/>
    <s v="Southampton"/>
    <x v="0"/>
    <s v="TERCERA"/>
    <s v="HOMBRE"/>
    <n v="25"/>
    <x v="2"/>
    <m/>
    <m/>
    <m/>
    <m/>
    <m/>
  </r>
  <r>
    <n v="77"/>
    <n v="0"/>
    <x v="0"/>
    <s v="Staneff, Mr. Ivan"/>
    <x v="0"/>
    <m/>
    <n v="0"/>
    <n v="0"/>
    <n v="78958"/>
    <n v="0"/>
    <s v="Southampton"/>
    <x v="0"/>
    <s v="TERCERA"/>
    <s v="HOMBRE"/>
    <s v=""/>
    <x v="4"/>
    <m/>
    <m/>
    <m/>
    <m/>
    <m/>
  </r>
  <r>
    <n v="78"/>
    <n v="0"/>
    <x v="0"/>
    <s v="Moutal, Mr. Rahamin Haim"/>
    <x v="0"/>
    <m/>
    <n v="0"/>
    <n v="0"/>
    <n v="805"/>
    <n v="0"/>
    <s v="Southampton"/>
    <x v="0"/>
    <s v="TERCERA"/>
    <s v="HOMBRE"/>
    <s v=""/>
    <x v="4"/>
    <m/>
    <m/>
    <m/>
    <m/>
    <m/>
  </r>
  <r>
    <n v="79"/>
    <n v="1"/>
    <x v="2"/>
    <s v="Caldwell, Master. Alden Gates"/>
    <x v="0"/>
    <n v="83"/>
    <n v="0"/>
    <n v="2"/>
    <n v="29"/>
    <n v="0"/>
    <s v="Southampton"/>
    <x v="1"/>
    <s v="SEGUNDA"/>
    <s v="HOMBRE"/>
    <n v="83"/>
    <x v="5"/>
    <m/>
    <m/>
    <m/>
    <m/>
    <m/>
  </r>
  <r>
    <n v="80"/>
    <n v="1"/>
    <x v="0"/>
    <s v="Dowdell, Miss. Elizabeth"/>
    <x v="1"/>
    <n v="30"/>
    <n v="0"/>
    <n v="0"/>
    <n v="12475"/>
    <n v="0"/>
    <s v="Southampton"/>
    <x v="1"/>
    <s v="TERCERA"/>
    <s v="MUJER"/>
    <n v="30"/>
    <x v="7"/>
    <m/>
    <m/>
    <m/>
    <m/>
    <m/>
  </r>
  <r>
    <n v="81"/>
    <n v="0"/>
    <x v="0"/>
    <s v="Waelens, Mr. Achille"/>
    <x v="0"/>
    <n v="22"/>
    <n v="0"/>
    <n v="0"/>
    <n v="9"/>
    <n v="0"/>
    <s v="Southampton"/>
    <x v="0"/>
    <s v="TERCERA"/>
    <s v="HOMBRE"/>
    <n v="22"/>
    <x v="0"/>
    <m/>
    <m/>
    <m/>
    <m/>
    <m/>
  </r>
  <r>
    <n v="82"/>
    <n v="1"/>
    <x v="0"/>
    <s v="Sheerlinck, Mr. Jan Baptist"/>
    <x v="0"/>
    <n v="29"/>
    <n v="0"/>
    <n v="0"/>
    <n v="95"/>
    <n v="0"/>
    <s v="Southampton"/>
    <x v="1"/>
    <s v="TERCERA"/>
    <s v="HOMBRE"/>
    <n v="29"/>
    <x v="7"/>
    <m/>
    <m/>
    <m/>
    <m/>
    <m/>
  </r>
  <r>
    <n v="83"/>
    <n v="1"/>
    <x v="0"/>
    <s v="McDermott, Miss. Brigdet Delia"/>
    <x v="1"/>
    <m/>
    <n v="0"/>
    <n v="0"/>
    <n v="77875"/>
    <n v="0"/>
    <s v="Queenstown"/>
    <x v="1"/>
    <s v="TERCERA"/>
    <s v="MUJER"/>
    <s v=""/>
    <x v="4"/>
    <m/>
    <m/>
    <m/>
    <m/>
    <m/>
  </r>
  <r>
    <n v="84"/>
    <n v="0"/>
    <x v="1"/>
    <s v="Carrau, Mr. Francisco M"/>
    <x v="0"/>
    <n v="28"/>
    <n v="0"/>
    <n v="0"/>
    <n v="471"/>
    <n v="0"/>
    <s v="Southampton"/>
    <x v="0"/>
    <s v="PRIMERA"/>
    <s v="HOMBRE"/>
    <n v="28"/>
    <x v="2"/>
    <m/>
    <m/>
    <m/>
    <m/>
    <m/>
  </r>
  <r>
    <n v="85"/>
    <n v="1"/>
    <x v="2"/>
    <s v="Ilett, Miss. Bertha"/>
    <x v="1"/>
    <n v="17"/>
    <n v="0"/>
    <n v="0"/>
    <n v="105"/>
    <n v="0"/>
    <s v="Southampton"/>
    <x v="1"/>
    <s v="SEGUNDA"/>
    <s v="MUJER"/>
    <n v="17"/>
    <x v="8"/>
    <m/>
    <m/>
    <m/>
    <m/>
    <m/>
  </r>
  <r>
    <n v="86"/>
    <n v="1"/>
    <x v="0"/>
    <s v="Backstrom, Mrs. Karl Alfred (Maria Mathilda Gustafsson)"/>
    <x v="1"/>
    <n v="33"/>
    <n v="3"/>
    <n v="0"/>
    <n v="1585"/>
    <n v="0"/>
    <s v="Southampton"/>
    <x v="1"/>
    <s v="TERCERA"/>
    <s v="MUJER"/>
    <n v="33"/>
    <x v="3"/>
    <m/>
    <m/>
    <m/>
    <m/>
    <m/>
  </r>
  <r>
    <n v="87"/>
    <n v="0"/>
    <x v="0"/>
    <s v="Ford, Mr. William Neal"/>
    <x v="0"/>
    <n v="16"/>
    <n v="1"/>
    <n v="3"/>
    <n v="34375"/>
    <n v="0"/>
    <s v="Southampton"/>
    <x v="0"/>
    <s v="TERCERA"/>
    <s v="HOMBRE"/>
    <n v="16"/>
    <x v="8"/>
    <m/>
    <m/>
    <m/>
    <m/>
    <m/>
  </r>
  <r>
    <n v="88"/>
    <n v="0"/>
    <x v="0"/>
    <s v="Slocovski, Mr. Selman Francis"/>
    <x v="0"/>
    <m/>
    <n v="0"/>
    <n v="0"/>
    <n v="805"/>
    <n v="0"/>
    <s v="Southampton"/>
    <x v="0"/>
    <s v="TERCERA"/>
    <s v="HOMBRE"/>
    <s v=""/>
    <x v="4"/>
    <m/>
    <m/>
    <m/>
    <m/>
    <m/>
  </r>
  <r>
    <n v="89"/>
    <n v="1"/>
    <x v="1"/>
    <s v="Fortune, Miss. Mabel Helen"/>
    <x v="1"/>
    <n v="23"/>
    <n v="3"/>
    <n v="2"/>
    <n v="263"/>
    <n v="1"/>
    <s v="Southampton"/>
    <x v="1"/>
    <s v="PRIMERA"/>
    <s v="MUJER"/>
    <n v="23"/>
    <x v="0"/>
    <m/>
    <m/>
    <m/>
    <m/>
    <m/>
  </r>
  <r>
    <n v="90"/>
    <n v="0"/>
    <x v="0"/>
    <s v="Celotti, Mr. Francesco"/>
    <x v="0"/>
    <n v="24"/>
    <n v="0"/>
    <n v="0"/>
    <n v="805"/>
    <n v="0"/>
    <s v="Southampton"/>
    <x v="0"/>
    <s v="TERCERA"/>
    <s v="HOMBRE"/>
    <n v="24"/>
    <x v="0"/>
    <m/>
    <m/>
    <m/>
    <m/>
    <m/>
  </r>
  <r>
    <n v="91"/>
    <n v="0"/>
    <x v="0"/>
    <s v="Christmann, Mr. Emil"/>
    <x v="0"/>
    <n v="29"/>
    <n v="0"/>
    <n v="0"/>
    <n v="805"/>
    <n v="0"/>
    <s v="Southampton"/>
    <x v="0"/>
    <s v="TERCERA"/>
    <s v="HOMBRE"/>
    <n v="29"/>
    <x v="7"/>
    <m/>
    <m/>
    <m/>
    <m/>
    <m/>
  </r>
  <r>
    <n v="92"/>
    <n v="0"/>
    <x v="0"/>
    <s v="Andreasson, Mr. Paul Edvin"/>
    <x v="0"/>
    <n v="20"/>
    <n v="0"/>
    <n v="0"/>
    <n v="78542"/>
    <n v="0"/>
    <s v="Southampton"/>
    <x v="0"/>
    <s v="TERCERA"/>
    <s v="HOMBRE"/>
    <n v="20"/>
    <x v="6"/>
    <m/>
    <m/>
    <m/>
    <m/>
    <m/>
  </r>
  <r>
    <n v="93"/>
    <n v="0"/>
    <x v="1"/>
    <s v="Chaffee, Mr. Herbert Fuller"/>
    <x v="0"/>
    <n v="46"/>
    <n v="1"/>
    <n v="0"/>
    <n v="61175"/>
    <n v="1"/>
    <s v="Southampton"/>
    <x v="0"/>
    <s v="PRIMERA"/>
    <s v="HOMBRE"/>
    <n v="46"/>
    <x v="9"/>
    <m/>
    <m/>
    <m/>
    <m/>
    <m/>
  </r>
  <r>
    <n v="94"/>
    <n v="0"/>
    <x v="0"/>
    <s v="Dean, Mr. Bertram Frank"/>
    <x v="0"/>
    <n v="26"/>
    <n v="1"/>
    <n v="2"/>
    <n v="20575"/>
    <n v="0"/>
    <s v="Southampton"/>
    <x v="0"/>
    <s v="TERCERA"/>
    <s v="HOMBRE"/>
    <n v="26"/>
    <x v="2"/>
    <m/>
    <m/>
    <m/>
    <m/>
    <m/>
  </r>
  <r>
    <n v="95"/>
    <n v="0"/>
    <x v="0"/>
    <s v="Coxon, Mr. Daniel"/>
    <x v="0"/>
    <n v="59"/>
    <n v="0"/>
    <n v="0"/>
    <n v="725"/>
    <n v="0"/>
    <s v="Southampton"/>
    <x v="0"/>
    <s v="TERCERA"/>
    <s v="HOMBRE"/>
    <n v="59"/>
    <x v="5"/>
    <m/>
    <m/>
    <m/>
    <m/>
    <m/>
  </r>
  <r>
    <n v="96"/>
    <n v="0"/>
    <x v="0"/>
    <s v="Shorney, Mr. Charles Joseph"/>
    <x v="0"/>
    <m/>
    <n v="0"/>
    <n v="0"/>
    <n v="805"/>
    <n v="0"/>
    <s v="Southampton"/>
    <x v="0"/>
    <s v="TERCERA"/>
    <s v="HOMBRE"/>
    <s v=""/>
    <x v="4"/>
    <m/>
    <m/>
    <m/>
    <m/>
    <m/>
  </r>
  <r>
    <n v="97"/>
    <n v="0"/>
    <x v="1"/>
    <s v="Goldschmidt, Mr. George B"/>
    <x v="0"/>
    <n v="71"/>
    <n v="0"/>
    <n v="0"/>
    <n v="346542"/>
    <n v="1"/>
    <s v="Cherburg"/>
    <x v="0"/>
    <s v="PRIMERA"/>
    <s v="HOMBRE"/>
    <n v="71"/>
    <x v="5"/>
    <m/>
    <m/>
    <m/>
    <m/>
    <m/>
  </r>
  <r>
    <n v="98"/>
    <n v="1"/>
    <x v="1"/>
    <s v="Greenfield, Mr. William Bertram"/>
    <x v="0"/>
    <n v="23"/>
    <n v="0"/>
    <n v="1"/>
    <n v="633583"/>
    <n v="1"/>
    <s v="Cherburg"/>
    <x v="1"/>
    <s v="PRIMERA"/>
    <s v="HOMBRE"/>
    <n v="23"/>
    <x v="0"/>
    <m/>
    <m/>
    <m/>
    <m/>
    <m/>
  </r>
  <r>
    <n v="99"/>
    <n v="1"/>
    <x v="2"/>
    <s v="Doling, Mrs. John T (Ada Julia Bone)"/>
    <x v="1"/>
    <n v="34"/>
    <n v="0"/>
    <n v="1"/>
    <n v="23"/>
    <n v="0"/>
    <s v="Southampton"/>
    <x v="1"/>
    <s v="SEGUNDA"/>
    <s v="MUJER"/>
    <n v="34"/>
    <x v="3"/>
    <m/>
    <m/>
    <m/>
    <m/>
    <m/>
  </r>
  <r>
    <n v="100"/>
    <n v="0"/>
    <x v="2"/>
    <s v="Kantor, Mr. Sinai"/>
    <x v="0"/>
    <n v="34"/>
    <n v="1"/>
    <n v="0"/>
    <n v="26"/>
    <n v="0"/>
    <s v="Southampton"/>
    <x v="0"/>
    <s v="SEGUNDA"/>
    <s v="HOMBRE"/>
    <n v="34"/>
    <x v="3"/>
    <m/>
    <m/>
    <m/>
    <m/>
    <m/>
  </r>
  <r>
    <n v="101"/>
    <n v="0"/>
    <x v="0"/>
    <s v="Petranec, Miss. Matilda"/>
    <x v="1"/>
    <n v="28"/>
    <n v="0"/>
    <n v="0"/>
    <n v="78958"/>
    <n v="0"/>
    <s v="Southampton"/>
    <x v="0"/>
    <s v="TERCERA"/>
    <s v="MUJER"/>
    <n v="28"/>
    <x v="2"/>
    <m/>
    <m/>
    <m/>
    <m/>
    <m/>
  </r>
  <r>
    <n v="102"/>
    <n v="0"/>
    <x v="0"/>
    <s v="Petroff, Mr. Pastcho (&quot;Pentcho&quot;)"/>
    <x v="0"/>
    <m/>
    <n v="0"/>
    <n v="0"/>
    <n v="78958"/>
    <n v="0"/>
    <s v="Southampton"/>
    <x v="0"/>
    <s v="TERCERA"/>
    <s v="HOMBRE"/>
    <s v=""/>
    <x v="4"/>
    <m/>
    <m/>
    <m/>
    <m/>
    <m/>
  </r>
  <r>
    <n v="103"/>
    <n v="0"/>
    <x v="1"/>
    <s v="White, Mr. Richard Frasar"/>
    <x v="0"/>
    <n v="21"/>
    <n v="0"/>
    <n v="1"/>
    <n v="772875"/>
    <n v="1"/>
    <s v="Southampton"/>
    <x v="0"/>
    <s v="PRIMERA"/>
    <s v="HOMBRE"/>
    <n v="21"/>
    <x v="6"/>
    <m/>
    <m/>
    <m/>
    <m/>
    <m/>
  </r>
  <r>
    <n v="104"/>
    <n v="0"/>
    <x v="0"/>
    <s v="Johansson, Mr. Gustaf Joel"/>
    <x v="0"/>
    <n v="33"/>
    <n v="0"/>
    <n v="0"/>
    <n v="86542"/>
    <n v="0"/>
    <s v="Southampton"/>
    <x v="0"/>
    <s v="TERCERA"/>
    <s v="HOMBRE"/>
    <n v="33"/>
    <x v="3"/>
    <m/>
    <m/>
    <m/>
    <m/>
    <m/>
  </r>
  <r>
    <n v="105"/>
    <n v="0"/>
    <x v="0"/>
    <s v="Gustafsson, Mr. Anders Vilhelm"/>
    <x v="0"/>
    <n v="37"/>
    <n v="2"/>
    <n v="0"/>
    <n v="7925"/>
    <n v="0"/>
    <s v="Southampton"/>
    <x v="0"/>
    <s v="TERCERA"/>
    <s v="HOMBRE"/>
    <n v="37"/>
    <x v="1"/>
    <m/>
    <m/>
    <m/>
    <m/>
    <m/>
  </r>
  <r>
    <n v="106"/>
    <n v="0"/>
    <x v="0"/>
    <s v="Mionoff, Mr. Stoytcho"/>
    <x v="0"/>
    <n v="28"/>
    <n v="0"/>
    <n v="0"/>
    <n v="78958"/>
    <n v="0"/>
    <s v="Southampton"/>
    <x v="0"/>
    <s v="TERCERA"/>
    <s v="HOMBRE"/>
    <n v="28"/>
    <x v="2"/>
    <m/>
    <m/>
    <m/>
    <m/>
    <m/>
  </r>
  <r>
    <n v="107"/>
    <n v="1"/>
    <x v="0"/>
    <s v="Salkjelsvik, Miss. Anna Kristine"/>
    <x v="1"/>
    <n v="21"/>
    <n v="0"/>
    <n v="0"/>
    <n v="765"/>
    <n v="0"/>
    <s v="Southampton"/>
    <x v="1"/>
    <s v="TERCERA"/>
    <s v="MUJER"/>
    <n v="21"/>
    <x v="6"/>
    <m/>
    <m/>
    <m/>
    <m/>
    <m/>
  </r>
  <r>
    <n v="108"/>
    <n v="1"/>
    <x v="0"/>
    <s v="Moss, Mr. Albert Johan"/>
    <x v="0"/>
    <m/>
    <n v="0"/>
    <n v="0"/>
    <n v="7775"/>
    <n v="0"/>
    <s v="Southampton"/>
    <x v="1"/>
    <s v="TERCERA"/>
    <s v="HOMBRE"/>
    <s v=""/>
    <x v="4"/>
    <m/>
    <m/>
    <m/>
    <m/>
    <m/>
  </r>
  <r>
    <n v="109"/>
    <n v="0"/>
    <x v="0"/>
    <s v="Rekic, Mr. Tido"/>
    <x v="0"/>
    <n v="38"/>
    <n v="0"/>
    <n v="0"/>
    <n v="78958"/>
    <n v="0"/>
    <s v="Southampton"/>
    <x v="0"/>
    <s v="TERCERA"/>
    <s v="HOMBRE"/>
    <n v="38"/>
    <x v="1"/>
    <m/>
    <m/>
    <m/>
    <m/>
    <m/>
  </r>
  <r>
    <n v="110"/>
    <n v="1"/>
    <x v="0"/>
    <s v="Moran, Miss. Bertha"/>
    <x v="1"/>
    <m/>
    <n v="1"/>
    <n v="0"/>
    <n v="2415"/>
    <n v="0"/>
    <s v="Queenstown"/>
    <x v="1"/>
    <s v="TERCERA"/>
    <s v="MUJER"/>
    <s v=""/>
    <x v="4"/>
    <m/>
    <m/>
    <m/>
    <m/>
    <m/>
  </r>
  <r>
    <n v="111"/>
    <n v="0"/>
    <x v="1"/>
    <s v="Porter, Mr. Walter Chamberlain"/>
    <x v="0"/>
    <n v="47"/>
    <n v="0"/>
    <n v="0"/>
    <n v="52"/>
    <n v="1"/>
    <s v="Southampton"/>
    <x v="0"/>
    <s v="PRIMERA"/>
    <s v="HOMBRE"/>
    <n v="47"/>
    <x v="9"/>
    <m/>
    <m/>
    <m/>
    <m/>
    <m/>
  </r>
  <r>
    <n v="112"/>
    <n v="0"/>
    <x v="0"/>
    <s v="Zabour, Miss. Hileni"/>
    <x v="1"/>
    <n v="145"/>
    <n v="1"/>
    <n v="0"/>
    <n v="144542"/>
    <n v="0"/>
    <s v="Cherburg"/>
    <x v="0"/>
    <s v="TERCERA"/>
    <s v="MUJER"/>
    <n v="14.5"/>
    <x v="4"/>
    <m/>
    <m/>
    <m/>
    <m/>
    <m/>
  </r>
  <r>
    <n v="113"/>
    <n v="0"/>
    <x v="0"/>
    <s v="Barton, Mr. David John"/>
    <x v="0"/>
    <n v="22"/>
    <n v="0"/>
    <n v="0"/>
    <n v="805"/>
    <n v="0"/>
    <s v="Southampton"/>
    <x v="0"/>
    <s v="TERCERA"/>
    <s v="HOMBRE"/>
    <n v="22"/>
    <x v="0"/>
    <m/>
    <m/>
    <m/>
    <m/>
    <m/>
  </r>
  <r>
    <n v="114"/>
    <n v="0"/>
    <x v="0"/>
    <s v="Jussila, Miss. Katriina"/>
    <x v="1"/>
    <n v="20"/>
    <n v="1"/>
    <n v="0"/>
    <n v="9825"/>
    <n v="0"/>
    <s v="Southampton"/>
    <x v="0"/>
    <s v="TERCERA"/>
    <s v="MUJER"/>
    <n v="20"/>
    <x v="6"/>
    <m/>
    <m/>
    <m/>
    <m/>
    <m/>
  </r>
  <r>
    <n v="115"/>
    <n v="0"/>
    <x v="0"/>
    <s v="Attalah, Miss. Malake"/>
    <x v="1"/>
    <n v="17"/>
    <n v="0"/>
    <n v="0"/>
    <n v="144583"/>
    <n v="0"/>
    <s v="Cherburg"/>
    <x v="0"/>
    <s v="TERCERA"/>
    <s v="MUJER"/>
    <n v="17"/>
    <x v="8"/>
    <m/>
    <m/>
    <m/>
    <m/>
    <m/>
  </r>
  <r>
    <n v="116"/>
    <n v="0"/>
    <x v="0"/>
    <s v="Pekoniemi, Mr. Edvard"/>
    <x v="0"/>
    <n v="21"/>
    <n v="0"/>
    <n v="0"/>
    <n v="7925"/>
    <n v="0"/>
    <s v="Southampton"/>
    <x v="0"/>
    <s v="TERCERA"/>
    <s v="HOMBRE"/>
    <n v="21"/>
    <x v="6"/>
    <m/>
    <m/>
    <m/>
    <m/>
    <m/>
  </r>
  <r>
    <n v="117"/>
    <n v="0"/>
    <x v="0"/>
    <s v="Connors, Mr. Patrick"/>
    <x v="0"/>
    <n v="705"/>
    <n v="0"/>
    <n v="0"/>
    <n v="775"/>
    <n v="0"/>
    <s v="Queenstown"/>
    <x v="0"/>
    <s v="TERCERA"/>
    <s v="HOMBRE"/>
    <n v="70.5"/>
    <x v="5"/>
    <m/>
    <m/>
    <m/>
    <m/>
    <m/>
  </r>
  <r>
    <n v="118"/>
    <n v="0"/>
    <x v="2"/>
    <s v="Turpin, Mr. William John Robert"/>
    <x v="0"/>
    <n v="29"/>
    <n v="1"/>
    <n v="0"/>
    <n v="21"/>
    <n v="0"/>
    <s v="Southampton"/>
    <x v="0"/>
    <s v="SEGUNDA"/>
    <s v="HOMBRE"/>
    <n v="29"/>
    <x v="7"/>
    <m/>
    <m/>
    <m/>
    <m/>
    <m/>
  </r>
  <r>
    <n v="119"/>
    <n v="0"/>
    <x v="1"/>
    <s v="Baxter, Mr. Quigg Edmond"/>
    <x v="0"/>
    <n v="24"/>
    <n v="0"/>
    <n v="1"/>
    <n v="2475208"/>
    <n v="1"/>
    <s v="Cherburg"/>
    <x v="0"/>
    <s v="PRIMERA"/>
    <s v="HOMBRE"/>
    <n v="24"/>
    <x v="0"/>
    <m/>
    <m/>
    <m/>
    <m/>
    <m/>
  </r>
  <r>
    <n v="120"/>
    <n v="0"/>
    <x v="0"/>
    <s v="Andersson, Miss. Ellis Anna Maria"/>
    <x v="1"/>
    <n v="2"/>
    <n v="4"/>
    <n v="2"/>
    <n v="31275"/>
    <n v="0"/>
    <s v="Southampton"/>
    <x v="0"/>
    <s v="TERCERA"/>
    <s v="MUJER"/>
    <n v="2"/>
    <x v="4"/>
    <m/>
    <m/>
    <m/>
    <m/>
    <m/>
  </r>
  <r>
    <n v="121"/>
    <n v="0"/>
    <x v="2"/>
    <s v="Hickman, Mr. Stanley George"/>
    <x v="0"/>
    <n v="21"/>
    <n v="2"/>
    <n v="0"/>
    <n v="735"/>
    <n v="0"/>
    <s v="Southampton"/>
    <x v="0"/>
    <s v="SEGUNDA"/>
    <s v="HOMBRE"/>
    <n v="21"/>
    <x v="6"/>
    <m/>
    <m/>
    <m/>
    <m/>
    <m/>
  </r>
  <r>
    <n v="122"/>
    <n v="0"/>
    <x v="0"/>
    <s v="Moore, Mr. Leonard Charles"/>
    <x v="0"/>
    <m/>
    <n v="0"/>
    <n v="0"/>
    <n v="805"/>
    <n v="0"/>
    <s v="Southampton"/>
    <x v="0"/>
    <s v="TERCERA"/>
    <s v="HOMBRE"/>
    <s v=""/>
    <x v="4"/>
    <m/>
    <m/>
    <m/>
    <m/>
    <m/>
  </r>
  <r>
    <n v="123"/>
    <n v="0"/>
    <x v="2"/>
    <s v="Nasser, Mr. Nicholas"/>
    <x v="0"/>
    <n v="325"/>
    <n v="1"/>
    <n v="0"/>
    <n v="300708"/>
    <n v="0"/>
    <s v="Cherburg"/>
    <x v="0"/>
    <s v="SEGUNDA"/>
    <s v="HOMBRE"/>
    <n v="32.5"/>
    <x v="3"/>
    <m/>
    <m/>
    <m/>
    <m/>
    <m/>
  </r>
  <r>
    <n v="124"/>
    <n v="1"/>
    <x v="2"/>
    <s v="Webber, Miss. Susan"/>
    <x v="1"/>
    <n v="325"/>
    <n v="0"/>
    <n v="0"/>
    <n v="13"/>
    <n v="1"/>
    <s v="Southampton"/>
    <x v="1"/>
    <s v="SEGUNDA"/>
    <s v="MUJER"/>
    <n v="32.5"/>
    <x v="3"/>
    <m/>
    <m/>
    <m/>
    <m/>
    <m/>
  </r>
  <r>
    <n v="125"/>
    <n v="0"/>
    <x v="1"/>
    <s v="White, Mr. Percival Wayland"/>
    <x v="0"/>
    <n v="54"/>
    <n v="0"/>
    <n v="1"/>
    <n v="772875"/>
    <n v="1"/>
    <s v="Southampton"/>
    <x v="0"/>
    <s v="PRIMERA"/>
    <s v="HOMBRE"/>
    <n v="54"/>
    <x v="5"/>
    <m/>
    <m/>
    <m/>
    <m/>
    <m/>
  </r>
  <r>
    <n v="126"/>
    <n v="1"/>
    <x v="0"/>
    <s v="Nicola-Yarred, Master. Elias"/>
    <x v="0"/>
    <n v="12"/>
    <n v="1"/>
    <n v="0"/>
    <n v="112417"/>
    <n v="0"/>
    <s v="Cherburg"/>
    <x v="1"/>
    <s v="TERCERA"/>
    <s v="HOMBRE"/>
    <n v="12"/>
    <x v="4"/>
    <m/>
    <m/>
    <m/>
    <m/>
    <m/>
  </r>
  <r>
    <n v="127"/>
    <n v="0"/>
    <x v="0"/>
    <s v="McMahon, Mr. Martin"/>
    <x v="0"/>
    <m/>
    <n v="0"/>
    <n v="0"/>
    <n v="775"/>
    <n v="0"/>
    <s v="Queenstown"/>
    <x v="0"/>
    <s v="TERCERA"/>
    <s v="HOMBRE"/>
    <s v=""/>
    <x v="4"/>
    <m/>
    <m/>
    <m/>
    <m/>
    <m/>
  </r>
  <r>
    <n v="128"/>
    <n v="1"/>
    <x v="0"/>
    <s v="Madsen, Mr. Fridtjof Arne"/>
    <x v="0"/>
    <n v="24"/>
    <n v="0"/>
    <n v="0"/>
    <n v="71417"/>
    <n v="0"/>
    <s v="Southampton"/>
    <x v="1"/>
    <s v="TERCERA"/>
    <s v="HOMBRE"/>
    <n v="24"/>
    <x v="0"/>
    <m/>
    <m/>
    <m/>
    <m/>
    <m/>
  </r>
  <r>
    <n v="129"/>
    <n v="1"/>
    <x v="0"/>
    <s v="Peter, Miss. Anna"/>
    <x v="1"/>
    <m/>
    <n v="1"/>
    <n v="1"/>
    <n v="223583"/>
    <n v="1"/>
    <s v="Cherburg"/>
    <x v="1"/>
    <s v="TERCERA"/>
    <s v="MUJER"/>
    <s v=""/>
    <x v="4"/>
    <m/>
    <m/>
    <m/>
    <m/>
    <m/>
  </r>
  <r>
    <n v="130"/>
    <n v="0"/>
    <x v="0"/>
    <s v="Ekstrom, Mr. Johan"/>
    <x v="0"/>
    <n v="45"/>
    <n v="0"/>
    <n v="0"/>
    <n v="6975"/>
    <n v="0"/>
    <s v="Southampton"/>
    <x v="0"/>
    <s v="TERCERA"/>
    <s v="HOMBRE"/>
    <n v="45"/>
    <x v="9"/>
    <m/>
    <m/>
    <m/>
    <m/>
    <m/>
  </r>
  <r>
    <n v="131"/>
    <n v="0"/>
    <x v="0"/>
    <s v="Drazenoic, Mr. Jozef"/>
    <x v="0"/>
    <n v="33"/>
    <n v="0"/>
    <n v="0"/>
    <n v="78958"/>
    <n v="0"/>
    <s v="Cherburg"/>
    <x v="0"/>
    <s v="TERCERA"/>
    <s v="HOMBRE"/>
    <n v="33"/>
    <x v="3"/>
    <m/>
    <m/>
    <m/>
    <m/>
    <m/>
  </r>
  <r>
    <n v="132"/>
    <n v="0"/>
    <x v="0"/>
    <s v="Coelho, Mr. Domingos Fernandeo"/>
    <x v="0"/>
    <n v="20"/>
    <n v="0"/>
    <n v="0"/>
    <n v="705"/>
    <n v="0"/>
    <s v="Southampton"/>
    <x v="0"/>
    <s v="TERCERA"/>
    <s v="HOMBRE"/>
    <n v="20"/>
    <x v="6"/>
    <m/>
    <m/>
    <m/>
    <m/>
    <m/>
  </r>
  <r>
    <n v="133"/>
    <n v="0"/>
    <x v="0"/>
    <s v="Robins, Mrs. Alexander A (Grace Charity Laury)"/>
    <x v="1"/>
    <n v="47"/>
    <n v="1"/>
    <n v="0"/>
    <n v="145"/>
    <n v="0"/>
    <s v="Southampton"/>
    <x v="0"/>
    <s v="TERCERA"/>
    <s v="MUJER"/>
    <n v="47"/>
    <x v="9"/>
    <m/>
    <m/>
    <m/>
    <m/>
    <m/>
  </r>
  <r>
    <n v="134"/>
    <n v="1"/>
    <x v="2"/>
    <s v="Weisz, Mrs. Leopold (Mathilde Francoise Pede)"/>
    <x v="1"/>
    <n v="29"/>
    <n v="1"/>
    <n v="0"/>
    <n v="26"/>
    <n v="0"/>
    <s v="Southampton"/>
    <x v="1"/>
    <s v="SEGUNDA"/>
    <s v="MUJER"/>
    <n v="29"/>
    <x v="7"/>
    <m/>
    <m/>
    <m/>
    <m/>
    <m/>
  </r>
  <r>
    <n v="135"/>
    <n v="0"/>
    <x v="2"/>
    <s v="Sobey, Mr. Samuel James Hayden"/>
    <x v="0"/>
    <n v="25"/>
    <n v="0"/>
    <n v="0"/>
    <n v="13"/>
    <n v="0"/>
    <s v="Southampton"/>
    <x v="0"/>
    <s v="SEGUNDA"/>
    <s v="HOMBRE"/>
    <n v="25"/>
    <x v="2"/>
    <m/>
    <m/>
    <m/>
    <m/>
    <m/>
  </r>
  <r>
    <n v="136"/>
    <n v="0"/>
    <x v="2"/>
    <s v="Richard, Mr. Emile"/>
    <x v="0"/>
    <n v="23"/>
    <n v="0"/>
    <n v="0"/>
    <n v="150458"/>
    <n v="0"/>
    <s v="Cherburg"/>
    <x v="0"/>
    <s v="SEGUNDA"/>
    <s v="HOMBRE"/>
    <n v="23"/>
    <x v="0"/>
    <m/>
    <m/>
    <m/>
    <m/>
    <m/>
  </r>
  <r>
    <n v="137"/>
    <n v="1"/>
    <x v="1"/>
    <s v="Newsom, Miss. Helen Monypeny"/>
    <x v="1"/>
    <n v="19"/>
    <n v="0"/>
    <n v="2"/>
    <n v="262833"/>
    <n v="1"/>
    <s v="Southampton"/>
    <x v="1"/>
    <s v="PRIMERA"/>
    <s v="MUJER"/>
    <n v="19"/>
    <x v="6"/>
    <m/>
    <m/>
    <m/>
    <m/>
    <m/>
  </r>
  <r>
    <n v="138"/>
    <n v="0"/>
    <x v="1"/>
    <s v="Futrelle, Mr. Jacques Heath"/>
    <x v="0"/>
    <n v="37"/>
    <n v="1"/>
    <n v="0"/>
    <n v="531"/>
    <n v="1"/>
    <s v="Southampton"/>
    <x v="0"/>
    <s v="PRIMERA"/>
    <s v="HOMBRE"/>
    <n v="37"/>
    <x v="1"/>
    <m/>
    <m/>
    <m/>
    <m/>
    <m/>
  </r>
  <r>
    <n v="139"/>
    <n v="0"/>
    <x v="0"/>
    <s v="Osen, Mr. Olaf Elon"/>
    <x v="0"/>
    <n v="16"/>
    <n v="0"/>
    <n v="0"/>
    <n v="92167"/>
    <n v="0"/>
    <s v="Southampton"/>
    <x v="0"/>
    <s v="TERCERA"/>
    <s v="HOMBRE"/>
    <n v="16"/>
    <x v="8"/>
    <m/>
    <m/>
    <m/>
    <m/>
    <m/>
  </r>
  <r>
    <n v="140"/>
    <n v="0"/>
    <x v="1"/>
    <s v="Giglio, Mr. Victor"/>
    <x v="0"/>
    <n v="24"/>
    <n v="0"/>
    <n v="0"/>
    <n v="792"/>
    <n v="1"/>
    <s v="Cherburg"/>
    <x v="0"/>
    <s v="PRIMERA"/>
    <s v="HOMBRE"/>
    <n v="24"/>
    <x v="0"/>
    <m/>
    <m/>
    <m/>
    <m/>
    <m/>
  </r>
  <r>
    <n v="141"/>
    <n v="0"/>
    <x v="0"/>
    <s v="Boulos, Mrs. Joseph (Sultana)"/>
    <x v="1"/>
    <m/>
    <n v="0"/>
    <n v="2"/>
    <n v="152458"/>
    <n v="0"/>
    <s v="Cherburg"/>
    <x v="0"/>
    <s v="TERCERA"/>
    <s v="MUJER"/>
    <s v=""/>
    <x v="4"/>
    <m/>
    <m/>
    <m/>
    <m/>
    <m/>
  </r>
  <r>
    <n v="142"/>
    <n v="1"/>
    <x v="0"/>
    <s v="Nysten, Miss. Anna Sofia"/>
    <x v="1"/>
    <n v="22"/>
    <n v="0"/>
    <n v="0"/>
    <n v="775"/>
    <n v="0"/>
    <s v="Southampton"/>
    <x v="1"/>
    <s v="TERCERA"/>
    <s v="MUJER"/>
    <n v="22"/>
    <x v="0"/>
    <m/>
    <m/>
    <m/>
    <m/>
    <m/>
  </r>
  <r>
    <n v="143"/>
    <n v="1"/>
    <x v="0"/>
    <s v="Hakkarainen, Mrs. Pekka Pietari (Elin Matilda Dolck)"/>
    <x v="1"/>
    <n v="24"/>
    <n v="1"/>
    <n v="0"/>
    <n v="1585"/>
    <n v="0"/>
    <s v="Southampton"/>
    <x v="1"/>
    <s v="TERCERA"/>
    <s v="MUJER"/>
    <n v="24"/>
    <x v="0"/>
    <m/>
    <m/>
    <m/>
    <m/>
    <m/>
  </r>
  <r>
    <n v="144"/>
    <n v="0"/>
    <x v="0"/>
    <s v="Burke, Mr. Jeremiah"/>
    <x v="0"/>
    <n v="19"/>
    <n v="0"/>
    <n v="0"/>
    <n v="675"/>
    <n v="0"/>
    <s v="Queenstown"/>
    <x v="0"/>
    <s v="TERCERA"/>
    <s v="HOMBRE"/>
    <n v="19"/>
    <x v="6"/>
    <m/>
    <m/>
    <m/>
    <m/>
    <m/>
  </r>
  <r>
    <n v="145"/>
    <n v="0"/>
    <x v="2"/>
    <s v="Andrew, Mr. Edgardo Samuel"/>
    <x v="0"/>
    <n v="18"/>
    <n v="0"/>
    <n v="0"/>
    <n v="115"/>
    <n v="0"/>
    <s v="Southampton"/>
    <x v="0"/>
    <s v="SEGUNDA"/>
    <s v="HOMBRE"/>
    <n v="18"/>
    <x v="8"/>
    <m/>
    <m/>
    <m/>
    <m/>
    <m/>
  </r>
  <r>
    <n v="146"/>
    <n v="0"/>
    <x v="2"/>
    <s v="Nicholls, Mr. Joseph Charles"/>
    <x v="0"/>
    <n v="19"/>
    <n v="1"/>
    <n v="1"/>
    <n v="3675"/>
    <n v="0"/>
    <s v="Southampton"/>
    <x v="0"/>
    <s v="SEGUNDA"/>
    <s v="HOMBRE"/>
    <n v="19"/>
    <x v="6"/>
    <m/>
    <m/>
    <m/>
    <m/>
    <m/>
  </r>
  <r>
    <n v="147"/>
    <n v="1"/>
    <x v="0"/>
    <s v="Andersson, Mr. August Edvard (&quot;Wennerstrom&quot;)"/>
    <x v="0"/>
    <n v="27"/>
    <n v="0"/>
    <n v="0"/>
    <n v="77958"/>
    <n v="0"/>
    <s v="Southampton"/>
    <x v="1"/>
    <s v="TERCERA"/>
    <s v="HOMBRE"/>
    <n v="27"/>
    <x v="2"/>
    <m/>
    <m/>
    <m/>
    <m/>
    <m/>
  </r>
  <r>
    <n v="148"/>
    <n v="0"/>
    <x v="0"/>
    <s v="Ford, Miss. Robina Maggie &quot;Ruby&quot;"/>
    <x v="1"/>
    <n v="9"/>
    <n v="2"/>
    <n v="2"/>
    <n v="34375"/>
    <n v="0"/>
    <s v="Southampton"/>
    <x v="0"/>
    <s v="TERCERA"/>
    <s v="MUJER"/>
    <n v="9"/>
    <x v="4"/>
    <m/>
    <m/>
    <m/>
    <m/>
    <m/>
  </r>
  <r>
    <n v="149"/>
    <n v="0"/>
    <x v="2"/>
    <s v="Navratil, Mr. Michel (&quot;Louis M Hoffman&quot;)"/>
    <x v="0"/>
    <n v="365"/>
    <n v="0"/>
    <n v="2"/>
    <n v="26"/>
    <n v="1"/>
    <s v="Southampton"/>
    <x v="0"/>
    <s v="SEGUNDA"/>
    <s v="HOMBRE"/>
    <n v="36.5"/>
    <x v="1"/>
    <m/>
    <m/>
    <m/>
    <m/>
    <m/>
  </r>
  <r>
    <n v="150"/>
    <n v="0"/>
    <x v="2"/>
    <s v="Byles, Rev. Thomas Roussel Davids"/>
    <x v="0"/>
    <n v="42"/>
    <n v="0"/>
    <n v="0"/>
    <n v="13"/>
    <n v="0"/>
    <s v="Southampton"/>
    <x v="0"/>
    <s v="SEGUNDA"/>
    <s v="HOMBRE"/>
    <n v="42"/>
    <x v="9"/>
    <m/>
    <m/>
    <m/>
    <m/>
    <m/>
  </r>
  <r>
    <n v="151"/>
    <n v="0"/>
    <x v="2"/>
    <s v="Bateman, Rev. Robert James"/>
    <x v="0"/>
    <n v="51"/>
    <n v="0"/>
    <n v="0"/>
    <n v="12525"/>
    <n v="0"/>
    <s v="Southampton"/>
    <x v="0"/>
    <s v="SEGUNDA"/>
    <s v="HOMBRE"/>
    <n v="51"/>
    <x v="5"/>
    <m/>
    <m/>
    <m/>
    <m/>
    <m/>
  </r>
  <r>
    <n v="152"/>
    <n v="1"/>
    <x v="1"/>
    <s v="Pears, Mrs. Thomas (Edith Wearne)"/>
    <x v="1"/>
    <n v="22"/>
    <n v="1"/>
    <n v="0"/>
    <n v="666"/>
    <n v="1"/>
    <s v="Southampton"/>
    <x v="1"/>
    <s v="PRIMERA"/>
    <s v="MUJER"/>
    <n v="22"/>
    <x v="0"/>
    <m/>
    <m/>
    <m/>
    <m/>
    <m/>
  </r>
  <r>
    <n v="153"/>
    <n v="0"/>
    <x v="0"/>
    <s v="Meo, Mr. Alfonzo"/>
    <x v="0"/>
    <n v="555"/>
    <n v="0"/>
    <n v="0"/>
    <n v="805"/>
    <n v="0"/>
    <s v="Southampton"/>
    <x v="0"/>
    <s v="TERCERA"/>
    <s v="HOMBRE"/>
    <n v="55.5"/>
    <x v="5"/>
    <m/>
    <m/>
    <m/>
    <m/>
    <m/>
  </r>
  <r>
    <n v="154"/>
    <n v="0"/>
    <x v="0"/>
    <s v="van Billiard, Mr. Austin Blyler"/>
    <x v="0"/>
    <n v="405"/>
    <n v="0"/>
    <n v="2"/>
    <n v="145"/>
    <n v="0"/>
    <s v="Southampton"/>
    <x v="0"/>
    <s v="TERCERA"/>
    <s v="HOMBRE"/>
    <n v="40.5"/>
    <x v="1"/>
    <m/>
    <m/>
    <m/>
    <m/>
    <m/>
  </r>
  <r>
    <n v="155"/>
    <n v="0"/>
    <x v="0"/>
    <s v="Olsen, Mr. Ole Martin"/>
    <x v="0"/>
    <m/>
    <n v="0"/>
    <n v="0"/>
    <n v="73125"/>
    <n v="0"/>
    <s v="Southampton"/>
    <x v="0"/>
    <s v="TERCERA"/>
    <s v="HOMBRE"/>
    <s v=""/>
    <x v="4"/>
    <m/>
    <m/>
    <m/>
    <m/>
    <m/>
  </r>
  <r>
    <n v="156"/>
    <n v="0"/>
    <x v="1"/>
    <s v="Williams, Mr. Charles Duane"/>
    <x v="0"/>
    <n v="51"/>
    <n v="0"/>
    <n v="1"/>
    <n v="613792"/>
    <n v="0"/>
    <s v="Cherburg"/>
    <x v="0"/>
    <s v="PRIMERA"/>
    <s v="HOMBRE"/>
    <n v="51"/>
    <x v="5"/>
    <m/>
    <m/>
    <m/>
    <m/>
    <m/>
  </r>
  <r>
    <n v="157"/>
    <n v="1"/>
    <x v="0"/>
    <s v="Gilnagh, Miss. Katherine &quot;Katie&quot;"/>
    <x v="1"/>
    <n v="16"/>
    <n v="0"/>
    <n v="0"/>
    <n v="77333"/>
    <n v="0"/>
    <s v="Queenstown"/>
    <x v="1"/>
    <s v="TERCERA"/>
    <s v="MUJER"/>
    <n v="16"/>
    <x v="8"/>
    <m/>
    <m/>
    <m/>
    <m/>
    <m/>
  </r>
  <r>
    <n v="158"/>
    <n v="0"/>
    <x v="0"/>
    <s v="Corn, Mr. Harry"/>
    <x v="0"/>
    <n v="30"/>
    <n v="0"/>
    <n v="0"/>
    <n v="805"/>
    <n v="0"/>
    <s v="Southampton"/>
    <x v="0"/>
    <s v="TERCERA"/>
    <s v="HOMBRE"/>
    <n v="30"/>
    <x v="7"/>
    <m/>
    <m/>
    <m/>
    <m/>
    <m/>
  </r>
  <r>
    <n v="159"/>
    <n v="0"/>
    <x v="0"/>
    <s v="Smiljanic, Mr. Mile"/>
    <x v="0"/>
    <m/>
    <n v="0"/>
    <n v="0"/>
    <n v="86625"/>
    <n v="0"/>
    <s v="Southampton"/>
    <x v="0"/>
    <s v="TERCERA"/>
    <s v="HOMBRE"/>
    <s v=""/>
    <x v="4"/>
    <m/>
    <m/>
    <m/>
    <m/>
    <m/>
  </r>
  <r>
    <n v="160"/>
    <n v="0"/>
    <x v="0"/>
    <s v="Sage, Master. Thomas Henry"/>
    <x v="0"/>
    <m/>
    <n v="8"/>
    <n v="2"/>
    <n v="6955"/>
    <n v="0"/>
    <s v="Southampton"/>
    <x v="0"/>
    <s v="TERCERA"/>
    <s v="HOMBRE"/>
    <s v=""/>
    <x v="4"/>
    <m/>
    <m/>
    <m/>
    <m/>
    <m/>
  </r>
  <r>
    <n v="161"/>
    <n v="0"/>
    <x v="0"/>
    <s v="Cribb, Mr. John Hatfield"/>
    <x v="0"/>
    <n v="44"/>
    <n v="0"/>
    <n v="1"/>
    <n v="161"/>
    <n v="0"/>
    <s v="Southampton"/>
    <x v="0"/>
    <s v="TERCERA"/>
    <s v="HOMBRE"/>
    <n v="44"/>
    <x v="9"/>
    <m/>
    <m/>
    <m/>
    <m/>
    <m/>
  </r>
  <r>
    <n v="162"/>
    <n v="1"/>
    <x v="2"/>
    <s v="Watt, Mrs. James (Elizabeth &quot;Bessie&quot; Inglis Milne)"/>
    <x v="1"/>
    <n v="40"/>
    <n v="0"/>
    <n v="0"/>
    <n v="1575"/>
    <n v="0"/>
    <s v="Southampton"/>
    <x v="1"/>
    <s v="SEGUNDA"/>
    <s v="MUJER"/>
    <n v="40"/>
    <x v="1"/>
    <m/>
    <m/>
    <m/>
    <m/>
    <m/>
  </r>
  <r>
    <n v="163"/>
    <n v="0"/>
    <x v="0"/>
    <s v="Bengtsson, Mr. John Viktor"/>
    <x v="0"/>
    <n v="26"/>
    <n v="0"/>
    <n v="0"/>
    <n v="7775"/>
    <n v="0"/>
    <s v="Southampton"/>
    <x v="0"/>
    <s v="TERCERA"/>
    <s v="HOMBRE"/>
    <n v="26"/>
    <x v="2"/>
    <m/>
    <m/>
    <m/>
    <m/>
    <m/>
  </r>
  <r>
    <n v="164"/>
    <n v="0"/>
    <x v="0"/>
    <s v="Calic, Mr. Jovo"/>
    <x v="0"/>
    <n v="17"/>
    <n v="0"/>
    <n v="0"/>
    <n v="86625"/>
    <n v="0"/>
    <s v="Southampton"/>
    <x v="0"/>
    <s v="TERCERA"/>
    <s v="HOMBRE"/>
    <n v="17"/>
    <x v="8"/>
    <m/>
    <m/>
    <m/>
    <m/>
    <m/>
  </r>
  <r>
    <n v="165"/>
    <n v="0"/>
    <x v="0"/>
    <s v="Panula, Master. Eino Viljami"/>
    <x v="0"/>
    <n v="1"/>
    <n v="4"/>
    <n v="1"/>
    <n v="396875"/>
    <n v="0"/>
    <s v="Southampton"/>
    <x v="0"/>
    <s v="TERCERA"/>
    <s v="HOMBRE"/>
    <n v="1"/>
    <x v="4"/>
    <m/>
    <m/>
    <m/>
    <m/>
    <m/>
  </r>
  <r>
    <n v="166"/>
    <n v="1"/>
    <x v="0"/>
    <s v="Goldsmith, Master. Frank John William &quot;Frankie&quot;"/>
    <x v="0"/>
    <n v="9"/>
    <n v="0"/>
    <n v="2"/>
    <n v="20525"/>
    <n v="0"/>
    <s v="Southampton"/>
    <x v="1"/>
    <s v="TERCERA"/>
    <s v="HOMBRE"/>
    <n v="9"/>
    <x v="4"/>
    <m/>
    <m/>
    <m/>
    <m/>
    <m/>
  </r>
  <r>
    <n v="167"/>
    <n v="1"/>
    <x v="1"/>
    <s v="Chibnall, Mrs. (Edith Martha Bowerman)"/>
    <x v="1"/>
    <m/>
    <n v="0"/>
    <n v="1"/>
    <n v="55"/>
    <n v="1"/>
    <s v="Southampton"/>
    <x v="1"/>
    <s v="PRIMERA"/>
    <s v="MUJER"/>
    <s v=""/>
    <x v="4"/>
    <m/>
    <m/>
    <m/>
    <m/>
    <m/>
  </r>
  <r>
    <n v="168"/>
    <n v="0"/>
    <x v="0"/>
    <s v="Skoog, Mrs. William (Anna Bernhardina Karlsson)"/>
    <x v="1"/>
    <n v="45"/>
    <n v="1"/>
    <n v="4"/>
    <n v="279"/>
    <n v="0"/>
    <s v="Southampton"/>
    <x v="0"/>
    <s v="TERCERA"/>
    <s v="MUJER"/>
    <n v="45"/>
    <x v="9"/>
    <m/>
    <m/>
    <m/>
    <m/>
    <m/>
  </r>
  <r>
    <n v="169"/>
    <n v="0"/>
    <x v="1"/>
    <s v="Baumann, Mr. John D"/>
    <x v="0"/>
    <m/>
    <n v="0"/>
    <n v="0"/>
    <n v="25925"/>
    <n v="0"/>
    <s v="Southampton"/>
    <x v="0"/>
    <s v="PRIMERA"/>
    <s v="HOMBRE"/>
    <s v=""/>
    <x v="4"/>
    <m/>
    <m/>
    <m/>
    <m/>
    <m/>
  </r>
  <r>
    <n v="170"/>
    <n v="0"/>
    <x v="0"/>
    <s v="Ling, Mr. Lee"/>
    <x v="0"/>
    <n v="28"/>
    <n v="0"/>
    <n v="0"/>
    <n v="564958"/>
    <n v="0"/>
    <s v="Southampton"/>
    <x v="0"/>
    <s v="TERCERA"/>
    <s v="HOMBRE"/>
    <n v="28"/>
    <x v="2"/>
    <m/>
    <m/>
    <m/>
    <m/>
    <m/>
  </r>
  <r>
    <n v="171"/>
    <n v="0"/>
    <x v="1"/>
    <s v="Van der hoef, Mr. Wyckoff"/>
    <x v="0"/>
    <n v="61"/>
    <n v="0"/>
    <n v="0"/>
    <n v="335"/>
    <n v="1"/>
    <s v="Southampton"/>
    <x v="0"/>
    <s v="PRIMERA"/>
    <s v="HOMBRE"/>
    <n v="61"/>
    <x v="5"/>
    <m/>
    <m/>
    <m/>
    <m/>
    <m/>
  </r>
  <r>
    <n v="172"/>
    <n v="0"/>
    <x v="0"/>
    <s v="Rice, Master. Arthur"/>
    <x v="0"/>
    <n v="4"/>
    <n v="4"/>
    <n v="1"/>
    <n v="29125"/>
    <n v="0"/>
    <s v="Queenstown"/>
    <x v="0"/>
    <s v="TERCERA"/>
    <s v="HOMBRE"/>
    <n v="4"/>
    <x v="4"/>
    <m/>
    <m/>
    <m/>
    <m/>
    <m/>
  </r>
  <r>
    <n v="173"/>
    <n v="1"/>
    <x v="0"/>
    <s v="Johnson, Miss. Eleanor Ileen"/>
    <x v="1"/>
    <n v="1"/>
    <n v="1"/>
    <n v="1"/>
    <n v="111333"/>
    <n v="0"/>
    <s v="Southampton"/>
    <x v="1"/>
    <s v="TERCERA"/>
    <s v="MUJER"/>
    <n v="1"/>
    <x v="4"/>
    <m/>
    <m/>
    <m/>
    <m/>
    <m/>
  </r>
  <r>
    <n v="174"/>
    <n v="0"/>
    <x v="0"/>
    <s v="Sivola, Mr. Antti Wilhelm"/>
    <x v="0"/>
    <n v="21"/>
    <n v="0"/>
    <n v="0"/>
    <n v="7925"/>
    <n v="0"/>
    <s v="Southampton"/>
    <x v="0"/>
    <s v="TERCERA"/>
    <s v="HOMBRE"/>
    <n v="21"/>
    <x v="6"/>
    <m/>
    <m/>
    <m/>
    <m/>
    <m/>
  </r>
  <r>
    <n v="175"/>
    <n v="0"/>
    <x v="1"/>
    <s v="Smith, Mr. James Clinch"/>
    <x v="0"/>
    <n v="56"/>
    <n v="0"/>
    <n v="0"/>
    <n v="306958"/>
    <n v="1"/>
    <s v="Cherburg"/>
    <x v="0"/>
    <s v="PRIMERA"/>
    <s v="HOMBRE"/>
    <n v="56"/>
    <x v="5"/>
    <m/>
    <m/>
    <m/>
    <m/>
    <m/>
  </r>
  <r>
    <n v="176"/>
    <n v="0"/>
    <x v="0"/>
    <s v="Klasen, Mr. Klas Albin"/>
    <x v="0"/>
    <n v="18"/>
    <n v="1"/>
    <n v="1"/>
    <n v="78542"/>
    <n v="0"/>
    <s v="Southampton"/>
    <x v="0"/>
    <s v="TERCERA"/>
    <s v="HOMBRE"/>
    <n v="18"/>
    <x v="8"/>
    <m/>
    <m/>
    <m/>
    <m/>
    <m/>
  </r>
  <r>
    <n v="177"/>
    <n v="0"/>
    <x v="0"/>
    <s v="Lefebre, Master. Henry Forbes"/>
    <x v="0"/>
    <m/>
    <n v="3"/>
    <n v="1"/>
    <n v="254667"/>
    <n v="0"/>
    <s v="Southampton"/>
    <x v="0"/>
    <s v="TERCERA"/>
    <s v="HOMBRE"/>
    <s v=""/>
    <x v="4"/>
    <m/>
    <m/>
    <m/>
    <m/>
    <m/>
  </r>
  <r>
    <n v="178"/>
    <n v="0"/>
    <x v="1"/>
    <s v="Isham, Miss. Ann Elizabeth"/>
    <x v="1"/>
    <n v="50"/>
    <n v="0"/>
    <n v="0"/>
    <n v="287125"/>
    <n v="1"/>
    <s v="Cherburg"/>
    <x v="0"/>
    <s v="PRIMERA"/>
    <s v="MUJER"/>
    <n v="50"/>
    <x v="5"/>
    <m/>
    <m/>
    <m/>
    <m/>
    <m/>
  </r>
  <r>
    <n v="179"/>
    <n v="0"/>
    <x v="2"/>
    <s v="Hale, Mr. Reginald"/>
    <x v="0"/>
    <n v="30"/>
    <n v="0"/>
    <n v="0"/>
    <n v="13"/>
    <n v="0"/>
    <s v="Southampton"/>
    <x v="0"/>
    <s v="SEGUNDA"/>
    <s v="HOMBRE"/>
    <n v="30"/>
    <x v="7"/>
    <m/>
    <m/>
    <m/>
    <m/>
    <m/>
  </r>
  <r>
    <n v="180"/>
    <n v="0"/>
    <x v="0"/>
    <s v="Leonard, Mr. Lionel"/>
    <x v="0"/>
    <n v="36"/>
    <n v="0"/>
    <n v="0"/>
    <n v="0"/>
    <n v="0"/>
    <s v="Southampton"/>
    <x v="0"/>
    <s v="TERCERA"/>
    <s v="HOMBRE"/>
    <n v="36"/>
    <x v="1"/>
    <m/>
    <m/>
    <m/>
    <m/>
    <m/>
  </r>
  <r>
    <n v="181"/>
    <n v="0"/>
    <x v="0"/>
    <s v="Sage, Miss. Constance Gladys"/>
    <x v="1"/>
    <m/>
    <n v="8"/>
    <n v="2"/>
    <n v="6955"/>
    <n v="0"/>
    <s v="Southampton"/>
    <x v="0"/>
    <s v="TERCERA"/>
    <s v="MUJER"/>
    <s v=""/>
    <x v="4"/>
    <m/>
    <m/>
    <m/>
    <m/>
    <m/>
  </r>
  <r>
    <n v="182"/>
    <n v="0"/>
    <x v="2"/>
    <s v="Pernot, Mr. Rene"/>
    <x v="0"/>
    <m/>
    <n v="0"/>
    <n v="0"/>
    <n v="1505"/>
    <n v="0"/>
    <s v="Cherburg"/>
    <x v="0"/>
    <s v="SEGUNDA"/>
    <s v="HOMBRE"/>
    <s v=""/>
    <x v="4"/>
    <m/>
    <m/>
    <m/>
    <m/>
    <m/>
  </r>
  <r>
    <n v="183"/>
    <n v="0"/>
    <x v="0"/>
    <s v="Asplund, Master. Clarence Gustaf Hugo"/>
    <x v="0"/>
    <n v="9"/>
    <n v="4"/>
    <n v="2"/>
    <n v="313875"/>
    <n v="0"/>
    <s v="Southampton"/>
    <x v="0"/>
    <s v="TERCERA"/>
    <s v="HOMBRE"/>
    <n v="9"/>
    <x v="4"/>
    <m/>
    <m/>
    <m/>
    <m/>
    <m/>
  </r>
  <r>
    <n v="184"/>
    <n v="1"/>
    <x v="2"/>
    <s v="Becker, Master. Richard F"/>
    <x v="0"/>
    <n v="1"/>
    <n v="2"/>
    <n v="1"/>
    <n v="39"/>
    <n v="1"/>
    <s v="Southampton"/>
    <x v="1"/>
    <s v="SEGUNDA"/>
    <s v="HOMBRE"/>
    <n v="1"/>
    <x v="4"/>
    <m/>
    <m/>
    <m/>
    <m/>
    <m/>
  </r>
  <r>
    <n v="185"/>
    <n v="1"/>
    <x v="0"/>
    <s v="Kink-Heilmann, Miss. Luise Gretchen"/>
    <x v="1"/>
    <n v="4"/>
    <n v="0"/>
    <n v="2"/>
    <n v="22025"/>
    <n v="0"/>
    <s v="Southampton"/>
    <x v="1"/>
    <s v="TERCERA"/>
    <s v="MUJER"/>
    <n v="4"/>
    <x v="4"/>
    <m/>
    <m/>
    <m/>
    <m/>
    <m/>
  </r>
  <r>
    <n v="186"/>
    <n v="0"/>
    <x v="1"/>
    <s v="Rood, Mr. Hugh Roscoe"/>
    <x v="0"/>
    <m/>
    <n v="0"/>
    <n v="0"/>
    <n v="50"/>
    <n v="1"/>
    <s v="Southampton"/>
    <x v="0"/>
    <s v="PRIMERA"/>
    <s v="HOMBRE"/>
    <s v=""/>
    <x v="4"/>
    <m/>
    <m/>
    <m/>
    <m/>
    <m/>
  </r>
  <r>
    <n v="187"/>
    <n v="1"/>
    <x v="0"/>
    <s v="O'Brien, Mrs. Thomas (Johanna &quot;Hannah&quot; Godfrey)"/>
    <x v="1"/>
    <m/>
    <n v="1"/>
    <n v="0"/>
    <n v="155"/>
    <n v="0"/>
    <s v="Queenstown"/>
    <x v="1"/>
    <s v="TERCERA"/>
    <s v="MUJER"/>
    <s v=""/>
    <x v="4"/>
    <m/>
    <m/>
    <m/>
    <m/>
    <m/>
  </r>
  <r>
    <n v="188"/>
    <n v="1"/>
    <x v="1"/>
    <s v="Romaine, Mr. Charles Hallace (&quot;Mr C Rolmane&quot;)"/>
    <x v="0"/>
    <n v="45"/>
    <n v="0"/>
    <n v="0"/>
    <n v="2655"/>
    <n v="0"/>
    <s v="Southampton"/>
    <x v="1"/>
    <s v="PRIMERA"/>
    <s v="HOMBRE"/>
    <n v="45"/>
    <x v="9"/>
    <m/>
    <m/>
    <m/>
    <m/>
    <m/>
  </r>
  <r>
    <n v="189"/>
    <n v="0"/>
    <x v="0"/>
    <s v="Bourke, Mr. John"/>
    <x v="0"/>
    <n v="40"/>
    <n v="1"/>
    <n v="1"/>
    <n v="155"/>
    <n v="0"/>
    <s v="Queenstown"/>
    <x v="0"/>
    <s v="TERCERA"/>
    <s v="HOMBRE"/>
    <n v="40"/>
    <x v="1"/>
    <m/>
    <m/>
    <m/>
    <m/>
    <m/>
  </r>
  <r>
    <n v="190"/>
    <n v="0"/>
    <x v="0"/>
    <s v="Turcin, Mr. Stjepan"/>
    <x v="0"/>
    <n v="36"/>
    <n v="0"/>
    <n v="0"/>
    <n v="78958"/>
    <n v="0"/>
    <s v="Southampton"/>
    <x v="0"/>
    <s v="TERCERA"/>
    <s v="HOMBRE"/>
    <n v="36"/>
    <x v="1"/>
    <m/>
    <m/>
    <m/>
    <m/>
    <m/>
  </r>
  <r>
    <n v="191"/>
    <n v="1"/>
    <x v="2"/>
    <s v="Pinsky, Mrs. (Rosa)"/>
    <x v="1"/>
    <n v="32"/>
    <n v="0"/>
    <n v="0"/>
    <n v="13"/>
    <n v="0"/>
    <s v="Southampton"/>
    <x v="1"/>
    <s v="SEGUNDA"/>
    <s v="MUJER"/>
    <n v="32"/>
    <x v="3"/>
    <m/>
    <m/>
    <m/>
    <m/>
    <m/>
  </r>
  <r>
    <n v="192"/>
    <n v="0"/>
    <x v="2"/>
    <s v="Carbines, Mr. William"/>
    <x v="0"/>
    <n v="19"/>
    <n v="0"/>
    <n v="0"/>
    <n v="13"/>
    <n v="0"/>
    <s v="Southampton"/>
    <x v="0"/>
    <s v="SEGUNDA"/>
    <s v="HOMBRE"/>
    <n v="19"/>
    <x v="6"/>
    <m/>
    <m/>
    <m/>
    <m/>
    <m/>
  </r>
  <r>
    <n v="193"/>
    <n v="1"/>
    <x v="0"/>
    <s v="Andersen-Jensen, Miss. Carla Christine Nielsine"/>
    <x v="1"/>
    <n v="19"/>
    <n v="1"/>
    <n v="0"/>
    <n v="78542"/>
    <n v="0"/>
    <s v="Southampton"/>
    <x v="1"/>
    <s v="TERCERA"/>
    <s v="MUJER"/>
    <n v="19"/>
    <x v="6"/>
    <m/>
    <m/>
    <m/>
    <m/>
    <m/>
  </r>
  <r>
    <n v="194"/>
    <n v="1"/>
    <x v="2"/>
    <s v="Navratil, Master. Michel M"/>
    <x v="0"/>
    <n v="3"/>
    <n v="1"/>
    <n v="1"/>
    <n v="26"/>
    <n v="1"/>
    <s v="Southampton"/>
    <x v="1"/>
    <s v="SEGUNDA"/>
    <s v="HOMBRE"/>
    <n v="3"/>
    <x v="4"/>
    <m/>
    <m/>
    <m/>
    <m/>
    <m/>
  </r>
  <r>
    <n v="195"/>
    <n v="1"/>
    <x v="1"/>
    <s v="Brown, Mrs. James Joseph (Margaret Tobin)"/>
    <x v="1"/>
    <n v="44"/>
    <n v="0"/>
    <n v="0"/>
    <n v="277208"/>
    <n v="1"/>
    <s v="Cherburg"/>
    <x v="1"/>
    <s v="PRIMERA"/>
    <s v="MUJER"/>
    <n v="44"/>
    <x v="9"/>
    <m/>
    <m/>
    <m/>
    <m/>
    <m/>
  </r>
  <r>
    <n v="196"/>
    <n v="1"/>
    <x v="1"/>
    <s v="Lurette, Miss. Elise"/>
    <x v="1"/>
    <n v="58"/>
    <n v="0"/>
    <n v="0"/>
    <n v="1465208"/>
    <n v="1"/>
    <s v="Cherburg"/>
    <x v="1"/>
    <s v="PRIMERA"/>
    <s v="MUJER"/>
    <n v="58"/>
    <x v="5"/>
    <m/>
    <m/>
    <m/>
    <m/>
    <m/>
  </r>
  <r>
    <n v="197"/>
    <n v="0"/>
    <x v="0"/>
    <s v="Mernagh, Mr. Robert"/>
    <x v="0"/>
    <m/>
    <n v="0"/>
    <n v="0"/>
    <n v="775"/>
    <n v="0"/>
    <s v="Queenstown"/>
    <x v="0"/>
    <s v="TERCERA"/>
    <s v="HOMBRE"/>
    <s v=""/>
    <x v="4"/>
    <m/>
    <m/>
    <m/>
    <m/>
    <m/>
  </r>
  <r>
    <n v="198"/>
    <n v="0"/>
    <x v="0"/>
    <s v="Olsen, Mr. Karl Siegwart Andreas"/>
    <x v="0"/>
    <n v="42"/>
    <n v="0"/>
    <n v="1"/>
    <n v="84042"/>
    <n v="0"/>
    <s v="Southampton"/>
    <x v="0"/>
    <s v="TERCERA"/>
    <s v="HOMBRE"/>
    <n v="42"/>
    <x v="9"/>
    <m/>
    <m/>
    <m/>
    <m/>
    <m/>
  </r>
  <r>
    <n v="199"/>
    <n v="1"/>
    <x v="0"/>
    <s v="Madigan, Miss. Margaret &quot;Maggie&quot;"/>
    <x v="1"/>
    <m/>
    <n v="0"/>
    <n v="0"/>
    <n v="775"/>
    <n v="0"/>
    <s v="Queenstown"/>
    <x v="1"/>
    <s v="TERCERA"/>
    <s v="MUJER"/>
    <s v=""/>
    <x v="4"/>
    <m/>
    <m/>
    <m/>
    <m/>
    <m/>
  </r>
  <r>
    <n v="200"/>
    <n v="0"/>
    <x v="2"/>
    <s v="Yrois, Miss. Henriette (&quot;Mrs Harbeck&quot;)"/>
    <x v="1"/>
    <n v="24"/>
    <n v="0"/>
    <n v="0"/>
    <n v="13"/>
    <n v="0"/>
    <s v="Southampton"/>
    <x v="0"/>
    <s v="SEGUNDA"/>
    <s v="MUJER"/>
    <n v="24"/>
    <x v="0"/>
    <m/>
    <m/>
    <m/>
    <m/>
    <m/>
  </r>
  <r>
    <n v="201"/>
    <n v="0"/>
    <x v="0"/>
    <s v="Vande Walle, Mr. Nestor Cyriel"/>
    <x v="0"/>
    <n v="28"/>
    <n v="0"/>
    <n v="0"/>
    <n v="95"/>
    <n v="0"/>
    <s v="Southampton"/>
    <x v="0"/>
    <s v="TERCERA"/>
    <s v="HOMBRE"/>
    <n v="28"/>
    <x v="2"/>
    <m/>
    <m/>
    <m/>
    <m/>
    <m/>
  </r>
  <r>
    <n v="202"/>
    <n v="0"/>
    <x v="0"/>
    <s v="Sage, Mr. Frederick"/>
    <x v="0"/>
    <m/>
    <n v="8"/>
    <n v="2"/>
    <n v="6955"/>
    <n v="0"/>
    <s v="Southampton"/>
    <x v="0"/>
    <s v="TERCERA"/>
    <s v="HOMBRE"/>
    <s v=""/>
    <x v="4"/>
    <m/>
    <m/>
    <m/>
    <m/>
    <m/>
  </r>
  <r>
    <n v="203"/>
    <n v="0"/>
    <x v="0"/>
    <s v="Johanson, Mr. Jakob Alfred"/>
    <x v="0"/>
    <n v="34"/>
    <n v="0"/>
    <n v="0"/>
    <n v="64958"/>
    <n v="0"/>
    <s v="Southampton"/>
    <x v="0"/>
    <s v="TERCERA"/>
    <s v="HOMBRE"/>
    <n v="34"/>
    <x v="3"/>
    <m/>
    <m/>
    <m/>
    <m/>
    <m/>
  </r>
  <r>
    <n v="204"/>
    <n v="0"/>
    <x v="0"/>
    <s v="Youseff, Mr. Gerious"/>
    <x v="0"/>
    <n v="455"/>
    <n v="0"/>
    <n v="0"/>
    <n v="7225"/>
    <n v="0"/>
    <s v="Cherburg"/>
    <x v="0"/>
    <s v="TERCERA"/>
    <s v="HOMBRE"/>
    <n v="45.5"/>
    <x v="9"/>
    <m/>
    <m/>
    <m/>
    <m/>
    <m/>
  </r>
  <r>
    <n v="205"/>
    <n v="1"/>
    <x v="0"/>
    <s v="Cohen, Mr. Gurshon &quot;Gus&quot;"/>
    <x v="0"/>
    <n v="18"/>
    <n v="0"/>
    <n v="0"/>
    <n v="805"/>
    <n v="0"/>
    <s v="Southampton"/>
    <x v="1"/>
    <s v="TERCERA"/>
    <s v="HOMBRE"/>
    <n v="18"/>
    <x v="8"/>
    <m/>
    <m/>
    <m/>
    <m/>
    <m/>
  </r>
  <r>
    <n v="206"/>
    <n v="0"/>
    <x v="0"/>
    <s v="Strom, Miss. Telma Matilda"/>
    <x v="1"/>
    <n v="2"/>
    <n v="0"/>
    <n v="1"/>
    <n v="104625"/>
    <n v="1"/>
    <s v="Southampton"/>
    <x v="0"/>
    <s v="TERCERA"/>
    <s v="MUJER"/>
    <n v="2"/>
    <x v="4"/>
    <m/>
    <m/>
    <m/>
    <m/>
    <m/>
  </r>
  <r>
    <n v="207"/>
    <n v="0"/>
    <x v="0"/>
    <s v="Backstrom, Mr. Karl Alfred"/>
    <x v="0"/>
    <n v="32"/>
    <n v="1"/>
    <n v="0"/>
    <n v="1585"/>
    <n v="0"/>
    <s v="Southampton"/>
    <x v="0"/>
    <s v="TERCERA"/>
    <s v="HOMBRE"/>
    <n v="32"/>
    <x v="3"/>
    <m/>
    <m/>
    <m/>
    <m/>
    <m/>
  </r>
  <r>
    <n v="208"/>
    <n v="1"/>
    <x v="0"/>
    <s v="Albimona, Mr. Nassef Cassem"/>
    <x v="0"/>
    <n v="26"/>
    <n v="0"/>
    <n v="0"/>
    <n v="187875"/>
    <n v="0"/>
    <s v="Cherburg"/>
    <x v="1"/>
    <s v="TERCERA"/>
    <s v="HOMBRE"/>
    <n v="26"/>
    <x v="2"/>
    <m/>
    <m/>
    <m/>
    <m/>
    <m/>
  </r>
  <r>
    <n v="209"/>
    <n v="1"/>
    <x v="0"/>
    <s v="Carr, Miss. Helen &quot;Ellen&quot;"/>
    <x v="1"/>
    <n v="16"/>
    <n v="0"/>
    <n v="0"/>
    <n v="775"/>
    <n v="0"/>
    <s v="Queenstown"/>
    <x v="1"/>
    <s v="TERCERA"/>
    <s v="MUJER"/>
    <n v="16"/>
    <x v="8"/>
    <m/>
    <m/>
    <m/>
    <m/>
    <m/>
  </r>
  <r>
    <n v="210"/>
    <n v="1"/>
    <x v="1"/>
    <s v="Blank, Mr. Henry"/>
    <x v="0"/>
    <n v="40"/>
    <n v="0"/>
    <n v="0"/>
    <n v="31"/>
    <n v="1"/>
    <s v="Cherburg"/>
    <x v="1"/>
    <s v="PRIMERA"/>
    <s v="HOMBRE"/>
    <n v="40"/>
    <x v="1"/>
    <m/>
    <m/>
    <m/>
    <m/>
    <m/>
  </r>
  <r>
    <n v="211"/>
    <n v="0"/>
    <x v="0"/>
    <s v="Ali, Mr. Ahmed"/>
    <x v="0"/>
    <n v="24"/>
    <n v="0"/>
    <n v="0"/>
    <n v="705"/>
    <n v="0"/>
    <s v="Southampton"/>
    <x v="0"/>
    <s v="TERCERA"/>
    <s v="HOMBRE"/>
    <n v="24"/>
    <x v="0"/>
    <m/>
    <m/>
    <m/>
    <m/>
    <m/>
  </r>
  <r>
    <n v="212"/>
    <n v="1"/>
    <x v="2"/>
    <s v="Cameron, Miss. Clear Annie"/>
    <x v="1"/>
    <n v="35"/>
    <n v="0"/>
    <n v="0"/>
    <n v="21"/>
    <n v="0"/>
    <s v="Southampton"/>
    <x v="1"/>
    <s v="SEGUNDA"/>
    <s v="MUJER"/>
    <n v="35"/>
    <x v="3"/>
    <m/>
    <m/>
    <m/>
    <m/>
    <m/>
  </r>
  <r>
    <n v="213"/>
    <n v="0"/>
    <x v="0"/>
    <s v="Perkin, Mr. John Henry"/>
    <x v="0"/>
    <n v="22"/>
    <n v="0"/>
    <n v="0"/>
    <n v="725"/>
    <n v="0"/>
    <s v="Southampton"/>
    <x v="0"/>
    <s v="TERCERA"/>
    <s v="HOMBRE"/>
    <n v="22"/>
    <x v="0"/>
    <m/>
    <m/>
    <m/>
    <m/>
    <m/>
  </r>
  <r>
    <n v="214"/>
    <n v="0"/>
    <x v="2"/>
    <s v="Givard, Mr. Hans Kristensen"/>
    <x v="0"/>
    <n v="30"/>
    <n v="0"/>
    <n v="0"/>
    <n v="13"/>
    <n v="0"/>
    <s v="Southampton"/>
    <x v="0"/>
    <s v="SEGUNDA"/>
    <s v="HOMBRE"/>
    <n v="30"/>
    <x v="7"/>
    <m/>
    <m/>
    <m/>
    <m/>
    <m/>
  </r>
  <r>
    <n v="215"/>
    <n v="0"/>
    <x v="0"/>
    <s v="Kiernan, Mr. Philip"/>
    <x v="0"/>
    <m/>
    <n v="1"/>
    <n v="0"/>
    <n v="775"/>
    <n v="0"/>
    <s v="Queenstown"/>
    <x v="0"/>
    <s v="TERCERA"/>
    <s v="HOMBRE"/>
    <s v=""/>
    <x v="4"/>
    <m/>
    <m/>
    <m/>
    <m/>
    <m/>
  </r>
  <r>
    <n v="216"/>
    <n v="1"/>
    <x v="1"/>
    <s v="Newell, Miss. Madeleine"/>
    <x v="1"/>
    <n v="31"/>
    <n v="1"/>
    <n v="0"/>
    <n v="113275"/>
    <n v="1"/>
    <s v="Cherburg"/>
    <x v="1"/>
    <s v="PRIMERA"/>
    <s v="MUJER"/>
    <n v="31"/>
    <x v="7"/>
    <m/>
    <m/>
    <m/>
    <m/>
    <m/>
  </r>
  <r>
    <n v="217"/>
    <n v="1"/>
    <x v="0"/>
    <s v="Honkanen, Miss. Eliina"/>
    <x v="1"/>
    <n v="27"/>
    <n v="0"/>
    <n v="0"/>
    <n v="7925"/>
    <n v="0"/>
    <s v="Southampton"/>
    <x v="1"/>
    <s v="TERCERA"/>
    <s v="MUJER"/>
    <n v="27"/>
    <x v="2"/>
    <m/>
    <m/>
    <m/>
    <m/>
    <m/>
  </r>
  <r>
    <n v="218"/>
    <n v="0"/>
    <x v="2"/>
    <s v="Jacobsohn, Mr. Sidney Samuel"/>
    <x v="0"/>
    <n v="42"/>
    <n v="1"/>
    <n v="0"/>
    <n v="27"/>
    <n v="0"/>
    <s v="Southampton"/>
    <x v="0"/>
    <s v="SEGUNDA"/>
    <s v="HOMBRE"/>
    <n v="42"/>
    <x v="9"/>
    <m/>
    <m/>
    <m/>
    <m/>
    <m/>
  </r>
  <r>
    <n v="219"/>
    <n v="1"/>
    <x v="1"/>
    <s v="Bazzani, Miss. Albina"/>
    <x v="1"/>
    <n v="32"/>
    <n v="0"/>
    <n v="0"/>
    <n v="762917"/>
    <n v="1"/>
    <s v="Cherburg"/>
    <x v="1"/>
    <s v="PRIMERA"/>
    <s v="MUJER"/>
    <n v="32"/>
    <x v="3"/>
    <m/>
    <m/>
    <m/>
    <m/>
    <m/>
  </r>
  <r>
    <n v="220"/>
    <n v="0"/>
    <x v="2"/>
    <s v="Harris, Mr. Walter"/>
    <x v="0"/>
    <n v="30"/>
    <n v="0"/>
    <n v="0"/>
    <n v="105"/>
    <n v="0"/>
    <s v="Southampton"/>
    <x v="0"/>
    <s v="SEGUNDA"/>
    <s v="HOMBRE"/>
    <n v="30"/>
    <x v="7"/>
    <m/>
    <m/>
    <m/>
    <m/>
    <m/>
  </r>
  <r>
    <n v="221"/>
    <n v="1"/>
    <x v="0"/>
    <s v="Sunderland, Mr. Victor Francis"/>
    <x v="0"/>
    <n v="16"/>
    <n v="0"/>
    <n v="0"/>
    <n v="805"/>
    <n v="0"/>
    <s v="Southampton"/>
    <x v="1"/>
    <s v="TERCERA"/>
    <s v="HOMBRE"/>
    <n v="16"/>
    <x v="8"/>
    <m/>
    <m/>
    <m/>
    <m/>
    <m/>
  </r>
  <r>
    <n v="222"/>
    <n v="0"/>
    <x v="2"/>
    <s v="Bracken, Mr. James H"/>
    <x v="0"/>
    <n v="27"/>
    <n v="0"/>
    <n v="0"/>
    <n v="13"/>
    <n v="0"/>
    <s v="Southampton"/>
    <x v="0"/>
    <s v="SEGUNDA"/>
    <s v="HOMBRE"/>
    <n v="27"/>
    <x v="2"/>
    <m/>
    <m/>
    <m/>
    <m/>
    <m/>
  </r>
  <r>
    <n v="223"/>
    <n v="0"/>
    <x v="0"/>
    <s v="Green, Mr. George Henry"/>
    <x v="0"/>
    <n v="51"/>
    <n v="0"/>
    <n v="0"/>
    <n v="805"/>
    <n v="0"/>
    <s v="Southampton"/>
    <x v="0"/>
    <s v="TERCERA"/>
    <s v="HOMBRE"/>
    <n v="51"/>
    <x v="5"/>
    <m/>
    <m/>
    <m/>
    <m/>
    <m/>
  </r>
  <r>
    <n v="224"/>
    <n v="0"/>
    <x v="0"/>
    <s v="Nenkoff, Mr. Christo"/>
    <x v="0"/>
    <m/>
    <n v="0"/>
    <n v="0"/>
    <n v="78958"/>
    <n v="0"/>
    <s v="Southampton"/>
    <x v="0"/>
    <s v="TERCERA"/>
    <s v="HOMBRE"/>
    <s v=""/>
    <x v="4"/>
    <m/>
    <m/>
    <m/>
    <m/>
    <m/>
  </r>
  <r>
    <n v="225"/>
    <n v="1"/>
    <x v="1"/>
    <s v="Hoyt, Mr. Frederick Maxfield"/>
    <x v="0"/>
    <n v="38"/>
    <n v="1"/>
    <n v="0"/>
    <n v="90"/>
    <n v="1"/>
    <s v="Southampton"/>
    <x v="1"/>
    <s v="PRIMERA"/>
    <s v="HOMBRE"/>
    <n v="38"/>
    <x v="1"/>
    <m/>
    <m/>
    <m/>
    <m/>
    <m/>
  </r>
  <r>
    <n v="226"/>
    <n v="0"/>
    <x v="0"/>
    <s v="Berglund, Mr. Karl Ivar Sven"/>
    <x v="0"/>
    <n v="22"/>
    <n v="0"/>
    <n v="0"/>
    <n v="935"/>
    <n v="0"/>
    <s v="Southampton"/>
    <x v="0"/>
    <s v="TERCERA"/>
    <s v="HOMBRE"/>
    <n v="22"/>
    <x v="0"/>
    <m/>
    <m/>
    <m/>
    <m/>
    <m/>
  </r>
  <r>
    <n v="227"/>
    <n v="1"/>
    <x v="2"/>
    <s v="Mellors, Mr. William John"/>
    <x v="0"/>
    <n v="19"/>
    <n v="0"/>
    <n v="0"/>
    <n v="105"/>
    <n v="0"/>
    <s v="Southampton"/>
    <x v="1"/>
    <s v="SEGUNDA"/>
    <s v="HOMBRE"/>
    <n v="19"/>
    <x v="6"/>
    <m/>
    <m/>
    <m/>
    <m/>
    <m/>
  </r>
  <r>
    <n v="228"/>
    <n v="0"/>
    <x v="0"/>
    <s v="Lovell, Mr. John Hall (&quot;Henry&quot;)"/>
    <x v="0"/>
    <n v="205"/>
    <n v="0"/>
    <n v="0"/>
    <n v="725"/>
    <n v="0"/>
    <s v="Southampton"/>
    <x v="0"/>
    <s v="TERCERA"/>
    <s v="HOMBRE"/>
    <n v="20.5"/>
    <x v="6"/>
    <m/>
    <m/>
    <m/>
    <m/>
    <m/>
  </r>
  <r>
    <n v="229"/>
    <n v="0"/>
    <x v="2"/>
    <s v="Fahlstrom, Mr. Arne Jonas"/>
    <x v="0"/>
    <n v="18"/>
    <n v="0"/>
    <n v="0"/>
    <n v="13"/>
    <n v="0"/>
    <s v="Southampton"/>
    <x v="0"/>
    <s v="SEGUNDA"/>
    <s v="HOMBRE"/>
    <n v="18"/>
    <x v="8"/>
    <m/>
    <m/>
    <m/>
    <m/>
    <m/>
  </r>
  <r>
    <n v="230"/>
    <n v="0"/>
    <x v="0"/>
    <s v="Lefebre, Miss. Mathilde"/>
    <x v="1"/>
    <m/>
    <n v="3"/>
    <n v="1"/>
    <n v="254667"/>
    <n v="0"/>
    <s v="Southampton"/>
    <x v="0"/>
    <s v="TERCERA"/>
    <s v="MUJER"/>
    <s v=""/>
    <x v="4"/>
    <m/>
    <m/>
    <m/>
    <m/>
    <m/>
  </r>
  <r>
    <n v="231"/>
    <n v="1"/>
    <x v="1"/>
    <s v="Harris, Mrs. Henry Birkhardt (Irene Wallach)"/>
    <x v="1"/>
    <n v="35"/>
    <n v="1"/>
    <n v="0"/>
    <n v="83475"/>
    <n v="1"/>
    <s v="Southampton"/>
    <x v="1"/>
    <s v="PRIMERA"/>
    <s v="MUJER"/>
    <n v="35"/>
    <x v="3"/>
    <m/>
    <m/>
    <m/>
    <m/>
    <m/>
  </r>
  <r>
    <n v="232"/>
    <n v="0"/>
    <x v="0"/>
    <s v="Larsson, Mr. Bengt Edvin"/>
    <x v="0"/>
    <n v="29"/>
    <n v="0"/>
    <n v="0"/>
    <n v="7775"/>
    <n v="0"/>
    <s v="Southampton"/>
    <x v="0"/>
    <s v="TERCERA"/>
    <s v="HOMBRE"/>
    <n v="29"/>
    <x v="7"/>
    <m/>
    <m/>
    <m/>
    <m/>
    <m/>
  </r>
  <r>
    <n v="233"/>
    <n v="0"/>
    <x v="2"/>
    <s v="Sjostedt, Mr. Ernst Adolf"/>
    <x v="0"/>
    <n v="59"/>
    <n v="0"/>
    <n v="0"/>
    <n v="135"/>
    <n v="0"/>
    <s v="Southampton"/>
    <x v="0"/>
    <s v="SEGUNDA"/>
    <s v="HOMBRE"/>
    <n v="59"/>
    <x v="5"/>
    <m/>
    <m/>
    <m/>
    <m/>
    <m/>
  </r>
  <r>
    <n v="234"/>
    <n v="1"/>
    <x v="0"/>
    <s v="Asplund, Miss. Lillian Gertrud"/>
    <x v="1"/>
    <n v="5"/>
    <n v="4"/>
    <n v="2"/>
    <n v="313875"/>
    <n v="0"/>
    <s v="Southampton"/>
    <x v="1"/>
    <s v="TERCERA"/>
    <s v="MUJER"/>
    <n v="5"/>
    <x v="4"/>
    <m/>
    <m/>
    <m/>
    <m/>
    <m/>
  </r>
  <r>
    <n v="235"/>
    <n v="0"/>
    <x v="2"/>
    <s v="Leyson, Mr. Robert William Norman"/>
    <x v="0"/>
    <n v="24"/>
    <n v="0"/>
    <n v="0"/>
    <n v="105"/>
    <n v="0"/>
    <s v="Southampton"/>
    <x v="0"/>
    <s v="SEGUNDA"/>
    <s v="HOMBRE"/>
    <n v="24"/>
    <x v="0"/>
    <m/>
    <m/>
    <m/>
    <m/>
    <m/>
  </r>
  <r>
    <n v="236"/>
    <n v="0"/>
    <x v="0"/>
    <s v="Harknett, Miss. Alice Phoebe"/>
    <x v="1"/>
    <m/>
    <n v="0"/>
    <n v="0"/>
    <n v="755"/>
    <n v="0"/>
    <s v="Southampton"/>
    <x v="0"/>
    <s v="TERCERA"/>
    <s v="MUJER"/>
    <s v=""/>
    <x v="4"/>
    <m/>
    <m/>
    <m/>
    <m/>
    <m/>
  </r>
  <r>
    <n v="237"/>
    <n v="0"/>
    <x v="2"/>
    <s v="Hold, Mr. Stephen"/>
    <x v="0"/>
    <n v="44"/>
    <n v="1"/>
    <n v="0"/>
    <n v="26"/>
    <n v="0"/>
    <s v="Southampton"/>
    <x v="0"/>
    <s v="SEGUNDA"/>
    <s v="HOMBRE"/>
    <n v="44"/>
    <x v="9"/>
    <m/>
    <m/>
    <m/>
    <m/>
    <m/>
  </r>
  <r>
    <n v="238"/>
    <n v="1"/>
    <x v="2"/>
    <s v="Collyer, Miss. Marjorie &quot;Lottie&quot;"/>
    <x v="1"/>
    <n v="8"/>
    <n v="0"/>
    <n v="2"/>
    <n v="2625"/>
    <n v="0"/>
    <s v="Southampton"/>
    <x v="1"/>
    <s v="SEGUNDA"/>
    <s v="MUJER"/>
    <n v="8"/>
    <x v="4"/>
    <m/>
    <m/>
    <m/>
    <m/>
    <m/>
  </r>
  <r>
    <n v="239"/>
    <n v="0"/>
    <x v="2"/>
    <s v="Pengelly, Mr. Frederick William"/>
    <x v="0"/>
    <n v="19"/>
    <n v="0"/>
    <n v="0"/>
    <n v="105"/>
    <n v="0"/>
    <s v="Southampton"/>
    <x v="0"/>
    <s v="SEGUNDA"/>
    <s v="HOMBRE"/>
    <n v="19"/>
    <x v="6"/>
    <m/>
    <m/>
    <m/>
    <m/>
    <m/>
  </r>
  <r>
    <n v="240"/>
    <n v="0"/>
    <x v="2"/>
    <s v="Hunt, Mr. George Henry"/>
    <x v="0"/>
    <n v="33"/>
    <n v="0"/>
    <n v="0"/>
    <n v="12275"/>
    <n v="0"/>
    <s v="Southampton"/>
    <x v="0"/>
    <s v="SEGUNDA"/>
    <s v="HOMBRE"/>
    <n v="33"/>
    <x v="3"/>
    <m/>
    <m/>
    <m/>
    <m/>
    <m/>
  </r>
  <r>
    <n v="241"/>
    <n v="0"/>
    <x v="0"/>
    <s v="Zabour, Miss. Thamine"/>
    <x v="1"/>
    <m/>
    <n v="1"/>
    <n v="0"/>
    <n v="144542"/>
    <n v="0"/>
    <s v="Cherburg"/>
    <x v="0"/>
    <s v="TERCERA"/>
    <s v="MUJER"/>
    <s v=""/>
    <x v="4"/>
    <m/>
    <m/>
    <m/>
    <m/>
    <m/>
  </r>
  <r>
    <n v="242"/>
    <n v="1"/>
    <x v="0"/>
    <s v="Murphy, Miss. Katherine &quot;Kate&quot;"/>
    <x v="1"/>
    <m/>
    <n v="1"/>
    <n v="0"/>
    <n v="155"/>
    <n v="0"/>
    <s v="Queenstown"/>
    <x v="1"/>
    <s v="TERCERA"/>
    <s v="MUJER"/>
    <s v=""/>
    <x v="4"/>
    <m/>
    <m/>
    <m/>
    <m/>
    <m/>
  </r>
  <r>
    <n v="243"/>
    <n v="0"/>
    <x v="2"/>
    <s v="Coleridge, Mr. Reginald Charles"/>
    <x v="0"/>
    <n v="29"/>
    <n v="0"/>
    <n v="0"/>
    <n v="105"/>
    <n v="0"/>
    <s v="Southampton"/>
    <x v="0"/>
    <s v="SEGUNDA"/>
    <s v="HOMBRE"/>
    <n v="29"/>
    <x v="7"/>
    <m/>
    <m/>
    <m/>
    <m/>
    <m/>
  </r>
  <r>
    <n v="244"/>
    <n v="0"/>
    <x v="0"/>
    <s v="Maenpaa, Mr. Matti Alexanteri"/>
    <x v="0"/>
    <n v="22"/>
    <n v="0"/>
    <n v="0"/>
    <n v="7125"/>
    <n v="0"/>
    <s v="Southampton"/>
    <x v="0"/>
    <s v="TERCERA"/>
    <s v="HOMBRE"/>
    <n v="22"/>
    <x v="0"/>
    <m/>
    <m/>
    <m/>
    <m/>
    <m/>
  </r>
  <r>
    <n v="245"/>
    <n v="0"/>
    <x v="0"/>
    <s v="Attalah, Mr. Sleiman"/>
    <x v="0"/>
    <n v="30"/>
    <n v="0"/>
    <n v="0"/>
    <n v="7225"/>
    <n v="0"/>
    <s v="Cherburg"/>
    <x v="0"/>
    <s v="TERCERA"/>
    <s v="HOMBRE"/>
    <n v="30"/>
    <x v="7"/>
    <m/>
    <m/>
    <m/>
    <m/>
    <m/>
  </r>
  <r>
    <n v="246"/>
    <n v="0"/>
    <x v="1"/>
    <s v="Minahan, Dr. William Edward"/>
    <x v="0"/>
    <n v="44"/>
    <n v="2"/>
    <n v="0"/>
    <n v="90"/>
    <n v="1"/>
    <s v="Queenstown"/>
    <x v="0"/>
    <s v="PRIMERA"/>
    <s v="HOMBRE"/>
    <n v="44"/>
    <x v="9"/>
    <m/>
    <m/>
    <m/>
    <m/>
    <m/>
  </r>
  <r>
    <n v="247"/>
    <n v="0"/>
    <x v="0"/>
    <s v="Lindahl, Miss. Agda Thorilda Viktoria"/>
    <x v="1"/>
    <n v="25"/>
    <n v="0"/>
    <n v="0"/>
    <n v="7775"/>
    <n v="0"/>
    <s v="Southampton"/>
    <x v="0"/>
    <s v="TERCERA"/>
    <s v="MUJER"/>
    <n v="25"/>
    <x v="2"/>
    <m/>
    <m/>
    <m/>
    <m/>
    <m/>
  </r>
  <r>
    <n v="248"/>
    <n v="1"/>
    <x v="2"/>
    <s v="Hamalainen, Mrs. William (Anna)"/>
    <x v="1"/>
    <n v="24"/>
    <n v="0"/>
    <n v="2"/>
    <n v="145"/>
    <n v="0"/>
    <s v="Southampton"/>
    <x v="1"/>
    <s v="SEGUNDA"/>
    <s v="MUJER"/>
    <n v="24"/>
    <x v="0"/>
    <m/>
    <m/>
    <m/>
    <m/>
    <m/>
  </r>
  <r>
    <n v="249"/>
    <n v="1"/>
    <x v="1"/>
    <s v="Beckwith, Mr. Richard Leonard"/>
    <x v="0"/>
    <n v="37"/>
    <n v="1"/>
    <n v="1"/>
    <n v="525542"/>
    <n v="1"/>
    <s v="Southampton"/>
    <x v="1"/>
    <s v="PRIMERA"/>
    <s v="HOMBRE"/>
    <n v="37"/>
    <x v="1"/>
    <m/>
    <m/>
    <m/>
    <m/>
    <m/>
  </r>
  <r>
    <n v="250"/>
    <n v="0"/>
    <x v="2"/>
    <s v="Carter, Rev. Ernest Courtenay"/>
    <x v="0"/>
    <n v="54"/>
    <n v="1"/>
    <n v="0"/>
    <n v="26"/>
    <n v="0"/>
    <s v="Southampton"/>
    <x v="0"/>
    <s v="SEGUNDA"/>
    <s v="HOMBRE"/>
    <n v="54"/>
    <x v="5"/>
    <m/>
    <m/>
    <m/>
    <m/>
    <m/>
  </r>
  <r>
    <n v="251"/>
    <n v="0"/>
    <x v="0"/>
    <s v="Reed, Mr. James George"/>
    <x v="0"/>
    <m/>
    <n v="0"/>
    <n v="0"/>
    <n v="725"/>
    <n v="0"/>
    <s v="Southampton"/>
    <x v="0"/>
    <s v="TERCERA"/>
    <s v="HOMBRE"/>
    <s v=""/>
    <x v="4"/>
    <m/>
    <m/>
    <m/>
    <m/>
    <m/>
  </r>
  <r>
    <n v="252"/>
    <n v="0"/>
    <x v="0"/>
    <s v="Strom, Mrs. Wilhelm (Elna Matilda Persson)"/>
    <x v="1"/>
    <n v="29"/>
    <n v="1"/>
    <n v="1"/>
    <n v="104625"/>
    <n v="1"/>
    <s v="Southampton"/>
    <x v="0"/>
    <s v="TERCERA"/>
    <s v="MUJER"/>
    <n v="29"/>
    <x v="7"/>
    <m/>
    <m/>
    <m/>
    <m/>
    <m/>
  </r>
  <r>
    <n v="253"/>
    <n v="0"/>
    <x v="1"/>
    <s v="Stead, Mr. William Thomas"/>
    <x v="0"/>
    <n v="62"/>
    <n v="0"/>
    <n v="0"/>
    <n v="2655"/>
    <n v="1"/>
    <s v="Southampton"/>
    <x v="0"/>
    <s v="PRIMERA"/>
    <s v="HOMBRE"/>
    <n v="62"/>
    <x v="5"/>
    <m/>
    <m/>
    <m/>
    <m/>
    <m/>
  </r>
  <r>
    <n v="254"/>
    <n v="0"/>
    <x v="0"/>
    <s v="Lobb, Mr. William Arthur"/>
    <x v="0"/>
    <n v="30"/>
    <n v="1"/>
    <n v="0"/>
    <n v="161"/>
    <n v="0"/>
    <s v="Southampton"/>
    <x v="0"/>
    <s v="TERCERA"/>
    <s v="HOMBRE"/>
    <n v="30"/>
    <x v="7"/>
    <m/>
    <m/>
    <m/>
    <m/>
    <m/>
  </r>
  <r>
    <n v="255"/>
    <n v="0"/>
    <x v="0"/>
    <s v="Rosblom, Mrs. Viktor (Helena Wilhelmina)"/>
    <x v="1"/>
    <n v="41"/>
    <n v="0"/>
    <n v="2"/>
    <n v="202125"/>
    <n v="0"/>
    <s v="Southampton"/>
    <x v="0"/>
    <s v="TERCERA"/>
    <s v="MUJER"/>
    <n v="41"/>
    <x v="1"/>
    <m/>
    <m/>
    <m/>
    <m/>
    <m/>
  </r>
  <r>
    <n v="256"/>
    <n v="1"/>
    <x v="0"/>
    <s v="Touma, Mrs. Darwis (Hanne Youssef Razi)"/>
    <x v="1"/>
    <n v="29"/>
    <n v="0"/>
    <n v="2"/>
    <n v="152458"/>
    <n v="0"/>
    <s v="Cherburg"/>
    <x v="1"/>
    <s v="TERCERA"/>
    <s v="MUJER"/>
    <n v="29"/>
    <x v="7"/>
    <m/>
    <m/>
    <m/>
    <m/>
    <m/>
  </r>
  <r>
    <n v="257"/>
    <n v="1"/>
    <x v="1"/>
    <s v="Thorne, Mrs. Gertrude Maybelle"/>
    <x v="1"/>
    <m/>
    <n v="0"/>
    <n v="0"/>
    <n v="792"/>
    <n v="0"/>
    <s v="Cherburg"/>
    <x v="1"/>
    <s v="PRIMERA"/>
    <s v="MUJER"/>
    <s v=""/>
    <x v="4"/>
    <m/>
    <m/>
    <m/>
    <m/>
    <m/>
  </r>
  <r>
    <n v="258"/>
    <n v="1"/>
    <x v="1"/>
    <s v="Cherry, Miss. Gladys"/>
    <x v="1"/>
    <n v="30"/>
    <n v="0"/>
    <n v="0"/>
    <n v="865"/>
    <n v="1"/>
    <s v="Southampton"/>
    <x v="1"/>
    <s v="PRIMERA"/>
    <s v="MUJER"/>
    <n v="30"/>
    <x v="7"/>
    <m/>
    <m/>
    <m/>
    <m/>
    <m/>
  </r>
  <r>
    <n v="259"/>
    <n v="1"/>
    <x v="1"/>
    <s v="Ward, Miss. Anna"/>
    <x v="1"/>
    <n v="35"/>
    <n v="0"/>
    <n v="0"/>
    <n v="5123292"/>
    <n v="0"/>
    <s v="Cherburg"/>
    <x v="1"/>
    <s v="PRIMERA"/>
    <s v="MUJER"/>
    <n v="35"/>
    <x v="3"/>
    <m/>
    <m/>
    <m/>
    <m/>
    <m/>
  </r>
  <r>
    <n v="260"/>
    <n v="1"/>
    <x v="2"/>
    <s v="Parrish, Mrs. (Lutie Davis)"/>
    <x v="1"/>
    <n v="50"/>
    <n v="0"/>
    <n v="1"/>
    <n v="26"/>
    <n v="0"/>
    <s v="Southampton"/>
    <x v="1"/>
    <s v="SEGUNDA"/>
    <s v="MUJER"/>
    <n v="50"/>
    <x v="5"/>
    <m/>
    <m/>
    <m/>
    <m/>
    <m/>
  </r>
  <r>
    <n v="261"/>
    <n v="0"/>
    <x v="0"/>
    <s v="Smith, Mr. Thomas"/>
    <x v="0"/>
    <m/>
    <n v="0"/>
    <n v="0"/>
    <n v="775"/>
    <n v="0"/>
    <s v="Queenstown"/>
    <x v="0"/>
    <s v="TERCERA"/>
    <s v="HOMBRE"/>
    <s v=""/>
    <x v="4"/>
    <m/>
    <m/>
    <m/>
    <m/>
    <m/>
  </r>
  <r>
    <n v="262"/>
    <n v="1"/>
    <x v="0"/>
    <s v="Asplund, Master. Edvin Rojj Felix"/>
    <x v="0"/>
    <n v="3"/>
    <n v="4"/>
    <n v="2"/>
    <n v="313875"/>
    <n v="0"/>
    <s v="Southampton"/>
    <x v="1"/>
    <s v="TERCERA"/>
    <s v="HOMBRE"/>
    <n v="3"/>
    <x v="4"/>
    <m/>
    <m/>
    <m/>
    <m/>
    <m/>
  </r>
  <r>
    <n v="263"/>
    <n v="0"/>
    <x v="1"/>
    <s v="Taussig, Mr. Emil"/>
    <x v="0"/>
    <n v="52"/>
    <n v="1"/>
    <n v="1"/>
    <n v="7965"/>
    <n v="1"/>
    <s v="Southampton"/>
    <x v="0"/>
    <s v="PRIMERA"/>
    <s v="HOMBRE"/>
    <n v="52"/>
    <x v="5"/>
    <m/>
    <m/>
    <m/>
    <m/>
    <m/>
  </r>
  <r>
    <n v="264"/>
    <n v="0"/>
    <x v="1"/>
    <s v="Harrison, Mr. William"/>
    <x v="0"/>
    <n v="40"/>
    <n v="0"/>
    <n v="0"/>
    <n v="0"/>
    <n v="1"/>
    <s v="Southampton"/>
    <x v="0"/>
    <s v="PRIMERA"/>
    <s v="HOMBRE"/>
    <n v="40"/>
    <x v="1"/>
    <m/>
    <m/>
    <m/>
    <m/>
    <m/>
  </r>
  <r>
    <n v="265"/>
    <n v="0"/>
    <x v="0"/>
    <s v="Henry, Miss. Delia"/>
    <x v="1"/>
    <m/>
    <n v="0"/>
    <n v="0"/>
    <n v="775"/>
    <n v="0"/>
    <s v="Queenstown"/>
    <x v="0"/>
    <s v="TERCERA"/>
    <s v="MUJER"/>
    <s v=""/>
    <x v="4"/>
    <m/>
    <m/>
    <m/>
    <m/>
    <m/>
  </r>
  <r>
    <n v="266"/>
    <n v="0"/>
    <x v="2"/>
    <s v="Reeves, Mr. David"/>
    <x v="0"/>
    <n v="36"/>
    <n v="0"/>
    <n v="0"/>
    <n v="105"/>
    <n v="0"/>
    <s v="Southampton"/>
    <x v="0"/>
    <s v="SEGUNDA"/>
    <s v="HOMBRE"/>
    <n v="36"/>
    <x v="1"/>
    <m/>
    <m/>
    <m/>
    <m/>
    <m/>
  </r>
  <r>
    <n v="267"/>
    <n v="0"/>
    <x v="0"/>
    <s v="Panula, Mr. Ernesti Arvid"/>
    <x v="0"/>
    <n v="16"/>
    <n v="4"/>
    <n v="1"/>
    <n v="396875"/>
    <n v="0"/>
    <s v="Southampton"/>
    <x v="0"/>
    <s v="TERCERA"/>
    <s v="HOMBRE"/>
    <n v="16"/>
    <x v="8"/>
    <m/>
    <m/>
    <m/>
    <m/>
    <m/>
  </r>
  <r>
    <n v="268"/>
    <n v="1"/>
    <x v="0"/>
    <s v="Persson, Mr. Ernst Ulrik"/>
    <x v="0"/>
    <n v="25"/>
    <n v="1"/>
    <n v="0"/>
    <n v="7775"/>
    <n v="0"/>
    <s v="Southampton"/>
    <x v="1"/>
    <s v="TERCERA"/>
    <s v="HOMBRE"/>
    <n v="25"/>
    <x v="2"/>
    <m/>
    <m/>
    <m/>
    <m/>
    <m/>
  </r>
  <r>
    <n v="269"/>
    <n v="1"/>
    <x v="1"/>
    <s v="Graham, Mrs. William Thompson (Edith Junkins)"/>
    <x v="1"/>
    <n v="58"/>
    <n v="0"/>
    <n v="1"/>
    <n v="1534625"/>
    <n v="1"/>
    <s v="Southampton"/>
    <x v="1"/>
    <s v="PRIMERA"/>
    <s v="MUJER"/>
    <n v="58"/>
    <x v="5"/>
    <m/>
    <m/>
    <m/>
    <m/>
    <m/>
  </r>
  <r>
    <n v="270"/>
    <n v="1"/>
    <x v="1"/>
    <s v="Bissette, Miss. Amelia"/>
    <x v="1"/>
    <n v="35"/>
    <n v="0"/>
    <n v="0"/>
    <n v="1356333"/>
    <n v="1"/>
    <s v="Southampton"/>
    <x v="1"/>
    <s v="PRIMERA"/>
    <s v="MUJER"/>
    <n v="35"/>
    <x v="3"/>
    <m/>
    <m/>
    <m/>
    <m/>
    <m/>
  </r>
  <r>
    <n v="271"/>
    <n v="0"/>
    <x v="1"/>
    <s v="Cairns, Mr. Alexander"/>
    <x v="0"/>
    <m/>
    <n v="0"/>
    <n v="0"/>
    <n v="31"/>
    <n v="0"/>
    <s v="Southampton"/>
    <x v="0"/>
    <s v="PRIMERA"/>
    <s v="HOMBRE"/>
    <s v=""/>
    <x v="4"/>
    <m/>
    <m/>
    <m/>
    <m/>
    <m/>
  </r>
  <r>
    <n v="272"/>
    <n v="1"/>
    <x v="0"/>
    <s v="Tornquist, Mr. William Henry"/>
    <x v="0"/>
    <n v="25"/>
    <n v="0"/>
    <n v="0"/>
    <n v="0"/>
    <n v="0"/>
    <s v="Southampton"/>
    <x v="1"/>
    <s v="TERCERA"/>
    <s v="HOMBRE"/>
    <n v="25"/>
    <x v="2"/>
    <m/>
    <m/>
    <m/>
    <m/>
    <m/>
  </r>
  <r>
    <n v="273"/>
    <n v="1"/>
    <x v="2"/>
    <s v="Mellinger, Mrs. (Elizabeth Anne Maidment)"/>
    <x v="1"/>
    <n v="41"/>
    <n v="0"/>
    <n v="1"/>
    <n v="195"/>
    <n v="0"/>
    <s v="Southampton"/>
    <x v="1"/>
    <s v="SEGUNDA"/>
    <s v="MUJER"/>
    <n v="41"/>
    <x v="1"/>
    <m/>
    <m/>
    <m/>
    <m/>
    <m/>
  </r>
  <r>
    <n v="274"/>
    <n v="0"/>
    <x v="1"/>
    <s v="Natsch, Mr. Charles H"/>
    <x v="0"/>
    <n v="37"/>
    <n v="0"/>
    <n v="1"/>
    <n v="297"/>
    <n v="1"/>
    <s v="Cherburg"/>
    <x v="0"/>
    <s v="PRIMERA"/>
    <s v="HOMBRE"/>
    <n v="37"/>
    <x v="1"/>
    <m/>
    <m/>
    <m/>
    <m/>
    <m/>
  </r>
  <r>
    <n v="275"/>
    <n v="1"/>
    <x v="0"/>
    <s v="Healy, Miss. Hanora &quot;Nora&quot;"/>
    <x v="1"/>
    <m/>
    <n v="0"/>
    <n v="0"/>
    <n v="775"/>
    <n v="0"/>
    <s v="Queenstown"/>
    <x v="1"/>
    <s v="TERCERA"/>
    <s v="MUJER"/>
    <s v=""/>
    <x v="4"/>
    <m/>
    <m/>
    <m/>
    <m/>
    <m/>
  </r>
  <r>
    <n v="276"/>
    <n v="1"/>
    <x v="1"/>
    <s v="Andrews, Miss. Kornelia Theodosia"/>
    <x v="1"/>
    <n v="63"/>
    <n v="1"/>
    <n v="0"/>
    <n v="779583"/>
    <n v="1"/>
    <s v="Southampton"/>
    <x v="1"/>
    <s v="PRIMERA"/>
    <s v="MUJER"/>
    <n v="63"/>
    <x v="5"/>
    <m/>
    <m/>
    <m/>
    <m/>
    <m/>
  </r>
  <r>
    <n v="277"/>
    <n v="0"/>
    <x v="0"/>
    <s v="Lindblom, Miss. Augusta Charlotta"/>
    <x v="1"/>
    <n v="45"/>
    <n v="0"/>
    <n v="0"/>
    <n v="775"/>
    <n v="0"/>
    <s v="Southampton"/>
    <x v="0"/>
    <s v="TERCERA"/>
    <s v="MUJER"/>
    <n v="45"/>
    <x v="9"/>
    <m/>
    <m/>
    <m/>
    <m/>
    <m/>
  </r>
  <r>
    <n v="278"/>
    <n v="0"/>
    <x v="2"/>
    <s v="Parkes, Mr. Francis &quot;Frank&quot;"/>
    <x v="0"/>
    <m/>
    <n v="0"/>
    <n v="0"/>
    <n v="0"/>
    <n v="0"/>
    <s v="Southampton"/>
    <x v="0"/>
    <s v="SEGUNDA"/>
    <s v="HOMBRE"/>
    <s v=""/>
    <x v="4"/>
    <m/>
    <m/>
    <m/>
    <m/>
    <m/>
  </r>
  <r>
    <n v="279"/>
    <n v="0"/>
    <x v="0"/>
    <s v="Rice, Master. Eric"/>
    <x v="0"/>
    <n v="7"/>
    <n v="4"/>
    <n v="1"/>
    <n v="29125"/>
    <n v="0"/>
    <s v="Queenstown"/>
    <x v="0"/>
    <s v="TERCERA"/>
    <s v="HOMBRE"/>
    <n v="7"/>
    <x v="4"/>
    <m/>
    <m/>
    <m/>
    <m/>
    <m/>
  </r>
  <r>
    <n v="280"/>
    <n v="1"/>
    <x v="0"/>
    <s v="Abbott, Mrs. Stanton (Rosa Hunt)"/>
    <x v="1"/>
    <n v="35"/>
    <n v="1"/>
    <n v="1"/>
    <n v="2025"/>
    <n v="0"/>
    <s v="Southampton"/>
    <x v="1"/>
    <s v="TERCERA"/>
    <s v="MUJER"/>
    <n v="35"/>
    <x v="3"/>
    <m/>
    <m/>
    <m/>
    <m/>
    <m/>
  </r>
  <r>
    <n v="281"/>
    <n v="0"/>
    <x v="0"/>
    <s v="Duane, Mr. Frank"/>
    <x v="0"/>
    <n v="65"/>
    <n v="0"/>
    <n v="0"/>
    <n v="775"/>
    <n v="0"/>
    <s v="Queenstown"/>
    <x v="0"/>
    <s v="TERCERA"/>
    <s v="HOMBRE"/>
    <n v="65"/>
    <x v="5"/>
    <m/>
    <m/>
    <m/>
    <m/>
    <m/>
  </r>
  <r>
    <n v="282"/>
    <n v="0"/>
    <x v="0"/>
    <s v="Olsson, Mr. Nils Johan Goransson"/>
    <x v="0"/>
    <n v="28"/>
    <n v="0"/>
    <n v="0"/>
    <n v="78542"/>
    <n v="0"/>
    <s v="Southampton"/>
    <x v="0"/>
    <s v="TERCERA"/>
    <s v="HOMBRE"/>
    <n v="28"/>
    <x v="2"/>
    <m/>
    <m/>
    <m/>
    <m/>
    <m/>
  </r>
  <r>
    <n v="283"/>
    <n v="0"/>
    <x v="0"/>
    <s v="de Pelsmaeker, Mr. Alfons"/>
    <x v="0"/>
    <n v="16"/>
    <n v="0"/>
    <n v="0"/>
    <n v="95"/>
    <n v="0"/>
    <s v="Southampton"/>
    <x v="0"/>
    <s v="TERCERA"/>
    <s v="HOMBRE"/>
    <n v="16"/>
    <x v="8"/>
    <m/>
    <m/>
    <m/>
    <m/>
    <m/>
  </r>
  <r>
    <n v="284"/>
    <n v="1"/>
    <x v="0"/>
    <s v="Dorking, Mr. Edward Arthur"/>
    <x v="0"/>
    <n v="19"/>
    <n v="0"/>
    <n v="0"/>
    <n v="805"/>
    <n v="0"/>
    <s v="Southampton"/>
    <x v="1"/>
    <s v="TERCERA"/>
    <s v="HOMBRE"/>
    <n v="19"/>
    <x v="6"/>
    <m/>
    <m/>
    <m/>
    <m/>
    <m/>
  </r>
  <r>
    <n v="285"/>
    <n v="0"/>
    <x v="1"/>
    <s v="Smith, Mr. Richard William"/>
    <x v="0"/>
    <m/>
    <n v="0"/>
    <n v="0"/>
    <n v="26"/>
    <n v="1"/>
    <s v="Southampton"/>
    <x v="0"/>
    <s v="PRIMERA"/>
    <s v="HOMBRE"/>
    <s v=""/>
    <x v="4"/>
    <m/>
    <m/>
    <m/>
    <m/>
    <m/>
  </r>
  <r>
    <n v="286"/>
    <n v="0"/>
    <x v="0"/>
    <s v="Stankovic, Mr. Ivan"/>
    <x v="0"/>
    <n v="33"/>
    <n v="0"/>
    <n v="0"/>
    <n v="86625"/>
    <n v="0"/>
    <s v="Cherburg"/>
    <x v="0"/>
    <s v="TERCERA"/>
    <s v="HOMBRE"/>
    <n v="33"/>
    <x v="3"/>
    <m/>
    <m/>
    <m/>
    <m/>
    <m/>
  </r>
  <r>
    <n v="287"/>
    <n v="1"/>
    <x v="0"/>
    <s v="de Mulder, Mr. Theodore"/>
    <x v="0"/>
    <n v="30"/>
    <n v="0"/>
    <n v="0"/>
    <n v="95"/>
    <n v="0"/>
    <s v="Southampton"/>
    <x v="1"/>
    <s v="TERCERA"/>
    <s v="HOMBRE"/>
    <n v="30"/>
    <x v="7"/>
    <m/>
    <m/>
    <m/>
    <m/>
    <m/>
  </r>
  <r>
    <n v="288"/>
    <n v="0"/>
    <x v="0"/>
    <s v="Naidenoff, Mr. Penko"/>
    <x v="0"/>
    <n v="22"/>
    <n v="0"/>
    <n v="0"/>
    <n v="78958"/>
    <n v="0"/>
    <s v="Southampton"/>
    <x v="0"/>
    <s v="TERCERA"/>
    <s v="HOMBRE"/>
    <n v="22"/>
    <x v="0"/>
    <m/>
    <m/>
    <m/>
    <m/>
    <m/>
  </r>
  <r>
    <n v="289"/>
    <n v="1"/>
    <x v="2"/>
    <s v="Hosono, Mr. Masabumi"/>
    <x v="0"/>
    <n v="42"/>
    <n v="0"/>
    <n v="0"/>
    <n v="13"/>
    <n v="0"/>
    <s v="Southampton"/>
    <x v="1"/>
    <s v="SEGUNDA"/>
    <s v="HOMBRE"/>
    <n v="42"/>
    <x v="9"/>
    <m/>
    <m/>
    <m/>
    <m/>
    <m/>
  </r>
  <r>
    <n v="290"/>
    <n v="1"/>
    <x v="0"/>
    <s v="Connolly, Miss. Kate"/>
    <x v="1"/>
    <n v="22"/>
    <n v="0"/>
    <n v="0"/>
    <n v="775"/>
    <n v="0"/>
    <s v="Queenstown"/>
    <x v="1"/>
    <s v="TERCERA"/>
    <s v="MUJER"/>
    <n v="22"/>
    <x v="0"/>
    <m/>
    <m/>
    <m/>
    <m/>
    <m/>
  </r>
  <r>
    <n v="291"/>
    <n v="1"/>
    <x v="1"/>
    <s v="Barber, Miss. Ellen &quot;Nellie&quot;"/>
    <x v="1"/>
    <n v="26"/>
    <n v="0"/>
    <n v="0"/>
    <n v="7885"/>
    <n v="0"/>
    <s v="Southampton"/>
    <x v="1"/>
    <s v="PRIMERA"/>
    <s v="MUJER"/>
    <n v="26"/>
    <x v="2"/>
    <m/>
    <m/>
    <m/>
    <m/>
    <m/>
  </r>
  <r>
    <n v="292"/>
    <n v="1"/>
    <x v="1"/>
    <s v="Bishop, Mrs. Dickinson H (Helen Walton)"/>
    <x v="1"/>
    <n v="19"/>
    <n v="1"/>
    <n v="0"/>
    <n v="910792"/>
    <n v="1"/>
    <s v="Cherburg"/>
    <x v="1"/>
    <s v="PRIMERA"/>
    <s v="MUJER"/>
    <n v="19"/>
    <x v="6"/>
    <m/>
    <m/>
    <m/>
    <m/>
    <m/>
  </r>
  <r>
    <n v="293"/>
    <n v="0"/>
    <x v="2"/>
    <s v="Levy, Mr. Rene Jacques"/>
    <x v="0"/>
    <n v="36"/>
    <n v="0"/>
    <n v="0"/>
    <n v="12875"/>
    <n v="1"/>
    <s v="Cherburg"/>
    <x v="0"/>
    <s v="SEGUNDA"/>
    <s v="HOMBRE"/>
    <n v="36"/>
    <x v="1"/>
    <m/>
    <m/>
    <m/>
    <m/>
    <m/>
  </r>
  <r>
    <n v="294"/>
    <n v="0"/>
    <x v="0"/>
    <s v="Haas, Miss. Aloisia"/>
    <x v="1"/>
    <n v="24"/>
    <n v="0"/>
    <n v="0"/>
    <n v="885"/>
    <n v="0"/>
    <s v="Southampton"/>
    <x v="0"/>
    <s v="TERCERA"/>
    <s v="MUJER"/>
    <n v="24"/>
    <x v="0"/>
    <m/>
    <m/>
    <m/>
    <m/>
    <m/>
  </r>
  <r>
    <n v="295"/>
    <n v="0"/>
    <x v="0"/>
    <s v="Mineff, Mr. Ivan"/>
    <x v="0"/>
    <n v="24"/>
    <n v="0"/>
    <n v="0"/>
    <n v="78958"/>
    <n v="0"/>
    <s v="Southampton"/>
    <x v="0"/>
    <s v="TERCERA"/>
    <s v="HOMBRE"/>
    <n v="24"/>
    <x v="0"/>
    <m/>
    <m/>
    <m/>
    <m/>
    <m/>
  </r>
  <r>
    <n v="296"/>
    <n v="0"/>
    <x v="1"/>
    <s v="Lewy, Mr. Ervin G"/>
    <x v="0"/>
    <m/>
    <n v="0"/>
    <n v="0"/>
    <n v="277208"/>
    <n v="0"/>
    <s v="Cherburg"/>
    <x v="0"/>
    <s v="PRIMERA"/>
    <s v="HOMBRE"/>
    <s v=""/>
    <x v="4"/>
    <m/>
    <m/>
    <m/>
    <m/>
    <m/>
  </r>
  <r>
    <n v="297"/>
    <n v="0"/>
    <x v="0"/>
    <s v="Hanna, Mr. Mansour"/>
    <x v="0"/>
    <n v="235"/>
    <n v="0"/>
    <n v="0"/>
    <n v="72292"/>
    <n v="0"/>
    <s v="Cherburg"/>
    <x v="0"/>
    <s v="TERCERA"/>
    <s v="HOMBRE"/>
    <n v="23.5"/>
    <x v="0"/>
    <m/>
    <m/>
    <m/>
    <m/>
    <m/>
  </r>
  <r>
    <n v="298"/>
    <n v="0"/>
    <x v="1"/>
    <s v="Allison, Miss. Helen Loraine"/>
    <x v="1"/>
    <n v="2"/>
    <n v="1"/>
    <n v="2"/>
    <n v="15155"/>
    <n v="1"/>
    <s v="Southampton"/>
    <x v="0"/>
    <s v="PRIMERA"/>
    <s v="MUJER"/>
    <n v="2"/>
    <x v="4"/>
    <m/>
    <m/>
    <m/>
    <m/>
    <m/>
  </r>
  <r>
    <n v="299"/>
    <n v="1"/>
    <x v="1"/>
    <s v="Saalfeld, Mr. Adolphe"/>
    <x v="0"/>
    <m/>
    <n v="0"/>
    <n v="0"/>
    <n v="305"/>
    <n v="1"/>
    <s v="Southampton"/>
    <x v="1"/>
    <s v="PRIMERA"/>
    <s v="HOMBRE"/>
    <s v=""/>
    <x v="4"/>
    <m/>
    <m/>
    <m/>
    <m/>
    <m/>
  </r>
  <r>
    <n v="300"/>
    <n v="1"/>
    <x v="1"/>
    <s v="Baxter, Mrs. James (Helene DeLaudeniere Chaput)"/>
    <x v="1"/>
    <n v="50"/>
    <n v="0"/>
    <n v="1"/>
    <n v="2475208"/>
    <n v="1"/>
    <s v="Cherburg"/>
    <x v="1"/>
    <s v="PRIMERA"/>
    <s v="MUJER"/>
    <n v="50"/>
    <x v="5"/>
    <m/>
    <m/>
    <m/>
    <m/>
    <m/>
  </r>
  <r>
    <n v="301"/>
    <n v="1"/>
    <x v="0"/>
    <s v="Kelly, Miss. Anna Katherine &quot;Annie Kate&quot;"/>
    <x v="1"/>
    <m/>
    <n v="0"/>
    <n v="0"/>
    <n v="775"/>
    <n v="0"/>
    <s v="Queenstown"/>
    <x v="1"/>
    <s v="TERCERA"/>
    <s v="MUJER"/>
    <s v=""/>
    <x v="4"/>
    <m/>
    <m/>
    <m/>
    <m/>
    <m/>
  </r>
  <r>
    <n v="302"/>
    <n v="1"/>
    <x v="0"/>
    <s v="McCoy, Mr. Bernard"/>
    <x v="0"/>
    <m/>
    <n v="2"/>
    <n v="0"/>
    <n v="2325"/>
    <n v="0"/>
    <s v="Queenstown"/>
    <x v="1"/>
    <s v="TERCERA"/>
    <s v="HOMBRE"/>
    <s v=""/>
    <x v="4"/>
    <m/>
    <m/>
    <m/>
    <m/>
    <m/>
  </r>
  <r>
    <n v="303"/>
    <n v="0"/>
    <x v="0"/>
    <s v="Johnson, Mr. William Cahoone Jr"/>
    <x v="0"/>
    <n v="19"/>
    <n v="0"/>
    <n v="0"/>
    <n v="0"/>
    <n v="0"/>
    <s v="Southampton"/>
    <x v="0"/>
    <s v="TERCERA"/>
    <s v="HOMBRE"/>
    <n v="19"/>
    <x v="6"/>
    <m/>
    <m/>
    <m/>
    <m/>
    <m/>
  </r>
  <r>
    <n v="304"/>
    <n v="1"/>
    <x v="2"/>
    <s v="Keane, Miss. Nora A"/>
    <x v="1"/>
    <m/>
    <n v="0"/>
    <n v="0"/>
    <n v="1235"/>
    <n v="1"/>
    <s v="Queenstown"/>
    <x v="1"/>
    <s v="SEGUNDA"/>
    <s v="MUJER"/>
    <s v=""/>
    <x v="4"/>
    <m/>
    <m/>
    <m/>
    <m/>
    <m/>
  </r>
  <r>
    <n v="305"/>
    <n v="0"/>
    <x v="0"/>
    <s v="Williams, Mr. Howard Hugh &quot;Harry&quot;"/>
    <x v="0"/>
    <m/>
    <n v="0"/>
    <n v="0"/>
    <n v="805"/>
    <n v="0"/>
    <s v="Southampton"/>
    <x v="0"/>
    <s v="TERCERA"/>
    <s v="HOMBRE"/>
    <s v=""/>
    <x v="4"/>
    <m/>
    <m/>
    <m/>
    <m/>
    <m/>
  </r>
  <r>
    <n v="306"/>
    <n v="1"/>
    <x v="1"/>
    <s v="Allison, Master. Hudson Trevor"/>
    <x v="0"/>
    <n v="92"/>
    <n v="1"/>
    <n v="2"/>
    <n v="15155"/>
    <n v="1"/>
    <s v="Southampton"/>
    <x v="1"/>
    <s v="PRIMERA"/>
    <s v="HOMBRE"/>
    <n v="92"/>
    <x v="10"/>
    <m/>
    <m/>
    <m/>
    <m/>
    <m/>
  </r>
  <r>
    <n v="307"/>
    <n v="1"/>
    <x v="1"/>
    <s v="Fleming, Miss. Margaret"/>
    <x v="1"/>
    <m/>
    <n v="0"/>
    <n v="0"/>
    <n v="1108833"/>
    <n v="0"/>
    <s v="Cherburg"/>
    <x v="1"/>
    <s v="PRIMERA"/>
    <s v="MUJER"/>
    <s v=""/>
    <x v="4"/>
    <m/>
    <m/>
    <m/>
    <m/>
    <m/>
  </r>
  <r>
    <n v="308"/>
    <n v="1"/>
    <x v="1"/>
    <s v="Penasco y Castellana, Mrs. Victor de Satode (Maria Josefa Perez de Soto y Vallejo)"/>
    <x v="1"/>
    <n v="17"/>
    <n v="1"/>
    <n v="0"/>
    <n v="1089"/>
    <n v="1"/>
    <s v="Cherburg"/>
    <x v="1"/>
    <s v="PRIMERA"/>
    <s v="MUJER"/>
    <n v="17"/>
    <x v="8"/>
    <m/>
    <m/>
    <m/>
    <m/>
    <m/>
  </r>
  <r>
    <n v="309"/>
    <n v="0"/>
    <x v="2"/>
    <s v="Abelson, Mr. Samuel"/>
    <x v="0"/>
    <n v="30"/>
    <n v="1"/>
    <n v="0"/>
    <n v="24"/>
    <n v="0"/>
    <s v="Cherburg"/>
    <x v="0"/>
    <s v="SEGUNDA"/>
    <s v="HOMBRE"/>
    <n v="30"/>
    <x v="7"/>
    <m/>
    <m/>
    <m/>
    <m/>
    <m/>
  </r>
  <r>
    <n v="310"/>
    <n v="1"/>
    <x v="1"/>
    <s v="Francatelli, Miss. Laura Mabel"/>
    <x v="1"/>
    <n v="30"/>
    <n v="0"/>
    <n v="0"/>
    <n v="569292"/>
    <n v="1"/>
    <s v="Cherburg"/>
    <x v="1"/>
    <s v="PRIMERA"/>
    <s v="MUJER"/>
    <n v="30"/>
    <x v="7"/>
    <m/>
    <m/>
    <m/>
    <m/>
    <m/>
  </r>
  <r>
    <n v="311"/>
    <n v="1"/>
    <x v="1"/>
    <s v="Hays, Miss. Margaret Bechstein"/>
    <x v="1"/>
    <n v="24"/>
    <n v="0"/>
    <n v="0"/>
    <n v="831583"/>
    <n v="1"/>
    <s v="Cherburg"/>
    <x v="1"/>
    <s v="PRIMERA"/>
    <s v="MUJER"/>
    <n v="24"/>
    <x v="0"/>
    <m/>
    <m/>
    <m/>
    <m/>
    <m/>
  </r>
  <r>
    <n v="312"/>
    <n v="1"/>
    <x v="1"/>
    <s v="Ryerson, Miss. Emily Borie"/>
    <x v="1"/>
    <n v="18"/>
    <n v="2"/>
    <n v="2"/>
    <n v="262375"/>
    <n v="1"/>
    <s v="Cherburg"/>
    <x v="1"/>
    <s v="PRIMERA"/>
    <s v="MUJER"/>
    <n v="18"/>
    <x v="8"/>
    <m/>
    <m/>
    <m/>
    <m/>
    <m/>
  </r>
  <r>
    <n v="313"/>
    <n v="0"/>
    <x v="2"/>
    <s v="Lahtinen, Mrs. William (Anna Sylfven)"/>
    <x v="1"/>
    <n v="26"/>
    <n v="1"/>
    <n v="1"/>
    <n v="26"/>
    <n v="0"/>
    <s v="Southampton"/>
    <x v="0"/>
    <s v="SEGUNDA"/>
    <s v="MUJER"/>
    <n v="26"/>
    <x v="2"/>
    <m/>
    <m/>
    <m/>
    <m/>
    <m/>
  </r>
  <r>
    <n v="314"/>
    <n v="0"/>
    <x v="0"/>
    <s v="Hendekovic, Mr. Ignjac"/>
    <x v="0"/>
    <n v="28"/>
    <n v="0"/>
    <n v="0"/>
    <n v="78958"/>
    <n v="0"/>
    <s v="Southampton"/>
    <x v="0"/>
    <s v="TERCERA"/>
    <s v="HOMBRE"/>
    <n v="28"/>
    <x v="2"/>
    <m/>
    <m/>
    <m/>
    <m/>
    <m/>
  </r>
  <r>
    <n v="315"/>
    <n v="0"/>
    <x v="2"/>
    <s v="Hart, Mr. Benjamin"/>
    <x v="0"/>
    <n v="43"/>
    <n v="1"/>
    <n v="1"/>
    <n v="2625"/>
    <n v="0"/>
    <s v="Southampton"/>
    <x v="0"/>
    <s v="SEGUNDA"/>
    <s v="HOMBRE"/>
    <n v="43"/>
    <x v="9"/>
    <m/>
    <m/>
    <m/>
    <m/>
    <m/>
  </r>
  <r>
    <n v="316"/>
    <n v="1"/>
    <x v="0"/>
    <s v="Nilsson, Miss. Helmina Josefina"/>
    <x v="1"/>
    <n v="26"/>
    <n v="0"/>
    <n v="0"/>
    <n v="78542"/>
    <n v="0"/>
    <s v="Southampton"/>
    <x v="1"/>
    <s v="TERCERA"/>
    <s v="MUJER"/>
    <n v="26"/>
    <x v="2"/>
    <m/>
    <m/>
    <m/>
    <m/>
    <m/>
  </r>
  <r>
    <n v="317"/>
    <n v="1"/>
    <x v="2"/>
    <s v="Kantor, Mrs. Sinai (Miriam Sternin)"/>
    <x v="1"/>
    <n v="24"/>
    <n v="1"/>
    <n v="0"/>
    <n v="26"/>
    <n v="0"/>
    <s v="Southampton"/>
    <x v="1"/>
    <s v="SEGUNDA"/>
    <s v="MUJER"/>
    <n v="24"/>
    <x v="0"/>
    <m/>
    <m/>
    <m/>
    <m/>
    <m/>
  </r>
  <r>
    <n v="318"/>
    <n v="0"/>
    <x v="2"/>
    <s v="Moraweck, Dr. Ernest"/>
    <x v="0"/>
    <n v="54"/>
    <n v="0"/>
    <n v="0"/>
    <n v="14"/>
    <n v="0"/>
    <s v="Southampton"/>
    <x v="0"/>
    <s v="SEGUNDA"/>
    <s v="HOMBRE"/>
    <n v="54"/>
    <x v="5"/>
    <m/>
    <m/>
    <m/>
    <m/>
    <m/>
  </r>
  <r>
    <n v="319"/>
    <n v="1"/>
    <x v="1"/>
    <s v="Wick, Miss. Mary Natalie"/>
    <x v="1"/>
    <n v="31"/>
    <n v="0"/>
    <n v="2"/>
    <n v="1648667"/>
    <n v="1"/>
    <s v="Southampton"/>
    <x v="1"/>
    <s v="PRIMERA"/>
    <s v="MUJER"/>
    <n v="31"/>
    <x v="7"/>
    <m/>
    <m/>
    <m/>
    <m/>
    <m/>
  </r>
  <r>
    <n v="320"/>
    <n v="1"/>
    <x v="1"/>
    <s v="Spedden, Mrs. Frederic Oakley (Margaretta Corning Stone)"/>
    <x v="1"/>
    <n v="40"/>
    <n v="1"/>
    <n v="1"/>
    <n v="1345"/>
    <n v="1"/>
    <s v="Cherburg"/>
    <x v="1"/>
    <s v="PRIMERA"/>
    <s v="MUJER"/>
    <n v="40"/>
    <x v="1"/>
    <m/>
    <m/>
    <m/>
    <m/>
    <m/>
  </r>
  <r>
    <n v="321"/>
    <n v="0"/>
    <x v="0"/>
    <s v="Dennis, Mr. Samuel"/>
    <x v="0"/>
    <n v="22"/>
    <n v="0"/>
    <n v="0"/>
    <n v="725"/>
    <n v="0"/>
    <s v="Southampton"/>
    <x v="0"/>
    <s v="TERCERA"/>
    <s v="HOMBRE"/>
    <n v="22"/>
    <x v="0"/>
    <m/>
    <m/>
    <m/>
    <m/>
    <m/>
  </r>
  <r>
    <n v="322"/>
    <n v="0"/>
    <x v="0"/>
    <s v="Danoff, Mr. Yoto"/>
    <x v="0"/>
    <n v="27"/>
    <n v="0"/>
    <n v="0"/>
    <n v="78958"/>
    <n v="0"/>
    <s v="Southampton"/>
    <x v="0"/>
    <s v="TERCERA"/>
    <s v="HOMBRE"/>
    <n v="27"/>
    <x v="2"/>
    <m/>
    <m/>
    <m/>
    <m/>
    <m/>
  </r>
  <r>
    <n v="323"/>
    <n v="1"/>
    <x v="2"/>
    <s v="Slayter, Miss. Hilda Mary"/>
    <x v="1"/>
    <n v="30"/>
    <n v="0"/>
    <n v="0"/>
    <n v="1235"/>
    <n v="0"/>
    <s v="Queenstown"/>
    <x v="1"/>
    <s v="SEGUNDA"/>
    <s v="MUJER"/>
    <n v="30"/>
    <x v="7"/>
    <m/>
    <m/>
    <m/>
    <m/>
    <m/>
  </r>
  <r>
    <n v="324"/>
    <n v="1"/>
    <x v="2"/>
    <s v="Caldwell, Mrs. Albert Francis (Sylvia Mae Harbaugh)"/>
    <x v="1"/>
    <n v="22"/>
    <n v="1"/>
    <n v="1"/>
    <n v="29"/>
    <n v="0"/>
    <s v="Southampton"/>
    <x v="1"/>
    <s v="SEGUNDA"/>
    <s v="MUJER"/>
    <n v="22"/>
    <x v="0"/>
    <m/>
    <m/>
    <m/>
    <m/>
    <m/>
  </r>
  <r>
    <n v="325"/>
    <n v="0"/>
    <x v="0"/>
    <s v="Sage, Mr. George John Jr"/>
    <x v="0"/>
    <m/>
    <n v="8"/>
    <n v="2"/>
    <n v="6955"/>
    <n v="0"/>
    <s v="Southampton"/>
    <x v="0"/>
    <s v="TERCERA"/>
    <s v="HOMBRE"/>
    <s v=""/>
    <x v="4"/>
    <m/>
    <m/>
    <m/>
    <m/>
    <m/>
  </r>
  <r>
    <n v="326"/>
    <n v="1"/>
    <x v="1"/>
    <s v="Young, Miss. Marie Grice"/>
    <x v="1"/>
    <n v="36"/>
    <n v="0"/>
    <n v="0"/>
    <n v="1356333"/>
    <n v="1"/>
    <s v="Cherburg"/>
    <x v="1"/>
    <s v="PRIMERA"/>
    <s v="MUJER"/>
    <n v="36"/>
    <x v="1"/>
    <m/>
    <m/>
    <m/>
    <m/>
    <m/>
  </r>
  <r>
    <n v="327"/>
    <n v="0"/>
    <x v="0"/>
    <s v="Nysveen, Mr. Johan Hansen"/>
    <x v="0"/>
    <n v="61"/>
    <n v="0"/>
    <n v="0"/>
    <n v="62375"/>
    <n v="0"/>
    <s v="Southampton"/>
    <x v="0"/>
    <s v="TERCERA"/>
    <s v="HOMBRE"/>
    <n v="61"/>
    <x v="5"/>
    <m/>
    <m/>
    <m/>
    <m/>
    <m/>
  </r>
  <r>
    <n v="328"/>
    <n v="1"/>
    <x v="2"/>
    <s v="Ball, Mrs. (Ada E Hall)"/>
    <x v="1"/>
    <n v="36"/>
    <n v="0"/>
    <n v="0"/>
    <n v="13"/>
    <n v="1"/>
    <s v="Southampton"/>
    <x v="1"/>
    <s v="SEGUNDA"/>
    <s v="MUJER"/>
    <n v="36"/>
    <x v="1"/>
    <m/>
    <m/>
    <m/>
    <m/>
    <m/>
  </r>
  <r>
    <n v="329"/>
    <n v="1"/>
    <x v="0"/>
    <s v="Goldsmith, Mrs. Frank John (Emily Alice Brown)"/>
    <x v="1"/>
    <n v="31"/>
    <n v="1"/>
    <n v="1"/>
    <n v="20525"/>
    <n v="0"/>
    <s v="Southampton"/>
    <x v="1"/>
    <s v="TERCERA"/>
    <s v="MUJER"/>
    <n v="31"/>
    <x v="7"/>
    <m/>
    <m/>
    <m/>
    <m/>
    <m/>
  </r>
  <r>
    <n v="330"/>
    <n v="1"/>
    <x v="1"/>
    <s v="Hippach, Miss. Jean Gertrude"/>
    <x v="1"/>
    <n v="16"/>
    <n v="0"/>
    <n v="1"/>
    <n v="579792"/>
    <n v="1"/>
    <s v="Cherburg"/>
    <x v="1"/>
    <s v="PRIMERA"/>
    <s v="MUJER"/>
    <n v="16"/>
    <x v="8"/>
    <m/>
    <m/>
    <m/>
    <m/>
    <m/>
  </r>
  <r>
    <n v="331"/>
    <n v="1"/>
    <x v="0"/>
    <s v="McCoy, Miss. Agnes"/>
    <x v="1"/>
    <m/>
    <n v="2"/>
    <n v="0"/>
    <n v="2325"/>
    <n v="0"/>
    <s v="Queenstown"/>
    <x v="1"/>
    <s v="TERCERA"/>
    <s v="MUJER"/>
    <s v=""/>
    <x v="4"/>
    <m/>
    <m/>
    <m/>
    <m/>
    <m/>
  </r>
  <r>
    <n v="332"/>
    <n v="0"/>
    <x v="1"/>
    <s v="Partner, Mr. Austen"/>
    <x v="0"/>
    <n v="455"/>
    <n v="0"/>
    <n v="0"/>
    <n v="285"/>
    <n v="1"/>
    <s v="Southampton"/>
    <x v="0"/>
    <s v="PRIMERA"/>
    <s v="HOMBRE"/>
    <n v="45.5"/>
    <x v="9"/>
    <m/>
    <m/>
    <m/>
    <m/>
    <m/>
  </r>
  <r>
    <n v="333"/>
    <n v="0"/>
    <x v="1"/>
    <s v="Graham, Mr. George Edward"/>
    <x v="0"/>
    <n v="38"/>
    <n v="0"/>
    <n v="1"/>
    <n v="1534625"/>
    <n v="1"/>
    <s v="Southampton"/>
    <x v="0"/>
    <s v="PRIMERA"/>
    <s v="HOMBRE"/>
    <n v="38"/>
    <x v="1"/>
    <m/>
    <m/>
    <m/>
    <m/>
    <m/>
  </r>
  <r>
    <n v="334"/>
    <n v="0"/>
    <x v="0"/>
    <s v="Vander Planke, Mr. Leo Edmondus"/>
    <x v="0"/>
    <n v="16"/>
    <n v="2"/>
    <n v="0"/>
    <n v="18"/>
    <n v="0"/>
    <s v="Southampton"/>
    <x v="0"/>
    <s v="TERCERA"/>
    <s v="HOMBRE"/>
    <n v="16"/>
    <x v="8"/>
    <m/>
    <m/>
    <m/>
    <m/>
    <m/>
  </r>
  <r>
    <n v="335"/>
    <n v="1"/>
    <x v="1"/>
    <s v="Frauenthal, Mrs. Henry William (Clara Heinsheimer)"/>
    <x v="1"/>
    <m/>
    <n v="1"/>
    <n v="0"/>
    <n v="13365"/>
    <n v="0"/>
    <s v="Southampton"/>
    <x v="1"/>
    <s v="PRIMERA"/>
    <s v="MUJER"/>
    <s v=""/>
    <x v="4"/>
    <m/>
    <m/>
    <m/>
    <m/>
    <m/>
  </r>
  <r>
    <n v="336"/>
    <n v="0"/>
    <x v="0"/>
    <s v="Denkoff, Mr. Mitto"/>
    <x v="0"/>
    <m/>
    <n v="0"/>
    <n v="0"/>
    <n v="78958"/>
    <n v="0"/>
    <s v="Southampton"/>
    <x v="0"/>
    <s v="TERCERA"/>
    <s v="HOMBRE"/>
    <s v=""/>
    <x v="4"/>
    <m/>
    <m/>
    <m/>
    <m/>
    <m/>
  </r>
  <r>
    <n v="337"/>
    <n v="0"/>
    <x v="1"/>
    <s v="Pears, Mr. Thomas Clinton"/>
    <x v="0"/>
    <n v="29"/>
    <n v="1"/>
    <n v="0"/>
    <n v="666"/>
    <n v="1"/>
    <s v="Southampton"/>
    <x v="0"/>
    <s v="PRIMERA"/>
    <s v="HOMBRE"/>
    <n v="29"/>
    <x v="7"/>
    <m/>
    <m/>
    <m/>
    <m/>
    <m/>
  </r>
  <r>
    <n v="338"/>
    <n v="1"/>
    <x v="1"/>
    <s v="Burns, Miss. Elizabeth Margaret"/>
    <x v="1"/>
    <n v="41"/>
    <n v="0"/>
    <n v="0"/>
    <n v="1345"/>
    <n v="1"/>
    <s v="Cherburg"/>
    <x v="1"/>
    <s v="PRIMERA"/>
    <s v="MUJER"/>
    <n v="41"/>
    <x v="1"/>
    <m/>
    <m/>
    <m/>
    <m/>
    <m/>
  </r>
  <r>
    <n v="339"/>
    <n v="1"/>
    <x v="0"/>
    <s v="Dahl, Mr. Karl Edwart"/>
    <x v="0"/>
    <n v="45"/>
    <n v="0"/>
    <n v="0"/>
    <n v="805"/>
    <n v="0"/>
    <s v="Southampton"/>
    <x v="1"/>
    <s v="TERCERA"/>
    <s v="HOMBRE"/>
    <n v="45"/>
    <x v="9"/>
    <m/>
    <m/>
    <m/>
    <m/>
    <m/>
  </r>
  <r>
    <n v="340"/>
    <n v="0"/>
    <x v="1"/>
    <s v="Blackwell, Mr. Stephen Weart"/>
    <x v="0"/>
    <n v="45"/>
    <n v="0"/>
    <n v="0"/>
    <n v="355"/>
    <n v="1"/>
    <s v="Southampton"/>
    <x v="0"/>
    <s v="PRIMERA"/>
    <s v="HOMBRE"/>
    <n v="45"/>
    <x v="9"/>
    <m/>
    <m/>
    <m/>
    <m/>
    <m/>
  </r>
  <r>
    <n v="341"/>
    <n v="1"/>
    <x v="2"/>
    <s v="Navratil, Master. Edmond Roger"/>
    <x v="0"/>
    <n v="2"/>
    <n v="1"/>
    <n v="1"/>
    <n v="26"/>
    <n v="1"/>
    <s v="Southampton"/>
    <x v="1"/>
    <s v="SEGUNDA"/>
    <s v="HOMBRE"/>
    <n v="2"/>
    <x v="4"/>
    <m/>
    <m/>
    <m/>
    <m/>
    <m/>
  </r>
  <r>
    <n v="342"/>
    <n v="1"/>
    <x v="1"/>
    <s v="Fortune, Miss. Alice Elizabeth"/>
    <x v="1"/>
    <n v="24"/>
    <n v="3"/>
    <n v="2"/>
    <n v="263"/>
    <n v="1"/>
    <s v="Southampton"/>
    <x v="1"/>
    <s v="PRIMERA"/>
    <s v="MUJER"/>
    <n v="24"/>
    <x v="0"/>
    <m/>
    <m/>
    <m/>
    <m/>
    <m/>
  </r>
  <r>
    <n v="343"/>
    <n v="0"/>
    <x v="2"/>
    <s v="Collander, Mr. Erik Gustaf"/>
    <x v="0"/>
    <n v="28"/>
    <n v="0"/>
    <n v="0"/>
    <n v="13"/>
    <n v="0"/>
    <s v="Southampton"/>
    <x v="0"/>
    <s v="SEGUNDA"/>
    <s v="HOMBRE"/>
    <n v="28"/>
    <x v="2"/>
    <m/>
    <m/>
    <m/>
    <m/>
    <m/>
  </r>
  <r>
    <n v="344"/>
    <n v="0"/>
    <x v="2"/>
    <s v="Sedgwick, Mr. Charles Frederick Waddington"/>
    <x v="0"/>
    <n v="25"/>
    <n v="0"/>
    <n v="0"/>
    <n v="13"/>
    <n v="0"/>
    <s v="Southampton"/>
    <x v="0"/>
    <s v="SEGUNDA"/>
    <s v="HOMBRE"/>
    <n v="25"/>
    <x v="2"/>
    <m/>
    <m/>
    <m/>
    <m/>
    <m/>
  </r>
  <r>
    <n v="345"/>
    <n v="0"/>
    <x v="2"/>
    <s v="Fox, Mr. Stanley Hubert"/>
    <x v="0"/>
    <n v="36"/>
    <n v="0"/>
    <n v="0"/>
    <n v="13"/>
    <n v="0"/>
    <s v="Southampton"/>
    <x v="0"/>
    <s v="SEGUNDA"/>
    <s v="HOMBRE"/>
    <n v="36"/>
    <x v="1"/>
    <m/>
    <m/>
    <m/>
    <m/>
    <m/>
  </r>
  <r>
    <n v="346"/>
    <n v="1"/>
    <x v="2"/>
    <s v="Brown, Miss. Amelia &quot;Mildred&quot;"/>
    <x v="1"/>
    <n v="24"/>
    <n v="0"/>
    <n v="0"/>
    <n v="13"/>
    <n v="1"/>
    <s v="Southampton"/>
    <x v="1"/>
    <s v="SEGUNDA"/>
    <s v="MUJER"/>
    <n v="24"/>
    <x v="0"/>
    <m/>
    <m/>
    <m/>
    <m/>
    <m/>
  </r>
  <r>
    <n v="347"/>
    <n v="1"/>
    <x v="2"/>
    <s v="Smith, Miss. Marion Elsie"/>
    <x v="1"/>
    <n v="40"/>
    <n v="0"/>
    <n v="0"/>
    <n v="13"/>
    <n v="0"/>
    <s v="Southampton"/>
    <x v="1"/>
    <s v="SEGUNDA"/>
    <s v="MUJER"/>
    <n v="40"/>
    <x v="1"/>
    <m/>
    <m/>
    <m/>
    <m/>
    <m/>
  </r>
  <r>
    <n v="348"/>
    <n v="1"/>
    <x v="0"/>
    <s v="Davison, Mrs. Thomas Henry (Mary E Finck)"/>
    <x v="1"/>
    <m/>
    <n v="1"/>
    <n v="0"/>
    <n v="161"/>
    <n v="0"/>
    <s v="Southampton"/>
    <x v="1"/>
    <s v="TERCERA"/>
    <s v="MUJER"/>
    <s v=""/>
    <x v="4"/>
    <m/>
    <m/>
    <m/>
    <m/>
    <m/>
  </r>
  <r>
    <n v="349"/>
    <n v="1"/>
    <x v="0"/>
    <s v="Coutts, Master. William Loch &quot;William&quot;"/>
    <x v="0"/>
    <n v="3"/>
    <n v="1"/>
    <n v="1"/>
    <n v="159"/>
    <n v="0"/>
    <s v="Southampton"/>
    <x v="1"/>
    <s v="TERCERA"/>
    <s v="HOMBRE"/>
    <n v="3"/>
    <x v="4"/>
    <m/>
    <m/>
    <m/>
    <m/>
    <m/>
  </r>
  <r>
    <n v="350"/>
    <n v="0"/>
    <x v="0"/>
    <s v="Dimic, Mr. Jovan"/>
    <x v="0"/>
    <n v="42"/>
    <n v="0"/>
    <n v="0"/>
    <n v="86625"/>
    <n v="0"/>
    <s v="Southampton"/>
    <x v="0"/>
    <s v="TERCERA"/>
    <s v="HOMBRE"/>
    <n v="42"/>
    <x v="9"/>
    <m/>
    <m/>
    <m/>
    <m/>
    <m/>
  </r>
  <r>
    <n v="351"/>
    <n v="0"/>
    <x v="0"/>
    <s v="Odahl, Mr. Nils Martin"/>
    <x v="0"/>
    <n v="23"/>
    <n v="0"/>
    <n v="0"/>
    <n v="9225"/>
    <n v="0"/>
    <s v="Southampton"/>
    <x v="0"/>
    <s v="TERCERA"/>
    <s v="HOMBRE"/>
    <n v="23"/>
    <x v="0"/>
    <m/>
    <m/>
    <m/>
    <m/>
    <m/>
  </r>
  <r>
    <n v="352"/>
    <n v="0"/>
    <x v="1"/>
    <s v="Williams-Lambert, Mr. Fletcher Fellows"/>
    <x v="0"/>
    <m/>
    <n v="0"/>
    <n v="0"/>
    <n v="35"/>
    <n v="1"/>
    <s v="Southampton"/>
    <x v="0"/>
    <s v="PRIMERA"/>
    <s v="HOMBRE"/>
    <s v=""/>
    <x v="4"/>
    <m/>
    <m/>
    <m/>
    <m/>
    <m/>
  </r>
  <r>
    <n v="353"/>
    <n v="0"/>
    <x v="0"/>
    <s v="Elias, Mr. Tannous"/>
    <x v="0"/>
    <n v="15"/>
    <n v="1"/>
    <n v="1"/>
    <n v="72292"/>
    <n v="0"/>
    <s v="Cherburg"/>
    <x v="0"/>
    <s v="TERCERA"/>
    <s v="HOMBRE"/>
    <n v="15"/>
    <x v="8"/>
    <m/>
    <m/>
    <m/>
    <m/>
    <m/>
  </r>
  <r>
    <n v="354"/>
    <n v="0"/>
    <x v="0"/>
    <s v="Arnold-Franchi, Mr. Josef"/>
    <x v="0"/>
    <n v="25"/>
    <n v="1"/>
    <n v="0"/>
    <n v="178"/>
    <n v="0"/>
    <s v="Southampton"/>
    <x v="0"/>
    <s v="TERCERA"/>
    <s v="HOMBRE"/>
    <n v="25"/>
    <x v="2"/>
    <m/>
    <m/>
    <m/>
    <m/>
    <m/>
  </r>
  <r>
    <n v="355"/>
    <n v="0"/>
    <x v="0"/>
    <s v="Yousif, Mr. Wazli"/>
    <x v="0"/>
    <m/>
    <n v="0"/>
    <n v="0"/>
    <n v="7225"/>
    <n v="0"/>
    <s v="Cherburg"/>
    <x v="0"/>
    <s v="TERCERA"/>
    <s v="HOMBRE"/>
    <s v=""/>
    <x v="4"/>
    <m/>
    <m/>
    <m/>
    <m/>
    <m/>
  </r>
  <r>
    <n v="356"/>
    <n v="0"/>
    <x v="0"/>
    <s v="Vanden Steen, Mr. Leo Peter"/>
    <x v="0"/>
    <n v="28"/>
    <n v="0"/>
    <n v="0"/>
    <n v="95"/>
    <n v="0"/>
    <s v="Southampton"/>
    <x v="0"/>
    <s v="TERCERA"/>
    <s v="HOMBRE"/>
    <n v="28"/>
    <x v="2"/>
    <m/>
    <m/>
    <m/>
    <m/>
    <m/>
  </r>
  <r>
    <n v="357"/>
    <n v="1"/>
    <x v="1"/>
    <s v="Bowerman, Miss. Elsie Edith"/>
    <x v="1"/>
    <n v="22"/>
    <n v="0"/>
    <n v="1"/>
    <n v="55"/>
    <n v="1"/>
    <s v="Southampton"/>
    <x v="1"/>
    <s v="PRIMERA"/>
    <s v="MUJER"/>
    <n v="22"/>
    <x v="0"/>
    <m/>
    <m/>
    <m/>
    <m/>
    <m/>
  </r>
  <r>
    <n v="358"/>
    <n v="0"/>
    <x v="2"/>
    <s v="Funk, Miss. Annie Clemmer"/>
    <x v="1"/>
    <n v="38"/>
    <n v="0"/>
    <n v="0"/>
    <n v="13"/>
    <n v="0"/>
    <s v="Southampton"/>
    <x v="0"/>
    <s v="SEGUNDA"/>
    <s v="MUJER"/>
    <n v="38"/>
    <x v="1"/>
    <m/>
    <m/>
    <m/>
    <m/>
    <m/>
  </r>
  <r>
    <n v="359"/>
    <n v="1"/>
    <x v="0"/>
    <s v="McGovern, Miss. Mary"/>
    <x v="1"/>
    <m/>
    <n v="0"/>
    <n v="0"/>
    <n v="78792"/>
    <n v="0"/>
    <s v="Queenstown"/>
    <x v="1"/>
    <s v="TERCERA"/>
    <s v="MUJER"/>
    <s v=""/>
    <x v="4"/>
    <m/>
    <m/>
    <m/>
    <m/>
    <m/>
  </r>
  <r>
    <n v="360"/>
    <n v="1"/>
    <x v="0"/>
    <s v="Mockler, Miss. Helen Mary &quot;Ellie&quot;"/>
    <x v="1"/>
    <m/>
    <n v="0"/>
    <n v="0"/>
    <n v="78792"/>
    <n v="0"/>
    <s v="Queenstown"/>
    <x v="1"/>
    <s v="TERCERA"/>
    <s v="MUJER"/>
    <s v=""/>
    <x v="4"/>
    <m/>
    <m/>
    <m/>
    <m/>
    <m/>
  </r>
  <r>
    <n v="361"/>
    <n v="0"/>
    <x v="0"/>
    <s v="Skoog, Mr. Wilhelm"/>
    <x v="0"/>
    <n v="40"/>
    <n v="1"/>
    <n v="4"/>
    <n v="279"/>
    <n v="0"/>
    <s v="Southampton"/>
    <x v="0"/>
    <s v="TERCERA"/>
    <s v="HOMBRE"/>
    <n v="40"/>
    <x v="1"/>
    <m/>
    <m/>
    <m/>
    <m/>
    <m/>
  </r>
  <r>
    <n v="362"/>
    <n v="0"/>
    <x v="2"/>
    <s v="del Carlo, Mr. Sebastiano"/>
    <x v="0"/>
    <n v="29"/>
    <n v="1"/>
    <n v="0"/>
    <n v="277208"/>
    <n v="0"/>
    <s v="Cherburg"/>
    <x v="0"/>
    <s v="SEGUNDA"/>
    <s v="HOMBRE"/>
    <n v="29"/>
    <x v="7"/>
    <m/>
    <m/>
    <m/>
    <m/>
    <m/>
  </r>
  <r>
    <n v="363"/>
    <n v="0"/>
    <x v="0"/>
    <s v="Barbara, Mrs. (Catherine David)"/>
    <x v="1"/>
    <n v="45"/>
    <n v="0"/>
    <n v="1"/>
    <n v="144542"/>
    <n v="0"/>
    <s v="Cherburg"/>
    <x v="0"/>
    <s v="TERCERA"/>
    <s v="MUJER"/>
    <n v="45"/>
    <x v="9"/>
    <m/>
    <m/>
    <m/>
    <m/>
    <m/>
  </r>
  <r>
    <n v="364"/>
    <n v="0"/>
    <x v="0"/>
    <s v="Asim, Mr. Adola"/>
    <x v="0"/>
    <n v="35"/>
    <n v="0"/>
    <n v="0"/>
    <n v="705"/>
    <n v="0"/>
    <s v="Southampton"/>
    <x v="0"/>
    <s v="TERCERA"/>
    <s v="HOMBRE"/>
    <n v="35"/>
    <x v="3"/>
    <m/>
    <m/>
    <m/>
    <m/>
    <m/>
  </r>
  <r>
    <n v="365"/>
    <n v="0"/>
    <x v="0"/>
    <s v="O'Brien, Mr. Thomas"/>
    <x v="0"/>
    <m/>
    <n v="1"/>
    <n v="0"/>
    <n v="155"/>
    <n v="0"/>
    <s v="Queenstown"/>
    <x v="0"/>
    <s v="TERCERA"/>
    <s v="HOMBRE"/>
    <s v=""/>
    <x v="4"/>
    <m/>
    <m/>
    <m/>
    <m/>
    <m/>
  </r>
  <r>
    <n v="366"/>
    <n v="0"/>
    <x v="0"/>
    <s v="Adahl, Mr. Mauritz Nils Martin"/>
    <x v="0"/>
    <n v="30"/>
    <n v="0"/>
    <n v="0"/>
    <n v="725"/>
    <n v="0"/>
    <s v="Southampton"/>
    <x v="0"/>
    <s v="TERCERA"/>
    <s v="HOMBRE"/>
    <n v="30"/>
    <x v="7"/>
    <m/>
    <m/>
    <m/>
    <m/>
    <m/>
  </r>
  <r>
    <n v="367"/>
    <n v="1"/>
    <x v="1"/>
    <s v="Warren, Mrs. Frank Manley (Anna Sophia Atkinson)"/>
    <x v="1"/>
    <n v="60"/>
    <n v="1"/>
    <n v="0"/>
    <n v="7525"/>
    <n v="1"/>
    <s v="Cherburg"/>
    <x v="1"/>
    <s v="PRIMERA"/>
    <s v="MUJER"/>
    <n v="60"/>
    <x v="5"/>
    <m/>
    <m/>
    <m/>
    <m/>
    <m/>
  </r>
  <r>
    <n v="368"/>
    <n v="1"/>
    <x v="0"/>
    <s v="Moussa, Mrs. (Mantoura Boulos)"/>
    <x v="1"/>
    <m/>
    <n v="0"/>
    <n v="0"/>
    <n v="72292"/>
    <n v="0"/>
    <s v="Cherburg"/>
    <x v="1"/>
    <s v="TERCERA"/>
    <s v="MUJER"/>
    <s v=""/>
    <x v="4"/>
    <m/>
    <m/>
    <m/>
    <m/>
    <m/>
  </r>
  <r>
    <n v="369"/>
    <n v="1"/>
    <x v="0"/>
    <s v="Jermyn, Miss. Annie"/>
    <x v="1"/>
    <m/>
    <n v="0"/>
    <n v="0"/>
    <n v="775"/>
    <n v="0"/>
    <s v="Queenstown"/>
    <x v="1"/>
    <s v="TERCERA"/>
    <s v="MUJER"/>
    <s v=""/>
    <x v="4"/>
    <m/>
    <m/>
    <m/>
    <m/>
    <m/>
  </r>
  <r>
    <n v="370"/>
    <n v="1"/>
    <x v="1"/>
    <s v="Aubart, Mme. Leontine Pauline"/>
    <x v="1"/>
    <n v="24"/>
    <n v="0"/>
    <n v="0"/>
    <n v="693"/>
    <n v="1"/>
    <s v="Cherburg"/>
    <x v="1"/>
    <s v="PRIMERA"/>
    <s v="MUJER"/>
    <n v="24"/>
    <x v="0"/>
    <m/>
    <m/>
    <m/>
    <m/>
    <m/>
  </r>
  <r>
    <n v="371"/>
    <n v="1"/>
    <x v="1"/>
    <s v="Harder, Mr. George Achilles"/>
    <x v="0"/>
    <n v="25"/>
    <n v="1"/>
    <n v="0"/>
    <n v="554417"/>
    <n v="1"/>
    <s v="Cherburg"/>
    <x v="1"/>
    <s v="PRIMERA"/>
    <s v="HOMBRE"/>
    <n v="25"/>
    <x v="2"/>
    <m/>
    <m/>
    <m/>
    <m/>
    <m/>
  </r>
  <r>
    <n v="372"/>
    <n v="0"/>
    <x v="0"/>
    <s v="Wiklund, Mr. Jakob Alfred"/>
    <x v="0"/>
    <n v="18"/>
    <n v="1"/>
    <n v="0"/>
    <n v="64958"/>
    <n v="0"/>
    <s v="Southampton"/>
    <x v="0"/>
    <s v="TERCERA"/>
    <s v="HOMBRE"/>
    <n v="18"/>
    <x v="8"/>
    <m/>
    <m/>
    <m/>
    <m/>
    <m/>
  </r>
  <r>
    <n v="373"/>
    <n v="0"/>
    <x v="0"/>
    <s v="Beavan, Mr. William Thomas"/>
    <x v="0"/>
    <n v="19"/>
    <n v="0"/>
    <n v="0"/>
    <n v="805"/>
    <n v="0"/>
    <s v="Southampton"/>
    <x v="0"/>
    <s v="TERCERA"/>
    <s v="HOMBRE"/>
    <n v="19"/>
    <x v="6"/>
    <m/>
    <m/>
    <m/>
    <m/>
    <m/>
  </r>
  <r>
    <n v="374"/>
    <n v="0"/>
    <x v="1"/>
    <s v="Ringhini, Mr. Sante"/>
    <x v="0"/>
    <n v="22"/>
    <n v="0"/>
    <n v="0"/>
    <n v="1356333"/>
    <n v="0"/>
    <s v="Cherburg"/>
    <x v="0"/>
    <s v="PRIMERA"/>
    <s v="HOMBRE"/>
    <n v="22"/>
    <x v="0"/>
    <m/>
    <m/>
    <m/>
    <m/>
    <m/>
  </r>
  <r>
    <n v="375"/>
    <n v="0"/>
    <x v="0"/>
    <s v="Palsson, Miss. Stina Viola"/>
    <x v="1"/>
    <n v="3"/>
    <n v="3"/>
    <n v="1"/>
    <n v="21075"/>
    <n v="0"/>
    <s v="Southampton"/>
    <x v="0"/>
    <s v="TERCERA"/>
    <s v="MUJER"/>
    <n v="3"/>
    <x v="4"/>
    <m/>
    <m/>
    <m/>
    <m/>
    <m/>
  </r>
  <r>
    <n v="376"/>
    <n v="1"/>
    <x v="1"/>
    <s v="Meyer, Mrs. Edgar Joseph (Leila Saks)"/>
    <x v="1"/>
    <m/>
    <n v="1"/>
    <n v="0"/>
    <n v="821708"/>
    <n v="0"/>
    <s v="Cherburg"/>
    <x v="1"/>
    <s v="PRIMERA"/>
    <s v="MUJER"/>
    <s v=""/>
    <x v="4"/>
    <m/>
    <m/>
    <m/>
    <m/>
    <m/>
  </r>
  <r>
    <n v="377"/>
    <n v="1"/>
    <x v="0"/>
    <s v="Landergren, Miss. Aurora Adelia"/>
    <x v="1"/>
    <n v="22"/>
    <n v="0"/>
    <n v="0"/>
    <n v="725"/>
    <n v="0"/>
    <s v="Southampton"/>
    <x v="1"/>
    <s v="TERCERA"/>
    <s v="MUJER"/>
    <n v="22"/>
    <x v="0"/>
    <m/>
    <m/>
    <m/>
    <m/>
    <m/>
  </r>
  <r>
    <n v="378"/>
    <n v="0"/>
    <x v="1"/>
    <s v="Widener, Mr. Harry Elkins"/>
    <x v="0"/>
    <n v="27"/>
    <n v="0"/>
    <n v="2"/>
    <n v="2115"/>
    <n v="1"/>
    <s v="Cherburg"/>
    <x v="0"/>
    <s v="PRIMERA"/>
    <s v="HOMBRE"/>
    <n v="27"/>
    <x v="2"/>
    <m/>
    <m/>
    <m/>
    <m/>
    <m/>
  </r>
  <r>
    <n v="379"/>
    <n v="0"/>
    <x v="0"/>
    <s v="Betros, Mr. Tannous"/>
    <x v="0"/>
    <n v="20"/>
    <n v="0"/>
    <n v="0"/>
    <n v="40125"/>
    <n v="0"/>
    <s v="Cherburg"/>
    <x v="0"/>
    <s v="TERCERA"/>
    <s v="HOMBRE"/>
    <n v="20"/>
    <x v="6"/>
    <m/>
    <m/>
    <m/>
    <m/>
    <m/>
  </r>
  <r>
    <n v="380"/>
    <n v="0"/>
    <x v="0"/>
    <s v="Gustafsson, Mr. Karl Gideon"/>
    <x v="0"/>
    <n v="19"/>
    <n v="0"/>
    <n v="0"/>
    <n v="7775"/>
    <n v="0"/>
    <s v="Southampton"/>
    <x v="0"/>
    <s v="TERCERA"/>
    <s v="HOMBRE"/>
    <n v="19"/>
    <x v="6"/>
    <m/>
    <m/>
    <m/>
    <m/>
    <m/>
  </r>
  <r>
    <n v="381"/>
    <n v="1"/>
    <x v="1"/>
    <s v="Bidois, Miss. Rosalie"/>
    <x v="1"/>
    <n v="42"/>
    <n v="0"/>
    <n v="0"/>
    <n v="227525"/>
    <n v="0"/>
    <s v="Cherburg"/>
    <x v="1"/>
    <s v="PRIMERA"/>
    <s v="MUJER"/>
    <n v="42"/>
    <x v="9"/>
    <m/>
    <m/>
    <m/>
    <m/>
    <m/>
  </r>
  <r>
    <n v="382"/>
    <n v="1"/>
    <x v="0"/>
    <s v="Nakid, Miss. Maria (&quot;Mary&quot;)"/>
    <x v="1"/>
    <n v="1"/>
    <n v="0"/>
    <n v="2"/>
    <n v="157417"/>
    <n v="0"/>
    <s v="Cherburg"/>
    <x v="1"/>
    <s v="TERCERA"/>
    <s v="MUJER"/>
    <n v="1"/>
    <x v="4"/>
    <m/>
    <m/>
    <m/>
    <m/>
    <m/>
  </r>
  <r>
    <n v="383"/>
    <n v="0"/>
    <x v="0"/>
    <s v="Tikkanen, Mr. Juho"/>
    <x v="0"/>
    <n v="32"/>
    <n v="0"/>
    <n v="0"/>
    <n v="7925"/>
    <n v="0"/>
    <s v="Southampton"/>
    <x v="0"/>
    <s v="TERCERA"/>
    <s v="HOMBRE"/>
    <n v="32"/>
    <x v="3"/>
    <m/>
    <m/>
    <m/>
    <m/>
    <m/>
  </r>
  <r>
    <n v="384"/>
    <n v="1"/>
    <x v="1"/>
    <s v="Holverson, Mrs. Alexander Oskar (Mary Aline Towner)"/>
    <x v="1"/>
    <n v="35"/>
    <n v="1"/>
    <n v="0"/>
    <n v="52"/>
    <n v="0"/>
    <s v="Southampton"/>
    <x v="1"/>
    <s v="PRIMERA"/>
    <s v="MUJER"/>
    <n v="35"/>
    <x v="3"/>
    <m/>
    <m/>
    <m/>
    <m/>
    <m/>
  </r>
  <r>
    <n v="385"/>
    <n v="0"/>
    <x v="0"/>
    <s v="Plotcharsky, Mr. Vasil"/>
    <x v="0"/>
    <m/>
    <n v="0"/>
    <n v="0"/>
    <n v="78958"/>
    <n v="0"/>
    <s v="Southampton"/>
    <x v="0"/>
    <s v="TERCERA"/>
    <s v="HOMBRE"/>
    <s v=""/>
    <x v="4"/>
    <m/>
    <m/>
    <m/>
    <m/>
    <m/>
  </r>
  <r>
    <n v="386"/>
    <n v="0"/>
    <x v="2"/>
    <s v="Davies, Mr. Charles Henry"/>
    <x v="0"/>
    <n v="18"/>
    <n v="0"/>
    <n v="0"/>
    <n v="735"/>
    <n v="0"/>
    <s v="Southampton"/>
    <x v="0"/>
    <s v="SEGUNDA"/>
    <s v="HOMBRE"/>
    <n v="18"/>
    <x v="8"/>
    <m/>
    <m/>
    <m/>
    <m/>
    <m/>
  </r>
  <r>
    <n v="387"/>
    <n v="0"/>
    <x v="0"/>
    <s v="Goodwin, Master. Sidney Leonard"/>
    <x v="0"/>
    <n v="1"/>
    <n v="5"/>
    <n v="2"/>
    <n v="469"/>
    <n v="0"/>
    <s v="Southampton"/>
    <x v="0"/>
    <s v="TERCERA"/>
    <s v="HOMBRE"/>
    <n v="1"/>
    <x v="4"/>
    <m/>
    <m/>
    <m/>
    <m/>
    <m/>
  </r>
  <r>
    <n v="388"/>
    <n v="1"/>
    <x v="2"/>
    <s v="Buss, Miss. Kate"/>
    <x v="1"/>
    <n v="36"/>
    <n v="0"/>
    <n v="0"/>
    <n v="13"/>
    <n v="0"/>
    <s v="Southampton"/>
    <x v="1"/>
    <s v="SEGUNDA"/>
    <s v="MUJER"/>
    <n v="36"/>
    <x v="1"/>
    <m/>
    <m/>
    <m/>
    <m/>
    <m/>
  </r>
  <r>
    <n v="389"/>
    <n v="0"/>
    <x v="0"/>
    <s v="Sadlier, Mr. Matthew"/>
    <x v="0"/>
    <m/>
    <n v="0"/>
    <n v="0"/>
    <n v="77292"/>
    <n v="0"/>
    <s v="Queenstown"/>
    <x v="0"/>
    <s v="TERCERA"/>
    <s v="HOMBRE"/>
    <s v=""/>
    <x v="4"/>
    <m/>
    <m/>
    <m/>
    <m/>
    <m/>
  </r>
  <r>
    <n v="390"/>
    <n v="1"/>
    <x v="2"/>
    <s v="Lehmann, Miss. Bertha"/>
    <x v="1"/>
    <n v="17"/>
    <n v="0"/>
    <n v="0"/>
    <n v="12"/>
    <n v="0"/>
    <s v="Cherburg"/>
    <x v="1"/>
    <s v="SEGUNDA"/>
    <s v="MUJER"/>
    <n v="17"/>
    <x v="8"/>
    <m/>
    <m/>
    <m/>
    <m/>
    <m/>
  </r>
  <r>
    <n v="391"/>
    <n v="1"/>
    <x v="1"/>
    <s v="Carter, Mr. William Ernest"/>
    <x v="0"/>
    <n v="36"/>
    <n v="1"/>
    <n v="2"/>
    <n v="120"/>
    <n v="1"/>
    <s v="Southampton"/>
    <x v="1"/>
    <s v="PRIMERA"/>
    <s v="HOMBRE"/>
    <n v="36"/>
    <x v="1"/>
    <m/>
    <m/>
    <m/>
    <m/>
    <m/>
  </r>
  <r>
    <n v="392"/>
    <n v="1"/>
    <x v="0"/>
    <s v="Jansson, Mr. Carl Olof"/>
    <x v="0"/>
    <n v="21"/>
    <n v="0"/>
    <n v="0"/>
    <n v="77958"/>
    <n v="0"/>
    <s v="Southampton"/>
    <x v="1"/>
    <s v="TERCERA"/>
    <s v="HOMBRE"/>
    <n v="21"/>
    <x v="6"/>
    <m/>
    <m/>
    <m/>
    <m/>
    <m/>
  </r>
  <r>
    <n v="393"/>
    <n v="0"/>
    <x v="0"/>
    <s v="Gustafsson, Mr. Johan Birger"/>
    <x v="0"/>
    <n v="28"/>
    <n v="2"/>
    <n v="0"/>
    <n v="7925"/>
    <n v="0"/>
    <s v="Southampton"/>
    <x v="0"/>
    <s v="TERCERA"/>
    <s v="HOMBRE"/>
    <n v="28"/>
    <x v="2"/>
    <m/>
    <m/>
    <m/>
    <m/>
    <m/>
  </r>
  <r>
    <n v="394"/>
    <n v="1"/>
    <x v="1"/>
    <s v="Newell, Miss. Marjorie"/>
    <x v="1"/>
    <n v="23"/>
    <n v="1"/>
    <n v="0"/>
    <n v="113275"/>
    <n v="1"/>
    <s v="Cherburg"/>
    <x v="1"/>
    <s v="PRIMERA"/>
    <s v="MUJER"/>
    <n v="23"/>
    <x v="0"/>
    <m/>
    <m/>
    <m/>
    <m/>
    <m/>
  </r>
  <r>
    <n v="395"/>
    <n v="1"/>
    <x v="0"/>
    <s v="Sandstrom, Mrs. Hjalmar (Agnes Charlotta Bengtsson)"/>
    <x v="1"/>
    <n v="24"/>
    <n v="0"/>
    <n v="2"/>
    <n v="167"/>
    <n v="1"/>
    <s v="Southampton"/>
    <x v="1"/>
    <s v="TERCERA"/>
    <s v="MUJER"/>
    <n v="24"/>
    <x v="0"/>
    <m/>
    <m/>
    <m/>
    <m/>
    <m/>
  </r>
  <r>
    <n v="396"/>
    <n v="0"/>
    <x v="0"/>
    <s v="Johansson, Mr. Erik"/>
    <x v="0"/>
    <n v="22"/>
    <n v="0"/>
    <n v="0"/>
    <n v="77958"/>
    <n v="0"/>
    <s v="Southampton"/>
    <x v="0"/>
    <s v="TERCERA"/>
    <s v="HOMBRE"/>
    <n v="22"/>
    <x v="0"/>
    <m/>
    <m/>
    <m/>
    <m/>
    <m/>
  </r>
  <r>
    <n v="397"/>
    <n v="0"/>
    <x v="0"/>
    <s v="Olsson, Miss. Elina"/>
    <x v="1"/>
    <n v="31"/>
    <n v="0"/>
    <n v="0"/>
    <n v="78542"/>
    <n v="0"/>
    <s v="Southampton"/>
    <x v="0"/>
    <s v="TERCERA"/>
    <s v="MUJER"/>
    <n v="31"/>
    <x v="7"/>
    <m/>
    <m/>
    <m/>
    <m/>
    <m/>
  </r>
  <r>
    <n v="398"/>
    <n v="0"/>
    <x v="2"/>
    <s v="McKane, Mr. Peter David"/>
    <x v="0"/>
    <n v="46"/>
    <n v="0"/>
    <n v="0"/>
    <n v="26"/>
    <n v="0"/>
    <s v="Southampton"/>
    <x v="0"/>
    <s v="SEGUNDA"/>
    <s v="HOMBRE"/>
    <n v="46"/>
    <x v="9"/>
    <m/>
    <m/>
    <m/>
    <m/>
    <m/>
  </r>
  <r>
    <n v="399"/>
    <n v="0"/>
    <x v="2"/>
    <s v="Pain, Dr. Alfred"/>
    <x v="0"/>
    <n v="23"/>
    <n v="0"/>
    <n v="0"/>
    <n v="105"/>
    <n v="0"/>
    <s v="Southampton"/>
    <x v="0"/>
    <s v="SEGUNDA"/>
    <s v="HOMBRE"/>
    <n v="23"/>
    <x v="0"/>
    <m/>
    <m/>
    <m/>
    <m/>
    <m/>
  </r>
  <r>
    <n v="400"/>
    <n v="1"/>
    <x v="2"/>
    <s v="Trout, Mrs. William H (Jessie L)"/>
    <x v="1"/>
    <n v="28"/>
    <n v="0"/>
    <n v="0"/>
    <n v="1265"/>
    <n v="0"/>
    <s v="Southampton"/>
    <x v="1"/>
    <s v="SEGUNDA"/>
    <s v="MUJER"/>
    <n v="28"/>
    <x v="2"/>
    <m/>
    <m/>
    <m/>
    <m/>
    <m/>
  </r>
  <r>
    <n v="401"/>
    <n v="1"/>
    <x v="0"/>
    <s v="Niskanen, Mr. Juha"/>
    <x v="0"/>
    <n v="39"/>
    <n v="0"/>
    <n v="0"/>
    <n v="7925"/>
    <n v="0"/>
    <s v="Southampton"/>
    <x v="1"/>
    <s v="TERCERA"/>
    <s v="HOMBRE"/>
    <n v="39"/>
    <x v="1"/>
    <m/>
    <m/>
    <m/>
    <m/>
    <m/>
  </r>
  <r>
    <n v="402"/>
    <n v="0"/>
    <x v="0"/>
    <s v="Adams, Mr. John"/>
    <x v="0"/>
    <n v="26"/>
    <n v="0"/>
    <n v="0"/>
    <n v="805"/>
    <n v="0"/>
    <s v="Southampton"/>
    <x v="0"/>
    <s v="TERCERA"/>
    <s v="HOMBRE"/>
    <n v="26"/>
    <x v="2"/>
    <m/>
    <m/>
    <m/>
    <m/>
    <m/>
  </r>
  <r>
    <n v="403"/>
    <n v="0"/>
    <x v="0"/>
    <s v="Jussila, Miss. Mari Aina"/>
    <x v="1"/>
    <n v="21"/>
    <n v="1"/>
    <n v="0"/>
    <n v="9825"/>
    <n v="0"/>
    <s v="Southampton"/>
    <x v="0"/>
    <s v="TERCERA"/>
    <s v="MUJER"/>
    <n v="21"/>
    <x v="6"/>
    <m/>
    <m/>
    <m/>
    <m/>
    <m/>
  </r>
  <r>
    <n v="404"/>
    <n v="0"/>
    <x v="0"/>
    <s v="Hakkarainen, Mr. Pekka Pietari"/>
    <x v="0"/>
    <n v="28"/>
    <n v="1"/>
    <n v="0"/>
    <n v="1585"/>
    <n v="0"/>
    <s v="Southampton"/>
    <x v="0"/>
    <s v="TERCERA"/>
    <s v="HOMBRE"/>
    <n v="28"/>
    <x v="2"/>
    <m/>
    <m/>
    <m/>
    <m/>
    <m/>
  </r>
  <r>
    <n v="405"/>
    <n v="0"/>
    <x v="0"/>
    <s v="Oreskovic, Miss. Marija"/>
    <x v="1"/>
    <n v="20"/>
    <n v="0"/>
    <n v="0"/>
    <n v="86625"/>
    <n v="0"/>
    <s v="Southampton"/>
    <x v="0"/>
    <s v="TERCERA"/>
    <s v="MUJER"/>
    <n v="20"/>
    <x v="6"/>
    <m/>
    <m/>
    <m/>
    <m/>
    <m/>
  </r>
  <r>
    <n v="406"/>
    <n v="0"/>
    <x v="2"/>
    <s v="Gale, Mr. Shadrach"/>
    <x v="0"/>
    <n v="34"/>
    <n v="1"/>
    <n v="0"/>
    <n v="21"/>
    <n v="0"/>
    <s v="Southampton"/>
    <x v="0"/>
    <s v="SEGUNDA"/>
    <s v="HOMBRE"/>
    <n v="34"/>
    <x v="3"/>
    <m/>
    <m/>
    <m/>
    <m/>
    <m/>
  </r>
  <r>
    <n v="407"/>
    <n v="0"/>
    <x v="0"/>
    <s v="Widegren, Mr. Carl/Charles Peter"/>
    <x v="0"/>
    <n v="51"/>
    <n v="0"/>
    <n v="0"/>
    <n v="775"/>
    <n v="0"/>
    <s v="Southampton"/>
    <x v="0"/>
    <s v="TERCERA"/>
    <s v="HOMBRE"/>
    <n v="51"/>
    <x v="5"/>
    <m/>
    <m/>
    <m/>
    <m/>
    <m/>
  </r>
  <r>
    <n v="408"/>
    <n v="1"/>
    <x v="2"/>
    <s v="Richards, Master. William Rowe"/>
    <x v="0"/>
    <n v="3"/>
    <n v="1"/>
    <n v="1"/>
    <n v="1875"/>
    <n v="0"/>
    <s v="Southampton"/>
    <x v="1"/>
    <s v="SEGUNDA"/>
    <s v="HOMBRE"/>
    <n v="3"/>
    <x v="4"/>
    <m/>
    <m/>
    <m/>
    <m/>
    <m/>
  </r>
  <r>
    <n v="409"/>
    <n v="0"/>
    <x v="0"/>
    <s v="Birkeland, Mr. Hans Martin Monsen"/>
    <x v="0"/>
    <n v="21"/>
    <n v="0"/>
    <n v="0"/>
    <n v="7775"/>
    <n v="0"/>
    <s v="Southampton"/>
    <x v="0"/>
    <s v="TERCERA"/>
    <s v="HOMBRE"/>
    <n v="21"/>
    <x v="6"/>
    <m/>
    <m/>
    <m/>
    <m/>
    <m/>
  </r>
  <r>
    <n v="410"/>
    <n v="0"/>
    <x v="0"/>
    <s v="Lefebre, Miss. Ida"/>
    <x v="1"/>
    <m/>
    <n v="3"/>
    <n v="1"/>
    <n v="254667"/>
    <n v="0"/>
    <s v="Southampton"/>
    <x v="0"/>
    <s v="TERCERA"/>
    <s v="MUJER"/>
    <s v=""/>
    <x v="4"/>
    <m/>
    <m/>
    <m/>
    <m/>
    <m/>
  </r>
  <r>
    <n v="411"/>
    <n v="0"/>
    <x v="0"/>
    <s v="Sdycoff, Mr. Todor"/>
    <x v="0"/>
    <m/>
    <n v="0"/>
    <n v="0"/>
    <n v="78958"/>
    <n v="0"/>
    <s v="Southampton"/>
    <x v="0"/>
    <s v="TERCERA"/>
    <s v="HOMBRE"/>
    <s v=""/>
    <x v="4"/>
    <m/>
    <m/>
    <m/>
    <m/>
    <m/>
  </r>
  <r>
    <n v="412"/>
    <n v="0"/>
    <x v="0"/>
    <s v="Hart, Mr. Henry"/>
    <x v="0"/>
    <m/>
    <n v="0"/>
    <n v="0"/>
    <n v="68583"/>
    <n v="0"/>
    <s v="Queenstown"/>
    <x v="0"/>
    <s v="TERCERA"/>
    <s v="HOMBRE"/>
    <s v=""/>
    <x v="4"/>
    <m/>
    <m/>
    <m/>
    <m/>
    <m/>
  </r>
  <r>
    <n v="413"/>
    <n v="1"/>
    <x v="1"/>
    <s v="Minahan, Miss. Daisy E"/>
    <x v="1"/>
    <n v="33"/>
    <n v="1"/>
    <n v="0"/>
    <n v="90"/>
    <n v="1"/>
    <s v="Queenstown"/>
    <x v="1"/>
    <s v="PRIMERA"/>
    <s v="MUJER"/>
    <n v="33"/>
    <x v="3"/>
    <m/>
    <m/>
    <m/>
    <m/>
    <m/>
  </r>
  <r>
    <n v="414"/>
    <n v="0"/>
    <x v="2"/>
    <s v="Cunningham, Mr. Alfred Fleming"/>
    <x v="0"/>
    <m/>
    <n v="0"/>
    <n v="0"/>
    <n v="0"/>
    <n v="0"/>
    <s v="Southampton"/>
    <x v="0"/>
    <s v="SEGUNDA"/>
    <s v="HOMBRE"/>
    <s v=""/>
    <x v="4"/>
    <m/>
    <m/>
    <m/>
    <m/>
    <m/>
  </r>
  <r>
    <n v="415"/>
    <n v="1"/>
    <x v="0"/>
    <s v="Sundman, Mr. Johan Julian"/>
    <x v="0"/>
    <n v="44"/>
    <n v="0"/>
    <n v="0"/>
    <n v="7925"/>
    <n v="0"/>
    <s v="Southampton"/>
    <x v="1"/>
    <s v="TERCERA"/>
    <s v="HOMBRE"/>
    <n v="44"/>
    <x v="9"/>
    <m/>
    <m/>
    <m/>
    <m/>
    <m/>
  </r>
  <r>
    <n v="416"/>
    <n v="0"/>
    <x v="0"/>
    <s v="Meek, Mrs. Thomas (Annie Louise Rowley)"/>
    <x v="1"/>
    <m/>
    <n v="0"/>
    <n v="0"/>
    <n v="805"/>
    <n v="0"/>
    <s v="Southampton"/>
    <x v="0"/>
    <s v="TERCERA"/>
    <s v="MUJER"/>
    <s v=""/>
    <x v="4"/>
    <m/>
    <m/>
    <m/>
    <m/>
    <m/>
  </r>
  <r>
    <n v="417"/>
    <n v="1"/>
    <x v="2"/>
    <s v="Drew, Mrs. James Vivian (Lulu Thorne Christian)"/>
    <x v="1"/>
    <n v="34"/>
    <n v="1"/>
    <n v="1"/>
    <n v="325"/>
    <n v="0"/>
    <s v="Southampton"/>
    <x v="1"/>
    <s v="SEGUNDA"/>
    <s v="MUJER"/>
    <n v="34"/>
    <x v="3"/>
    <m/>
    <m/>
    <m/>
    <m/>
    <m/>
  </r>
  <r>
    <n v="418"/>
    <n v="1"/>
    <x v="2"/>
    <s v="Silven, Miss. Lyyli Karoliina"/>
    <x v="1"/>
    <n v="18"/>
    <n v="0"/>
    <n v="2"/>
    <n v="13"/>
    <n v="0"/>
    <s v="Southampton"/>
    <x v="1"/>
    <s v="SEGUNDA"/>
    <s v="MUJER"/>
    <n v="18"/>
    <x v="8"/>
    <m/>
    <m/>
    <m/>
    <m/>
    <m/>
  </r>
  <r>
    <n v="419"/>
    <n v="0"/>
    <x v="2"/>
    <s v="Matthews, Mr. William John"/>
    <x v="0"/>
    <n v="30"/>
    <n v="0"/>
    <n v="0"/>
    <n v="13"/>
    <n v="0"/>
    <s v="Southampton"/>
    <x v="0"/>
    <s v="SEGUNDA"/>
    <s v="HOMBRE"/>
    <n v="30"/>
    <x v="7"/>
    <m/>
    <m/>
    <m/>
    <m/>
    <m/>
  </r>
  <r>
    <n v="420"/>
    <n v="0"/>
    <x v="0"/>
    <s v="Van Impe, Miss. Catharina"/>
    <x v="1"/>
    <n v="10"/>
    <n v="0"/>
    <n v="2"/>
    <n v="2415"/>
    <n v="0"/>
    <s v="Southampton"/>
    <x v="0"/>
    <s v="TERCERA"/>
    <s v="MUJER"/>
    <n v="10"/>
    <x v="4"/>
    <m/>
    <m/>
    <m/>
    <m/>
    <m/>
  </r>
  <r>
    <n v="421"/>
    <n v="0"/>
    <x v="0"/>
    <s v="Gheorgheff, Mr. Stanio"/>
    <x v="0"/>
    <m/>
    <n v="0"/>
    <n v="0"/>
    <n v="78958"/>
    <n v="0"/>
    <s v="Cherburg"/>
    <x v="0"/>
    <s v="TERCERA"/>
    <s v="HOMBRE"/>
    <s v=""/>
    <x v="4"/>
    <m/>
    <m/>
    <m/>
    <m/>
    <m/>
  </r>
  <r>
    <n v="422"/>
    <n v="0"/>
    <x v="0"/>
    <s v="Charters, Mr. David"/>
    <x v="0"/>
    <n v="21"/>
    <n v="0"/>
    <n v="0"/>
    <n v="77333"/>
    <n v="0"/>
    <s v="Queenstown"/>
    <x v="0"/>
    <s v="TERCERA"/>
    <s v="HOMBRE"/>
    <n v="21"/>
    <x v="6"/>
    <m/>
    <m/>
    <m/>
    <m/>
    <m/>
  </r>
  <r>
    <n v="423"/>
    <n v="0"/>
    <x v="0"/>
    <s v="Zimmerman, Mr. Leo"/>
    <x v="0"/>
    <n v="29"/>
    <n v="0"/>
    <n v="0"/>
    <n v="7875"/>
    <n v="0"/>
    <s v="Southampton"/>
    <x v="0"/>
    <s v="TERCERA"/>
    <s v="HOMBRE"/>
    <n v="29"/>
    <x v="7"/>
    <m/>
    <m/>
    <m/>
    <m/>
    <m/>
  </r>
  <r>
    <n v="424"/>
    <n v="0"/>
    <x v="0"/>
    <s v="Danbom, Mrs. Ernst Gilbert (Anna Sigrid Maria Brogren)"/>
    <x v="1"/>
    <n v="28"/>
    <n v="1"/>
    <n v="1"/>
    <n v="144"/>
    <n v="0"/>
    <s v="Southampton"/>
    <x v="0"/>
    <s v="TERCERA"/>
    <s v="MUJER"/>
    <n v="28"/>
    <x v="2"/>
    <m/>
    <m/>
    <m/>
    <m/>
    <m/>
  </r>
  <r>
    <n v="425"/>
    <n v="0"/>
    <x v="0"/>
    <s v="Rosblom, Mr. Viktor Richard"/>
    <x v="0"/>
    <n v="18"/>
    <n v="1"/>
    <n v="1"/>
    <n v="202125"/>
    <n v="0"/>
    <s v="Southampton"/>
    <x v="0"/>
    <s v="TERCERA"/>
    <s v="HOMBRE"/>
    <n v="18"/>
    <x v="8"/>
    <m/>
    <m/>
    <m/>
    <m/>
    <m/>
  </r>
  <r>
    <n v="426"/>
    <n v="0"/>
    <x v="0"/>
    <s v="Wiseman, Mr. Phillippe"/>
    <x v="0"/>
    <m/>
    <n v="0"/>
    <n v="0"/>
    <n v="725"/>
    <n v="0"/>
    <s v="Southampton"/>
    <x v="0"/>
    <s v="TERCERA"/>
    <s v="HOMBRE"/>
    <s v=""/>
    <x v="4"/>
    <m/>
    <m/>
    <m/>
    <m/>
    <m/>
  </r>
  <r>
    <n v="427"/>
    <n v="1"/>
    <x v="2"/>
    <s v="Clarke, Mrs. Charles V (Ada Maria Winfield)"/>
    <x v="1"/>
    <n v="28"/>
    <n v="1"/>
    <n v="0"/>
    <n v="26"/>
    <n v="0"/>
    <s v="Southampton"/>
    <x v="1"/>
    <s v="SEGUNDA"/>
    <s v="MUJER"/>
    <n v="28"/>
    <x v="2"/>
    <m/>
    <m/>
    <m/>
    <m/>
    <m/>
  </r>
  <r>
    <n v="428"/>
    <n v="1"/>
    <x v="2"/>
    <s v="Phillips, Miss. Kate Florence (&quot;Mrs Kate Louise Phillips Marshall&quot;)"/>
    <x v="1"/>
    <n v="19"/>
    <n v="0"/>
    <n v="0"/>
    <n v="26"/>
    <n v="0"/>
    <s v="Southampton"/>
    <x v="1"/>
    <s v="SEGUNDA"/>
    <s v="MUJER"/>
    <n v="19"/>
    <x v="6"/>
    <m/>
    <m/>
    <m/>
    <m/>
    <m/>
  </r>
  <r>
    <n v="429"/>
    <n v="0"/>
    <x v="0"/>
    <s v="Flynn, Mr. James"/>
    <x v="0"/>
    <m/>
    <n v="0"/>
    <n v="0"/>
    <n v="775"/>
    <n v="0"/>
    <s v="Queenstown"/>
    <x v="0"/>
    <s v="TERCERA"/>
    <s v="HOMBRE"/>
    <s v=""/>
    <x v="4"/>
    <m/>
    <m/>
    <m/>
    <m/>
    <m/>
  </r>
  <r>
    <n v="430"/>
    <n v="1"/>
    <x v="0"/>
    <s v="Pickard, Mr. Berk (Berk Trembisky)"/>
    <x v="0"/>
    <n v="32"/>
    <n v="0"/>
    <n v="0"/>
    <n v="805"/>
    <n v="1"/>
    <s v="Southampton"/>
    <x v="1"/>
    <s v="TERCERA"/>
    <s v="HOMBRE"/>
    <n v="32"/>
    <x v="3"/>
    <m/>
    <m/>
    <m/>
    <m/>
    <m/>
  </r>
  <r>
    <n v="431"/>
    <n v="1"/>
    <x v="1"/>
    <s v="Bjornstrom-Steffansson, Mr. Mauritz Hakan"/>
    <x v="0"/>
    <n v="28"/>
    <n v="0"/>
    <n v="0"/>
    <n v="2655"/>
    <n v="1"/>
    <s v="Southampton"/>
    <x v="1"/>
    <s v="PRIMERA"/>
    <s v="HOMBRE"/>
    <n v="28"/>
    <x v="2"/>
    <m/>
    <m/>
    <m/>
    <m/>
    <m/>
  </r>
  <r>
    <n v="432"/>
    <n v="1"/>
    <x v="0"/>
    <s v="Thorneycroft, Mrs. Percival (Florence Kate White)"/>
    <x v="1"/>
    <m/>
    <n v="1"/>
    <n v="0"/>
    <n v="161"/>
    <n v="0"/>
    <s v="Southampton"/>
    <x v="1"/>
    <s v="TERCERA"/>
    <s v="MUJER"/>
    <s v=""/>
    <x v="4"/>
    <m/>
    <m/>
    <m/>
    <m/>
    <m/>
  </r>
  <r>
    <n v="433"/>
    <n v="1"/>
    <x v="2"/>
    <s v="Louch, Mrs. Charles Alexander (Alice Adelaide Slow)"/>
    <x v="1"/>
    <n v="42"/>
    <n v="1"/>
    <n v="0"/>
    <n v="26"/>
    <n v="0"/>
    <s v="Southampton"/>
    <x v="1"/>
    <s v="SEGUNDA"/>
    <s v="MUJER"/>
    <n v="42"/>
    <x v="9"/>
    <m/>
    <m/>
    <m/>
    <m/>
    <m/>
  </r>
  <r>
    <n v="434"/>
    <n v="0"/>
    <x v="0"/>
    <s v="Kallio, Mr. Nikolai Erland"/>
    <x v="0"/>
    <n v="17"/>
    <n v="0"/>
    <n v="0"/>
    <n v="7125"/>
    <n v="0"/>
    <s v="Southampton"/>
    <x v="0"/>
    <s v="TERCERA"/>
    <s v="HOMBRE"/>
    <n v="17"/>
    <x v="8"/>
    <m/>
    <m/>
    <m/>
    <m/>
    <m/>
  </r>
  <r>
    <n v="435"/>
    <n v="0"/>
    <x v="1"/>
    <s v="Silvey, Mr. William Baird"/>
    <x v="0"/>
    <n v="50"/>
    <n v="1"/>
    <n v="0"/>
    <n v="559"/>
    <n v="1"/>
    <s v="Southampton"/>
    <x v="0"/>
    <s v="PRIMERA"/>
    <s v="HOMBRE"/>
    <n v="50"/>
    <x v="5"/>
    <m/>
    <m/>
    <m/>
    <m/>
    <m/>
  </r>
  <r>
    <n v="436"/>
    <n v="1"/>
    <x v="1"/>
    <s v="Carter, Miss. Lucile Polk"/>
    <x v="1"/>
    <n v="14"/>
    <n v="1"/>
    <n v="2"/>
    <n v="120"/>
    <n v="1"/>
    <s v="Southampton"/>
    <x v="1"/>
    <s v="PRIMERA"/>
    <s v="MUJER"/>
    <n v="14"/>
    <x v="4"/>
    <m/>
    <m/>
    <m/>
    <m/>
    <m/>
  </r>
  <r>
    <n v="437"/>
    <n v="0"/>
    <x v="0"/>
    <s v="Ford, Miss. Doolina Margaret &quot;Daisy&quot;"/>
    <x v="1"/>
    <n v="21"/>
    <n v="2"/>
    <n v="2"/>
    <n v="34375"/>
    <n v="0"/>
    <s v="Southampton"/>
    <x v="0"/>
    <s v="TERCERA"/>
    <s v="MUJER"/>
    <n v="21"/>
    <x v="6"/>
    <m/>
    <m/>
    <m/>
    <m/>
    <m/>
  </r>
  <r>
    <n v="438"/>
    <n v="1"/>
    <x v="2"/>
    <s v="Richards, Mrs. Sidney (Emily Hocking)"/>
    <x v="1"/>
    <n v="24"/>
    <n v="2"/>
    <n v="3"/>
    <n v="1875"/>
    <n v="0"/>
    <s v="Southampton"/>
    <x v="1"/>
    <s v="SEGUNDA"/>
    <s v="MUJER"/>
    <n v="24"/>
    <x v="0"/>
    <m/>
    <m/>
    <m/>
    <m/>
    <m/>
  </r>
  <r>
    <n v="439"/>
    <n v="0"/>
    <x v="1"/>
    <s v="Fortune, Mr. Mark"/>
    <x v="0"/>
    <n v="64"/>
    <n v="1"/>
    <n v="4"/>
    <n v="263"/>
    <n v="1"/>
    <s v="Southampton"/>
    <x v="0"/>
    <s v="PRIMERA"/>
    <s v="HOMBRE"/>
    <n v="64"/>
    <x v="5"/>
    <m/>
    <m/>
    <m/>
    <m/>
    <m/>
  </r>
  <r>
    <n v="440"/>
    <n v="0"/>
    <x v="2"/>
    <s v="Kvillner, Mr. Johan Henrik Johannesson"/>
    <x v="0"/>
    <n v="31"/>
    <n v="0"/>
    <n v="0"/>
    <n v="105"/>
    <n v="0"/>
    <s v="Southampton"/>
    <x v="0"/>
    <s v="SEGUNDA"/>
    <s v="HOMBRE"/>
    <n v="31"/>
    <x v="7"/>
    <m/>
    <m/>
    <m/>
    <m/>
    <m/>
  </r>
  <r>
    <n v="441"/>
    <n v="1"/>
    <x v="2"/>
    <s v="Hart, Mrs. Benjamin (Esther Ada Bloomfield)"/>
    <x v="1"/>
    <n v="45"/>
    <n v="1"/>
    <n v="1"/>
    <n v="2625"/>
    <n v="0"/>
    <s v="Southampton"/>
    <x v="1"/>
    <s v="SEGUNDA"/>
    <s v="MUJER"/>
    <n v="45"/>
    <x v="9"/>
    <m/>
    <m/>
    <m/>
    <m/>
    <m/>
  </r>
  <r>
    <n v="442"/>
    <n v="0"/>
    <x v="0"/>
    <s v="Hampe, Mr. Leon"/>
    <x v="0"/>
    <n v="20"/>
    <n v="0"/>
    <n v="0"/>
    <n v="95"/>
    <n v="0"/>
    <s v="Southampton"/>
    <x v="0"/>
    <s v="TERCERA"/>
    <s v="HOMBRE"/>
    <n v="20"/>
    <x v="6"/>
    <m/>
    <m/>
    <m/>
    <m/>
    <m/>
  </r>
  <r>
    <n v="443"/>
    <n v="0"/>
    <x v="0"/>
    <s v="Petterson, Mr. Johan Emil"/>
    <x v="0"/>
    <n v="25"/>
    <n v="1"/>
    <n v="0"/>
    <n v="7775"/>
    <n v="0"/>
    <s v="Southampton"/>
    <x v="0"/>
    <s v="TERCERA"/>
    <s v="HOMBRE"/>
    <n v="25"/>
    <x v="2"/>
    <m/>
    <m/>
    <m/>
    <m/>
    <m/>
  </r>
  <r>
    <n v="444"/>
    <n v="1"/>
    <x v="2"/>
    <s v="Reynaldo, Ms. Encarnacion"/>
    <x v="1"/>
    <n v="28"/>
    <n v="0"/>
    <n v="0"/>
    <n v="13"/>
    <n v="0"/>
    <s v="Southampton"/>
    <x v="1"/>
    <s v="SEGUNDA"/>
    <s v="MUJER"/>
    <n v="28"/>
    <x v="2"/>
    <m/>
    <m/>
    <m/>
    <m/>
    <m/>
  </r>
  <r>
    <n v="445"/>
    <n v="1"/>
    <x v="0"/>
    <s v="Johannesen-Bratthammer, Mr. Bernt"/>
    <x v="0"/>
    <m/>
    <n v="0"/>
    <n v="0"/>
    <n v="81125"/>
    <n v="0"/>
    <s v="Southampton"/>
    <x v="1"/>
    <s v="TERCERA"/>
    <s v="HOMBRE"/>
    <s v=""/>
    <x v="4"/>
    <m/>
    <m/>
    <m/>
    <m/>
    <m/>
  </r>
  <r>
    <n v="446"/>
    <n v="1"/>
    <x v="1"/>
    <s v="Dodge, Master. Washington"/>
    <x v="0"/>
    <n v="4"/>
    <n v="0"/>
    <n v="2"/>
    <n v="818583"/>
    <n v="1"/>
    <s v="Southampton"/>
    <x v="1"/>
    <s v="PRIMERA"/>
    <s v="HOMBRE"/>
    <n v="4"/>
    <x v="4"/>
    <m/>
    <m/>
    <m/>
    <m/>
    <m/>
  </r>
  <r>
    <n v="447"/>
    <n v="1"/>
    <x v="2"/>
    <s v="Mellinger, Miss. Madeleine Violet"/>
    <x v="1"/>
    <n v="13"/>
    <n v="0"/>
    <n v="1"/>
    <n v="195"/>
    <n v="0"/>
    <s v="Southampton"/>
    <x v="1"/>
    <s v="SEGUNDA"/>
    <s v="MUJER"/>
    <n v="13"/>
    <x v="4"/>
    <m/>
    <m/>
    <m/>
    <m/>
    <m/>
  </r>
  <r>
    <n v="448"/>
    <n v="1"/>
    <x v="1"/>
    <s v="Seward, Mr. Frederic Kimber"/>
    <x v="0"/>
    <n v="34"/>
    <n v="0"/>
    <n v="0"/>
    <n v="2655"/>
    <n v="0"/>
    <s v="Southampton"/>
    <x v="1"/>
    <s v="PRIMERA"/>
    <s v="HOMBRE"/>
    <n v="34"/>
    <x v="3"/>
    <m/>
    <m/>
    <m/>
    <m/>
    <m/>
  </r>
  <r>
    <n v="449"/>
    <n v="1"/>
    <x v="0"/>
    <s v="Baclini, Miss. Marie Catherine"/>
    <x v="1"/>
    <n v="5"/>
    <n v="2"/>
    <n v="1"/>
    <n v="192583"/>
    <n v="0"/>
    <s v="Cherburg"/>
    <x v="1"/>
    <s v="TERCERA"/>
    <s v="MUJER"/>
    <n v="5"/>
    <x v="4"/>
    <m/>
    <m/>
    <m/>
    <m/>
    <m/>
  </r>
  <r>
    <n v="450"/>
    <n v="1"/>
    <x v="1"/>
    <s v="Peuchen, Major. Arthur Godfrey"/>
    <x v="0"/>
    <n v="52"/>
    <n v="0"/>
    <n v="0"/>
    <n v="305"/>
    <n v="1"/>
    <s v="Southampton"/>
    <x v="1"/>
    <s v="PRIMERA"/>
    <s v="HOMBRE"/>
    <n v="52"/>
    <x v="5"/>
    <m/>
    <m/>
    <m/>
    <m/>
    <m/>
  </r>
  <r>
    <n v="451"/>
    <n v="0"/>
    <x v="2"/>
    <s v="West, Mr. Edwy Arthur"/>
    <x v="0"/>
    <n v="36"/>
    <n v="1"/>
    <n v="2"/>
    <n v="2775"/>
    <n v="0"/>
    <s v="Southampton"/>
    <x v="0"/>
    <s v="SEGUNDA"/>
    <s v="HOMBRE"/>
    <n v="36"/>
    <x v="1"/>
    <m/>
    <m/>
    <m/>
    <m/>
    <m/>
  </r>
  <r>
    <n v="452"/>
    <n v="0"/>
    <x v="0"/>
    <s v="Hagland, Mr. Ingvald Olai Olsen"/>
    <x v="0"/>
    <m/>
    <n v="1"/>
    <n v="0"/>
    <n v="199667"/>
    <n v="0"/>
    <s v="Southampton"/>
    <x v="0"/>
    <s v="TERCERA"/>
    <s v="HOMBRE"/>
    <s v=""/>
    <x v="4"/>
    <m/>
    <m/>
    <m/>
    <m/>
    <m/>
  </r>
  <r>
    <n v="453"/>
    <n v="0"/>
    <x v="1"/>
    <s v="Foreman, Mr. Benjamin Laventall"/>
    <x v="0"/>
    <n v="30"/>
    <n v="0"/>
    <n v="0"/>
    <n v="2775"/>
    <n v="1"/>
    <s v="Cherburg"/>
    <x v="0"/>
    <s v="PRIMERA"/>
    <s v="HOMBRE"/>
    <n v="30"/>
    <x v="7"/>
    <m/>
    <m/>
    <m/>
    <m/>
    <m/>
  </r>
  <r>
    <n v="454"/>
    <n v="1"/>
    <x v="1"/>
    <s v="Goldenberg, Mr. Samuel L"/>
    <x v="0"/>
    <n v="49"/>
    <n v="1"/>
    <n v="0"/>
    <n v="891042"/>
    <n v="1"/>
    <s v="Cherburg"/>
    <x v="1"/>
    <s v="PRIMERA"/>
    <s v="HOMBRE"/>
    <n v="49"/>
    <x v="9"/>
    <m/>
    <m/>
    <m/>
    <m/>
    <m/>
  </r>
  <r>
    <n v="455"/>
    <n v="0"/>
    <x v="0"/>
    <s v="Peduzzi, Mr. Joseph"/>
    <x v="0"/>
    <m/>
    <n v="0"/>
    <n v="0"/>
    <n v="805"/>
    <n v="0"/>
    <s v="Southampton"/>
    <x v="0"/>
    <s v="TERCERA"/>
    <s v="HOMBRE"/>
    <s v=""/>
    <x v="4"/>
    <m/>
    <m/>
    <m/>
    <m/>
    <m/>
  </r>
  <r>
    <n v="456"/>
    <n v="1"/>
    <x v="0"/>
    <s v="Jalsevac, Mr. Ivan"/>
    <x v="0"/>
    <n v="29"/>
    <n v="0"/>
    <n v="0"/>
    <n v="78958"/>
    <n v="0"/>
    <s v="Cherburg"/>
    <x v="1"/>
    <s v="TERCERA"/>
    <s v="HOMBRE"/>
    <n v="29"/>
    <x v="7"/>
    <m/>
    <m/>
    <m/>
    <m/>
    <m/>
  </r>
  <r>
    <n v="457"/>
    <n v="0"/>
    <x v="1"/>
    <s v="Millet, Mr. Francis Davis"/>
    <x v="0"/>
    <n v="65"/>
    <n v="0"/>
    <n v="0"/>
    <n v="2655"/>
    <n v="1"/>
    <s v="Southampton"/>
    <x v="0"/>
    <s v="PRIMERA"/>
    <s v="HOMBRE"/>
    <n v="65"/>
    <x v="5"/>
    <m/>
    <m/>
    <m/>
    <m/>
    <m/>
  </r>
  <r>
    <n v="458"/>
    <n v="1"/>
    <x v="1"/>
    <s v="Kenyon, Mrs. Frederick R (Marion)"/>
    <x v="1"/>
    <m/>
    <n v="1"/>
    <n v="0"/>
    <n v="518625"/>
    <n v="1"/>
    <s v="Southampton"/>
    <x v="1"/>
    <s v="PRIMERA"/>
    <s v="MUJER"/>
    <s v=""/>
    <x v="4"/>
    <m/>
    <m/>
    <m/>
    <m/>
    <m/>
  </r>
  <r>
    <n v="459"/>
    <n v="1"/>
    <x v="2"/>
    <s v="Toomey, Miss. Ellen"/>
    <x v="1"/>
    <n v="50"/>
    <n v="0"/>
    <n v="0"/>
    <n v="105"/>
    <n v="0"/>
    <s v="Southampton"/>
    <x v="1"/>
    <s v="SEGUNDA"/>
    <s v="MUJER"/>
    <n v="50"/>
    <x v="5"/>
    <m/>
    <m/>
    <m/>
    <m/>
    <m/>
  </r>
  <r>
    <n v="460"/>
    <n v="0"/>
    <x v="0"/>
    <s v="O'Connor, Mr. Maurice"/>
    <x v="0"/>
    <m/>
    <n v="0"/>
    <n v="0"/>
    <n v="775"/>
    <n v="0"/>
    <s v="Queenstown"/>
    <x v="0"/>
    <s v="TERCERA"/>
    <s v="HOMBRE"/>
    <s v=""/>
    <x v="4"/>
    <m/>
    <m/>
    <m/>
    <m/>
    <m/>
  </r>
  <r>
    <n v="461"/>
    <n v="1"/>
    <x v="1"/>
    <s v="Anderson, Mr. Harry"/>
    <x v="0"/>
    <n v="48"/>
    <n v="0"/>
    <n v="0"/>
    <n v="2655"/>
    <n v="1"/>
    <s v="Southampton"/>
    <x v="1"/>
    <s v="PRIMERA"/>
    <s v="HOMBRE"/>
    <n v="48"/>
    <x v="9"/>
    <m/>
    <m/>
    <m/>
    <m/>
    <m/>
  </r>
  <r>
    <n v="462"/>
    <n v="0"/>
    <x v="0"/>
    <s v="Morley, Mr. William"/>
    <x v="0"/>
    <n v="34"/>
    <n v="0"/>
    <n v="0"/>
    <n v="805"/>
    <n v="0"/>
    <s v="Southampton"/>
    <x v="0"/>
    <s v="TERCERA"/>
    <s v="HOMBRE"/>
    <n v="34"/>
    <x v="3"/>
    <m/>
    <m/>
    <m/>
    <m/>
    <m/>
  </r>
  <r>
    <n v="463"/>
    <n v="0"/>
    <x v="1"/>
    <s v="Gee, Mr. Arthur H"/>
    <x v="0"/>
    <n v="47"/>
    <n v="0"/>
    <n v="0"/>
    <n v="385"/>
    <n v="1"/>
    <s v="Southampton"/>
    <x v="0"/>
    <s v="PRIMERA"/>
    <s v="HOMBRE"/>
    <n v="47"/>
    <x v="9"/>
    <m/>
    <m/>
    <m/>
    <m/>
    <m/>
  </r>
  <r>
    <n v="464"/>
    <n v="0"/>
    <x v="2"/>
    <s v="Milling, Mr. Jacob Christian"/>
    <x v="0"/>
    <n v="48"/>
    <n v="0"/>
    <n v="0"/>
    <n v="13"/>
    <n v="0"/>
    <s v="Southampton"/>
    <x v="0"/>
    <s v="SEGUNDA"/>
    <s v="HOMBRE"/>
    <n v="48"/>
    <x v="9"/>
    <m/>
    <m/>
    <m/>
    <m/>
    <m/>
  </r>
  <r>
    <n v="465"/>
    <n v="0"/>
    <x v="0"/>
    <s v="Maisner, Mr. Simon"/>
    <x v="0"/>
    <m/>
    <n v="0"/>
    <n v="0"/>
    <n v="805"/>
    <n v="0"/>
    <s v="Southampton"/>
    <x v="0"/>
    <s v="TERCERA"/>
    <s v="HOMBRE"/>
    <s v=""/>
    <x v="4"/>
    <m/>
    <m/>
    <m/>
    <m/>
    <m/>
  </r>
  <r>
    <n v="466"/>
    <n v="0"/>
    <x v="0"/>
    <s v="Goncalves, Mr. Manuel Estanslas"/>
    <x v="0"/>
    <n v="38"/>
    <n v="0"/>
    <n v="0"/>
    <n v="705"/>
    <n v="0"/>
    <s v="Southampton"/>
    <x v="0"/>
    <s v="TERCERA"/>
    <s v="HOMBRE"/>
    <n v="38"/>
    <x v="1"/>
    <m/>
    <m/>
    <m/>
    <m/>
    <m/>
  </r>
  <r>
    <n v="467"/>
    <n v="0"/>
    <x v="2"/>
    <s v="Campbell, Mr. William"/>
    <x v="0"/>
    <m/>
    <n v="0"/>
    <n v="0"/>
    <n v="0"/>
    <n v="0"/>
    <s v="Southampton"/>
    <x v="0"/>
    <s v="SEGUNDA"/>
    <s v="HOMBRE"/>
    <s v=""/>
    <x v="4"/>
    <m/>
    <m/>
    <m/>
    <m/>
    <m/>
  </r>
  <r>
    <n v="468"/>
    <n v="0"/>
    <x v="1"/>
    <s v="Smart, Mr. John Montgomery"/>
    <x v="0"/>
    <n v="56"/>
    <n v="0"/>
    <n v="0"/>
    <n v="2655"/>
    <n v="0"/>
    <s v="Southampton"/>
    <x v="0"/>
    <s v="PRIMERA"/>
    <s v="HOMBRE"/>
    <n v="56"/>
    <x v="5"/>
    <m/>
    <m/>
    <m/>
    <m/>
    <m/>
  </r>
  <r>
    <n v="469"/>
    <n v="0"/>
    <x v="0"/>
    <s v="Scanlan, Mr. James"/>
    <x v="0"/>
    <m/>
    <n v="0"/>
    <n v="0"/>
    <n v="7725"/>
    <n v="0"/>
    <s v="Queenstown"/>
    <x v="0"/>
    <s v="TERCERA"/>
    <s v="HOMBRE"/>
    <s v=""/>
    <x v="4"/>
    <m/>
    <m/>
    <m/>
    <m/>
    <m/>
  </r>
  <r>
    <n v="470"/>
    <n v="1"/>
    <x v="0"/>
    <s v="Baclini, Miss. Helene Barbara"/>
    <x v="1"/>
    <n v="75"/>
    <n v="2"/>
    <n v="1"/>
    <n v="192583"/>
    <n v="0"/>
    <s v="Cherburg"/>
    <x v="1"/>
    <s v="TERCERA"/>
    <s v="MUJER"/>
    <n v="75"/>
    <x v="5"/>
    <m/>
    <m/>
    <m/>
    <m/>
    <m/>
  </r>
  <r>
    <n v="471"/>
    <n v="0"/>
    <x v="0"/>
    <s v="Keefe, Mr. Arthur"/>
    <x v="0"/>
    <m/>
    <n v="0"/>
    <n v="0"/>
    <n v="725"/>
    <n v="0"/>
    <s v="Southampton"/>
    <x v="0"/>
    <s v="TERCERA"/>
    <s v="HOMBRE"/>
    <s v=""/>
    <x v="4"/>
    <m/>
    <m/>
    <m/>
    <m/>
    <m/>
  </r>
  <r>
    <n v="472"/>
    <n v="0"/>
    <x v="0"/>
    <s v="Cacic, Mr. Luka"/>
    <x v="0"/>
    <n v="38"/>
    <n v="0"/>
    <n v="0"/>
    <n v="86625"/>
    <n v="0"/>
    <s v="Southampton"/>
    <x v="0"/>
    <s v="TERCERA"/>
    <s v="HOMBRE"/>
    <n v="38"/>
    <x v="1"/>
    <m/>
    <m/>
    <m/>
    <m/>
    <m/>
  </r>
  <r>
    <n v="473"/>
    <n v="1"/>
    <x v="2"/>
    <s v="West, Mrs. Edwy Arthur (Ada Mary Worth)"/>
    <x v="1"/>
    <n v="33"/>
    <n v="1"/>
    <n v="2"/>
    <n v="2775"/>
    <n v="0"/>
    <s v="Southampton"/>
    <x v="1"/>
    <s v="SEGUNDA"/>
    <s v="MUJER"/>
    <n v="33"/>
    <x v="3"/>
    <m/>
    <m/>
    <m/>
    <m/>
    <m/>
  </r>
  <r>
    <n v="474"/>
    <n v="1"/>
    <x v="2"/>
    <s v="Jerwan, Mrs. Amin S (Marie Marthe Thuillard)"/>
    <x v="1"/>
    <n v="23"/>
    <n v="0"/>
    <n v="0"/>
    <n v="137917"/>
    <n v="1"/>
    <s v="Cherburg"/>
    <x v="1"/>
    <s v="SEGUNDA"/>
    <s v="MUJER"/>
    <n v="23"/>
    <x v="0"/>
    <m/>
    <m/>
    <m/>
    <m/>
    <m/>
  </r>
  <r>
    <n v="475"/>
    <n v="0"/>
    <x v="0"/>
    <s v="Strandberg, Miss. Ida Sofia"/>
    <x v="1"/>
    <n v="22"/>
    <n v="0"/>
    <n v="0"/>
    <n v="98375"/>
    <n v="0"/>
    <s v="Southampton"/>
    <x v="0"/>
    <s v="TERCERA"/>
    <s v="MUJER"/>
    <n v="22"/>
    <x v="0"/>
    <m/>
    <m/>
    <m/>
    <m/>
    <m/>
  </r>
  <r>
    <n v="476"/>
    <n v="0"/>
    <x v="1"/>
    <s v="Clifford, Mr. George Quincy"/>
    <x v="0"/>
    <m/>
    <n v="0"/>
    <n v="0"/>
    <n v="52"/>
    <n v="1"/>
    <s v="Southampton"/>
    <x v="0"/>
    <s v="PRIMERA"/>
    <s v="HOMBRE"/>
    <s v=""/>
    <x v="4"/>
    <m/>
    <m/>
    <m/>
    <m/>
    <m/>
  </r>
  <r>
    <n v="477"/>
    <n v="0"/>
    <x v="2"/>
    <s v="Renouf, Mr. Peter Henry"/>
    <x v="0"/>
    <n v="34"/>
    <n v="1"/>
    <n v="0"/>
    <n v="21"/>
    <n v="0"/>
    <s v="Southampton"/>
    <x v="0"/>
    <s v="SEGUNDA"/>
    <s v="HOMBRE"/>
    <n v="34"/>
    <x v="3"/>
    <m/>
    <m/>
    <m/>
    <m/>
    <m/>
  </r>
  <r>
    <n v="478"/>
    <n v="0"/>
    <x v="0"/>
    <s v="Braund, Mr. Lewis Richard"/>
    <x v="0"/>
    <n v="29"/>
    <n v="1"/>
    <n v="0"/>
    <n v="70458"/>
    <n v="0"/>
    <s v="Southampton"/>
    <x v="0"/>
    <s v="TERCERA"/>
    <s v="HOMBRE"/>
    <n v="29"/>
    <x v="7"/>
    <m/>
    <m/>
    <m/>
    <m/>
    <m/>
  </r>
  <r>
    <n v="479"/>
    <n v="0"/>
    <x v="0"/>
    <s v="Karlsson, Mr. Nils August"/>
    <x v="0"/>
    <n v="22"/>
    <n v="0"/>
    <n v="0"/>
    <n v="75208"/>
    <n v="0"/>
    <s v="Southampton"/>
    <x v="0"/>
    <s v="TERCERA"/>
    <s v="HOMBRE"/>
    <n v="22"/>
    <x v="0"/>
    <m/>
    <m/>
    <m/>
    <m/>
    <m/>
  </r>
  <r>
    <n v="480"/>
    <n v="1"/>
    <x v="0"/>
    <s v="Hirvonen, Miss. Hildur E"/>
    <x v="1"/>
    <n v="2"/>
    <n v="0"/>
    <n v="1"/>
    <n v="122875"/>
    <n v="0"/>
    <s v="Southampton"/>
    <x v="1"/>
    <s v="TERCERA"/>
    <s v="MUJER"/>
    <n v="2"/>
    <x v="4"/>
    <m/>
    <m/>
    <m/>
    <m/>
    <m/>
  </r>
  <r>
    <n v="481"/>
    <n v="0"/>
    <x v="0"/>
    <s v="Goodwin, Master. Harold Victor"/>
    <x v="0"/>
    <n v="9"/>
    <n v="5"/>
    <n v="2"/>
    <n v="469"/>
    <n v="0"/>
    <s v="Southampton"/>
    <x v="0"/>
    <s v="TERCERA"/>
    <s v="HOMBRE"/>
    <n v="9"/>
    <x v="4"/>
    <m/>
    <m/>
    <m/>
    <m/>
    <m/>
  </r>
  <r>
    <n v="482"/>
    <n v="0"/>
    <x v="2"/>
    <s v="Frost, Mr. Anthony Wood &quot;Archie&quot;"/>
    <x v="0"/>
    <m/>
    <n v="0"/>
    <n v="0"/>
    <n v="0"/>
    <n v="0"/>
    <s v="Southampton"/>
    <x v="0"/>
    <s v="SEGUNDA"/>
    <s v="HOMBRE"/>
    <s v=""/>
    <x v="4"/>
    <m/>
    <m/>
    <m/>
    <m/>
    <m/>
  </r>
  <r>
    <n v="483"/>
    <n v="0"/>
    <x v="0"/>
    <s v="Rouse, Mr. Richard Henry"/>
    <x v="0"/>
    <n v="50"/>
    <n v="0"/>
    <n v="0"/>
    <n v="805"/>
    <n v="0"/>
    <s v="Southampton"/>
    <x v="0"/>
    <s v="TERCERA"/>
    <s v="HOMBRE"/>
    <n v="50"/>
    <x v="5"/>
    <m/>
    <m/>
    <m/>
    <m/>
    <m/>
  </r>
  <r>
    <n v="484"/>
    <n v="1"/>
    <x v="0"/>
    <s v="Turkula, Mrs. (Hedwig)"/>
    <x v="1"/>
    <n v="63"/>
    <n v="0"/>
    <n v="0"/>
    <n v="95875"/>
    <n v="0"/>
    <s v="Southampton"/>
    <x v="1"/>
    <s v="TERCERA"/>
    <s v="MUJER"/>
    <n v="63"/>
    <x v="5"/>
    <m/>
    <m/>
    <m/>
    <m/>
    <m/>
  </r>
  <r>
    <n v="485"/>
    <n v="1"/>
    <x v="1"/>
    <s v="Bishop, Mr. Dickinson H"/>
    <x v="0"/>
    <n v="25"/>
    <n v="1"/>
    <n v="0"/>
    <n v="910792"/>
    <n v="1"/>
    <s v="Cherburg"/>
    <x v="1"/>
    <s v="PRIMERA"/>
    <s v="HOMBRE"/>
    <n v="25"/>
    <x v="2"/>
    <m/>
    <m/>
    <m/>
    <m/>
    <m/>
  </r>
  <r>
    <n v="486"/>
    <n v="0"/>
    <x v="0"/>
    <s v="Lefebre, Miss. Jeannie"/>
    <x v="1"/>
    <m/>
    <n v="3"/>
    <n v="1"/>
    <n v="254667"/>
    <n v="0"/>
    <s v="Southampton"/>
    <x v="0"/>
    <s v="TERCERA"/>
    <s v="MUJER"/>
    <s v=""/>
    <x v="4"/>
    <m/>
    <m/>
    <m/>
    <m/>
    <m/>
  </r>
  <r>
    <n v="487"/>
    <n v="1"/>
    <x v="1"/>
    <s v="Hoyt, Mrs. Frederick Maxfield (Jane Anne Forby)"/>
    <x v="1"/>
    <n v="35"/>
    <n v="1"/>
    <n v="0"/>
    <n v="90"/>
    <n v="1"/>
    <s v="Southampton"/>
    <x v="1"/>
    <s v="PRIMERA"/>
    <s v="MUJER"/>
    <n v="35"/>
    <x v="3"/>
    <m/>
    <m/>
    <m/>
    <m/>
    <m/>
  </r>
  <r>
    <n v="488"/>
    <n v="0"/>
    <x v="1"/>
    <s v="Kent, Mr. Edward Austin"/>
    <x v="0"/>
    <n v="58"/>
    <n v="0"/>
    <n v="0"/>
    <n v="297"/>
    <n v="1"/>
    <s v="Cherburg"/>
    <x v="0"/>
    <s v="PRIMERA"/>
    <s v="HOMBRE"/>
    <n v="58"/>
    <x v="5"/>
    <m/>
    <m/>
    <m/>
    <m/>
    <m/>
  </r>
  <r>
    <n v="489"/>
    <n v="0"/>
    <x v="0"/>
    <s v="Somerton, Mr. Francis William"/>
    <x v="0"/>
    <n v="30"/>
    <n v="0"/>
    <n v="0"/>
    <n v="805"/>
    <n v="0"/>
    <s v="Southampton"/>
    <x v="0"/>
    <s v="TERCERA"/>
    <s v="HOMBRE"/>
    <n v="30"/>
    <x v="7"/>
    <m/>
    <m/>
    <m/>
    <m/>
    <m/>
  </r>
  <r>
    <n v="490"/>
    <n v="1"/>
    <x v="0"/>
    <s v="Coutts, Master. Eden Leslie &quot;Neville&quot;"/>
    <x v="0"/>
    <n v="9"/>
    <n v="1"/>
    <n v="1"/>
    <n v="159"/>
    <n v="0"/>
    <s v="Southampton"/>
    <x v="1"/>
    <s v="TERCERA"/>
    <s v="HOMBRE"/>
    <n v="9"/>
    <x v="4"/>
    <m/>
    <m/>
    <m/>
    <m/>
    <m/>
  </r>
  <r>
    <n v="491"/>
    <n v="0"/>
    <x v="0"/>
    <s v="Hagland, Mr. Konrad Mathias Reiersen"/>
    <x v="0"/>
    <m/>
    <n v="1"/>
    <n v="0"/>
    <n v="199667"/>
    <n v="0"/>
    <s v="Southampton"/>
    <x v="0"/>
    <s v="TERCERA"/>
    <s v="HOMBRE"/>
    <s v=""/>
    <x v="4"/>
    <m/>
    <m/>
    <m/>
    <m/>
    <m/>
  </r>
  <r>
    <n v="492"/>
    <n v="0"/>
    <x v="0"/>
    <s v="Windelov, Mr. Einar"/>
    <x v="0"/>
    <n v="21"/>
    <n v="0"/>
    <n v="0"/>
    <n v="725"/>
    <n v="0"/>
    <s v="Southampton"/>
    <x v="0"/>
    <s v="TERCERA"/>
    <s v="HOMBRE"/>
    <n v="21"/>
    <x v="6"/>
    <m/>
    <m/>
    <m/>
    <m/>
    <m/>
  </r>
  <r>
    <n v="493"/>
    <n v="0"/>
    <x v="1"/>
    <s v="Molson, Mr. Harry Markland"/>
    <x v="0"/>
    <n v="55"/>
    <n v="0"/>
    <n v="0"/>
    <n v="305"/>
    <n v="1"/>
    <s v="Southampton"/>
    <x v="0"/>
    <s v="PRIMERA"/>
    <s v="HOMBRE"/>
    <n v="55"/>
    <x v="5"/>
    <m/>
    <m/>
    <m/>
    <m/>
    <m/>
  </r>
  <r>
    <n v="494"/>
    <n v="0"/>
    <x v="1"/>
    <s v="Artagaveytia, Mr. Ramon"/>
    <x v="0"/>
    <n v="71"/>
    <n v="0"/>
    <n v="0"/>
    <n v="495042"/>
    <n v="0"/>
    <s v="Cherburg"/>
    <x v="0"/>
    <s v="PRIMERA"/>
    <s v="HOMBRE"/>
    <n v="71"/>
    <x v="5"/>
    <m/>
    <m/>
    <m/>
    <m/>
    <m/>
  </r>
  <r>
    <n v="495"/>
    <n v="0"/>
    <x v="0"/>
    <s v="Stanley, Mr. Edward Roland"/>
    <x v="0"/>
    <n v="21"/>
    <n v="0"/>
    <n v="0"/>
    <n v="805"/>
    <n v="0"/>
    <s v="Southampton"/>
    <x v="0"/>
    <s v="TERCERA"/>
    <s v="HOMBRE"/>
    <n v="21"/>
    <x v="6"/>
    <m/>
    <m/>
    <m/>
    <m/>
    <m/>
  </r>
  <r>
    <n v="496"/>
    <n v="0"/>
    <x v="0"/>
    <s v="Yousseff, Mr. Gerious"/>
    <x v="0"/>
    <m/>
    <n v="0"/>
    <n v="0"/>
    <n v="144583"/>
    <n v="0"/>
    <s v="Cherburg"/>
    <x v="0"/>
    <s v="TERCERA"/>
    <s v="HOMBRE"/>
    <s v=""/>
    <x v="4"/>
    <m/>
    <m/>
    <m/>
    <m/>
    <m/>
  </r>
  <r>
    <n v="497"/>
    <n v="1"/>
    <x v="1"/>
    <s v="Eustis, Miss. Elizabeth Mussey"/>
    <x v="1"/>
    <n v="54"/>
    <n v="1"/>
    <n v="0"/>
    <n v="782667"/>
    <n v="1"/>
    <s v="Cherburg"/>
    <x v="1"/>
    <s v="PRIMERA"/>
    <s v="MUJER"/>
    <n v="54"/>
    <x v="5"/>
    <m/>
    <m/>
    <m/>
    <m/>
    <m/>
  </r>
  <r>
    <n v="498"/>
    <n v="0"/>
    <x v="0"/>
    <s v="Shellard, Mr. Frederick William"/>
    <x v="0"/>
    <m/>
    <n v="0"/>
    <n v="0"/>
    <n v="151"/>
    <n v="0"/>
    <s v="Southampton"/>
    <x v="0"/>
    <s v="TERCERA"/>
    <s v="HOMBRE"/>
    <s v=""/>
    <x v="4"/>
    <m/>
    <m/>
    <m/>
    <m/>
    <m/>
  </r>
  <r>
    <n v="499"/>
    <n v="0"/>
    <x v="1"/>
    <s v="Allison, Mrs. Hudson J C (Bessie Waldo Daniels)"/>
    <x v="1"/>
    <n v="25"/>
    <n v="1"/>
    <n v="2"/>
    <n v="15155"/>
    <n v="1"/>
    <s v="Southampton"/>
    <x v="0"/>
    <s v="PRIMERA"/>
    <s v="MUJER"/>
    <n v="25"/>
    <x v="2"/>
    <m/>
    <m/>
    <m/>
    <m/>
    <m/>
  </r>
  <r>
    <n v="500"/>
    <n v="0"/>
    <x v="0"/>
    <s v="Svensson, Mr. Olof"/>
    <x v="0"/>
    <n v="24"/>
    <n v="0"/>
    <n v="0"/>
    <n v="77958"/>
    <n v="0"/>
    <s v="Southampton"/>
    <x v="0"/>
    <s v="TERCERA"/>
    <s v="HOMBRE"/>
    <n v="24"/>
    <x v="0"/>
    <m/>
    <m/>
    <m/>
    <m/>
    <m/>
  </r>
  <r>
    <n v="501"/>
    <n v="0"/>
    <x v="0"/>
    <s v="Calic, Mr. Petar"/>
    <x v="0"/>
    <n v="17"/>
    <n v="0"/>
    <n v="0"/>
    <n v="86625"/>
    <n v="0"/>
    <s v="Southampton"/>
    <x v="0"/>
    <s v="TERCERA"/>
    <s v="HOMBRE"/>
    <n v="17"/>
    <x v="8"/>
    <m/>
    <m/>
    <m/>
    <m/>
    <m/>
  </r>
  <r>
    <n v="502"/>
    <n v="0"/>
    <x v="0"/>
    <s v="Canavan, Miss. Mary"/>
    <x v="1"/>
    <n v="21"/>
    <n v="0"/>
    <n v="0"/>
    <n v="775"/>
    <n v="0"/>
    <s v="Queenstown"/>
    <x v="0"/>
    <s v="TERCERA"/>
    <s v="MUJER"/>
    <n v="21"/>
    <x v="6"/>
    <m/>
    <m/>
    <m/>
    <m/>
    <m/>
  </r>
  <r>
    <n v="503"/>
    <n v="0"/>
    <x v="0"/>
    <s v="O'Sullivan, Miss. Bridget Mary"/>
    <x v="1"/>
    <m/>
    <n v="0"/>
    <n v="0"/>
    <n v="76292"/>
    <n v="0"/>
    <s v="Queenstown"/>
    <x v="0"/>
    <s v="TERCERA"/>
    <s v="MUJER"/>
    <s v=""/>
    <x v="4"/>
    <m/>
    <m/>
    <m/>
    <m/>
    <m/>
  </r>
  <r>
    <n v="504"/>
    <n v="0"/>
    <x v="0"/>
    <s v="Laitinen, Miss. Kristina Sofia"/>
    <x v="1"/>
    <n v="37"/>
    <n v="0"/>
    <n v="0"/>
    <n v="95875"/>
    <n v="0"/>
    <s v="Southampton"/>
    <x v="0"/>
    <s v="TERCERA"/>
    <s v="MUJER"/>
    <n v="37"/>
    <x v="1"/>
    <m/>
    <m/>
    <m/>
    <m/>
    <m/>
  </r>
  <r>
    <n v="505"/>
    <n v="1"/>
    <x v="1"/>
    <s v="Maioni, Miss. Roberta"/>
    <x v="1"/>
    <n v="16"/>
    <n v="0"/>
    <n v="0"/>
    <n v="865"/>
    <n v="1"/>
    <s v="Southampton"/>
    <x v="1"/>
    <s v="PRIMERA"/>
    <s v="MUJER"/>
    <n v="16"/>
    <x v="8"/>
    <m/>
    <m/>
    <m/>
    <m/>
    <m/>
  </r>
  <r>
    <n v="506"/>
    <n v="0"/>
    <x v="1"/>
    <s v="Penasco y Castellana, Mr. Victor de Satode"/>
    <x v="0"/>
    <n v="18"/>
    <n v="1"/>
    <n v="0"/>
    <n v="1089"/>
    <n v="1"/>
    <s v="Cherburg"/>
    <x v="0"/>
    <s v="PRIMERA"/>
    <s v="HOMBRE"/>
    <n v="18"/>
    <x v="8"/>
    <m/>
    <m/>
    <m/>
    <m/>
    <m/>
  </r>
  <r>
    <n v="507"/>
    <n v="1"/>
    <x v="2"/>
    <s v="Quick, Mrs. Frederick Charles (Jane Richards)"/>
    <x v="1"/>
    <n v="33"/>
    <n v="0"/>
    <n v="2"/>
    <n v="26"/>
    <n v="0"/>
    <s v="Southampton"/>
    <x v="1"/>
    <s v="SEGUNDA"/>
    <s v="MUJER"/>
    <n v="33"/>
    <x v="3"/>
    <m/>
    <m/>
    <m/>
    <m/>
    <m/>
  </r>
  <r>
    <n v="508"/>
    <n v="1"/>
    <x v="1"/>
    <s v="Bradley, Mr. George (&quot;George Arthur Brayton&quot;)"/>
    <x v="0"/>
    <m/>
    <n v="0"/>
    <n v="0"/>
    <n v="2655"/>
    <n v="0"/>
    <s v="Southampton"/>
    <x v="1"/>
    <s v="PRIMERA"/>
    <s v="HOMBRE"/>
    <s v=""/>
    <x v="4"/>
    <m/>
    <m/>
    <m/>
    <m/>
    <m/>
  </r>
  <r>
    <n v="509"/>
    <n v="0"/>
    <x v="0"/>
    <s v="Olsen, Mr. Henry Margido"/>
    <x v="0"/>
    <n v="28"/>
    <n v="0"/>
    <n v="0"/>
    <n v="22525"/>
    <n v="0"/>
    <s v="Southampton"/>
    <x v="0"/>
    <s v="TERCERA"/>
    <s v="HOMBRE"/>
    <n v="28"/>
    <x v="2"/>
    <m/>
    <m/>
    <m/>
    <m/>
    <m/>
  </r>
  <r>
    <n v="510"/>
    <n v="1"/>
    <x v="0"/>
    <s v="Lang, Mr. Fang"/>
    <x v="0"/>
    <n v="26"/>
    <n v="0"/>
    <n v="0"/>
    <n v="564958"/>
    <n v="0"/>
    <s v="Southampton"/>
    <x v="1"/>
    <s v="TERCERA"/>
    <s v="HOMBRE"/>
    <n v="26"/>
    <x v="2"/>
    <m/>
    <m/>
    <m/>
    <m/>
    <m/>
  </r>
  <r>
    <n v="511"/>
    <n v="1"/>
    <x v="0"/>
    <s v="Daly, Mr. Eugene Patrick"/>
    <x v="0"/>
    <n v="29"/>
    <n v="0"/>
    <n v="0"/>
    <n v="775"/>
    <n v="0"/>
    <s v="Queenstown"/>
    <x v="1"/>
    <s v="TERCERA"/>
    <s v="HOMBRE"/>
    <n v="29"/>
    <x v="7"/>
    <m/>
    <m/>
    <m/>
    <m/>
    <m/>
  </r>
  <r>
    <n v="512"/>
    <n v="0"/>
    <x v="0"/>
    <s v="Webber, Mr. James"/>
    <x v="0"/>
    <m/>
    <n v="0"/>
    <n v="0"/>
    <n v="805"/>
    <n v="0"/>
    <s v="Southampton"/>
    <x v="0"/>
    <s v="TERCERA"/>
    <s v="HOMBRE"/>
    <s v=""/>
    <x v="4"/>
    <m/>
    <m/>
    <m/>
    <m/>
    <m/>
  </r>
  <r>
    <n v="513"/>
    <n v="1"/>
    <x v="1"/>
    <s v="McGough, Mr. James Robert"/>
    <x v="0"/>
    <n v="36"/>
    <n v="0"/>
    <n v="0"/>
    <n v="262875"/>
    <n v="1"/>
    <s v="Southampton"/>
    <x v="1"/>
    <s v="PRIMERA"/>
    <s v="HOMBRE"/>
    <n v="36"/>
    <x v="1"/>
    <m/>
    <m/>
    <m/>
    <m/>
    <m/>
  </r>
  <r>
    <n v="514"/>
    <n v="1"/>
    <x v="1"/>
    <s v="Rothschild, Mrs. Martin (Elizabeth L. Barrett)"/>
    <x v="1"/>
    <n v="54"/>
    <n v="1"/>
    <n v="0"/>
    <n v="594"/>
    <n v="0"/>
    <s v="Cherburg"/>
    <x v="1"/>
    <s v="PRIMERA"/>
    <s v="MUJER"/>
    <n v="54"/>
    <x v="5"/>
    <m/>
    <m/>
    <m/>
    <m/>
    <m/>
  </r>
  <r>
    <n v="515"/>
    <n v="0"/>
    <x v="0"/>
    <s v="Coleff, Mr. Satio"/>
    <x v="0"/>
    <n v="24"/>
    <n v="0"/>
    <n v="0"/>
    <n v="74958"/>
    <n v="0"/>
    <s v="Southampton"/>
    <x v="0"/>
    <s v="TERCERA"/>
    <s v="HOMBRE"/>
    <n v="24"/>
    <x v="0"/>
    <m/>
    <m/>
    <m/>
    <m/>
    <m/>
  </r>
  <r>
    <n v="516"/>
    <n v="0"/>
    <x v="1"/>
    <s v="Walker, Mr. William Anderson"/>
    <x v="0"/>
    <n v="47"/>
    <n v="0"/>
    <n v="0"/>
    <n v="340208"/>
    <n v="1"/>
    <s v="Southampton"/>
    <x v="0"/>
    <s v="PRIMERA"/>
    <s v="HOMBRE"/>
    <n v="47"/>
    <x v="9"/>
    <m/>
    <m/>
    <m/>
    <m/>
    <m/>
  </r>
  <r>
    <n v="517"/>
    <n v="1"/>
    <x v="2"/>
    <s v="Lemore, Mrs. (Amelia Milley)"/>
    <x v="1"/>
    <n v="34"/>
    <n v="0"/>
    <n v="0"/>
    <n v="105"/>
    <n v="1"/>
    <s v="Southampton"/>
    <x v="1"/>
    <s v="SEGUNDA"/>
    <s v="MUJER"/>
    <n v="34"/>
    <x v="3"/>
    <m/>
    <m/>
    <m/>
    <m/>
    <m/>
  </r>
  <r>
    <n v="518"/>
    <n v="0"/>
    <x v="0"/>
    <s v="Ryan, Mr. Patrick"/>
    <x v="0"/>
    <m/>
    <n v="0"/>
    <n v="0"/>
    <n v="2415"/>
    <n v="0"/>
    <s v="Queenstown"/>
    <x v="0"/>
    <s v="TERCERA"/>
    <s v="HOMBRE"/>
    <s v=""/>
    <x v="4"/>
    <m/>
    <m/>
    <m/>
    <m/>
    <m/>
  </r>
  <r>
    <n v="519"/>
    <n v="1"/>
    <x v="2"/>
    <s v="Angle, Mrs. William A (Florence &quot;Mary&quot; Agnes Hughes)"/>
    <x v="1"/>
    <n v="36"/>
    <n v="1"/>
    <n v="0"/>
    <n v="26"/>
    <n v="0"/>
    <s v="Southampton"/>
    <x v="1"/>
    <s v="SEGUNDA"/>
    <s v="MUJER"/>
    <n v="36"/>
    <x v="1"/>
    <m/>
    <m/>
    <m/>
    <m/>
    <m/>
  </r>
  <r>
    <n v="520"/>
    <n v="0"/>
    <x v="0"/>
    <s v="Pavlovic, Mr. Stefo"/>
    <x v="0"/>
    <n v="32"/>
    <n v="0"/>
    <n v="0"/>
    <n v="78958"/>
    <n v="0"/>
    <s v="Southampton"/>
    <x v="0"/>
    <s v="TERCERA"/>
    <s v="HOMBRE"/>
    <n v="32"/>
    <x v="3"/>
    <m/>
    <m/>
    <m/>
    <m/>
    <m/>
  </r>
  <r>
    <n v="521"/>
    <n v="1"/>
    <x v="1"/>
    <s v="Perreault, Miss. Anne"/>
    <x v="1"/>
    <n v="30"/>
    <n v="0"/>
    <n v="0"/>
    <n v="935"/>
    <n v="1"/>
    <s v="Southampton"/>
    <x v="1"/>
    <s v="PRIMERA"/>
    <s v="MUJER"/>
    <n v="30"/>
    <x v="7"/>
    <m/>
    <m/>
    <m/>
    <m/>
    <m/>
  </r>
  <r>
    <n v="522"/>
    <n v="0"/>
    <x v="0"/>
    <s v="Vovk, Mr. Janko"/>
    <x v="0"/>
    <n v="22"/>
    <n v="0"/>
    <n v="0"/>
    <n v="78958"/>
    <n v="0"/>
    <s v="Southampton"/>
    <x v="0"/>
    <s v="TERCERA"/>
    <s v="HOMBRE"/>
    <n v="22"/>
    <x v="0"/>
    <m/>
    <m/>
    <m/>
    <m/>
    <m/>
  </r>
  <r>
    <n v="523"/>
    <n v="0"/>
    <x v="0"/>
    <s v="Lahoud, Mr. Sarkis"/>
    <x v="0"/>
    <m/>
    <n v="0"/>
    <n v="0"/>
    <n v="7225"/>
    <n v="0"/>
    <s v="Cherburg"/>
    <x v="0"/>
    <s v="TERCERA"/>
    <s v="HOMBRE"/>
    <s v=""/>
    <x v="4"/>
    <m/>
    <m/>
    <m/>
    <m/>
    <m/>
  </r>
  <r>
    <n v="524"/>
    <n v="1"/>
    <x v="1"/>
    <s v="Hippach, Mrs. Louis Albert (Ida Sophia Fischer)"/>
    <x v="1"/>
    <n v="44"/>
    <n v="0"/>
    <n v="1"/>
    <n v="579792"/>
    <n v="1"/>
    <s v="Cherburg"/>
    <x v="1"/>
    <s v="PRIMERA"/>
    <s v="MUJER"/>
    <n v="44"/>
    <x v="9"/>
    <m/>
    <m/>
    <m/>
    <m/>
    <m/>
  </r>
  <r>
    <n v="525"/>
    <n v="0"/>
    <x v="0"/>
    <s v="Kassem, Mr. Fared"/>
    <x v="0"/>
    <m/>
    <n v="0"/>
    <n v="0"/>
    <n v="72292"/>
    <n v="0"/>
    <s v="Cherburg"/>
    <x v="0"/>
    <s v="TERCERA"/>
    <s v="HOMBRE"/>
    <s v=""/>
    <x v="4"/>
    <m/>
    <m/>
    <m/>
    <m/>
    <m/>
  </r>
  <r>
    <n v="526"/>
    <n v="0"/>
    <x v="0"/>
    <s v="Farrell, Mr. James"/>
    <x v="0"/>
    <n v="405"/>
    <n v="0"/>
    <n v="0"/>
    <n v="775"/>
    <n v="0"/>
    <s v="Queenstown"/>
    <x v="0"/>
    <s v="TERCERA"/>
    <s v="HOMBRE"/>
    <n v="40.5"/>
    <x v="1"/>
    <m/>
    <m/>
    <m/>
    <m/>
    <m/>
  </r>
  <r>
    <n v="527"/>
    <n v="1"/>
    <x v="2"/>
    <s v="Ridsdale, Miss. Lucy"/>
    <x v="1"/>
    <n v="50"/>
    <n v="0"/>
    <n v="0"/>
    <n v="105"/>
    <n v="0"/>
    <s v="Southampton"/>
    <x v="1"/>
    <s v="SEGUNDA"/>
    <s v="MUJER"/>
    <n v="50"/>
    <x v="5"/>
    <m/>
    <m/>
    <m/>
    <m/>
    <m/>
  </r>
  <r>
    <n v="528"/>
    <n v="0"/>
    <x v="1"/>
    <s v="Farthing, Mr. John"/>
    <x v="0"/>
    <m/>
    <n v="0"/>
    <n v="0"/>
    <n v="2217792"/>
    <n v="1"/>
    <s v="Southampton"/>
    <x v="0"/>
    <s v="PRIMERA"/>
    <s v="HOMBRE"/>
    <s v=""/>
    <x v="4"/>
    <m/>
    <m/>
    <m/>
    <m/>
    <m/>
  </r>
  <r>
    <n v="529"/>
    <n v="0"/>
    <x v="0"/>
    <s v="Salonen, Mr. Johan Werner"/>
    <x v="0"/>
    <n v="39"/>
    <n v="0"/>
    <n v="0"/>
    <n v="7925"/>
    <n v="0"/>
    <s v="Southampton"/>
    <x v="0"/>
    <s v="TERCERA"/>
    <s v="HOMBRE"/>
    <n v="39"/>
    <x v="1"/>
    <m/>
    <m/>
    <m/>
    <m/>
    <m/>
  </r>
  <r>
    <n v="530"/>
    <n v="0"/>
    <x v="2"/>
    <s v="Hocking, Mr. Richard George"/>
    <x v="0"/>
    <n v="23"/>
    <n v="2"/>
    <n v="1"/>
    <n v="115"/>
    <n v="0"/>
    <s v="Southampton"/>
    <x v="0"/>
    <s v="SEGUNDA"/>
    <s v="HOMBRE"/>
    <n v="23"/>
    <x v="0"/>
    <m/>
    <m/>
    <m/>
    <m/>
    <m/>
  </r>
  <r>
    <n v="531"/>
    <n v="1"/>
    <x v="2"/>
    <s v="Quick, Miss. Phyllis May"/>
    <x v="1"/>
    <n v="2"/>
    <n v="1"/>
    <n v="1"/>
    <n v="26"/>
    <n v="0"/>
    <s v="Southampton"/>
    <x v="1"/>
    <s v="SEGUNDA"/>
    <s v="MUJER"/>
    <n v="2"/>
    <x v="4"/>
    <m/>
    <m/>
    <m/>
    <m/>
    <m/>
  </r>
  <r>
    <n v="532"/>
    <n v="0"/>
    <x v="0"/>
    <s v="Toufik, Mr. Nakli"/>
    <x v="0"/>
    <m/>
    <n v="0"/>
    <n v="0"/>
    <n v="72292"/>
    <n v="0"/>
    <s v="Cherburg"/>
    <x v="0"/>
    <s v="TERCERA"/>
    <s v="HOMBRE"/>
    <s v=""/>
    <x v="4"/>
    <m/>
    <m/>
    <m/>
    <m/>
    <m/>
  </r>
  <r>
    <n v="533"/>
    <n v="0"/>
    <x v="0"/>
    <s v="Elias, Mr. Joseph Jr"/>
    <x v="0"/>
    <n v="17"/>
    <n v="1"/>
    <n v="1"/>
    <n v="72292"/>
    <n v="0"/>
    <s v="Cherburg"/>
    <x v="0"/>
    <s v="TERCERA"/>
    <s v="HOMBRE"/>
    <n v="17"/>
    <x v="8"/>
    <m/>
    <m/>
    <m/>
    <m/>
    <m/>
  </r>
  <r>
    <n v="534"/>
    <n v="1"/>
    <x v="0"/>
    <s v="Peter, Mrs. Catherine (Catherine Rizk)"/>
    <x v="1"/>
    <m/>
    <n v="0"/>
    <n v="2"/>
    <n v="223583"/>
    <n v="0"/>
    <s v="Cherburg"/>
    <x v="1"/>
    <s v="TERCERA"/>
    <s v="MUJER"/>
    <s v=""/>
    <x v="4"/>
    <m/>
    <m/>
    <m/>
    <m/>
    <m/>
  </r>
  <r>
    <n v="535"/>
    <n v="0"/>
    <x v="0"/>
    <s v="Cacic, Miss. Marija"/>
    <x v="1"/>
    <n v="30"/>
    <n v="0"/>
    <n v="0"/>
    <n v="86625"/>
    <n v="0"/>
    <s v="Southampton"/>
    <x v="0"/>
    <s v="TERCERA"/>
    <s v="MUJER"/>
    <n v="30"/>
    <x v="7"/>
    <m/>
    <m/>
    <m/>
    <m/>
    <m/>
  </r>
  <r>
    <n v="536"/>
    <n v="1"/>
    <x v="2"/>
    <s v="Hart, Miss. Eva Miriam"/>
    <x v="1"/>
    <n v="7"/>
    <n v="0"/>
    <n v="2"/>
    <n v="2625"/>
    <n v="0"/>
    <s v="Southampton"/>
    <x v="1"/>
    <s v="SEGUNDA"/>
    <s v="MUJER"/>
    <n v="7"/>
    <x v="4"/>
    <m/>
    <m/>
    <m/>
    <m/>
    <m/>
  </r>
  <r>
    <n v="537"/>
    <n v="0"/>
    <x v="1"/>
    <s v="Butt, Major. Archibald Willingham"/>
    <x v="0"/>
    <n v="45"/>
    <n v="0"/>
    <n v="0"/>
    <n v="2655"/>
    <n v="1"/>
    <s v="Southampton"/>
    <x v="0"/>
    <s v="PRIMERA"/>
    <s v="HOMBRE"/>
    <n v="45"/>
    <x v="9"/>
    <m/>
    <m/>
    <m/>
    <m/>
    <m/>
  </r>
  <r>
    <n v="538"/>
    <n v="1"/>
    <x v="1"/>
    <s v="LeRoy, Miss. Bertha"/>
    <x v="1"/>
    <n v="30"/>
    <n v="0"/>
    <n v="0"/>
    <n v="106425"/>
    <n v="0"/>
    <s v="Cherburg"/>
    <x v="1"/>
    <s v="PRIMERA"/>
    <s v="MUJER"/>
    <n v="30"/>
    <x v="7"/>
    <m/>
    <m/>
    <m/>
    <m/>
    <m/>
  </r>
  <r>
    <n v="539"/>
    <n v="0"/>
    <x v="0"/>
    <s v="Risien, Mr. Samuel Beard"/>
    <x v="0"/>
    <m/>
    <n v="0"/>
    <n v="0"/>
    <n v="145"/>
    <n v="0"/>
    <s v="Southampton"/>
    <x v="0"/>
    <s v="TERCERA"/>
    <s v="HOMBRE"/>
    <s v=""/>
    <x v="4"/>
    <m/>
    <m/>
    <m/>
    <m/>
    <m/>
  </r>
  <r>
    <n v="540"/>
    <n v="1"/>
    <x v="1"/>
    <s v="Frolicher, Miss. Hedwig Margaritha"/>
    <x v="1"/>
    <n v="22"/>
    <n v="0"/>
    <n v="2"/>
    <n v="495"/>
    <n v="1"/>
    <s v="Cherburg"/>
    <x v="1"/>
    <s v="PRIMERA"/>
    <s v="MUJER"/>
    <n v="22"/>
    <x v="0"/>
    <m/>
    <m/>
    <m/>
    <m/>
    <m/>
  </r>
  <r>
    <n v="541"/>
    <n v="1"/>
    <x v="1"/>
    <s v="Crosby, Miss. Harriet R"/>
    <x v="1"/>
    <n v="36"/>
    <n v="0"/>
    <n v="2"/>
    <n v="71"/>
    <n v="1"/>
    <s v="Southampton"/>
    <x v="1"/>
    <s v="PRIMERA"/>
    <s v="MUJER"/>
    <n v="36"/>
    <x v="1"/>
    <m/>
    <m/>
    <m/>
    <m/>
    <m/>
  </r>
  <r>
    <n v="542"/>
    <n v="0"/>
    <x v="0"/>
    <s v="Andersson, Miss. Ingeborg Constanzia"/>
    <x v="1"/>
    <n v="9"/>
    <n v="4"/>
    <n v="2"/>
    <n v="31275"/>
    <n v="0"/>
    <s v="Southampton"/>
    <x v="0"/>
    <s v="TERCERA"/>
    <s v="MUJER"/>
    <n v="9"/>
    <x v="4"/>
    <m/>
    <m/>
    <m/>
    <m/>
    <m/>
  </r>
  <r>
    <n v="543"/>
    <n v="0"/>
    <x v="0"/>
    <s v="Andersson, Miss. Sigrid Elisabeth"/>
    <x v="1"/>
    <n v="11"/>
    <n v="4"/>
    <n v="2"/>
    <n v="31275"/>
    <n v="0"/>
    <s v="Southampton"/>
    <x v="0"/>
    <s v="TERCERA"/>
    <s v="MUJER"/>
    <n v="11"/>
    <x v="4"/>
    <m/>
    <m/>
    <m/>
    <m/>
    <m/>
  </r>
  <r>
    <n v="544"/>
    <n v="1"/>
    <x v="2"/>
    <s v="Beane, Mr. Edward"/>
    <x v="0"/>
    <n v="32"/>
    <n v="1"/>
    <n v="0"/>
    <n v="26"/>
    <n v="0"/>
    <s v="Southampton"/>
    <x v="1"/>
    <s v="SEGUNDA"/>
    <s v="HOMBRE"/>
    <n v="32"/>
    <x v="3"/>
    <m/>
    <m/>
    <m/>
    <m/>
    <m/>
  </r>
  <r>
    <n v="545"/>
    <n v="0"/>
    <x v="1"/>
    <s v="Douglas, Mr. Walter Donald"/>
    <x v="0"/>
    <n v="50"/>
    <n v="1"/>
    <n v="0"/>
    <n v="106425"/>
    <n v="1"/>
    <s v="Cherburg"/>
    <x v="0"/>
    <s v="PRIMERA"/>
    <s v="HOMBRE"/>
    <n v="50"/>
    <x v="5"/>
    <m/>
    <m/>
    <m/>
    <m/>
    <m/>
  </r>
  <r>
    <n v="546"/>
    <n v="0"/>
    <x v="1"/>
    <s v="Nicholson, Mr. Arthur Ernest"/>
    <x v="0"/>
    <n v="64"/>
    <n v="0"/>
    <n v="0"/>
    <n v="26"/>
    <n v="0"/>
    <s v="Southampton"/>
    <x v="0"/>
    <s v="PRIMERA"/>
    <s v="HOMBRE"/>
    <n v="64"/>
    <x v="5"/>
    <m/>
    <m/>
    <m/>
    <m/>
    <m/>
  </r>
  <r>
    <n v="547"/>
    <n v="1"/>
    <x v="2"/>
    <s v="Beane, Mrs. Edward (Ethel Clarke)"/>
    <x v="1"/>
    <n v="19"/>
    <n v="1"/>
    <n v="0"/>
    <n v="26"/>
    <n v="0"/>
    <s v="Southampton"/>
    <x v="1"/>
    <s v="SEGUNDA"/>
    <s v="MUJER"/>
    <n v="19"/>
    <x v="6"/>
    <m/>
    <m/>
    <m/>
    <m/>
    <m/>
  </r>
  <r>
    <n v="548"/>
    <n v="1"/>
    <x v="2"/>
    <s v="Padro y Manent, Mr. Julian"/>
    <x v="0"/>
    <m/>
    <n v="0"/>
    <n v="0"/>
    <n v="138625"/>
    <n v="0"/>
    <s v="Cherburg"/>
    <x v="1"/>
    <s v="SEGUNDA"/>
    <s v="HOMBRE"/>
    <s v=""/>
    <x v="4"/>
    <m/>
    <m/>
    <m/>
    <m/>
    <m/>
  </r>
  <r>
    <n v="549"/>
    <n v="0"/>
    <x v="0"/>
    <s v="Goldsmith, Mr. Frank John"/>
    <x v="0"/>
    <n v="33"/>
    <n v="1"/>
    <n v="1"/>
    <n v="20525"/>
    <n v="0"/>
    <s v="Southampton"/>
    <x v="0"/>
    <s v="TERCERA"/>
    <s v="HOMBRE"/>
    <n v="33"/>
    <x v="3"/>
    <m/>
    <m/>
    <m/>
    <m/>
    <m/>
  </r>
  <r>
    <n v="550"/>
    <n v="1"/>
    <x v="2"/>
    <s v="Davies, Master. John Morgan Jr"/>
    <x v="0"/>
    <n v="8"/>
    <n v="1"/>
    <n v="1"/>
    <n v="3675"/>
    <n v="0"/>
    <s v="Southampton"/>
    <x v="1"/>
    <s v="SEGUNDA"/>
    <s v="HOMBRE"/>
    <n v="8"/>
    <x v="4"/>
    <m/>
    <m/>
    <m/>
    <m/>
    <m/>
  </r>
  <r>
    <n v="551"/>
    <n v="1"/>
    <x v="1"/>
    <s v="Thayer, Mr. John Borland Jr"/>
    <x v="0"/>
    <n v="17"/>
    <n v="0"/>
    <n v="2"/>
    <n v="1108833"/>
    <n v="1"/>
    <s v="Cherburg"/>
    <x v="1"/>
    <s v="PRIMERA"/>
    <s v="HOMBRE"/>
    <n v="17"/>
    <x v="8"/>
    <m/>
    <m/>
    <m/>
    <m/>
    <m/>
  </r>
  <r>
    <n v="552"/>
    <n v="0"/>
    <x v="2"/>
    <s v="Sharp, Mr. Percival James R"/>
    <x v="0"/>
    <n v="27"/>
    <n v="0"/>
    <n v="0"/>
    <n v="26"/>
    <n v="0"/>
    <s v="Southampton"/>
    <x v="0"/>
    <s v="SEGUNDA"/>
    <s v="HOMBRE"/>
    <n v="27"/>
    <x v="2"/>
    <m/>
    <m/>
    <m/>
    <m/>
    <m/>
  </r>
  <r>
    <n v="553"/>
    <n v="0"/>
    <x v="0"/>
    <s v="O'Brien, Mr. Timothy"/>
    <x v="0"/>
    <m/>
    <n v="0"/>
    <n v="0"/>
    <n v="78292"/>
    <n v="0"/>
    <s v="Queenstown"/>
    <x v="0"/>
    <s v="TERCERA"/>
    <s v="HOMBRE"/>
    <s v=""/>
    <x v="4"/>
    <m/>
    <m/>
    <m/>
    <m/>
    <m/>
  </r>
  <r>
    <n v="554"/>
    <n v="1"/>
    <x v="0"/>
    <s v="Leeni, Mr. Fahim (&quot;Philip Zenni&quot;)"/>
    <x v="0"/>
    <n v="22"/>
    <n v="0"/>
    <n v="0"/>
    <n v="7225"/>
    <n v="0"/>
    <s v="Cherburg"/>
    <x v="1"/>
    <s v="TERCERA"/>
    <s v="HOMBRE"/>
    <n v="22"/>
    <x v="0"/>
    <m/>
    <m/>
    <m/>
    <m/>
    <m/>
  </r>
  <r>
    <n v="555"/>
    <n v="1"/>
    <x v="0"/>
    <s v="Ohman, Miss. Velin"/>
    <x v="1"/>
    <n v="22"/>
    <n v="0"/>
    <n v="0"/>
    <n v="7775"/>
    <n v="0"/>
    <s v="Southampton"/>
    <x v="1"/>
    <s v="TERCERA"/>
    <s v="MUJER"/>
    <n v="22"/>
    <x v="0"/>
    <m/>
    <m/>
    <m/>
    <m/>
    <m/>
  </r>
  <r>
    <n v="556"/>
    <n v="0"/>
    <x v="1"/>
    <s v="Wright, Mr. George"/>
    <x v="0"/>
    <n v="62"/>
    <n v="0"/>
    <n v="0"/>
    <n v="2655"/>
    <n v="0"/>
    <s v="Southampton"/>
    <x v="0"/>
    <s v="PRIMERA"/>
    <s v="HOMBRE"/>
    <n v="62"/>
    <x v="5"/>
    <m/>
    <m/>
    <m/>
    <m/>
    <m/>
  </r>
  <r>
    <n v="557"/>
    <n v="1"/>
    <x v="1"/>
    <s v="Duff Gordon, Lady. (Lucille Christiana Sutherland) (&quot;Mrs Morgan&quot;)"/>
    <x v="1"/>
    <n v="48"/>
    <n v="1"/>
    <n v="0"/>
    <n v="396"/>
    <n v="1"/>
    <s v="Cherburg"/>
    <x v="1"/>
    <s v="PRIMERA"/>
    <s v="MUJER"/>
    <n v="48"/>
    <x v="9"/>
    <m/>
    <m/>
    <m/>
    <m/>
    <m/>
  </r>
  <r>
    <n v="558"/>
    <n v="0"/>
    <x v="1"/>
    <s v="Robbins, Mr. Victor"/>
    <x v="0"/>
    <m/>
    <n v="0"/>
    <n v="0"/>
    <n v="227525"/>
    <n v="0"/>
    <s v="Cherburg"/>
    <x v="0"/>
    <s v="PRIMERA"/>
    <s v="HOMBRE"/>
    <s v=""/>
    <x v="4"/>
    <m/>
    <m/>
    <m/>
    <m/>
    <m/>
  </r>
  <r>
    <n v="559"/>
    <n v="1"/>
    <x v="1"/>
    <s v="Taussig, Mrs. Emil (Tillie Mandelbaum)"/>
    <x v="1"/>
    <n v="39"/>
    <n v="1"/>
    <n v="1"/>
    <n v="7965"/>
    <n v="1"/>
    <s v="Southampton"/>
    <x v="1"/>
    <s v="PRIMERA"/>
    <s v="MUJER"/>
    <n v="39"/>
    <x v="1"/>
    <m/>
    <m/>
    <m/>
    <m/>
    <m/>
  </r>
  <r>
    <n v="560"/>
    <n v="1"/>
    <x v="0"/>
    <s v="de Messemaeker, Mrs. Guillaume Joseph (Emma)"/>
    <x v="1"/>
    <n v="36"/>
    <n v="1"/>
    <n v="0"/>
    <n v="174"/>
    <n v="0"/>
    <s v="Southampton"/>
    <x v="1"/>
    <s v="TERCERA"/>
    <s v="MUJER"/>
    <n v="36"/>
    <x v="1"/>
    <m/>
    <m/>
    <m/>
    <m/>
    <m/>
  </r>
  <r>
    <n v="561"/>
    <n v="0"/>
    <x v="0"/>
    <s v="Morrow, Mr. Thomas Rowan"/>
    <x v="0"/>
    <m/>
    <n v="0"/>
    <n v="0"/>
    <n v="775"/>
    <n v="0"/>
    <s v="Queenstown"/>
    <x v="0"/>
    <s v="TERCERA"/>
    <s v="HOMBRE"/>
    <s v=""/>
    <x v="4"/>
    <m/>
    <m/>
    <m/>
    <m/>
    <m/>
  </r>
  <r>
    <n v="562"/>
    <n v="0"/>
    <x v="0"/>
    <s v="Sivic, Mr. Husein"/>
    <x v="0"/>
    <n v="40"/>
    <n v="0"/>
    <n v="0"/>
    <n v="78958"/>
    <n v="0"/>
    <s v="Southampton"/>
    <x v="0"/>
    <s v="TERCERA"/>
    <s v="HOMBRE"/>
    <n v="40"/>
    <x v="1"/>
    <m/>
    <m/>
    <m/>
    <m/>
    <m/>
  </r>
  <r>
    <n v="563"/>
    <n v="0"/>
    <x v="2"/>
    <s v="Norman, Mr. Robert Douglas"/>
    <x v="0"/>
    <n v="28"/>
    <n v="0"/>
    <n v="0"/>
    <n v="135"/>
    <n v="0"/>
    <s v="Southampton"/>
    <x v="0"/>
    <s v="SEGUNDA"/>
    <s v="HOMBRE"/>
    <n v="28"/>
    <x v="2"/>
    <m/>
    <m/>
    <m/>
    <m/>
    <m/>
  </r>
  <r>
    <n v="564"/>
    <n v="0"/>
    <x v="0"/>
    <s v="Simmons, Mr. John"/>
    <x v="0"/>
    <m/>
    <n v="0"/>
    <n v="0"/>
    <n v="805"/>
    <n v="0"/>
    <s v="Southampton"/>
    <x v="0"/>
    <s v="TERCERA"/>
    <s v="HOMBRE"/>
    <s v=""/>
    <x v="4"/>
    <m/>
    <m/>
    <m/>
    <m/>
    <m/>
  </r>
  <r>
    <n v="565"/>
    <n v="0"/>
    <x v="0"/>
    <s v="Meanwell, Miss. (Marion Ogden)"/>
    <x v="1"/>
    <m/>
    <n v="0"/>
    <n v="0"/>
    <n v="805"/>
    <n v="0"/>
    <s v="Southampton"/>
    <x v="0"/>
    <s v="TERCERA"/>
    <s v="MUJER"/>
    <s v=""/>
    <x v="4"/>
    <m/>
    <m/>
    <m/>
    <m/>
    <m/>
  </r>
  <r>
    <n v="566"/>
    <n v="0"/>
    <x v="0"/>
    <s v="Davies, Mr. Alfred J"/>
    <x v="0"/>
    <n v="24"/>
    <n v="2"/>
    <n v="0"/>
    <n v="2415"/>
    <n v="0"/>
    <s v="Southampton"/>
    <x v="0"/>
    <s v="TERCERA"/>
    <s v="HOMBRE"/>
    <n v="24"/>
    <x v="0"/>
    <m/>
    <m/>
    <m/>
    <m/>
    <m/>
  </r>
  <r>
    <n v="567"/>
    <n v="0"/>
    <x v="0"/>
    <s v="Stoytcheff, Mr. Ilia"/>
    <x v="0"/>
    <n v="19"/>
    <n v="0"/>
    <n v="0"/>
    <n v="78958"/>
    <n v="0"/>
    <s v="Southampton"/>
    <x v="0"/>
    <s v="TERCERA"/>
    <s v="HOMBRE"/>
    <n v="19"/>
    <x v="6"/>
    <m/>
    <m/>
    <m/>
    <m/>
    <m/>
  </r>
  <r>
    <n v="568"/>
    <n v="0"/>
    <x v="0"/>
    <s v="Palsson, Mrs. Nils (Alma Cornelia Berglund)"/>
    <x v="1"/>
    <n v="29"/>
    <n v="0"/>
    <n v="4"/>
    <n v="21075"/>
    <n v="0"/>
    <s v="Southampton"/>
    <x v="0"/>
    <s v="TERCERA"/>
    <s v="MUJER"/>
    <n v="29"/>
    <x v="7"/>
    <m/>
    <m/>
    <m/>
    <m/>
    <m/>
  </r>
  <r>
    <n v="569"/>
    <n v="0"/>
    <x v="0"/>
    <s v="Doharr, Mr. Tannous"/>
    <x v="0"/>
    <m/>
    <n v="0"/>
    <n v="0"/>
    <n v="72292"/>
    <n v="0"/>
    <s v="Cherburg"/>
    <x v="0"/>
    <s v="TERCERA"/>
    <s v="HOMBRE"/>
    <s v=""/>
    <x v="4"/>
    <m/>
    <m/>
    <m/>
    <m/>
    <m/>
  </r>
  <r>
    <n v="570"/>
    <n v="1"/>
    <x v="0"/>
    <s v="Jonsson, Mr. Carl"/>
    <x v="0"/>
    <n v="32"/>
    <n v="0"/>
    <n v="0"/>
    <n v="78542"/>
    <n v="0"/>
    <s v="Southampton"/>
    <x v="1"/>
    <s v="TERCERA"/>
    <s v="HOMBRE"/>
    <n v="32"/>
    <x v="3"/>
    <m/>
    <m/>
    <m/>
    <m/>
    <m/>
  </r>
  <r>
    <n v="571"/>
    <n v="1"/>
    <x v="2"/>
    <s v="Harris, Mr. George"/>
    <x v="0"/>
    <n v="62"/>
    <n v="0"/>
    <n v="0"/>
    <n v="105"/>
    <n v="0"/>
    <s v="Southampton"/>
    <x v="1"/>
    <s v="SEGUNDA"/>
    <s v="HOMBRE"/>
    <n v="62"/>
    <x v="5"/>
    <m/>
    <m/>
    <m/>
    <m/>
    <m/>
  </r>
  <r>
    <n v="572"/>
    <n v="1"/>
    <x v="1"/>
    <s v="Appleton, Mrs. Edward Dale (Charlotte Lamson)"/>
    <x v="1"/>
    <n v="53"/>
    <n v="2"/>
    <n v="0"/>
    <n v="514792"/>
    <n v="1"/>
    <s v="Southampton"/>
    <x v="1"/>
    <s v="PRIMERA"/>
    <s v="MUJER"/>
    <n v="53"/>
    <x v="5"/>
    <m/>
    <m/>
    <m/>
    <m/>
    <m/>
  </r>
  <r>
    <n v="573"/>
    <n v="1"/>
    <x v="1"/>
    <s v="Flynn, Mr. John Irwin (&quot;Irving&quot;)"/>
    <x v="0"/>
    <n v="36"/>
    <n v="0"/>
    <n v="0"/>
    <n v="263875"/>
    <n v="1"/>
    <s v="Southampton"/>
    <x v="1"/>
    <s v="PRIMERA"/>
    <s v="HOMBRE"/>
    <n v="36"/>
    <x v="1"/>
    <m/>
    <m/>
    <m/>
    <m/>
    <m/>
  </r>
  <r>
    <n v="574"/>
    <n v="1"/>
    <x v="0"/>
    <s v="Kelly, Miss. Mary"/>
    <x v="1"/>
    <m/>
    <n v="0"/>
    <n v="0"/>
    <n v="775"/>
    <n v="0"/>
    <s v="Queenstown"/>
    <x v="1"/>
    <s v="TERCERA"/>
    <s v="MUJER"/>
    <s v=""/>
    <x v="4"/>
    <m/>
    <m/>
    <m/>
    <m/>
    <m/>
  </r>
  <r>
    <n v="575"/>
    <n v="0"/>
    <x v="0"/>
    <s v="Rush, Mr. Alfred George John"/>
    <x v="0"/>
    <n v="16"/>
    <n v="0"/>
    <n v="0"/>
    <n v="805"/>
    <n v="0"/>
    <s v="Southampton"/>
    <x v="0"/>
    <s v="TERCERA"/>
    <s v="HOMBRE"/>
    <n v="16"/>
    <x v="8"/>
    <m/>
    <m/>
    <m/>
    <m/>
    <m/>
  </r>
  <r>
    <n v="576"/>
    <n v="0"/>
    <x v="0"/>
    <s v="Patchett, Mr. George"/>
    <x v="0"/>
    <n v="19"/>
    <n v="0"/>
    <n v="0"/>
    <n v="145"/>
    <n v="0"/>
    <s v="Southampton"/>
    <x v="0"/>
    <s v="TERCERA"/>
    <s v="HOMBRE"/>
    <n v="19"/>
    <x v="6"/>
    <m/>
    <m/>
    <m/>
    <m/>
    <m/>
  </r>
  <r>
    <n v="577"/>
    <n v="1"/>
    <x v="2"/>
    <s v="Garside, Miss. Ethel"/>
    <x v="1"/>
    <n v="34"/>
    <n v="0"/>
    <n v="0"/>
    <n v="13"/>
    <n v="0"/>
    <s v="Southampton"/>
    <x v="1"/>
    <s v="SEGUNDA"/>
    <s v="MUJER"/>
    <n v="34"/>
    <x v="3"/>
    <m/>
    <m/>
    <m/>
    <m/>
    <m/>
  </r>
  <r>
    <n v="578"/>
    <n v="1"/>
    <x v="1"/>
    <s v="Silvey, Mrs. William Baird (Alice Munger)"/>
    <x v="1"/>
    <n v="39"/>
    <n v="1"/>
    <n v="0"/>
    <n v="559"/>
    <n v="1"/>
    <s v="Southampton"/>
    <x v="1"/>
    <s v="PRIMERA"/>
    <s v="MUJER"/>
    <n v="39"/>
    <x v="1"/>
    <m/>
    <m/>
    <m/>
    <m/>
    <m/>
  </r>
  <r>
    <n v="579"/>
    <n v="0"/>
    <x v="0"/>
    <s v="Caram, Mrs. Joseph (Maria Elias)"/>
    <x v="1"/>
    <m/>
    <n v="1"/>
    <n v="0"/>
    <n v="144583"/>
    <n v="0"/>
    <s v="Cherburg"/>
    <x v="0"/>
    <s v="TERCERA"/>
    <s v="MUJER"/>
    <s v=""/>
    <x v="4"/>
    <m/>
    <m/>
    <m/>
    <m/>
    <m/>
  </r>
  <r>
    <n v="580"/>
    <n v="1"/>
    <x v="0"/>
    <s v="Jussila, Mr. Eiriik"/>
    <x v="0"/>
    <n v="32"/>
    <n v="0"/>
    <n v="0"/>
    <n v="7925"/>
    <n v="0"/>
    <s v="Southampton"/>
    <x v="1"/>
    <s v="TERCERA"/>
    <s v="HOMBRE"/>
    <n v="32"/>
    <x v="3"/>
    <m/>
    <m/>
    <m/>
    <m/>
    <m/>
  </r>
  <r>
    <n v="581"/>
    <n v="1"/>
    <x v="2"/>
    <s v="Christy, Miss. Julie Rachel"/>
    <x v="1"/>
    <n v="25"/>
    <n v="1"/>
    <n v="1"/>
    <n v="30"/>
    <n v="0"/>
    <s v="Southampton"/>
    <x v="1"/>
    <s v="SEGUNDA"/>
    <s v="MUJER"/>
    <n v="25"/>
    <x v="2"/>
    <m/>
    <m/>
    <m/>
    <m/>
    <m/>
  </r>
  <r>
    <n v="582"/>
    <n v="1"/>
    <x v="1"/>
    <s v="Thayer, Mrs. John Borland (Marian Longstreth Morris)"/>
    <x v="1"/>
    <n v="39"/>
    <n v="1"/>
    <n v="1"/>
    <n v="1108833"/>
    <n v="1"/>
    <s v="Cherburg"/>
    <x v="1"/>
    <s v="PRIMERA"/>
    <s v="MUJER"/>
    <n v="39"/>
    <x v="1"/>
    <m/>
    <m/>
    <m/>
    <m/>
    <m/>
  </r>
  <r>
    <n v="583"/>
    <n v="0"/>
    <x v="2"/>
    <s v="Downton, Mr. William James"/>
    <x v="0"/>
    <n v="54"/>
    <n v="0"/>
    <n v="0"/>
    <n v="26"/>
    <n v="0"/>
    <s v="Southampton"/>
    <x v="0"/>
    <s v="SEGUNDA"/>
    <s v="HOMBRE"/>
    <n v="54"/>
    <x v="5"/>
    <m/>
    <m/>
    <m/>
    <m/>
    <m/>
  </r>
  <r>
    <n v="584"/>
    <n v="0"/>
    <x v="1"/>
    <s v="Ross, Mr. John Hugo"/>
    <x v="0"/>
    <n v="36"/>
    <n v="0"/>
    <n v="0"/>
    <n v="40125"/>
    <n v="1"/>
    <s v="Cherburg"/>
    <x v="0"/>
    <s v="PRIMERA"/>
    <s v="HOMBRE"/>
    <n v="36"/>
    <x v="1"/>
    <m/>
    <m/>
    <m/>
    <m/>
    <m/>
  </r>
  <r>
    <n v="585"/>
    <n v="0"/>
    <x v="0"/>
    <s v="Paulner, Mr. Uscher"/>
    <x v="0"/>
    <m/>
    <n v="0"/>
    <n v="0"/>
    <n v="87125"/>
    <n v="0"/>
    <s v="Cherburg"/>
    <x v="0"/>
    <s v="TERCERA"/>
    <s v="HOMBRE"/>
    <s v=""/>
    <x v="4"/>
    <m/>
    <m/>
    <m/>
    <m/>
    <m/>
  </r>
  <r>
    <n v="586"/>
    <n v="1"/>
    <x v="1"/>
    <s v="Taussig, Miss. Ruth"/>
    <x v="1"/>
    <n v="18"/>
    <n v="0"/>
    <n v="2"/>
    <n v="7965"/>
    <n v="1"/>
    <s v="Southampton"/>
    <x v="1"/>
    <s v="PRIMERA"/>
    <s v="MUJER"/>
    <n v="18"/>
    <x v="8"/>
    <m/>
    <m/>
    <m/>
    <m/>
    <m/>
  </r>
  <r>
    <n v="587"/>
    <n v="0"/>
    <x v="2"/>
    <s v="Jarvis, Mr. John Denzil"/>
    <x v="0"/>
    <n v="47"/>
    <n v="0"/>
    <n v="0"/>
    <n v="15"/>
    <n v="0"/>
    <s v="Southampton"/>
    <x v="0"/>
    <s v="SEGUNDA"/>
    <s v="HOMBRE"/>
    <n v="47"/>
    <x v="9"/>
    <m/>
    <m/>
    <m/>
    <m/>
    <m/>
  </r>
  <r>
    <n v="588"/>
    <n v="1"/>
    <x v="1"/>
    <s v="Frolicher-Stehli, Mr. Maxmillian"/>
    <x v="0"/>
    <n v="60"/>
    <n v="1"/>
    <n v="1"/>
    <n v="792"/>
    <n v="1"/>
    <s v="Cherburg"/>
    <x v="1"/>
    <s v="PRIMERA"/>
    <s v="HOMBRE"/>
    <n v="60"/>
    <x v="5"/>
    <m/>
    <m/>
    <m/>
    <m/>
    <m/>
  </r>
  <r>
    <n v="589"/>
    <n v="0"/>
    <x v="0"/>
    <s v="Gilinski, Mr. Eliezer"/>
    <x v="0"/>
    <n v="22"/>
    <n v="0"/>
    <n v="0"/>
    <n v="805"/>
    <n v="0"/>
    <s v="Southampton"/>
    <x v="0"/>
    <s v="TERCERA"/>
    <s v="HOMBRE"/>
    <n v="22"/>
    <x v="0"/>
    <m/>
    <m/>
    <m/>
    <m/>
    <m/>
  </r>
  <r>
    <n v="590"/>
    <n v="0"/>
    <x v="0"/>
    <s v="Murdlin, Mr. Joseph"/>
    <x v="0"/>
    <m/>
    <n v="0"/>
    <n v="0"/>
    <n v="805"/>
    <n v="0"/>
    <s v="Southampton"/>
    <x v="0"/>
    <s v="TERCERA"/>
    <s v="HOMBRE"/>
    <s v=""/>
    <x v="4"/>
    <m/>
    <m/>
    <m/>
    <m/>
    <m/>
  </r>
  <r>
    <n v="591"/>
    <n v="0"/>
    <x v="0"/>
    <s v="Rintamaki, Mr. Matti"/>
    <x v="0"/>
    <n v="35"/>
    <n v="0"/>
    <n v="0"/>
    <n v="7125"/>
    <n v="0"/>
    <s v="Southampton"/>
    <x v="0"/>
    <s v="TERCERA"/>
    <s v="HOMBRE"/>
    <n v="35"/>
    <x v="3"/>
    <m/>
    <m/>
    <m/>
    <m/>
    <m/>
  </r>
  <r>
    <n v="592"/>
    <n v="1"/>
    <x v="1"/>
    <s v="Stephenson, Mrs. Walter Bertram (Martha Eustis)"/>
    <x v="1"/>
    <n v="52"/>
    <n v="1"/>
    <n v="0"/>
    <n v="782667"/>
    <n v="1"/>
    <s v="Cherburg"/>
    <x v="1"/>
    <s v="PRIMERA"/>
    <s v="MUJER"/>
    <n v="52"/>
    <x v="5"/>
    <m/>
    <m/>
    <m/>
    <m/>
    <m/>
  </r>
  <r>
    <n v="593"/>
    <n v="0"/>
    <x v="0"/>
    <s v="Elsbury, Mr. William James"/>
    <x v="0"/>
    <n v="47"/>
    <n v="0"/>
    <n v="0"/>
    <n v="725"/>
    <n v="0"/>
    <s v="Southampton"/>
    <x v="0"/>
    <s v="TERCERA"/>
    <s v="HOMBRE"/>
    <n v="47"/>
    <x v="9"/>
    <m/>
    <m/>
    <m/>
    <m/>
    <m/>
  </r>
  <r>
    <n v="594"/>
    <n v="0"/>
    <x v="0"/>
    <s v="Bourke, Miss. Mary"/>
    <x v="1"/>
    <m/>
    <n v="0"/>
    <n v="2"/>
    <n v="775"/>
    <n v="0"/>
    <s v="Queenstown"/>
    <x v="0"/>
    <s v="TERCERA"/>
    <s v="MUJER"/>
    <s v=""/>
    <x v="4"/>
    <m/>
    <m/>
    <m/>
    <m/>
    <m/>
  </r>
  <r>
    <n v="595"/>
    <n v="0"/>
    <x v="2"/>
    <s v="Chapman, Mr. John Henry"/>
    <x v="0"/>
    <n v="37"/>
    <n v="1"/>
    <n v="0"/>
    <n v="26"/>
    <n v="0"/>
    <s v="Southampton"/>
    <x v="0"/>
    <s v="SEGUNDA"/>
    <s v="HOMBRE"/>
    <n v="37"/>
    <x v="1"/>
    <m/>
    <m/>
    <m/>
    <m/>
    <m/>
  </r>
  <r>
    <n v="596"/>
    <n v="0"/>
    <x v="0"/>
    <s v="Van Impe, Mr. Jean Baptiste"/>
    <x v="0"/>
    <n v="36"/>
    <n v="1"/>
    <n v="1"/>
    <n v="2415"/>
    <n v="0"/>
    <s v="Southampton"/>
    <x v="0"/>
    <s v="TERCERA"/>
    <s v="HOMBRE"/>
    <n v="36"/>
    <x v="1"/>
    <m/>
    <m/>
    <m/>
    <m/>
    <m/>
  </r>
  <r>
    <n v="597"/>
    <n v="1"/>
    <x v="2"/>
    <s v="Leitch, Miss. Jessie Wills"/>
    <x v="1"/>
    <m/>
    <n v="0"/>
    <n v="0"/>
    <n v="33"/>
    <n v="0"/>
    <s v="Southampton"/>
    <x v="1"/>
    <s v="SEGUNDA"/>
    <s v="MUJER"/>
    <s v=""/>
    <x v="4"/>
    <m/>
    <m/>
    <m/>
    <m/>
    <m/>
  </r>
  <r>
    <n v="598"/>
    <n v="0"/>
    <x v="0"/>
    <s v="Johnson, Mr. Alfred"/>
    <x v="0"/>
    <n v="49"/>
    <n v="0"/>
    <n v="0"/>
    <n v="0"/>
    <n v="0"/>
    <s v="Southampton"/>
    <x v="0"/>
    <s v="TERCERA"/>
    <s v="HOMBRE"/>
    <n v="49"/>
    <x v="9"/>
    <m/>
    <m/>
    <m/>
    <m/>
    <m/>
  </r>
  <r>
    <n v="599"/>
    <n v="0"/>
    <x v="0"/>
    <s v="Boulos, Mr. Hanna"/>
    <x v="0"/>
    <m/>
    <n v="0"/>
    <n v="0"/>
    <n v="7225"/>
    <n v="0"/>
    <s v="Cherburg"/>
    <x v="0"/>
    <s v="TERCERA"/>
    <s v="HOMBRE"/>
    <s v=""/>
    <x v="4"/>
    <m/>
    <m/>
    <m/>
    <m/>
    <m/>
  </r>
  <r>
    <n v="600"/>
    <n v="1"/>
    <x v="1"/>
    <s v="Duff Gordon, Sir. Cosmo Edmund (&quot;Mr Morgan&quot;)"/>
    <x v="0"/>
    <n v="49"/>
    <n v="1"/>
    <n v="0"/>
    <n v="569292"/>
    <n v="1"/>
    <s v="Cherburg"/>
    <x v="1"/>
    <s v="PRIMERA"/>
    <s v="HOMBRE"/>
    <n v="49"/>
    <x v="9"/>
    <m/>
    <m/>
    <m/>
    <m/>
    <m/>
  </r>
  <r>
    <n v="601"/>
    <n v="1"/>
    <x v="2"/>
    <s v="Jacobsohn, Mrs. Sidney Samuel (Amy Frances Christy)"/>
    <x v="1"/>
    <n v="24"/>
    <n v="2"/>
    <n v="1"/>
    <n v="27"/>
    <n v="0"/>
    <s v="Southampton"/>
    <x v="1"/>
    <s v="SEGUNDA"/>
    <s v="MUJER"/>
    <n v="24"/>
    <x v="0"/>
    <m/>
    <m/>
    <m/>
    <m/>
    <m/>
  </r>
  <r>
    <n v="602"/>
    <n v="0"/>
    <x v="0"/>
    <s v="Slabenoff, Mr. Petco"/>
    <x v="0"/>
    <m/>
    <n v="0"/>
    <n v="0"/>
    <n v="78958"/>
    <n v="0"/>
    <s v="Southampton"/>
    <x v="0"/>
    <s v="TERCERA"/>
    <s v="HOMBRE"/>
    <s v=""/>
    <x v="4"/>
    <m/>
    <m/>
    <m/>
    <m/>
    <m/>
  </r>
  <r>
    <n v="603"/>
    <n v="0"/>
    <x v="1"/>
    <s v="Harrington, Mr. Charles H"/>
    <x v="0"/>
    <m/>
    <n v="0"/>
    <n v="0"/>
    <n v="424"/>
    <n v="0"/>
    <s v="Southampton"/>
    <x v="0"/>
    <s v="PRIMERA"/>
    <s v="HOMBRE"/>
    <s v=""/>
    <x v="4"/>
    <m/>
    <m/>
    <m/>
    <m/>
    <m/>
  </r>
  <r>
    <n v="604"/>
    <n v="0"/>
    <x v="0"/>
    <s v="Torber, Mr. Ernst William"/>
    <x v="0"/>
    <n v="44"/>
    <n v="0"/>
    <n v="0"/>
    <n v="805"/>
    <n v="0"/>
    <s v="Southampton"/>
    <x v="0"/>
    <s v="TERCERA"/>
    <s v="HOMBRE"/>
    <n v="44"/>
    <x v="9"/>
    <m/>
    <m/>
    <m/>
    <m/>
    <m/>
  </r>
  <r>
    <n v="605"/>
    <n v="1"/>
    <x v="1"/>
    <s v="Homer, Mr. Harry (&quot;Mr E Haven&quot;)"/>
    <x v="0"/>
    <n v="35"/>
    <n v="0"/>
    <n v="0"/>
    <n v="2655"/>
    <n v="0"/>
    <s v="Cherburg"/>
    <x v="1"/>
    <s v="PRIMERA"/>
    <s v="HOMBRE"/>
    <n v="35"/>
    <x v="3"/>
    <m/>
    <m/>
    <m/>
    <m/>
    <m/>
  </r>
  <r>
    <n v="606"/>
    <n v="0"/>
    <x v="0"/>
    <s v="Lindell, Mr. Edvard Bengtsson"/>
    <x v="0"/>
    <n v="36"/>
    <n v="1"/>
    <n v="0"/>
    <n v="1555"/>
    <n v="0"/>
    <s v="Southampton"/>
    <x v="0"/>
    <s v="TERCERA"/>
    <s v="HOMBRE"/>
    <n v="36"/>
    <x v="1"/>
    <m/>
    <m/>
    <m/>
    <m/>
    <m/>
  </r>
  <r>
    <n v="607"/>
    <n v="0"/>
    <x v="0"/>
    <s v="Karaic, Mr. Milan"/>
    <x v="0"/>
    <n v="30"/>
    <n v="0"/>
    <n v="0"/>
    <n v="78958"/>
    <n v="0"/>
    <s v="Southampton"/>
    <x v="0"/>
    <s v="TERCERA"/>
    <s v="HOMBRE"/>
    <n v="30"/>
    <x v="7"/>
    <m/>
    <m/>
    <m/>
    <m/>
    <m/>
  </r>
  <r>
    <n v="608"/>
    <n v="1"/>
    <x v="1"/>
    <s v="Daniel, Mr. Robert Williams"/>
    <x v="0"/>
    <n v="27"/>
    <n v="0"/>
    <n v="0"/>
    <n v="305"/>
    <n v="0"/>
    <s v="Southampton"/>
    <x v="1"/>
    <s v="PRIMERA"/>
    <s v="HOMBRE"/>
    <n v="27"/>
    <x v="2"/>
    <m/>
    <m/>
    <m/>
    <m/>
    <m/>
  </r>
  <r>
    <n v="609"/>
    <n v="1"/>
    <x v="2"/>
    <s v="Laroche, Mrs. Joseph (Juliette Marie Louise Lafargue)"/>
    <x v="1"/>
    <n v="22"/>
    <n v="1"/>
    <n v="2"/>
    <n v="415792"/>
    <n v="0"/>
    <s v="Cherburg"/>
    <x v="1"/>
    <s v="SEGUNDA"/>
    <s v="MUJER"/>
    <n v="22"/>
    <x v="0"/>
    <m/>
    <m/>
    <m/>
    <m/>
    <m/>
  </r>
  <r>
    <n v="610"/>
    <n v="1"/>
    <x v="1"/>
    <s v="Shutes, Miss. Elizabeth W"/>
    <x v="1"/>
    <n v="40"/>
    <n v="0"/>
    <n v="0"/>
    <n v="1534625"/>
    <n v="1"/>
    <s v="Southampton"/>
    <x v="1"/>
    <s v="PRIMERA"/>
    <s v="MUJER"/>
    <n v="40"/>
    <x v="1"/>
    <m/>
    <m/>
    <m/>
    <m/>
    <m/>
  </r>
  <r>
    <n v="611"/>
    <n v="0"/>
    <x v="0"/>
    <s v="Andersson, Mrs. Anders Johan (Alfrida Konstantia Brogren)"/>
    <x v="1"/>
    <n v="39"/>
    <n v="1"/>
    <n v="5"/>
    <n v="31275"/>
    <n v="0"/>
    <s v="Southampton"/>
    <x v="0"/>
    <s v="TERCERA"/>
    <s v="MUJER"/>
    <n v="39"/>
    <x v="1"/>
    <m/>
    <m/>
    <m/>
    <m/>
    <m/>
  </r>
  <r>
    <n v="612"/>
    <n v="0"/>
    <x v="0"/>
    <s v="Jardin, Mr. Jose Neto"/>
    <x v="0"/>
    <m/>
    <n v="0"/>
    <n v="0"/>
    <n v="705"/>
    <n v="0"/>
    <s v="Southampton"/>
    <x v="0"/>
    <s v="TERCERA"/>
    <s v="HOMBRE"/>
    <s v=""/>
    <x v="4"/>
    <m/>
    <m/>
    <m/>
    <m/>
    <m/>
  </r>
  <r>
    <n v="613"/>
    <n v="1"/>
    <x v="0"/>
    <s v="Murphy, Miss. Margaret Jane"/>
    <x v="1"/>
    <m/>
    <n v="1"/>
    <n v="0"/>
    <n v="155"/>
    <n v="0"/>
    <s v="Queenstown"/>
    <x v="1"/>
    <s v="TERCERA"/>
    <s v="MUJER"/>
    <s v=""/>
    <x v="4"/>
    <m/>
    <m/>
    <m/>
    <m/>
    <m/>
  </r>
  <r>
    <n v="614"/>
    <n v="0"/>
    <x v="0"/>
    <s v="Horgan, Mr. John"/>
    <x v="0"/>
    <m/>
    <n v="0"/>
    <n v="0"/>
    <n v="775"/>
    <n v="0"/>
    <s v="Queenstown"/>
    <x v="0"/>
    <s v="TERCERA"/>
    <s v="HOMBRE"/>
    <s v=""/>
    <x v="4"/>
    <m/>
    <m/>
    <m/>
    <m/>
    <m/>
  </r>
  <r>
    <n v="615"/>
    <n v="0"/>
    <x v="0"/>
    <s v="Brocklebank, Mr. William Alfred"/>
    <x v="0"/>
    <n v="35"/>
    <n v="0"/>
    <n v="0"/>
    <n v="805"/>
    <n v="0"/>
    <s v="Southampton"/>
    <x v="0"/>
    <s v="TERCERA"/>
    <s v="HOMBRE"/>
    <n v="35"/>
    <x v="3"/>
    <m/>
    <m/>
    <m/>
    <m/>
    <m/>
  </r>
  <r>
    <n v="616"/>
    <n v="1"/>
    <x v="2"/>
    <s v="Herman, Miss. Alice"/>
    <x v="1"/>
    <n v="24"/>
    <n v="1"/>
    <n v="2"/>
    <n v="65"/>
    <n v="0"/>
    <s v="Southampton"/>
    <x v="1"/>
    <s v="SEGUNDA"/>
    <s v="MUJER"/>
    <n v="24"/>
    <x v="0"/>
    <m/>
    <m/>
    <m/>
    <m/>
    <m/>
  </r>
  <r>
    <n v="617"/>
    <n v="0"/>
    <x v="0"/>
    <s v="Danbom, Mr. Ernst Gilbert"/>
    <x v="0"/>
    <n v="34"/>
    <n v="1"/>
    <n v="1"/>
    <n v="144"/>
    <n v="0"/>
    <s v="Southampton"/>
    <x v="0"/>
    <s v="TERCERA"/>
    <s v="HOMBRE"/>
    <n v="34"/>
    <x v="3"/>
    <m/>
    <m/>
    <m/>
    <m/>
    <m/>
  </r>
  <r>
    <n v="618"/>
    <n v="0"/>
    <x v="0"/>
    <s v="Lobb, Mrs. William Arthur (Cordelia K Stanlick)"/>
    <x v="1"/>
    <n v="26"/>
    <n v="1"/>
    <n v="0"/>
    <n v="161"/>
    <n v="0"/>
    <s v="Southampton"/>
    <x v="0"/>
    <s v="TERCERA"/>
    <s v="MUJER"/>
    <n v="26"/>
    <x v="2"/>
    <m/>
    <m/>
    <m/>
    <m/>
    <m/>
  </r>
  <r>
    <n v="619"/>
    <n v="1"/>
    <x v="2"/>
    <s v="Becker, Miss. Marion Louise"/>
    <x v="1"/>
    <n v="4"/>
    <n v="2"/>
    <n v="1"/>
    <n v="39"/>
    <n v="1"/>
    <s v="Southampton"/>
    <x v="1"/>
    <s v="SEGUNDA"/>
    <s v="MUJER"/>
    <n v="4"/>
    <x v="4"/>
    <m/>
    <m/>
    <m/>
    <m/>
    <m/>
  </r>
  <r>
    <n v="620"/>
    <n v="0"/>
    <x v="2"/>
    <s v="Gavey, Mr. Lawrence"/>
    <x v="0"/>
    <n v="26"/>
    <n v="0"/>
    <n v="0"/>
    <n v="105"/>
    <n v="0"/>
    <s v="Southampton"/>
    <x v="0"/>
    <s v="SEGUNDA"/>
    <s v="HOMBRE"/>
    <n v="26"/>
    <x v="2"/>
    <m/>
    <m/>
    <m/>
    <m/>
    <m/>
  </r>
  <r>
    <n v="621"/>
    <n v="0"/>
    <x v="0"/>
    <s v="Yasbeck, Mr. Antoni"/>
    <x v="0"/>
    <n v="27"/>
    <n v="1"/>
    <n v="0"/>
    <n v="144542"/>
    <n v="0"/>
    <s v="Cherburg"/>
    <x v="0"/>
    <s v="TERCERA"/>
    <s v="HOMBRE"/>
    <n v="27"/>
    <x v="2"/>
    <m/>
    <m/>
    <m/>
    <m/>
    <m/>
  </r>
  <r>
    <n v="622"/>
    <n v="1"/>
    <x v="1"/>
    <s v="Kimball, Mr. Edwin Nelson Jr"/>
    <x v="0"/>
    <n v="42"/>
    <n v="1"/>
    <n v="0"/>
    <n v="525542"/>
    <n v="1"/>
    <s v="Southampton"/>
    <x v="1"/>
    <s v="PRIMERA"/>
    <s v="HOMBRE"/>
    <n v="42"/>
    <x v="9"/>
    <m/>
    <m/>
    <m/>
    <m/>
    <m/>
  </r>
  <r>
    <n v="623"/>
    <n v="1"/>
    <x v="0"/>
    <s v="Nakid, Mr. Sahid"/>
    <x v="0"/>
    <n v="20"/>
    <n v="1"/>
    <n v="1"/>
    <n v="157417"/>
    <n v="0"/>
    <s v="Cherburg"/>
    <x v="1"/>
    <s v="TERCERA"/>
    <s v="HOMBRE"/>
    <n v="20"/>
    <x v="6"/>
    <m/>
    <m/>
    <m/>
    <m/>
    <m/>
  </r>
  <r>
    <n v="624"/>
    <n v="0"/>
    <x v="0"/>
    <s v="Hansen, Mr. Henry Damsgaard"/>
    <x v="0"/>
    <n v="21"/>
    <n v="0"/>
    <n v="0"/>
    <n v="78542"/>
    <n v="0"/>
    <s v="Southampton"/>
    <x v="0"/>
    <s v="TERCERA"/>
    <s v="HOMBRE"/>
    <n v="21"/>
    <x v="6"/>
    <m/>
    <m/>
    <m/>
    <m/>
    <m/>
  </r>
  <r>
    <n v="625"/>
    <n v="0"/>
    <x v="0"/>
    <s v="Bowen, Mr. David John &quot;Dai&quot;"/>
    <x v="0"/>
    <n v="21"/>
    <n v="0"/>
    <n v="0"/>
    <n v="161"/>
    <n v="0"/>
    <s v="Southampton"/>
    <x v="0"/>
    <s v="TERCERA"/>
    <s v="HOMBRE"/>
    <n v="21"/>
    <x v="6"/>
    <m/>
    <m/>
    <m/>
    <m/>
    <m/>
  </r>
  <r>
    <n v="626"/>
    <n v="0"/>
    <x v="1"/>
    <s v="Sutton, Mr. Frederick"/>
    <x v="0"/>
    <n v="61"/>
    <n v="0"/>
    <n v="0"/>
    <n v="323208"/>
    <n v="1"/>
    <s v="Southampton"/>
    <x v="0"/>
    <s v="PRIMERA"/>
    <s v="HOMBRE"/>
    <n v="61"/>
    <x v="5"/>
    <m/>
    <m/>
    <m/>
    <m/>
    <m/>
  </r>
  <r>
    <n v="627"/>
    <n v="0"/>
    <x v="2"/>
    <s v="Kirkland, Rev. Charles Leonard"/>
    <x v="0"/>
    <n v="57"/>
    <n v="0"/>
    <n v="0"/>
    <n v="1235"/>
    <n v="0"/>
    <s v="Queenstown"/>
    <x v="0"/>
    <s v="SEGUNDA"/>
    <s v="HOMBRE"/>
    <n v="57"/>
    <x v="5"/>
    <m/>
    <m/>
    <m/>
    <m/>
    <m/>
  </r>
  <r>
    <n v="628"/>
    <n v="1"/>
    <x v="1"/>
    <s v="Longley, Miss. Gretchen Fiske"/>
    <x v="1"/>
    <n v="21"/>
    <n v="0"/>
    <n v="0"/>
    <n v="779583"/>
    <n v="1"/>
    <s v="Southampton"/>
    <x v="1"/>
    <s v="PRIMERA"/>
    <s v="MUJER"/>
    <n v="21"/>
    <x v="6"/>
    <m/>
    <m/>
    <m/>
    <m/>
    <m/>
  </r>
  <r>
    <n v="629"/>
    <n v="0"/>
    <x v="0"/>
    <s v="Bostandyeff, Mr. Guentcho"/>
    <x v="0"/>
    <n v="26"/>
    <n v="0"/>
    <n v="0"/>
    <n v="78958"/>
    <n v="0"/>
    <s v="Southampton"/>
    <x v="0"/>
    <s v="TERCERA"/>
    <s v="HOMBRE"/>
    <n v="26"/>
    <x v="2"/>
    <m/>
    <m/>
    <m/>
    <m/>
    <m/>
  </r>
  <r>
    <n v="630"/>
    <n v="0"/>
    <x v="0"/>
    <s v="O'Connell, Mr. Patrick D"/>
    <x v="0"/>
    <m/>
    <n v="0"/>
    <n v="0"/>
    <n v="77333"/>
    <n v="0"/>
    <s v="Queenstown"/>
    <x v="0"/>
    <s v="TERCERA"/>
    <s v="HOMBRE"/>
    <s v=""/>
    <x v="4"/>
    <m/>
    <m/>
    <m/>
    <m/>
    <m/>
  </r>
  <r>
    <n v="631"/>
    <n v="1"/>
    <x v="1"/>
    <s v="Barkworth, Mr. Algernon Henry Wilson"/>
    <x v="0"/>
    <n v="80"/>
    <n v="0"/>
    <n v="0"/>
    <n v="30"/>
    <n v="1"/>
    <s v="Southampton"/>
    <x v="1"/>
    <s v="PRIMERA"/>
    <s v="HOMBRE"/>
    <n v="80"/>
    <x v="5"/>
    <m/>
    <m/>
    <m/>
    <m/>
    <m/>
  </r>
  <r>
    <n v="632"/>
    <n v="0"/>
    <x v="0"/>
    <s v="Lundahl, Mr. Johan Svensson"/>
    <x v="0"/>
    <n v="51"/>
    <n v="0"/>
    <n v="0"/>
    <n v="70542"/>
    <n v="0"/>
    <s v="Southampton"/>
    <x v="0"/>
    <s v="TERCERA"/>
    <s v="HOMBRE"/>
    <n v="51"/>
    <x v="5"/>
    <m/>
    <m/>
    <m/>
    <m/>
    <m/>
  </r>
  <r>
    <n v="633"/>
    <n v="1"/>
    <x v="1"/>
    <s v="Stahelin-Maeglin, Dr. Max"/>
    <x v="0"/>
    <n v="32"/>
    <n v="0"/>
    <n v="0"/>
    <n v="305"/>
    <n v="1"/>
    <s v="Cherburg"/>
    <x v="1"/>
    <s v="PRIMERA"/>
    <s v="HOMBRE"/>
    <n v="32"/>
    <x v="3"/>
    <m/>
    <m/>
    <m/>
    <m/>
    <m/>
  </r>
  <r>
    <n v="634"/>
    <n v="0"/>
    <x v="1"/>
    <s v="Parr, Mr. William Henry Marsh"/>
    <x v="0"/>
    <m/>
    <n v="0"/>
    <n v="0"/>
    <n v="0"/>
    <n v="0"/>
    <s v="Southampton"/>
    <x v="0"/>
    <s v="PRIMERA"/>
    <s v="HOMBRE"/>
    <s v=""/>
    <x v="4"/>
    <m/>
    <m/>
    <m/>
    <m/>
    <m/>
  </r>
  <r>
    <n v="635"/>
    <n v="0"/>
    <x v="0"/>
    <s v="Skoog, Miss. Mabel"/>
    <x v="1"/>
    <n v="9"/>
    <n v="3"/>
    <n v="2"/>
    <n v="279"/>
    <n v="0"/>
    <s v="Southampton"/>
    <x v="0"/>
    <s v="TERCERA"/>
    <s v="MUJER"/>
    <n v="9"/>
    <x v="4"/>
    <m/>
    <m/>
    <m/>
    <m/>
    <m/>
  </r>
  <r>
    <n v="636"/>
    <n v="1"/>
    <x v="2"/>
    <s v="Davis, Miss. Mary"/>
    <x v="1"/>
    <n v="28"/>
    <n v="0"/>
    <n v="0"/>
    <n v="13"/>
    <n v="0"/>
    <s v="Southampton"/>
    <x v="1"/>
    <s v="SEGUNDA"/>
    <s v="MUJER"/>
    <n v="28"/>
    <x v="2"/>
    <m/>
    <m/>
    <m/>
    <m/>
    <m/>
  </r>
  <r>
    <n v="637"/>
    <n v="0"/>
    <x v="0"/>
    <s v="Leinonen, Mr. Antti Gustaf"/>
    <x v="0"/>
    <n v="32"/>
    <n v="0"/>
    <n v="0"/>
    <n v="7925"/>
    <n v="0"/>
    <s v="Southampton"/>
    <x v="0"/>
    <s v="TERCERA"/>
    <s v="HOMBRE"/>
    <n v="32"/>
    <x v="3"/>
    <m/>
    <m/>
    <m/>
    <m/>
    <m/>
  </r>
  <r>
    <n v="638"/>
    <n v="0"/>
    <x v="2"/>
    <s v="Collyer, Mr. Harvey"/>
    <x v="0"/>
    <n v="31"/>
    <n v="1"/>
    <n v="1"/>
    <n v="2625"/>
    <n v="0"/>
    <s v="Southampton"/>
    <x v="0"/>
    <s v="SEGUNDA"/>
    <s v="HOMBRE"/>
    <n v="31"/>
    <x v="7"/>
    <m/>
    <m/>
    <m/>
    <m/>
    <m/>
  </r>
  <r>
    <n v="639"/>
    <n v="0"/>
    <x v="0"/>
    <s v="Panula, Mrs. Juha (Maria Emilia Ojala)"/>
    <x v="1"/>
    <n v="41"/>
    <n v="0"/>
    <n v="5"/>
    <n v="396875"/>
    <n v="0"/>
    <s v="Southampton"/>
    <x v="0"/>
    <s v="TERCERA"/>
    <s v="MUJER"/>
    <n v="41"/>
    <x v="1"/>
    <m/>
    <m/>
    <m/>
    <m/>
    <m/>
  </r>
  <r>
    <n v="640"/>
    <n v="0"/>
    <x v="0"/>
    <s v="Thorneycroft, Mr. Percival"/>
    <x v="0"/>
    <m/>
    <n v="1"/>
    <n v="0"/>
    <n v="161"/>
    <n v="0"/>
    <s v="Southampton"/>
    <x v="0"/>
    <s v="TERCERA"/>
    <s v="HOMBRE"/>
    <s v=""/>
    <x v="4"/>
    <m/>
    <m/>
    <m/>
    <m/>
    <m/>
  </r>
  <r>
    <n v="641"/>
    <n v="0"/>
    <x v="0"/>
    <s v="Jensen, Mr. Hans Peder"/>
    <x v="0"/>
    <n v="20"/>
    <n v="0"/>
    <n v="0"/>
    <n v="78542"/>
    <n v="0"/>
    <s v="Southampton"/>
    <x v="0"/>
    <s v="TERCERA"/>
    <s v="HOMBRE"/>
    <n v="20"/>
    <x v="6"/>
    <m/>
    <m/>
    <m/>
    <m/>
    <m/>
  </r>
  <r>
    <n v="642"/>
    <n v="1"/>
    <x v="1"/>
    <s v="Sagesser, Mlle. Emma"/>
    <x v="1"/>
    <n v="24"/>
    <n v="0"/>
    <n v="0"/>
    <n v="693"/>
    <n v="1"/>
    <s v="Cherburg"/>
    <x v="1"/>
    <s v="PRIMERA"/>
    <s v="MUJER"/>
    <n v="24"/>
    <x v="0"/>
    <m/>
    <m/>
    <m/>
    <m/>
    <m/>
  </r>
  <r>
    <n v="643"/>
    <n v="0"/>
    <x v="0"/>
    <s v="Skoog, Miss. Margit Elizabeth"/>
    <x v="1"/>
    <n v="2"/>
    <n v="3"/>
    <n v="2"/>
    <n v="279"/>
    <n v="0"/>
    <s v="Southampton"/>
    <x v="0"/>
    <s v="TERCERA"/>
    <s v="MUJER"/>
    <n v="2"/>
    <x v="4"/>
    <m/>
    <m/>
    <m/>
    <m/>
    <m/>
  </r>
  <r>
    <n v="644"/>
    <n v="1"/>
    <x v="0"/>
    <s v="Foo, Mr. Choong"/>
    <x v="0"/>
    <m/>
    <n v="0"/>
    <n v="0"/>
    <n v="564958"/>
    <n v="0"/>
    <s v="Southampton"/>
    <x v="1"/>
    <s v="TERCERA"/>
    <s v="HOMBRE"/>
    <s v=""/>
    <x v="4"/>
    <m/>
    <m/>
    <m/>
    <m/>
    <m/>
  </r>
  <r>
    <n v="645"/>
    <n v="1"/>
    <x v="0"/>
    <s v="Baclini, Miss. Eugenie"/>
    <x v="1"/>
    <n v="75"/>
    <n v="2"/>
    <n v="1"/>
    <n v="192583"/>
    <n v="0"/>
    <s v="Cherburg"/>
    <x v="1"/>
    <s v="TERCERA"/>
    <s v="MUJER"/>
    <n v="75"/>
    <x v="5"/>
    <m/>
    <m/>
    <m/>
    <m/>
    <m/>
  </r>
  <r>
    <n v="646"/>
    <n v="1"/>
    <x v="1"/>
    <s v="Harper, Mr. Henry Sleeper"/>
    <x v="0"/>
    <n v="48"/>
    <n v="1"/>
    <n v="0"/>
    <n v="767292"/>
    <n v="1"/>
    <s v="Cherburg"/>
    <x v="1"/>
    <s v="PRIMERA"/>
    <s v="HOMBRE"/>
    <n v="48"/>
    <x v="9"/>
    <m/>
    <m/>
    <m/>
    <m/>
    <m/>
  </r>
  <r>
    <n v="647"/>
    <n v="0"/>
    <x v="0"/>
    <s v="Cor, Mr. Liudevit"/>
    <x v="0"/>
    <n v="19"/>
    <n v="0"/>
    <n v="0"/>
    <n v="78958"/>
    <n v="0"/>
    <s v="Southampton"/>
    <x v="0"/>
    <s v="TERCERA"/>
    <s v="HOMBRE"/>
    <n v="19"/>
    <x v="6"/>
    <m/>
    <m/>
    <m/>
    <m/>
    <m/>
  </r>
  <r>
    <n v="648"/>
    <n v="1"/>
    <x v="1"/>
    <s v="Simonius-Blumer, Col. Oberst Alfons"/>
    <x v="0"/>
    <n v="56"/>
    <n v="0"/>
    <n v="0"/>
    <n v="355"/>
    <n v="1"/>
    <s v="Cherburg"/>
    <x v="1"/>
    <s v="PRIMERA"/>
    <s v="HOMBRE"/>
    <n v="56"/>
    <x v="5"/>
    <m/>
    <m/>
    <m/>
    <m/>
    <m/>
  </r>
  <r>
    <n v="649"/>
    <n v="0"/>
    <x v="0"/>
    <s v="Willey, Mr. Edward"/>
    <x v="0"/>
    <m/>
    <n v="0"/>
    <n v="0"/>
    <n v="755"/>
    <n v="0"/>
    <s v="Southampton"/>
    <x v="0"/>
    <s v="TERCERA"/>
    <s v="HOMBRE"/>
    <s v=""/>
    <x v="4"/>
    <m/>
    <m/>
    <m/>
    <m/>
    <m/>
  </r>
  <r>
    <n v="650"/>
    <n v="1"/>
    <x v="0"/>
    <s v="Stanley, Miss. Amy Zillah Elsie"/>
    <x v="1"/>
    <n v="23"/>
    <n v="0"/>
    <n v="0"/>
    <n v="755"/>
    <n v="0"/>
    <s v="Southampton"/>
    <x v="1"/>
    <s v="TERCERA"/>
    <s v="MUJER"/>
    <n v="23"/>
    <x v="0"/>
    <m/>
    <m/>
    <m/>
    <m/>
    <m/>
  </r>
  <r>
    <n v="651"/>
    <n v="0"/>
    <x v="0"/>
    <s v="Mitkoff, Mr. Mito"/>
    <x v="0"/>
    <m/>
    <n v="0"/>
    <n v="0"/>
    <n v="78958"/>
    <n v="0"/>
    <s v="Southampton"/>
    <x v="0"/>
    <s v="TERCERA"/>
    <s v="HOMBRE"/>
    <s v=""/>
    <x v="4"/>
    <m/>
    <m/>
    <m/>
    <m/>
    <m/>
  </r>
  <r>
    <n v="652"/>
    <n v="1"/>
    <x v="2"/>
    <s v="Doling, Miss. Elsie"/>
    <x v="1"/>
    <n v="18"/>
    <n v="0"/>
    <n v="1"/>
    <n v="23"/>
    <n v="0"/>
    <s v="Southampton"/>
    <x v="1"/>
    <s v="SEGUNDA"/>
    <s v="MUJER"/>
    <n v="18"/>
    <x v="8"/>
    <m/>
    <m/>
    <m/>
    <m/>
    <m/>
  </r>
  <r>
    <n v="653"/>
    <n v="0"/>
    <x v="0"/>
    <s v="Kalvik, Mr. Johannes Halvorsen"/>
    <x v="0"/>
    <n v="21"/>
    <n v="0"/>
    <n v="0"/>
    <n v="84333"/>
    <n v="0"/>
    <s v="Southampton"/>
    <x v="0"/>
    <s v="TERCERA"/>
    <s v="HOMBRE"/>
    <n v="21"/>
    <x v="6"/>
    <m/>
    <m/>
    <m/>
    <m/>
    <m/>
  </r>
  <r>
    <n v="654"/>
    <n v="1"/>
    <x v="0"/>
    <s v="O'Leary, Miss. Hanora &quot;Norah&quot;"/>
    <x v="1"/>
    <m/>
    <n v="0"/>
    <n v="0"/>
    <n v="78292"/>
    <n v="0"/>
    <s v="Queenstown"/>
    <x v="1"/>
    <s v="TERCERA"/>
    <s v="MUJER"/>
    <s v=""/>
    <x v="4"/>
    <m/>
    <m/>
    <m/>
    <m/>
    <m/>
  </r>
  <r>
    <n v="655"/>
    <n v="0"/>
    <x v="0"/>
    <s v="Hegarty, Miss. Hanora &quot;Nora&quot;"/>
    <x v="1"/>
    <n v="18"/>
    <n v="0"/>
    <n v="0"/>
    <n v="675"/>
    <n v="0"/>
    <s v="Queenstown"/>
    <x v="0"/>
    <s v="TERCERA"/>
    <s v="MUJER"/>
    <n v="18"/>
    <x v="8"/>
    <m/>
    <m/>
    <m/>
    <m/>
    <m/>
  </r>
  <r>
    <n v="656"/>
    <n v="0"/>
    <x v="2"/>
    <s v="Hickman, Mr. Leonard Mark"/>
    <x v="0"/>
    <n v="24"/>
    <n v="2"/>
    <n v="0"/>
    <n v="735"/>
    <n v="0"/>
    <s v="Southampton"/>
    <x v="0"/>
    <s v="SEGUNDA"/>
    <s v="HOMBRE"/>
    <n v="24"/>
    <x v="0"/>
    <m/>
    <m/>
    <m/>
    <m/>
    <m/>
  </r>
  <r>
    <n v="657"/>
    <n v="0"/>
    <x v="0"/>
    <s v="Radeff, Mr. Alexander"/>
    <x v="0"/>
    <m/>
    <n v="0"/>
    <n v="0"/>
    <n v="78958"/>
    <n v="0"/>
    <s v="Southampton"/>
    <x v="0"/>
    <s v="TERCERA"/>
    <s v="HOMBRE"/>
    <s v=""/>
    <x v="4"/>
    <m/>
    <m/>
    <m/>
    <m/>
    <m/>
  </r>
  <r>
    <n v="658"/>
    <n v="0"/>
    <x v="0"/>
    <s v="Bourke, Mrs. John (Catherine)"/>
    <x v="1"/>
    <n v="32"/>
    <n v="1"/>
    <n v="1"/>
    <n v="155"/>
    <n v="0"/>
    <s v="Queenstown"/>
    <x v="0"/>
    <s v="TERCERA"/>
    <s v="MUJER"/>
    <n v="32"/>
    <x v="3"/>
    <m/>
    <m/>
    <m/>
    <m/>
    <m/>
  </r>
  <r>
    <n v="659"/>
    <n v="0"/>
    <x v="2"/>
    <s v="Eitemiller, Mr. George Floyd"/>
    <x v="0"/>
    <n v="23"/>
    <n v="0"/>
    <n v="0"/>
    <n v="13"/>
    <n v="0"/>
    <s v="Southampton"/>
    <x v="0"/>
    <s v="SEGUNDA"/>
    <s v="HOMBRE"/>
    <n v="23"/>
    <x v="0"/>
    <m/>
    <m/>
    <m/>
    <m/>
    <m/>
  </r>
  <r>
    <n v="660"/>
    <n v="0"/>
    <x v="1"/>
    <s v="Newell, Mr. Arthur Webster"/>
    <x v="0"/>
    <n v="58"/>
    <n v="0"/>
    <n v="2"/>
    <n v="113275"/>
    <n v="1"/>
    <s v="Cherburg"/>
    <x v="0"/>
    <s v="PRIMERA"/>
    <s v="HOMBRE"/>
    <n v="58"/>
    <x v="5"/>
    <m/>
    <m/>
    <m/>
    <m/>
    <m/>
  </r>
  <r>
    <n v="661"/>
    <n v="1"/>
    <x v="1"/>
    <s v="Frauenthal, Dr. Henry William"/>
    <x v="0"/>
    <n v="50"/>
    <n v="2"/>
    <n v="0"/>
    <n v="13365"/>
    <n v="0"/>
    <s v="Southampton"/>
    <x v="1"/>
    <s v="PRIMERA"/>
    <s v="HOMBRE"/>
    <n v="50"/>
    <x v="5"/>
    <m/>
    <m/>
    <m/>
    <m/>
    <m/>
  </r>
  <r>
    <n v="662"/>
    <n v="0"/>
    <x v="0"/>
    <s v="Badt, Mr. Mohamed"/>
    <x v="0"/>
    <n v="40"/>
    <n v="0"/>
    <n v="0"/>
    <n v="7225"/>
    <n v="0"/>
    <s v="Cherburg"/>
    <x v="0"/>
    <s v="TERCERA"/>
    <s v="HOMBRE"/>
    <n v="40"/>
    <x v="1"/>
    <m/>
    <m/>
    <m/>
    <m/>
    <m/>
  </r>
  <r>
    <n v="663"/>
    <n v="0"/>
    <x v="1"/>
    <s v="Colley, Mr. Edward Pomeroy"/>
    <x v="0"/>
    <n v="47"/>
    <n v="0"/>
    <n v="0"/>
    <n v="255875"/>
    <n v="1"/>
    <s v="Southampton"/>
    <x v="0"/>
    <s v="PRIMERA"/>
    <s v="HOMBRE"/>
    <n v="47"/>
    <x v="9"/>
    <m/>
    <m/>
    <m/>
    <m/>
    <m/>
  </r>
  <r>
    <n v="664"/>
    <n v="0"/>
    <x v="0"/>
    <s v="Coleff, Mr. Peju"/>
    <x v="0"/>
    <n v="36"/>
    <n v="0"/>
    <n v="0"/>
    <n v="74958"/>
    <n v="0"/>
    <s v="Southampton"/>
    <x v="0"/>
    <s v="TERCERA"/>
    <s v="HOMBRE"/>
    <n v="36"/>
    <x v="1"/>
    <m/>
    <m/>
    <m/>
    <m/>
    <m/>
  </r>
  <r>
    <n v="665"/>
    <n v="1"/>
    <x v="0"/>
    <s v="Lindqvist, Mr. Eino William"/>
    <x v="0"/>
    <n v="20"/>
    <n v="1"/>
    <n v="0"/>
    <n v="7925"/>
    <n v="0"/>
    <s v="Southampton"/>
    <x v="1"/>
    <s v="TERCERA"/>
    <s v="HOMBRE"/>
    <n v="20"/>
    <x v="6"/>
    <m/>
    <m/>
    <m/>
    <m/>
    <m/>
  </r>
  <r>
    <n v="666"/>
    <n v="0"/>
    <x v="2"/>
    <s v="Hickman, Mr. Lewis"/>
    <x v="0"/>
    <n v="32"/>
    <n v="2"/>
    <n v="0"/>
    <n v="735"/>
    <n v="0"/>
    <s v="Southampton"/>
    <x v="0"/>
    <s v="SEGUNDA"/>
    <s v="HOMBRE"/>
    <n v="32"/>
    <x v="3"/>
    <m/>
    <m/>
    <m/>
    <m/>
    <m/>
  </r>
  <r>
    <n v="667"/>
    <n v="0"/>
    <x v="2"/>
    <s v="Butler, Mr. Reginald Fenton"/>
    <x v="0"/>
    <n v="25"/>
    <n v="0"/>
    <n v="0"/>
    <n v="13"/>
    <n v="0"/>
    <s v="Southampton"/>
    <x v="0"/>
    <s v="SEGUNDA"/>
    <s v="HOMBRE"/>
    <n v="25"/>
    <x v="2"/>
    <m/>
    <m/>
    <m/>
    <m/>
    <m/>
  </r>
  <r>
    <n v="668"/>
    <n v="0"/>
    <x v="0"/>
    <s v="Rommetvedt, Mr. Knud Paust"/>
    <x v="0"/>
    <m/>
    <n v="0"/>
    <n v="0"/>
    <n v="7775"/>
    <n v="0"/>
    <s v="Southampton"/>
    <x v="0"/>
    <s v="TERCERA"/>
    <s v="HOMBRE"/>
    <s v=""/>
    <x v="4"/>
    <m/>
    <m/>
    <m/>
    <m/>
    <m/>
  </r>
  <r>
    <n v="669"/>
    <n v="0"/>
    <x v="0"/>
    <s v="Cook, Mr. Jacob"/>
    <x v="0"/>
    <n v="43"/>
    <n v="0"/>
    <n v="0"/>
    <n v="805"/>
    <n v="0"/>
    <s v="Southampton"/>
    <x v="0"/>
    <s v="TERCERA"/>
    <s v="HOMBRE"/>
    <n v="43"/>
    <x v="9"/>
    <m/>
    <m/>
    <m/>
    <m/>
    <m/>
  </r>
  <r>
    <n v="670"/>
    <n v="1"/>
    <x v="1"/>
    <s v="Taylor, Mrs. Elmer Zebley (Juliet Cummins Wright)"/>
    <x v="1"/>
    <m/>
    <n v="1"/>
    <n v="0"/>
    <n v="52"/>
    <n v="1"/>
    <s v="Southampton"/>
    <x v="1"/>
    <s v="PRIMERA"/>
    <s v="MUJER"/>
    <s v=""/>
    <x v="4"/>
    <m/>
    <m/>
    <m/>
    <m/>
    <m/>
  </r>
  <r>
    <n v="671"/>
    <n v="1"/>
    <x v="2"/>
    <s v="Brown, Mrs. Thomas William Solomon (Elizabeth Catherine Ford)"/>
    <x v="1"/>
    <n v="40"/>
    <n v="1"/>
    <n v="1"/>
    <n v="39"/>
    <n v="0"/>
    <s v="Southampton"/>
    <x v="1"/>
    <s v="SEGUNDA"/>
    <s v="MUJER"/>
    <n v="40"/>
    <x v="1"/>
    <m/>
    <m/>
    <m/>
    <m/>
    <m/>
  </r>
  <r>
    <n v="672"/>
    <n v="0"/>
    <x v="1"/>
    <s v="Davidson, Mr. Thornton"/>
    <x v="0"/>
    <n v="31"/>
    <n v="1"/>
    <n v="0"/>
    <n v="52"/>
    <n v="1"/>
    <s v="Southampton"/>
    <x v="0"/>
    <s v="PRIMERA"/>
    <s v="HOMBRE"/>
    <n v="31"/>
    <x v="7"/>
    <m/>
    <m/>
    <m/>
    <m/>
    <m/>
  </r>
  <r>
    <n v="673"/>
    <n v="0"/>
    <x v="2"/>
    <s v="Mitchell, Mr. Henry Michael"/>
    <x v="0"/>
    <n v="70"/>
    <n v="0"/>
    <n v="0"/>
    <n v="105"/>
    <n v="0"/>
    <s v="Southampton"/>
    <x v="0"/>
    <s v="SEGUNDA"/>
    <s v="HOMBRE"/>
    <n v="70"/>
    <x v="5"/>
    <m/>
    <m/>
    <m/>
    <m/>
    <m/>
  </r>
  <r>
    <n v="674"/>
    <n v="1"/>
    <x v="2"/>
    <s v="Wilhelms, Mr. Charles"/>
    <x v="0"/>
    <n v="31"/>
    <n v="0"/>
    <n v="0"/>
    <n v="13"/>
    <n v="0"/>
    <s v="Southampton"/>
    <x v="1"/>
    <s v="SEGUNDA"/>
    <s v="HOMBRE"/>
    <n v="31"/>
    <x v="7"/>
    <m/>
    <m/>
    <m/>
    <m/>
    <m/>
  </r>
  <r>
    <n v="675"/>
    <n v="0"/>
    <x v="2"/>
    <s v="Watson, Mr. Ennis Hastings"/>
    <x v="0"/>
    <m/>
    <n v="0"/>
    <n v="0"/>
    <n v="0"/>
    <n v="0"/>
    <s v="Southampton"/>
    <x v="0"/>
    <s v="SEGUNDA"/>
    <s v="HOMBRE"/>
    <s v=""/>
    <x v="4"/>
    <m/>
    <m/>
    <m/>
    <m/>
    <m/>
  </r>
  <r>
    <n v="676"/>
    <n v="0"/>
    <x v="0"/>
    <s v="Edvardsson, Mr. Gustaf Hjalmar"/>
    <x v="0"/>
    <n v="18"/>
    <n v="0"/>
    <n v="0"/>
    <n v="7775"/>
    <n v="0"/>
    <s v="Southampton"/>
    <x v="0"/>
    <s v="TERCERA"/>
    <s v="HOMBRE"/>
    <n v="18"/>
    <x v="8"/>
    <m/>
    <m/>
    <m/>
    <m/>
    <m/>
  </r>
  <r>
    <n v="677"/>
    <n v="0"/>
    <x v="0"/>
    <s v="Sawyer, Mr. Frederick Charles"/>
    <x v="0"/>
    <n v="245"/>
    <n v="0"/>
    <n v="0"/>
    <n v="805"/>
    <n v="0"/>
    <s v="Southampton"/>
    <x v="0"/>
    <s v="TERCERA"/>
    <s v="HOMBRE"/>
    <n v="24.5"/>
    <x v="0"/>
    <m/>
    <m/>
    <m/>
    <m/>
    <m/>
  </r>
  <r>
    <n v="678"/>
    <n v="1"/>
    <x v="0"/>
    <s v="Turja, Miss. Anna Sofia"/>
    <x v="1"/>
    <n v="18"/>
    <n v="0"/>
    <n v="0"/>
    <n v="98417"/>
    <n v="0"/>
    <s v="Southampton"/>
    <x v="1"/>
    <s v="TERCERA"/>
    <s v="MUJER"/>
    <n v="18"/>
    <x v="8"/>
    <m/>
    <m/>
    <m/>
    <m/>
    <m/>
  </r>
  <r>
    <n v="679"/>
    <n v="0"/>
    <x v="0"/>
    <s v="Goodwin, Mrs. Frederick (Augusta Tyler)"/>
    <x v="1"/>
    <n v="43"/>
    <n v="1"/>
    <n v="6"/>
    <n v="469"/>
    <n v="0"/>
    <s v="Southampton"/>
    <x v="0"/>
    <s v="TERCERA"/>
    <s v="MUJER"/>
    <n v="43"/>
    <x v="9"/>
    <m/>
    <m/>
    <m/>
    <m/>
    <m/>
  </r>
  <r>
    <n v="680"/>
    <n v="1"/>
    <x v="1"/>
    <s v="Cardeza, Mr. Thomas Drake Martinez"/>
    <x v="0"/>
    <n v="36"/>
    <n v="0"/>
    <n v="1"/>
    <n v="5123292"/>
    <n v="1"/>
    <s v="Cherburg"/>
    <x v="1"/>
    <s v="PRIMERA"/>
    <s v="HOMBRE"/>
    <n v="36"/>
    <x v="1"/>
    <m/>
    <m/>
    <m/>
    <m/>
    <m/>
  </r>
  <r>
    <n v="681"/>
    <n v="0"/>
    <x v="0"/>
    <s v="Peters, Miss. Katie"/>
    <x v="1"/>
    <m/>
    <n v="0"/>
    <n v="0"/>
    <n v="81375"/>
    <n v="0"/>
    <s v="Queenstown"/>
    <x v="0"/>
    <s v="TERCERA"/>
    <s v="MUJER"/>
    <s v=""/>
    <x v="4"/>
    <m/>
    <m/>
    <m/>
    <m/>
    <m/>
  </r>
  <r>
    <n v="682"/>
    <n v="1"/>
    <x v="1"/>
    <s v="Hassab, Mr. Hammad"/>
    <x v="0"/>
    <n v="27"/>
    <n v="0"/>
    <n v="0"/>
    <n v="767292"/>
    <n v="1"/>
    <s v="Cherburg"/>
    <x v="1"/>
    <s v="PRIMERA"/>
    <s v="HOMBRE"/>
    <n v="27"/>
    <x v="2"/>
    <m/>
    <m/>
    <m/>
    <m/>
    <m/>
  </r>
  <r>
    <n v="683"/>
    <n v="0"/>
    <x v="0"/>
    <s v="Olsvigen, Mr. Thor Anderson"/>
    <x v="0"/>
    <n v="20"/>
    <n v="0"/>
    <n v="0"/>
    <n v="9225"/>
    <n v="0"/>
    <s v="Southampton"/>
    <x v="0"/>
    <s v="TERCERA"/>
    <s v="HOMBRE"/>
    <n v="20"/>
    <x v="6"/>
    <m/>
    <m/>
    <m/>
    <m/>
    <m/>
  </r>
  <r>
    <n v="684"/>
    <n v="0"/>
    <x v="0"/>
    <s v="Goodwin, Mr. Charles Edward"/>
    <x v="0"/>
    <n v="14"/>
    <n v="5"/>
    <n v="2"/>
    <n v="469"/>
    <n v="0"/>
    <s v="Southampton"/>
    <x v="0"/>
    <s v="TERCERA"/>
    <s v="HOMBRE"/>
    <n v="14"/>
    <x v="4"/>
    <m/>
    <m/>
    <m/>
    <m/>
    <m/>
  </r>
  <r>
    <n v="685"/>
    <n v="0"/>
    <x v="2"/>
    <s v="Brown, Mr. Thomas William Solomon"/>
    <x v="0"/>
    <n v="60"/>
    <n v="1"/>
    <n v="1"/>
    <n v="39"/>
    <n v="0"/>
    <s v="Southampton"/>
    <x v="0"/>
    <s v="SEGUNDA"/>
    <s v="HOMBRE"/>
    <n v="60"/>
    <x v="5"/>
    <m/>
    <m/>
    <m/>
    <m/>
    <m/>
  </r>
  <r>
    <n v="686"/>
    <n v="0"/>
    <x v="2"/>
    <s v="Laroche, Mr. Joseph Philippe Lemercier"/>
    <x v="0"/>
    <n v="25"/>
    <n v="1"/>
    <n v="2"/>
    <n v="415792"/>
    <n v="0"/>
    <s v="Cherburg"/>
    <x v="0"/>
    <s v="SEGUNDA"/>
    <s v="HOMBRE"/>
    <n v="25"/>
    <x v="2"/>
    <m/>
    <m/>
    <m/>
    <m/>
    <m/>
  </r>
  <r>
    <n v="687"/>
    <n v="0"/>
    <x v="0"/>
    <s v="Panula, Mr. Jaako Arnold"/>
    <x v="0"/>
    <n v="14"/>
    <n v="4"/>
    <n v="1"/>
    <n v="396875"/>
    <n v="0"/>
    <s v="Southampton"/>
    <x v="0"/>
    <s v="TERCERA"/>
    <s v="HOMBRE"/>
    <n v="14"/>
    <x v="4"/>
    <m/>
    <m/>
    <m/>
    <m/>
    <m/>
  </r>
  <r>
    <n v="688"/>
    <n v="0"/>
    <x v="0"/>
    <s v="Dakic, Mr. Branko"/>
    <x v="0"/>
    <n v="19"/>
    <n v="0"/>
    <n v="0"/>
    <n v="101708"/>
    <n v="0"/>
    <s v="Southampton"/>
    <x v="0"/>
    <s v="TERCERA"/>
    <s v="HOMBRE"/>
    <n v="19"/>
    <x v="6"/>
    <m/>
    <m/>
    <m/>
    <m/>
    <m/>
  </r>
  <r>
    <n v="689"/>
    <n v="0"/>
    <x v="0"/>
    <s v="Fischer, Mr. Eberhard Thelander"/>
    <x v="0"/>
    <n v="18"/>
    <n v="0"/>
    <n v="0"/>
    <n v="77958"/>
    <n v="0"/>
    <s v="Southampton"/>
    <x v="0"/>
    <s v="TERCERA"/>
    <s v="HOMBRE"/>
    <n v="18"/>
    <x v="8"/>
    <m/>
    <m/>
    <m/>
    <m/>
    <m/>
  </r>
  <r>
    <n v="690"/>
    <n v="1"/>
    <x v="1"/>
    <s v="Madill, Miss. Georgette Alexandra"/>
    <x v="1"/>
    <n v="15"/>
    <n v="0"/>
    <n v="1"/>
    <n v="2113375"/>
    <n v="1"/>
    <s v="Southampton"/>
    <x v="1"/>
    <s v="PRIMERA"/>
    <s v="MUJER"/>
    <n v="15"/>
    <x v="8"/>
    <m/>
    <m/>
    <m/>
    <m/>
    <m/>
  </r>
  <r>
    <n v="691"/>
    <n v="1"/>
    <x v="1"/>
    <s v="Dick, Mr. Albert Adrian"/>
    <x v="0"/>
    <n v="31"/>
    <n v="1"/>
    <n v="0"/>
    <n v="57"/>
    <n v="1"/>
    <s v="Southampton"/>
    <x v="1"/>
    <s v="PRIMERA"/>
    <s v="HOMBRE"/>
    <n v="31"/>
    <x v="7"/>
    <m/>
    <m/>
    <m/>
    <m/>
    <m/>
  </r>
  <r>
    <n v="692"/>
    <n v="1"/>
    <x v="0"/>
    <s v="Karun, Miss. Manca"/>
    <x v="1"/>
    <n v="4"/>
    <n v="0"/>
    <n v="1"/>
    <n v="134167"/>
    <n v="0"/>
    <s v="Cherburg"/>
    <x v="1"/>
    <s v="TERCERA"/>
    <s v="MUJER"/>
    <n v="4"/>
    <x v="4"/>
    <m/>
    <m/>
    <m/>
    <m/>
    <m/>
  </r>
  <r>
    <n v="693"/>
    <n v="1"/>
    <x v="0"/>
    <s v="Lam, Mr. Ali"/>
    <x v="0"/>
    <m/>
    <n v="0"/>
    <n v="0"/>
    <n v="564958"/>
    <n v="0"/>
    <s v="Southampton"/>
    <x v="1"/>
    <s v="TERCERA"/>
    <s v="HOMBRE"/>
    <s v=""/>
    <x v="4"/>
    <m/>
    <m/>
    <m/>
    <m/>
    <m/>
  </r>
  <r>
    <n v="694"/>
    <n v="0"/>
    <x v="0"/>
    <s v="Saad, Mr. Khalil"/>
    <x v="0"/>
    <n v="25"/>
    <n v="0"/>
    <n v="0"/>
    <n v="7225"/>
    <n v="0"/>
    <s v="Cherburg"/>
    <x v="0"/>
    <s v="TERCERA"/>
    <s v="HOMBRE"/>
    <n v="25"/>
    <x v="2"/>
    <m/>
    <m/>
    <m/>
    <m/>
    <m/>
  </r>
  <r>
    <n v="695"/>
    <n v="0"/>
    <x v="1"/>
    <s v="Weir, Col. John"/>
    <x v="0"/>
    <n v="60"/>
    <n v="0"/>
    <n v="0"/>
    <n v="2655"/>
    <n v="0"/>
    <s v="Southampton"/>
    <x v="0"/>
    <s v="PRIMERA"/>
    <s v="HOMBRE"/>
    <n v="60"/>
    <x v="5"/>
    <m/>
    <m/>
    <m/>
    <m/>
    <m/>
  </r>
  <r>
    <n v="696"/>
    <n v="0"/>
    <x v="2"/>
    <s v="Chapman, Mr. Charles Henry"/>
    <x v="0"/>
    <n v="52"/>
    <n v="0"/>
    <n v="0"/>
    <n v="135"/>
    <n v="0"/>
    <s v="Southampton"/>
    <x v="0"/>
    <s v="SEGUNDA"/>
    <s v="HOMBRE"/>
    <n v="52"/>
    <x v="5"/>
    <m/>
    <m/>
    <m/>
    <m/>
    <m/>
  </r>
  <r>
    <n v="697"/>
    <n v="0"/>
    <x v="0"/>
    <s v="Kelly, Mr. James"/>
    <x v="0"/>
    <n v="44"/>
    <n v="0"/>
    <n v="0"/>
    <n v="805"/>
    <n v="0"/>
    <s v="Southampton"/>
    <x v="0"/>
    <s v="TERCERA"/>
    <s v="HOMBRE"/>
    <n v="44"/>
    <x v="9"/>
    <m/>
    <m/>
    <m/>
    <m/>
    <m/>
  </r>
  <r>
    <n v="698"/>
    <n v="1"/>
    <x v="0"/>
    <s v="Mullens, Miss. Katherine &quot;Katie&quot;"/>
    <x v="1"/>
    <m/>
    <n v="0"/>
    <n v="0"/>
    <n v="77333"/>
    <n v="0"/>
    <s v="Queenstown"/>
    <x v="1"/>
    <s v="TERCERA"/>
    <s v="MUJER"/>
    <s v=""/>
    <x v="4"/>
    <m/>
    <m/>
    <m/>
    <m/>
    <m/>
  </r>
  <r>
    <n v="699"/>
    <n v="0"/>
    <x v="1"/>
    <s v="Thayer, Mr. John Borland"/>
    <x v="0"/>
    <n v="49"/>
    <n v="1"/>
    <n v="1"/>
    <n v="1108833"/>
    <n v="1"/>
    <s v="Cherburg"/>
    <x v="0"/>
    <s v="PRIMERA"/>
    <s v="HOMBRE"/>
    <n v="49"/>
    <x v="9"/>
    <m/>
    <m/>
    <m/>
    <m/>
    <m/>
  </r>
  <r>
    <n v="700"/>
    <n v="0"/>
    <x v="0"/>
    <s v="Humblen, Mr. Adolf Mathias Nicolai Olsen"/>
    <x v="0"/>
    <n v="42"/>
    <n v="0"/>
    <n v="0"/>
    <n v="765"/>
    <n v="1"/>
    <s v="Southampton"/>
    <x v="0"/>
    <s v="TERCERA"/>
    <s v="HOMBRE"/>
    <n v="42"/>
    <x v="9"/>
    <m/>
    <m/>
    <m/>
    <m/>
    <m/>
  </r>
  <r>
    <n v="701"/>
    <n v="1"/>
    <x v="1"/>
    <s v="Astor, Mrs. John Jacob (Madeleine Talmadge Force)"/>
    <x v="1"/>
    <n v="18"/>
    <n v="1"/>
    <n v="0"/>
    <n v="227525"/>
    <n v="1"/>
    <s v="Cherburg"/>
    <x v="1"/>
    <s v="PRIMERA"/>
    <s v="MUJER"/>
    <n v="18"/>
    <x v="8"/>
    <m/>
    <m/>
    <m/>
    <m/>
    <m/>
  </r>
  <r>
    <n v="702"/>
    <n v="1"/>
    <x v="1"/>
    <s v="Silverthorne, Mr. Spencer Victor"/>
    <x v="0"/>
    <n v="35"/>
    <n v="0"/>
    <n v="0"/>
    <n v="262875"/>
    <n v="1"/>
    <s v="Southampton"/>
    <x v="1"/>
    <s v="PRIMERA"/>
    <s v="HOMBRE"/>
    <n v="35"/>
    <x v="3"/>
    <m/>
    <m/>
    <m/>
    <m/>
    <m/>
  </r>
  <r>
    <n v="703"/>
    <n v="0"/>
    <x v="0"/>
    <s v="Barbara, Miss. Saiide"/>
    <x v="1"/>
    <n v="18"/>
    <n v="0"/>
    <n v="1"/>
    <n v="144542"/>
    <n v="0"/>
    <s v="Cherburg"/>
    <x v="0"/>
    <s v="TERCERA"/>
    <s v="MUJER"/>
    <n v="18"/>
    <x v="8"/>
    <m/>
    <m/>
    <m/>
    <m/>
    <m/>
  </r>
  <r>
    <n v="704"/>
    <n v="0"/>
    <x v="0"/>
    <s v="Gallagher, Mr. Martin"/>
    <x v="0"/>
    <n v="25"/>
    <n v="0"/>
    <n v="0"/>
    <n v="77417"/>
    <n v="0"/>
    <s v="Queenstown"/>
    <x v="0"/>
    <s v="TERCERA"/>
    <s v="HOMBRE"/>
    <n v="25"/>
    <x v="2"/>
    <m/>
    <m/>
    <m/>
    <m/>
    <m/>
  </r>
  <r>
    <n v="705"/>
    <n v="0"/>
    <x v="0"/>
    <s v="Hansen, Mr. Henrik Juul"/>
    <x v="0"/>
    <n v="26"/>
    <n v="1"/>
    <n v="0"/>
    <n v="78542"/>
    <n v="0"/>
    <s v="Southampton"/>
    <x v="0"/>
    <s v="TERCERA"/>
    <s v="HOMBRE"/>
    <n v="26"/>
    <x v="2"/>
    <m/>
    <m/>
    <m/>
    <m/>
    <m/>
  </r>
  <r>
    <n v="706"/>
    <n v="0"/>
    <x v="2"/>
    <s v="Morley, Mr. Henry Samuel (&quot;Mr Henry Marshall&quot;)"/>
    <x v="0"/>
    <n v="39"/>
    <n v="0"/>
    <n v="0"/>
    <n v="26"/>
    <n v="0"/>
    <s v="Southampton"/>
    <x v="0"/>
    <s v="SEGUNDA"/>
    <s v="HOMBRE"/>
    <n v="39"/>
    <x v="1"/>
    <m/>
    <m/>
    <m/>
    <m/>
    <m/>
  </r>
  <r>
    <n v="707"/>
    <n v="1"/>
    <x v="2"/>
    <s v="Kelly, Mrs. Florence &quot;Fannie&quot;"/>
    <x v="1"/>
    <n v="45"/>
    <n v="0"/>
    <n v="0"/>
    <n v="135"/>
    <n v="0"/>
    <s v="Southampton"/>
    <x v="1"/>
    <s v="SEGUNDA"/>
    <s v="MUJER"/>
    <n v="45"/>
    <x v="9"/>
    <m/>
    <m/>
    <m/>
    <m/>
    <m/>
  </r>
  <r>
    <n v="708"/>
    <n v="1"/>
    <x v="1"/>
    <s v="Calderhead, Mr. Edward Pennington"/>
    <x v="0"/>
    <n v="42"/>
    <n v="0"/>
    <n v="0"/>
    <n v="262875"/>
    <n v="1"/>
    <s v="Southampton"/>
    <x v="1"/>
    <s v="PRIMERA"/>
    <s v="HOMBRE"/>
    <n v="42"/>
    <x v="9"/>
    <m/>
    <m/>
    <m/>
    <m/>
    <m/>
  </r>
  <r>
    <n v="709"/>
    <n v="1"/>
    <x v="1"/>
    <s v="Cleaver, Miss. Alice"/>
    <x v="1"/>
    <n v="22"/>
    <n v="0"/>
    <n v="0"/>
    <n v="15155"/>
    <n v="0"/>
    <s v="Southampton"/>
    <x v="1"/>
    <s v="PRIMERA"/>
    <s v="MUJER"/>
    <n v="22"/>
    <x v="0"/>
    <m/>
    <m/>
    <m/>
    <m/>
    <m/>
  </r>
  <r>
    <n v="710"/>
    <n v="1"/>
    <x v="0"/>
    <s v="Moubarek, Master. Halim Gonios (&quot;William George&quot;)"/>
    <x v="0"/>
    <m/>
    <n v="1"/>
    <n v="1"/>
    <n v="152458"/>
    <n v="0"/>
    <s v="Cherburg"/>
    <x v="1"/>
    <s v="TERCERA"/>
    <s v="HOMBRE"/>
    <s v=""/>
    <x v="4"/>
    <m/>
    <m/>
    <m/>
    <m/>
    <m/>
  </r>
  <r>
    <n v="711"/>
    <n v="1"/>
    <x v="1"/>
    <s v="Mayne, Mlle. Berthe Antonine (&quot;Mrs de Villiers&quot;)"/>
    <x v="1"/>
    <n v="24"/>
    <n v="0"/>
    <n v="0"/>
    <n v="495042"/>
    <n v="1"/>
    <s v="Cherburg"/>
    <x v="1"/>
    <s v="PRIMERA"/>
    <s v="MUJER"/>
    <n v="24"/>
    <x v="0"/>
    <m/>
    <m/>
    <m/>
    <m/>
    <m/>
  </r>
  <r>
    <n v="712"/>
    <n v="0"/>
    <x v="1"/>
    <s v="Klaber, Mr. Herman"/>
    <x v="0"/>
    <m/>
    <n v="0"/>
    <n v="0"/>
    <n v="2655"/>
    <n v="1"/>
    <s v="Southampton"/>
    <x v="0"/>
    <s v="PRIMERA"/>
    <s v="HOMBRE"/>
    <s v=""/>
    <x v="4"/>
    <m/>
    <m/>
    <m/>
    <m/>
    <m/>
  </r>
  <r>
    <n v="713"/>
    <n v="1"/>
    <x v="1"/>
    <s v="Taylor, Mr. Elmer Zebley"/>
    <x v="0"/>
    <n v="48"/>
    <n v="1"/>
    <n v="0"/>
    <n v="52"/>
    <n v="1"/>
    <s v="Southampton"/>
    <x v="1"/>
    <s v="PRIMERA"/>
    <s v="HOMBRE"/>
    <n v="48"/>
    <x v="9"/>
    <m/>
    <m/>
    <m/>
    <m/>
    <m/>
  </r>
  <r>
    <n v="714"/>
    <n v="0"/>
    <x v="0"/>
    <s v="Larsson, Mr. August Viktor"/>
    <x v="0"/>
    <n v="29"/>
    <n v="0"/>
    <n v="0"/>
    <n v="94833"/>
    <n v="0"/>
    <s v="Southampton"/>
    <x v="0"/>
    <s v="TERCERA"/>
    <s v="HOMBRE"/>
    <n v="29"/>
    <x v="7"/>
    <m/>
    <m/>
    <m/>
    <m/>
    <m/>
  </r>
  <r>
    <n v="715"/>
    <n v="0"/>
    <x v="2"/>
    <s v="Greenberg, Mr. Samuel"/>
    <x v="0"/>
    <n v="52"/>
    <n v="0"/>
    <n v="0"/>
    <n v="13"/>
    <n v="0"/>
    <s v="Southampton"/>
    <x v="0"/>
    <s v="SEGUNDA"/>
    <s v="HOMBRE"/>
    <n v="52"/>
    <x v="5"/>
    <m/>
    <m/>
    <m/>
    <m/>
    <m/>
  </r>
  <r>
    <n v="716"/>
    <n v="0"/>
    <x v="0"/>
    <s v="Soholt, Mr. Peter Andreas Lauritz Andersen"/>
    <x v="0"/>
    <n v="19"/>
    <n v="0"/>
    <n v="0"/>
    <n v="765"/>
    <n v="1"/>
    <s v="Southampton"/>
    <x v="0"/>
    <s v="TERCERA"/>
    <s v="HOMBRE"/>
    <n v="19"/>
    <x v="6"/>
    <m/>
    <m/>
    <m/>
    <m/>
    <m/>
  </r>
  <r>
    <n v="717"/>
    <n v="1"/>
    <x v="1"/>
    <s v="Endres, Miss. Caroline Louise"/>
    <x v="1"/>
    <n v="38"/>
    <n v="0"/>
    <n v="0"/>
    <n v="227525"/>
    <n v="1"/>
    <s v="Cherburg"/>
    <x v="1"/>
    <s v="PRIMERA"/>
    <s v="MUJER"/>
    <n v="38"/>
    <x v="1"/>
    <m/>
    <m/>
    <m/>
    <m/>
    <m/>
  </r>
  <r>
    <n v="718"/>
    <n v="1"/>
    <x v="2"/>
    <s v="Troutt, Miss. Edwina Celia &quot;Winnie&quot;"/>
    <x v="1"/>
    <n v="27"/>
    <n v="0"/>
    <n v="0"/>
    <n v="105"/>
    <n v="1"/>
    <s v="Southampton"/>
    <x v="1"/>
    <s v="SEGUNDA"/>
    <s v="MUJER"/>
    <n v="27"/>
    <x v="2"/>
    <m/>
    <m/>
    <m/>
    <m/>
    <m/>
  </r>
  <r>
    <n v="719"/>
    <n v="0"/>
    <x v="0"/>
    <s v="McEvoy, Mr. Michael"/>
    <x v="0"/>
    <m/>
    <n v="0"/>
    <n v="0"/>
    <n v="155"/>
    <n v="0"/>
    <s v="Queenstown"/>
    <x v="0"/>
    <s v="TERCERA"/>
    <s v="HOMBRE"/>
    <s v=""/>
    <x v="4"/>
    <m/>
    <m/>
    <m/>
    <m/>
    <m/>
  </r>
  <r>
    <n v="720"/>
    <n v="0"/>
    <x v="0"/>
    <s v="Johnson, Mr. Malkolm Joackim"/>
    <x v="0"/>
    <n v="33"/>
    <n v="0"/>
    <n v="0"/>
    <n v="7775"/>
    <n v="0"/>
    <s v="Southampton"/>
    <x v="0"/>
    <s v="TERCERA"/>
    <s v="HOMBRE"/>
    <n v="33"/>
    <x v="3"/>
    <m/>
    <m/>
    <m/>
    <m/>
    <m/>
  </r>
  <r>
    <n v="721"/>
    <n v="1"/>
    <x v="2"/>
    <s v="Harper, Miss. Annie Jessie &quot;Nina&quot;"/>
    <x v="1"/>
    <n v="6"/>
    <n v="0"/>
    <n v="1"/>
    <n v="33"/>
    <n v="0"/>
    <s v="Southampton"/>
    <x v="1"/>
    <s v="SEGUNDA"/>
    <s v="MUJER"/>
    <n v="6"/>
    <x v="4"/>
    <m/>
    <m/>
    <m/>
    <m/>
    <m/>
  </r>
  <r>
    <n v="722"/>
    <n v="0"/>
    <x v="0"/>
    <s v="Jensen, Mr. Svend Lauritz"/>
    <x v="0"/>
    <n v="17"/>
    <n v="1"/>
    <n v="0"/>
    <n v="70542"/>
    <n v="0"/>
    <s v="Southampton"/>
    <x v="0"/>
    <s v="TERCERA"/>
    <s v="HOMBRE"/>
    <n v="17"/>
    <x v="8"/>
    <m/>
    <m/>
    <m/>
    <m/>
    <m/>
  </r>
  <r>
    <n v="723"/>
    <n v="0"/>
    <x v="2"/>
    <s v="Gillespie, Mr. William Henry"/>
    <x v="0"/>
    <n v="34"/>
    <n v="0"/>
    <n v="0"/>
    <n v="13"/>
    <n v="0"/>
    <s v="Southampton"/>
    <x v="0"/>
    <s v="SEGUNDA"/>
    <s v="HOMBRE"/>
    <n v="34"/>
    <x v="3"/>
    <m/>
    <m/>
    <m/>
    <m/>
    <m/>
  </r>
  <r>
    <n v="724"/>
    <n v="0"/>
    <x v="2"/>
    <s v="Hodges, Mr. Henry Price"/>
    <x v="0"/>
    <n v="50"/>
    <n v="0"/>
    <n v="0"/>
    <n v="13"/>
    <n v="0"/>
    <s v="Southampton"/>
    <x v="0"/>
    <s v="SEGUNDA"/>
    <s v="HOMBRE"/>
    <n v="50"/>
    <x v="5"/>
    <m/>
    <m/>
    <m/>
    <m/>
    <m/>
  </r>
  <r>
    <n v="725"/>
    <n v="1"/>
    <x v="1"/>
    <s v="Chambers, Mr. Norman Campbell"/>
    <x v="0"/>
    <n v="27"/>
    <n v="1"/>
    <n v="0"/>
    <n v="531"/>
    <n v="1"/>
    <s v="Southampton"/>
    <x v="1"/>
    <s v="PRIMERA"/>
    <s v="HOMBRE"/>
    <n v="27"/>
    <x v="2"/>
    <m/>
    <m/>
    <m/>
    <m/>
    <m/>
  </r>
  <r>
    <n v="726"/>
    <n v="0"/>
    <x v="0"/>
    <s v="Oreskovic, Mr. Luka"/>
    <x v="0"/>
    <n v="20"/>
    <n v="0"/>
    <n v="0"/>
    <n v="86625"/>
    <n v="0"/>
    <s v="Southampton"/>
    <x v="0"/>
    <s v="TERCERA"/>
    <s v="HOMBRE"/>
    <n v="20"/>
    <x v="6"/>
    <m/>
    <m/>
    <m/>
    <m/>
    <m/>
  </r>
  <r>
    <n v="727"/>
    <n v="1"/>
    <x v="2"/>
    <s v="Renouf, Mrs. Peter Henry (Lillian Jefferys)"/>
    <x v="1"/>
    <n v="30"/>
    <n v="3"/>
    <n v="0"/>
    <n v="21"/>
    <n v="0"/>
    <s v="Southampton"/>
    <x v="1"/>
    <s v="SEGUNDA"/>
    <s v="MUJER"/>
    <n v="30"/>
    <x v="7"/>
    <m/>
    <m/>
    <m/>
    <m/>
    <m/>
  </r>
  <r>
    <n v="728"/>
    <n v="1"/>
    <x v="0"/>
    <s v="Mannion, Miss. Margareth"/>
    <x v="1"/>
    <m/>
    <n v="0"/>
    <n v="0"/>
    <n v="77375"/>
    <n v="0"/>
    <s v="Queenstown"/>
    <x v="1"/>
    <s v="TERCERA"/>
    <s v="MUJER"/>
    <s v=""/>
    <x v="4"/>
    <m/>
    <m/>
    <m/>
    <m/>
    <m/>
  </r>
  <r>
    <n v="729"/>
    <n v="0"/>
    <x v="2"/>
    <s v="Bryhl, Mr. Kurt Arnold Gottfrid"/>
    <x v="0"/>
    <n v="25"/>
    <n v="1"/>
    <n v="0"/>
    <n v="26"/>
    <n v="0"/>
    <s v="Southampton"/>
    <x v="0"/>
    <s v="SEGUNDA"/>
    <s v="HOMBRE"/>
    <n v="25"/>
    <x v="2"/>
    <m/>
    <m/>
    <m/>
    <m/>
    <m/>
  </r>
  <r>
    <n v="730"/>
    <n v="0"/>
    <x v="0"/>
    <s v="Ilmakangas, Miss. Pieta Sofia"/>
    <x v="1"/>
    <n v="25"/>
    <n v="1"/>
    <n v="0"/>
    <n v="7925"/>
    <n v="0"/>
    <s v="Southampton"/>
    <x v="0"/>
    <s v="TERCERA"/>
    <s v="MUJER"/>
    <n v="25"/>
    <x v="2"/>
    <m/>
    <m/>
    <m/>
    <m/>
    <m/>
  </r>
  <r>
    <n v="731"/>
    <n v="1"/>
    <x v="1"/>
    <s v="Allen, Miss. Elisabeth Walton"/>
    <x v="1"/>
    <n v="29"/>
    <n v="0"/>
    <n v="0"/>
    <n v="2113375"/>
    <n v="1"/>
    <s v="Southampton"/>
    <x v="1"/>
    <s v="PRIMERA"/>
    <s v="MUJER"/>
    <n v="29"/>
    <x v="7"/>
    <m/>
    <m/>
    <m/>
    <m/>
    <m/>
  </r>
  <r>
    <n v="732"/>
    <n v="0"/>
    <x v="0"/>
    <s v="Hassan, Mr. Houssein G N"/>
    <x v="0"/>
    <n v="11"/>
    <n v="0"/>
    <n v="0"/>
    <n v="187875"/>
    <n v="0"/>
    <s v="Cherburg"/>
    <x v="0"/>
    <s v="TERCERA"/>
    <s v="HOMBRE"/>
    <n v="11"/>
    <x v="4"/>
    <m/>
    <m/>
    <m/>
    <m/>
    <m/>
  </r>
  <r>
    <n v="733"/>
    <n v="0"/>
    <x v="2"/>
    <s v="Knight, Mr. Robert J"/>
    <x v="0"/>
    <m/>
    <n v="0"/>
    <n v="0"/>
    <n v="0"/>
    <n v="0"/>
    <s v="Southampton"/>
    <x v="0"/>
    <s v="SEGUNDA"/>
    <s v="HOMBRE"/>
    <s v=""/>
    <x v="4"/>
    <m/>
    <m/>
    <m/>
    <m/>
    <m/>
  </r>
  <r>
    <n v="734"/>
    <n v="0"/>
    <x v="2"/>
    <s v="Berriman, Mr. William John"/>
    <x v="0"/>
    <n v="23"/>
    <n v="0"/>
    <n v="0"/>
    <n v="13"/>
    <n v="0"/>
    <s v="Southampton"/>
    <x v="0"/>
    <s v="SEGUNDA"/>
    <s v="HOMBRE"/>
    <n v="23"/>
    <x v="0"/>
    <m/>
    <m/>
    <m/>
    <m/>
    <m/>
  </r>
  <r>
    <n v="735"/>
    <n v="0"/>
    <x v="2"/>
    <s v="Troupiansky, Mr. Moses Aaron"/>
    <x v="0"/>
    <n v="23"/>
    <n v="0"/>
    <n v="0"/>
    <n v="13"/>
    <n v="0"/>
    <s v="Southampton"/>
    <x v="0"/>
    <s v="SEGUNDA"/>
    <s v="HOMBRE"/>
    <n v="23"/>
    <x v="0"/>
    <m/>
    <m/>
    <m/>
    <m/>
    <m/>
  </r>
  <r>
    <n v="736"/>
    <n v="0"/>
    <x v="0"/>
    <s v="Williams, Mr. Leslie"/>
    <x v="0"/>
    <n v="285"/>
    <n v="0"/>
    <n v="0"/>
    <n v="161"/>
    <n v="0"/>
    <s v="Southampton"/>
    <x v="0"/>
    <s v="TERCERA"/>
    <s v="HOMBRE"/>
    <n v="28.5"/>
    <x v="2"/>
    <m/>
    <m/>
    <m/>
    <m/>
    <m/>
  </r>
  <r>
    <n v="737"/>
    <n v="0"/>
    <x v="0"/>
    <s v="Ford, Mrs. Edward (Margaret Ann Watson)"/>
    <x v="1"/>
    <n v="48"/>
    <n v="1"/>
    <n v="3"/>
    <n v="34375"/>
    <n v="0"/>
    <s v="Southampton"/>
    <x v="0"/>
    <s v="TERCERA"/>
    <s v="MUJER"/>
    <n v="48"/>
    <x v="9"/>
    <m/>
    <m/>
    <m/>
    <m/>
    <m/>
  </r>
  <r>
    <n v="738"/>
    <n v="1"/>
    <x v="1"/>
    <s v="Lesurer, Mr. Gustave J"/>
    <x v="0"/>
    <n v="35"/>
    <n v="0"/>
    <n v="0"/>
    <n v="5123292"/>
    <n v="1"/>
    <s v="Cherburg"/>
    <x v="1"/>
    <s v="PRIMERA"/>
    <s v="HOMBRE"/>
    <n v="35"/>
    <x v="3"/>
    <m/>
    <m/>
    <m/>
    <m/>
    <m/>
  </r>
  <r>
    <n v="739"/>
    <n v="0"/>
    <x v="0"/>
    <s v="Ivanoff, Mr. Kanio"/>
    <x v="0"/>
    <m/>
    <n v="0"/>
    <n v="0"/>
    <n v="78958"/>
    <n v="0"/>
    <s v="Southampton"/>
    <x v="0"/>
    <s v="TERCERA"/>
    <s v="HOMBRE"/>
    <s v=""/>
    <x v="4"/>
    <m/>
    <m/>
    <m/>
    <m/>
    <m/>
  </r>
  <r>
    <n v="740"/>
    <n v="0"/>
    <x v="0"/>
    <s v="Nankoff, Mr. Minko"/>
    <x v="0"/>
    <m/>
    <n v="0"/>
    <n v="0"/>
    <n v="78958"/>
    <n v="0"/>
    <s v="Southampton"/>
    <x v="0"/>
    <s v="TERCERA"/>
    <s v="HOMBRE"/>
    <s v=""/>
    <x v="4"/>
    <m/>
    <m/>
    <m/>
    <m/>
    <m/>
  </r>
  <r>
    <n v="741"/>
    <n v="1"/>
    <x v="1"/>
    <s v="Hawksford, Mr. Walter James"/>
    <x v="0"/>
    <m/>
    <n v="0"/>
    <n v="0"/>
    <n v="30"/>
    <n v="1"/>
    <s v="Southampton"/>
    <x v="1"/>
    <s v="PRIMERA"/>
    <s v="HOMBRE"/>
    <s v=""/>
    <x v="4"/>
    <m/>
    <m/>
    <m/>
    <m/>
    <m/>
  </r>
  <r>
    <n v="742"/>
    <n v="0"/>
    <x v="1"/>
    <s v="Cavendish, Mr. Tyrell William"/>
    <x v="0"/>
    <n v="36"/>
    <n v="1"/>
    <n v="0"/>
    <n v="7885"/>
    <n v="1"/>
    <s v="Southampton"/>
    <x v="0"/>
    <s v="PRIMERA"/>
    <s v="HOMBRE"/>
    <n v="36"/>
    <x v="1"/>
    <m/>
    <m/>
    <m/>
    <m/>
    <m/>
  </r>
  <r>
    <n v="743"/>
    <n v="1"/>
    <x v="1"/>
    <s v="Ryerson, Miss. Susan Parker &quot;Suzette&quot;"/>
    <x v="1"/>
    <n v="21"/>
    <n v="2"/>
    <n v="2"/>
    <n v="262375"/>
    <n v="1"/>
    <s v="Cherburg"/>
    <x v="1"/>
    <s v="PRIMERA"/>
    <s v="MUJER"/>
    <n v="21"/>
    <x v="6"/>
    <m/>
    <m/>
    <m/>
    <m/>
    <m/>
  </r>
  <r>
    <n v="744"/>
    <n v="0"/>
    <x v="0"/>
    <s v="McNamee, Mr. Neal"/>
    <x v="0"/>
    <n v="24"/>
    <n v="1"/>
    <n v="0"/>
    <n v="161"/>
    <n v="0"/>
    <s v="Southampton"/>
    <x v="0"/>
    <s v="TERCERA"/>
    <s v="HOMBRE"/>
    <n v="24"/>
    <x v="0"/>
    <m/>
    <m/>
    <m/>
    <m/>
    <m/>
  </r>
  <r>
    <n v="745"/>
    <n v="1"/>
    <x v="0"/>
    <s v="Stranden, Mr. Juho"/>
    <x v="0"/>
    <n v="31"/>
    <n v="0"/>
    <n v="0"/>
    <n v="7925"/>
    <n v="0"/>
    <s v="Southampton"/>
    <x v="1"/>
    <s v="TERCERA"/>
    <s v="HOMBRE"/>
    <n v="31"/>
    <x v="7"/>
    <m/>
    <m/>
    <m/>
    <m/>
    <m/>
  </r>
  <r>
    <n v="746"/>
    <n v="0"/>
    <x v="1"/>
    <s v="Crosby, Capt. Edward Gifford"/>
    <x v="0"/>
    <n v="70"/>
    <n v="1"/>
    <n v="1"/>
    <n v="71"/>
    <n v="1"/>
    <s v="Southampton"/>
    <x v="0"/>
    <s v="PRIMERA"/>
    <s v="HOMBRE"/>
    <n v="70"/>
    <x v="5"/>
    <m/>
    <m/>
    <m/>
    <m/>
    <m/>
  </r>
  <r>
    <n v="747"/>
    <n v="0"/>
    <x v="0"/>
    <s v="Abbott, Mr. Rossmore Edward"/>
    <x v="0"/>
    <n v="16"/>
    <n v="1"/>
    <n v="1"/>
    <n v="2025"/>
    <n v="0"/>
    <s v="Southampton"/>
    <x v="0"/>
    <s v="TERCERA"/>
    <s v="HOMBRE"/>
    <n v="16"/>
    <x v="8"/>
    <m/>
    <m/>
    <m/>
    <m/>
    <m/>
  </r>
  <r>
    <n v="748"/>
    <n v="1"/>
    <x v="2"/>
    <s v="Sinkkonen, Miss. Anna"/>
    <x v="1"/>
    <n v="30"/>
    <n v="0"/>
    <n v="0"/>
    <n v="13"/>
    <n v="0"/>
    <s v="Southampton"/>
    <x v="1"/>
    <s v="SEGUNDA"/>
    <s v="MUJER"/>
    <n v="30"/>
    <x v="7"/>
    <m/>
    <m/>
    <m/>
    <m/>
    <m/>
  </r>
  <r>
    <n v="749"/>
    <n v="0"/>
    <x v="1"/>
    <s v="Marvin, Mr. Daniel Warner"/>
    <x v="0"/>
    <n v="19"/>
    <n v="1"/>
    <n v="0"/>
    <n v="531"/>
    <n v="1"/>
    <s v="Southampton"/>
    <x v="0"/>
    <s v="PRIMERA"/>
    <s v="HOMBRE"/>
    <n v="19"/>
    <x v="6"/>
    <m/>
    <m/>
    <m/>
    <m/>
    <m/>
  </r>
  <r>
    <n v="750"/>
    <n v="0"/>
    <x v="0"/>
    <s v="Connaghton, Mr. Michael"/>
    <x v="0"/>
    <n v="31"/>
    <n v="0"/>
    <n v="0"/>
    <n v="775"/>
    <n v="0"/>
    <s v="Queenstown"/>
    <x v="0"/>
    <s v="TERCERA"/>
    <s v="HOMBRE"/>
    <n v="31"/>
    <x v="7"/>
    <m/>
    <m/>
    <m/>
    <m/>
    <m/>
  </r>
  <r>
    <n v="751"/>
    <n v="1"/>
    <x v="2"/>
    <s v="Wells, Miss. Joan"/>
    <x v="1"/>
    <n v="4"/>
    <n v="1"/>
    <n v="1"/>
    <n v="23"/>
    <n v="0"/>
    <s v="Southampton"/>
    <x v="1"/>
    <s v="SEGUNDA"/>
    <s v="MUJER"/>
    <n v="4"/>
    <x v="4"/>
    <m/>
    <m/>
    <m/>
    <m/>
    <m/>
  </r>
  <r>
    <n v="752"/>
    <n v="1"/>
    <x v="0"/>
    <s v="Moor, Master. Meier"/>
    <x v="0"/>
    <n v="6"/>
    <n v="0"/>
    <n v="1"/>
    <n v="12475"/>
    <n v="1"/>
    <s v="Southampton"/>
    <x v="1"/>
    <s v="TERCERA"/>
    <s v="HOMBRE"/>
    <n v="6"/>
    <x v="4"/>
    <m/>
    <m/>
    <m/>
    <m/>
    <m/>
  </r>
  <r>
    <n v="753"/>
    <n v="0"/>
    <x v="0"/>
    <s v="Vande Velde, Mr. Johannes Joseph"/>
    <x v="0"/>
    <n v="33"/>
    <n v="0"/>
    <n v="0"/>
    <n v="95"/>
    <n v="0"/>
    <s v="Southampton"/>
    <x v="0"/>
    <s v="TERCERA"/>
    <s v="HOMBRE"/>
    <n v="33"/>
    <x v="3"/>
    <m/>
    <m/>
    <m/>
    <m/>
    <m/>
  </r>
  <r>
    <n v="754"/>
    <n v="0"/>
    <x v="0"/>
    <s v="Jonkoff, Mr. Lalio"/>
    <x v="0"/>
    <n v="23"/>
    <n v="0"/>
    <n v="0"/>
    <n v="78958"/>
    <n v="0"/>
    <s v="Southampton"/>
    <x v="0"/>
    <s v="TERCERA"/>
    <s v="HOMBRE"/>
    <n v="23"/>
    <x v="0"/>
    <m/>
    <m/>
    <m/>
    <m/>
    <m/>
  </r>
  <r>
    <n v="755"/>
    <n v="1"/>
    <x v="2"/>
    <s v="Herman, Mrs. Samuel (Jane Laver)"/>
    <x v="1"/>
    <n v="48"/>
    <n v="1"/>
    <n v="2"/>
    <n v="65"/>
    <n v="0"/>
    <s v="Southampton"/>
    <x v="1"/>
    <s v="SEGUNDA"/>
    <s v="MUJER"/>
    <n v="48"/>
    <x v="9"/>
    <m/>
    <m/>
    <m/>
    <m/>
    <m/>
  </r>
  <r>
    <n v="756"/>
    <n v="1"/>
    <x v="2"/>
    <s v="Hamalainen, Master. Viljo"/>
    <x v="0"/>
    <n v="67"/>
    <n v="1"/>
    <n v="1"/>
    <n v="145"/>
    <n v="0"/>
    <s v="Southampton"/>
    <x v="1"/>
    <s v="SEGUNDA"/>
    <s v="HOMBRE"/>
    <n v="67"/>
    <x v="5"/>
    <m/>
    <m/>
    <m/>
    <m/>
    <m/>
  </r>
  <r>
    <n v="757"/>
    <n v="0"/>
    <x v="0"/>
    <s v="Carlsson, Mr. August Sigfrid"/>
    <x v="0"/>
    <n v="28"/>
    <n v="0"/>
    <n v="0"/>
    <n v="77958"/>
    <n v="0"/>
    <s v="Southampton"/>
    <x v="0"/>
    <s v="TERCERA"/>
    <s v="HOMBRE"/>
    <n v="28"/>
    <x v="2"/>
    <m/>
    <m/>
    <m/>
    <m/>
    <m/>
  </r>
  <r>
    <n v="758"/>
    <n v="0"/>
    <x v="2"/>
    <s v="Bailey, Mr. Percy Andrew"/>
    <x v="0"/>
    <n v="18"/>
    <n v="0"/>
    <n v="0"/>
    <n v="115"/>
    <n v="0"/>
    <s v="Southampton"/>
    <x v="0"/>
    <s v="SEGUNDA"/>
    <s v="HOMBRE"/>
    <n v="18"/>
    <x v="8"/>
    <m/>
    <m/>
    <m/>
    <m/>
    <m/>
  </r>
  <r>
    <n v="759"/>
    <n v="0"/>
    <x v="0"/>
    <s v="Theobald, Mr. Thomas Leonard"/>
    <x v="0"/>
    <n v="34"/>
    <n v="0"/>
    <n v="0"/>
    <n v="805"/>
    <n v="0"/>
    <s v="Southampton"/>
    <x v="0"/>
    <s v="TERCERA"/>
    <s v="HOMBRE"/>
    <n v="34"/>
    <x v="3"/>
    <m/>
    <m/>
    <m/>
    <m/>
    <m/>
  </r>
  <r>
    <n v="760"/>
    <n v="1"/>
    <x v="1"/>
    <s v="Rothes, the Countess. of (Lucy Noel Martha Dyer-Edwards)"/>
    <x v="1"/>
    <n v="33"/>
    <n v="0"/>
    <n v="0"/>
    <n v="865"/>
    <n v="1"/>
    <s v="Southampton"/>
    <x v="1"/>
    <s v="PRIMERA"/>
    <s v="MUJER"/>
    <n v="33"/>
    <x v="3"/>
    <m/>
    <m/>
    <m/>
    <m/>
    <m/>
  </r>
  <r>
    <n v="761"/>
    <n v="0"/>
    <x v="0"/>
    <s v="Garfirth, Mr. John"/>
    <x v="0"/>
    <m/>
    <n v="0"/>
    <n v="0"/>
    <n v="145"/>
    <n v="0"/>
    <s v="Southampton"/>
    <x v="0"/>
    <s v="TERCERA"/>
    <s v="HOMBRE"/>
    <s v=""/>
    <x v="4"/>
    <m/>
    <m/>
    <m/>
    <m/>
    <m/>
  </r>
  <r>
    <n v="762"/>
    <n v="0"/>
    <x v="0"/>
    <s v="Nirva, Mr. Iisakki Antino Aijo"/>
    <x v="0"/>
    <n v="41"/>
    <n v="0"/>
    <n v="0"/>
    <n v="7125"/>
    <n v="0"/>
    <s v="Southampton"/>
    <x v="0"/>
    <s v="TERCERA"/>
    <s v="HOMBRE"/>
    <n v="41"/>
    <x v="1"/>
    <m/>
    <m/>
    <m/>
    <m/>
    <m/>
  </r>
  <r>
    <n v="763"/>
    <n v="1"/>
    <x v="0"/>
    <s v="Barah, Mr. Hanna Assi"/>
    <x v="0"/>
    <n v="20"/>
    <n v="0"/>
    <n v="0"/>
    <n v="72292"/>
    <n v="0"/>
    <s v="Cherburg"/>
    <x v="1"/>
    <s v="TERCERA"/>
    <s v="HOMBRE"/>
    <n v="20"/>
    <x v="6"/>
    <m/>
    <m/>
    <m/>
    <m/>
    <m/>
  </r>
  <r>
    <n v="764"/>
    <n v="1"/>
    <x v="1"/>
    <s v="Carter, Mrs. William Ernest (Lucile Polk)"/>
    <x v="1"/>
    <n v="36"/>
    <n v="1"/>
    <n v="2"/>
    <n v="120"/>
    <n v="1"/>
    <s v="Southampton"/>
    <x v="1"/>
    <s v="PRIMERA"/>
    <s v="MUJER"/>
    <n v="36"/>
    <x v="1"/>
    <m/>
    <m/>
    <m/>
    <m/>
    <m/>
  </r>
  <r>
    <n v="765"/>
    <n v="0"/>
    <x v="0"/>
    <s v="Eklund, Mr. Hans Linus"/>
    <x v="0"/>
    <n v="16"/>
    <n v="0"/>
    <n v="0"/>
    <n v="7775"/>
    <n v="0"/>
    <s v="Southampton"/>
    <x v="0"/>
    <s v="TERCERA"/>
    <s v="HOMBRE"/>
    <n v="16"/>
    <x v="8"/>
    <m/>
    <m/>
    <m/>
    <m/>
    <m/>
  </r>
  <r>
    <n v="766"/>
    <n v="1"/>
    <x v="1"/>
    <s v="Hogeboom, Mrs. John C (Anna Andrews)"/>
    <x v="1"/>
    <n v="51"/>
    <n v="1"/>
    <n v="0"/>
    <n v="779583"/>
    <n v="1"/>
    <s v="Southampton"/>
    <x v="1"/>
    <s v="PRIMERA"/>
    <s v="MUJER"/>
    <n v="51"/>
    <x v="5"/>
    <m/>
    <m/>
    <m/>
    <m/>
    <m/>
  </r>
  <r>
    <n v="767"/>
    <n v="0"/>
    <x v="1"/>
    <s v="Brewe, Dr. Arthur Jackson"/>
    <x v="0"/>
    <m/>
    <n v="0"/>
    <n v="0"/>
    <n v="396"/>
    <n v="0"/>
    <s v="Cherburg"/>
    <x v="0"/>
    <s v="PRIMERA"/>
    <s v="HOMBRE"/>
    <s v=""/>
    <x v="4"/>
    <m/>
    <m/>
    <m/>
    <m/>
    <m/>
  </r>
  <r>
    <n v="768"/>
    <n v="0"/>
    <x v="0"/>
    <s v="Mangan, Miss. Mary"/>
    <x v="1"/>
    <n v="305"/>
    <n v="0"/>
    <n v="0"/>
    <n v="775"/>
    <n v="0"/>
    <s v="Queenstown"/>
    <x v="0"/>
    <s v="TERCERA"/>
    <s v="MUJER"/>
    <n v="30.5"/>
    <x v="7"/>
    <m/>
    <m/>
    <m/>
    <m/>
    <m/>
  </r>
  <r>
    <n v="769"/>
    <n v="0"/>
    <x v="0"/>
    <s v="Moran, Mr. Daniel J"/>
    <x v="0"/>
    <m/>
    <n v="1"/>
    <n v="0"/>
    <n v="2415"/>
    <n v="0"/>
    <s v="Queenstown"/>
    <x v="0"/>
    <s v="TERCERA"/>
    <s v="HOMBRE"/>
    <s v=""/>
    <x v="4"/>
    <m/>
    <m/>
    <m/>
    <m/>
    <m/>
  </r>
  <r>
    <n v="770"/>
    <n v="0"/>
    <x v="0"/>
    <s v="Gronnestad, Mr. Daniel Danielsen"/>
    <x v="0"/>
    <n v="32"/>
    <n v="0"/>
    <n v="0"/>
    <n v="83625"/>
    <n v="0"/>
    <s v="Southampton"/>
    <x v="0"/>
    <s v="TERCERA"/>
    <s v="HOMBRE"/>
    <n v="32"/>
    <x v="3"/>
    <m/>
    <m/>
    <m/>
    <m/>
    <m/>
  </r>
  <r>
    <n v="771"/>
    <n v="0"/>
    <x v="0"/>
    <s v="Lievens, Mr. Rene Aime"/>
    <x v="0"/>
    <n v="24"/>
    <n v="0"/>
    <n v="0"/>
    <n v="95"/>
    <n v="0"/>
    <s v="Southampton"/>
    <x v="0"/>
    <s v="TERCERA"/>
    <s v="HOMBRE"/>
    <n v="24"/>
    <x v="0"/>
    <m/>
    <m/>
    <m/>
    <m/>
    <m/>
  </r>
  <r>
    <n v="772"/>
    <n v="0"/>
    <x v="0"/>
    <s v="Jensen, Mr. Niels Peder"/>
    <x v="0"/>
    <n v="48"/>
    <n v="0"/>
    <n v="0"/>
    <n v="78542"/>
    <n v="0"/>
    <s v="Southampton"/>
    <x v="0"/>
    <s v="TERCERA"/>
    <s v="HOMBRE"/>
    <n v="48"/>
    <x v="9"/>
    <m/>
    <m/>
    <m/>
    <m/>
    <m/>
  </r>
  <r>
    <n v="773"/>
    <n v="0"/>
    <x v="2"/>
    <s v="Mack, Mrs. (Mary)"/>
    <x v="1"/>
    <n v="57"/>
    <n v="0"/>
    <n v="0"/>
    <n v="105"/>
    <n v="1"/>
    <s v="Southampton"/>
    <x v="0"/>
    <s v="SEGUNDA"/>
    <s v="MUJER"/>
    <n v="57"/>
    <x v="5"/>
    <m/>
    <m/>
    <m/>
    <m/>
    <m/>
  </r>
  <r>
    <n v="774"/>
    <n v="0"/>
    <x v="0"/>
    <s v="Elias, Mr. Dibo"/>
    <x v="0"/>
    <m/>
    <n v="0"/>
    <n v="0"/>
    <n v="7225"/>
    <n v="0"/>
    <s v="Cherburg"/>
    <x v="0"/>
    <s v="TERCERA"/>
    <s v="HOMBRE"/>
    <s v=""/>
    <x v="4"/>
    <m/>
    <m/>
    <m/>
    <m/>
    <m/>
  </r>
  <r>
    <n v="775"/>
    <n v="1"/>
    <x v="2"/>
    <s v="Hocking, Mrs. Elizabeth (Eliza Needs)"/>
    <x v="1"/>
    <n v="54"/>
    <n v="1"/>
    <n v="3"/>
    <n v="23"/>
    <n v="0"/>
    <s v="Southampton"/>
    <x v="1"/>
    <s v="SEGUNDA"/>
    <s v="MUJER"/>
    <n v="54"/>
    <x v="5"/>
    <m/>
    <m/>
    <m/>
    <m/>
    <m/>
  </r>
  <r>
    <n v="776"/>
    <n v="0"/>
    <x v="0"/>
    <s v="Myhrman, Mr. Pehr Fabian Oliver Malkolm"/>
    <x v="0"/>
    <n v="18"/>
    <n v="0"/>
    <n v="0"/>
    <n v="775"/>
    <n v="0"/>
    <s v="Southampton"/>
    <x v="0"/>
    <s v="TERCERA"/>
    <s v="HOMBRE"/>
    <n v="18"/>
    <x v="8"/>
    <m/>
    <m/>
    <m/>
    <m/>
    <m/>
  </r>
  <r>
    <n v="777"/>
    <n v="0"/>
    <x v="0"/>
    <s v="Tobin, Mr. Roger"/>
    <x v="0"/>
    <m/>
    <n v="0"/>
    <n v="0"/>
    <n v="775"/>
    <n v="1"/>
    <s v="Queenstown"/>
    <x v="0"/>
    <s v="TERCERA"/>
    <s v="HOMBRE"/>
    <s v=""/>
    <x v="4"/>
    <m/>
    <m/>
    <m/>
    <m/>
    <m/>
  </r>
  <r>
    <n v="778"/>
    <n v="1"/>
    <x v="0"/>
    <s v="Emanuel, Miss. Virginia Ethel"/>
    <x v="1"/>
    <n v="5"/>
    <n v="0"/>
    <n v="0"/>
    <n v="12475"/>
    <n v="0"/>
    <s v="Southampton"/>
    <x v="1"/>
    <s v="TERCERA"/>
    <s v="MUJER"/>
    <n v="5"/>
    <x v="4"/>
    <m/>
    <m/>
    <m/>
    <m/>
    <m/>
  </r>
  <r>
    <n v="779"/>
    <n v="0"/>
    <x v="0"/>
    <s v="Kilgannon, Mr. Thomas J"/>
    <x v="0"/>
    <m/>
    <n v="0"/>
    <n v="0"/>
    <n v="77375"/>
    <n v="0"/>
    <s v="Queenstown"/>
    <x v="0"/>
    <s v="TERCERA"/>
    <s v="HOMBRE"/>
    <s v=""/>
    <x v="4"/>
    <m/>
    <m/>
    <m/>
    <m/>
    <m/>
  </r>
  <r>
    <n v="780"/>
    <n v="1"/>
    <x v="1"/>
    <s v="Robert, Mrs. Edward Scott (Elisabeth Walton McMillan)"/>
    <x v="1"/>
    <n v="43"/>
    <n v="0"/>
    <n v="1"/>
    <n v="2113375"/>
    <n v="1"/>
    <s v="Southampton"/>
    <x v="1"/>
    <s v="PRIMERA"/>
    <s v="MUJER"/>
    <n v="43"/>
    <x v="9"/>
    <m/>
    <m/>
    <m/>
    <m/>
    <m/>
  </r>
  <r>
    <n v="781"/>
    <n v="1"/>
    <x v="0"/>
    <s v="Ayoub, Miss. Banoura"/>
    <x v="1"/>
    <n v="13"/>
    <n v="0"/>
    <n v="0"/>
    <n v="72292"/>
    <n v="0"/>
    <s v="Cherburg"/>
    <x v="1"/>
    <s v="TERCERA"/>
    <s v="MUJER"/>
    <n v="13"/>
    <x v="4"/>
    <m/>
    <m/>
    <m/>
    <m/>
    <m/>
  </r>
  <r>
    <n v="782"/>
    <n v="1"/>
    <x v="1"/>
    <s v="Dick, Mrs. Albert Adrian (Vera Gillespie)"/>
    <x v="1"/>
    <n v="17"/>
    <n v="1"/>
    <n v="0"/>
    <n v="57"/>
    <n v="1"/>
    <s v="Southampton"/>
    <x v="1"/>
    <s v="PRIMERA"/>
    <s v="MUJER"/>
    <n v="17"/>
    <x v="8"/>
    <m/>
    <m/>
    <m/>
    <m/>
    <m/>
  </r>
  <r>
    <n v="783"/>
    <n v="0"/>
    <x v="1"/>
    <s v="Long, Mr. Milton Clyde"/>
    <x v="0"/>
    <n v="29"/>
    <n v="0"/>
    <n v="0"/>
    <n v="30"/>
    <n v="1"/>
    <s v="Southampton"/>
    <x v="0"/>
    <s v="PRIMERA"/>
    <s v="HOMBRE"/>
    <n v="29"/>
    <x v="7"/>
    <m/>
    <m/>
    <m/>
    <m/>
    <m/>
  </r>
  <r>
    <n v="784"/>
    <n v="0"/>
    <x v="0"/>
    <s v="Johnston, Mr. Andrew G"/>
    <x v="0"/>
    <m/>
    <n v="1"/>
    <n v="2"/>
    <n v="2345"/>
    <n v="0"/>
    <s v="Southampton"/>
    <x v="0"/>
    <s v="TERCERA"/>
    <s v="HOMBRE"/>
    <s v=""/>
    <x v="4"/>
    <m/>
    <m/>
    <m/>
    <m/>
    <m/>
  </r>
  <r>
    <n v="785"/>
    <n v="0"/>
    <x v="0"/>
    <s v="Ali, Mr. William"/>
    <x v="0"/>
    <n v="25"/>
    <n v="0"/>
    <n v="0"/>
    <n v="705"/>
    <n v="0"/>
    <s v="Southampton"/>
    <x v="0"/>
    <s v="TERCERA"/>
    <s v="HOMBRE"/>
    <n v="25"/>
    <x v="2"/>
    <m/>
    <m/>
    <m/>
    <m/>
    <m/>
  </r>
  <r>
    <n v="786"/>
    <n v="0"/>
    <x v="0"/>
    <s v="Harmer, Mr. Abraham (David Lishin)"/>
    <x v="0"/>
    <n v="25"/>
    <n v="0"/>
    <n v="0"/>
    <n v="725"/>
    <n v="0"/>
    <s v="Southampton"/>
    <x v="0"/>
    <s v="TERCERA"/>
    <s v="HOMBRE"/>
    <n v="25"/>
    <x v="2"/>
    <m/>
    <m/>
    <m/>
    <m/>
    <m/>
  </r>
  <r>
    <n v="787"/>
    <n v="1"/>
    <x v="0"/>
    <s v="Sjoblom, Miss. Anna Sofia"/>
    <x v="1"/>
    <n v="18"/>
    <n v="0"/>
    <n v="0"/>
    <n v="74958"/>
    <n v="0"/>
    <s v="Southampton"/>
    <x v="1"/>
    <s v="TERCERA"/>
    <s v="MUJER"/>
    <n v="18"/>
    <x v="8"/>
    <m/>
    <m/>
    <m/>
    <m/>
    <m/>
  </r>
  <r>
    <n v="788"/>
    <n v="0"/>
    <x v="0"/>
    <s v="Rice, Master. George Hugh"/>
    <x v="0"/>
    <n v="8"/>
    <n v="4"/>
    <n v="1"/>
    <n v="29125"/>
    <n v="0"/>
    <s v="Queenstown"/>
    <x v="0"/>
    <s v="TERCERA"/>
    <s v="HOMBRE"/>
    <n v="8"/>
    <x v="4"/>
    <m/>
    <m/>
    <m/>
    <m/>
    <m/>
  </r>
  <r>
    <n v="789"/>
    <n v="1"/>
    <x v="0"/>
    <s v="Dean, Master. Bertram Vere"/>
    <x v="0"/>
    <n v="1"/>
    <n v="1"/>
    <n v="2"/>
    <n v="20575"/>
    <n v="0"/>
    <s v="Southampton"/>
    <x v="1"/>
    <s v="TERCERA"/>
    <s v="HOMBRE"/>
    <n v="1"/>
    <x v="4"/>
    <m/>
    <m/>
    <m/>
    <m/>
    <m/>
  </r>
  <r>
    <n v="790"/>
    <n v="0"/>
    <x v="1"/>
    <s v="Guggenheim, Mr. Benjamin"/>
    <x v="0"/>
    <n v="46"/>
    <n v="0"/>
    <n v="0"/>
    <n v="792"/>
    <n v="1"/>
    <s v="Cherburg"/>
    <x v="0"/>
    <s v="PRIMERA"/>
    <s v="HOMBRE"/>
    <n v="46"/>
    <x v="9"/>
    <m/>
    <m/>
    <m/>
    <m/>
    <m/>
  </r>
  <r>
    <n v="791"/>
    <n v="0"/>
    <x v="0"/>
    <s v="Keane, Mr. Andrew &quot;Andy&quot;"/>
    <x v="0"/>
    <m/>
    <n v="0"/>
    <n v="0"/>
    <n v="775"/>
    <n v="0"/>
    <s v="Queenstown"/>
    <x v="0"/>
    <s v="TERCERA"/>
    <s v="HOMBRE"/>
    <s v=""/>
    <x v="4"/>
    <m/>
    <m/>
    <m/>
    <m/>
    <m/>
  </r>
  <r>
    <n v="792"/>
    <n v="0"/>
    <x v="2"/>
    <s v="Gaskell, Mr. Alfred"/>
    <x v="0"/>
    <n v="16"/>
    <n v="0"/>
    <n v="0"/>
    <n v="26"/>
    <n v="0"/>
    <s v="Southampton"/>
    <x v="0"/>
    <s v="SEGUNDA"/>
    <s v="HOMBRE"/>
    <n v="16"/>
    <x v="8"/>
    <m/>
    <m/>
    <m/>
    <m/>
    <m/>
  </r>
  <r>
    <n v="793"/>
    <n v="0"/>
    <x v="0"/>
    <s v="Sage, Miss. Stella Anna"/>
    <x v="1"/>
    <m/>
    <n v="8"/>
    <n v="2"/>
    <n v="6955"/>
    <n v="0"/>
    <s v="Southampton"/>
    <x v="0"/>
    <s v="TERCERA"/>
    <s v="MUJER"/>
    <s v=""/>
    <x v="4"/>
    <m/>
    <m/>
    <m/>
    <m/>
    <m/>
  </r>
  <r>
    <n v="794"/>
    <n v="0"/>
    <x v="1"/>
    <s v="Hoyt, Mr. William Fisher"/>
    <x v="0"/>
    <m/>
    <n v="0"/>
    <n v="0"/>
    <n v="306958"/>
    <n v="0"/>
    <s v="Cherburg"/>
    <x v="0"/>
    <s v="PRIMERA"/>
    <s v="HOMBRE"/>
    <s v=""/>
    <x v="4"/>
    <m/>
    <m/>
    <m/>
    <m/>
    <m/>
  </r>
  <r>
    <n v="795"/>
    <n v="0"/>
    <x v="0"/>
    <s v="Dantcheff, Mr. Ristiu"/>
    <x v="0"/>
    <n v="25"/>
    <n v="0"/>
    <n v="0"/>
    <n v="78958"/>
    <n v="0"/>
    <s v="Southampton"/>
    <x v="0"/>
    <s v="TERCERA"/>
    <s v="HOMBRE"/>
    <n v="25"/>
    <x v="2"/>
    <m/>
    <m/>
    <m/>
    <m/>
    <m/>
  </r>
  <r>
    <n v="796"/>
    <n v="0"/>
    <x v="2"/>
    <s v="Otter, Mr. Richard"/>
    <x v="0"/>
    <n v="39"/>
    <n v="0"/>
    <n v="0"/>
    <n v="13"/>
    <n v="0"/>
    <s v="Southampton"/>
    <x v="0"/>
    <s v="SEGUNDA"/>
    <s v="HOMBRE"/>
    <n v="39"/>
    <x v="1"/>
    <m/>
    <m/>
    <m/>
    <m/>
    <m/>
  </r>
  <r>
    <n v="797"/>
    <n v="1"/>
    <x v="1"/>
    <s v="Leader, Dr. Alice (Farnham)"/>
    <x v="1"/>
    <n v="49"/>
    <n v="0"/>
    <n v="0"/>
    <n v="259292"/>
    <n v="1"/>
    <s v="Southampton"/>
    <x v="1"/>
    <s v="PRIMERA"/>
    <s v="MUJER"/>
    <n v="49"/>
    <x v="9"/>
    <m/>
    <m/>
    <m/>
    <m/>
    <m/>
  </r>
  <r>
    <n v="798"/>
    <n v="1"/>
    <x v="0"/>
    <s v="Osman, Mrs. Mara"/>
    <x v="1"/>
    <n v="31"/>
    <n v="0"/>
    <n v="0"/>
    <n v="86833"/>
    <n v="0"/>
    <s v="Southampton"/>
    <x v="1"/>
    <s v="TERCERA"/>
    <s v="MUJER"/>
    <n v="31"/>
    <x v="7"/>
    <m/>
    <m/>
    <m/>
    <m/>
    <m/>
  </r>
  <r>
    <n v="799"/>
    <n v="0"/>
    <x v="0"/>
    <s v="Ibrahim Shawah, Mr. Yousseff"/>
    <x v="0"/>
    <n v="30"/>
    <n v="0"/>
    <n v="0"/>
    <n v="72292"/>
    <n v="0"/>
    <s v="Cherburg"/>
    <x v="0"/>
    <s v="TERCERA"/>
    <s v="HOMBRE"/>
    <n v="30"/>
    <x v="7"/>
    <m/>
    <m/>
    <m/>
    <m/>
    <m/>
  </r>
  <r>
    <n v="800"/>
    <n v="0"/>
    <x v="0"/>
    <s v="Van Impe, Mrs. Jean Baptiste (Rosalie Paula Govaert)"/>
    <x v="1"/>
    <n v="30"/>
    <n v="1"/>
    <n v="1"/>
    <n v="2415"/>
    <n v="0"/>
    <s v="Southampton"/>
    <x v="0"/>
    <s v="TERCERA"/>
    <s v="MUJER"/>
    <n v="30"/>
    <x v="7"/>
    <m/>
    <m/>
    <m/>
    <m/>
    <m/>
  </r>
  <r>
    <n v="801"/>
    <n v="0"/>
    <x v="2"/>
    <s v="Ponesell, Mr. Martin"/>
    <x v="0"/>
    <n v="34"/>
    <n v="0"/>
    <n v="0"/>
    <n v="13"/>
    <n v="0"/>
    <s v="Southampton"/>
    <x v="0"/>
    <s v="SEGUNDA"/>
    <s v="HOMBRE"/>
    <n v="34"/>
    <x v="3"/>
    <m/>
    <m/>
    <m/>
    <m/>
    <m/>
  </r>
  <r>
    <n v="802"/>
    <n v="1"/>
    <x v="2"/>
    <s v="Collyer, Mrs. Harvey (Charlotte Annie Tate)"/>
    <x v="1"/>
    <n v="31"/>
    <n v="1"/>
    <n v="1"/>
    <n v="2625"/>
    <n v="0"/>
    <s v="Southampton"/>
    <x v="1"/>
    <s v="SEGUNDA"/>
    <s v="MUJER"/>
    <n v="31"/>
    <x v="7"/>
    <m/>
    <m/>
    <m/>
    <m/>
    <m/>
  </r>
  <r>
    <n v="803"/>
    <n v="1"/>
    <x v="1"/>
    <s v="Carter, Master. William Thornton II"/>
    <x v="0"/>
    <n v="11"/>
    <n v="1"/>
    <n v="2"/>
    <n v="120"/>
    <n v="1"/>
    <s v="Southampton"/>
    <x v="1"/>
    <s v="PRIMERA"/>
    <s v="HOMBRE"/>
    <n v="11"/>
    <x v="4"/>
    <m/>
    <m/>
    <m/>
    <m/>
    <m/>
  </r>
  <r>
    <n v="804"/>
    <n v="1"/>
    <x v="0"/>
    <s v="Thomas, Master. Assad Alexander"/>
    <x v="0"/>
    <n v="42"/>
    <n v="0"/>
    <n v="1"/>
    <n v="85167"/>
    <n v="0"/>
    <s v="Cherburg"/>
    <x v="1"/>
    <s v="TERCERA"/>
    <s v="HOMBRE"/>
    <n v="42"/>
    <x v="9"/>
    <m/>
    <m/>
    <m/>
    <m/>
    <m/>
  </r>
  <r>
    <n v="805"/>
    <n v="1"/>
    <x v="0"/>
    <s v="Hedman, Mr. Oskar Arvid"/>
    <x v="0"/>
    <n v="27"/>
    <n v="0"/>
    <n v="0"/>
    <n v="6975"/>
    <n v="0"/>
    <s v="Southampton"/>
    <x v="1"/>
    <s v="TERCERA"/>
    <s v="HOMBRE"/>
    <n v="27"/>
    <x v="2"/>
    <m/>
    <m/>
    <m/>
    <m/>
    <m/>
  </r>
  <r>
    <n v="806"/>
    <n v="0"/>
    <x v="0"/>
    <s v="Johansson, Mr. Karl Johan"/>
    <x v="0"/>
    <n v="31"/>
    <n v="0"/>
    <n v="0"/>
    <n v="7775"/>
    <n v="0"/>
    <s v="Southampton"/>
    <x v="0"/>
    <s v="TERCERA"/>
    <s v="HOMBRE"/>
    <n v="31"/>
    <x v="7"/>
    <m/>
    <m/>
    <m/>
    <m/>
    <m/>
  </r>
  <r>
    <n v="807"/>
    <n v="0"/>
    <x v="1"/>
    <s v="Andrews, Mr. Thomas Jr"/>
    <x v="0"/>
    <n v="39"/>
    <n v="0"/>
    <n v="0"/>
    <n v="0"/>
    <n v="1"/>
    <s v="Southampton"/>
    <x v="0"/>
    <s v="PRIMERA"/>
    <s v="HOMBRE"/>
    <n v="39"/>
    <x v="1"/>
    <m/>
    <m/>
    <m/>
    <m/>
    <m/>
  </r>
  <r>
    <n v="808"/>
    <n v="0"/>
    <x v="0"/>
    <s v="Pettersson, Miss. Ellen Natalia"/>
    <x v="1"/>
    <n v="18"/>
    <n v="0"/>
    <n v="0"/>
    <n v="7775"/>
    <n v="0"/>
    <s v="Southampton"/>
    <x v="0"/>
    <s v="TERCERA"/>
    <s v="MUJER"/>
    <n v="18"/>
    <x v="8"/>
    <m/>
    <m/>
    <m/>
    <m/>
    <m/>
  </r>
  <r>
    <n v="809"/>
    <n v="0"/>
    <x v="2"/>
    <s v="Meyer, Mr. August"/>
    <x v="0"/>
    <n v="39"/>
    <n v="0"/>
    <n v="0"/>
    <n v="13"/>
    <n v="0"/>
    <s v="Southampton"/>
    <x v="0"/>
    <s v="SEGUNDA"/>
    <s v="HOMBRE"/>
    <n v="39"/>
    <x v="1"/>
    <m/>
    <m/>
    <m/>
    <m/>
    <m/>
  </r>
  <r>
    <n v="810"/>
    <n v="1"/>
    <x v="1"/>
    <s v="Chambers, Mrs. Norman Campbell (Bertha Griggs)"/>
    <x v="1"/>
    <n v="33"/>
    <n v="1"/>
    <n v="0"/>
    <n v="531"/>
    <n v="1"/>
    <s v="Southampton"/>
    <x v="1"/>
    <s v="PRIMERA"/>
    <s v="MUJER"/>
    <n v="33"/>
    <x v="3"/>
    <m/>
    <m/>
    <m/>
    <m/>
    <m/>
  </r>
  <r>
    <n v="811"/>
    <n v="0"/>
    <x v="0"/>
    <s v="Alexander, Mr. William"/>
    <x v="0"/>
    <n v="26"/>
    <n v="0"/>
    <n v="0"/>
    <n v="78875"/>
    <n v="0"/>
    <s v="Southampton"/>
    <x v="0"/>
    <s v="TERCERA"/>
    <s v="HOMBRE"/>
    <n v="26"/>
    <x v="2"/>
    <m/>
    <m/>
    <m/>
    <m/>
    <m/>
  </r>
  <r>
    <n v="812"/>
    <n v="0"/>
    <x v="0"/>
    <s v="Lester, Mr. James"/>
    <x v="0"/>
    <n v="39"/>
    <n v="0"/>
    <n v="0"/>
    <n v="2415"/>
    <n v="0"/>
    <s v="Southampton"/>
    <x v="0"/>
    <s v="TERCERA"/>
    <s v="HOMBRE"/>
    <n v="39"/>
    <x v="1"/>
    <m/>
    <m/>
    <m/>
    <m/>
    <m/>
  </r>
  <r>
    <n v="813"/>
    <n v="0"/>
    <x v="2"/>
    <s v="Slemen, Mr. Richard James"/>
    <x v="0"/>
    <n v="35"/>
    <n v="0"/>
    <n v="0"/>
    <n v="105"/>
    <n v="0"/>
    <s v="Southampton"/>
    <x v="0"/>
    <s v="SEGUNDA"/>
    <s v="HOMBRE"/>
    <n v="35"/>
    <x v="3"/>
    <m/>
    <m/>
    <m/>
    <m/>
    <m/>
  </r>
  <r>
    <n v="814"/>
    <n v="0"/>
    <x v="0"/>
    <s v="Andersson, Miss. Ebba Iris Alfrida"/>
    <x v="1"/>
    <n v="6"/>
    <n v="4"/>
    <n v="2"/>
    <n v="31275"/>
    <n v="0"/>
    <s v="Southampton"/>
    <x v="0"/>
    <s v="TERCERA"/>
    <s v="MUJER"/>
    <n v="6"/>
    <x v="4"/>
    <m/>
    <m/>
    <m/>
    <m/>
    <m/>
  </r>
  <r>
    <n v="815"/>
    <n v="0"/>
    <x v="0"/>
    <s v="Tomlin, Mr. Ernest Portage"/>
    <x v="0"/>
    <n v="305"/>
    <n v="0"/>
    <n v="0"/>
    <n v="805"/>
    <n v="0"/>
    <s v="Southampton"/>
    <x v="0"/>
    <s v="TERCERA"/>
    <s v="HOMBRE"/>
    <n v="30.5"/>
    <x v="7"/>
    <m/>
    <m/>
    <m/>
    <m/>
    <m/>
  </r>
  <r>
    <n v="816"/>
    <n v="0"/>
    <x v="1"/>
    <s v="Fry, Mr. Richard"/>
    <x v="0"/>
    <m/>
    <n v="0"/>
    <n v="0"/>
    <n v="0"/>
    <n v="1"/>
    <s v="Southampton"/>
    <x v="0"/>
    <s v="PRIMERA"/>
    <s v="HOMBRE"/>
    <s v=""/>
    <x v="4"/>
    <m/>
    <m/>
    <m/>
    <m/>
    <m/>
  </r>
  <r>
    <n v="817"/>
    <n v="0"/>
    <x v="0"/>
    <s v="Heininen, Miss. Wendla Maria"/>
    <x v="1"/>
    <n v="23"/>
    <n v="0"/>
    <n v="0"/>
    <n v="7925"/>
    <n v="0"/>
    <s v="Southampton"/>
    <x v="0"/>
    <s v="TERCERA"/>
    <s v="MUJER"/>
    <n v="23"/>
    <x v="0"/>
    <m/>
    <m/>
    <m/>
    <m/>
    <m/>
  </r>
  <r>
    <n v="818"/>
    <n v="0"/>
    <x v="2"/>
    <s v="Mallet, Mr. Albert"/>
    <x v="0"/>
    <n v="31"/>
    <n v="1"/>
    <n v="1"/>
    <n v="370042"/>
    <n v="0"/>
    <s v="Cherburg"/>
    <x v="0"/>
    <s v="SEGUNDA"/>
    <s v="HOMBRE"/>
    <n v="31"/>
    <x v="7"/>
    <m/>
    <m/>
    <m/>
    <m/>
    <m/>
  </r>
  <r>
    <n v="819"/>
    <n v="0"/>
    <x v="0"/>
    <s v="Holm, Mr. John Fredrik Alexander"/>
    <x v="0"/>
    <n v="43"/>
    <n v="0"/>
    <n v="0"/>
    <n v="645"/>
    <n v="0"/>
    <s v="Southampton"/>
    <x v="0"/>
    <s v="TERCERA"/>
    <s v="HOMBRE"/>
    <n v="43"/>
    <x v="9"/>
    <m/>
    <m/>
    <m/>
    <m/>
    <m/>
  </r>
  <r>
    <n v="820"/>
    <n v="0"/>
    <x v="0"/>
    <s v="Skoog, Master. Karl Thorsten"/>
    <x v="0"/>
    <n v="10"/>
    <n v="3"/>
    <n v="2"/>
    <n v="279"/>
    <n v="0"/>
    <s v="Southampton"/>
    <x v="0"/>
    <s v="TERCERA"/>
    <s v="HOMBRE"/>
    <n v="10"/>
    <x v="4"/>
    <m/>
    <m/>
    <m/>
    <m/>
    <m/>
  </r>
  <r>
    <n v="821"/>
    <n v="1"/>
    <x v="1"/>
    <s v="Hays, Mrs. Charles Melville (Clara Jennings Gregg)"/>
    <x v="1"/>
    <n v="52"/>
    <n v="1"/>
    <n v="1"/>
    <n v="935"/>
    <n v="1"/>
    <s v="Southampton"/>
    <x v="1"/>
    <s v="PRIMERA"/>
    <s v="MUJER"/>
    <n v="52"/>
    <x v="5"/>
    <m/>
    <m/>
    <m/>
    <m/>
    <m/>
  </r>
  <r>
    <n v="822"/>
    <n v="1"/>
    <x v="0"/>
    <s v="Lulic, Mr. Nikola"/>
    <x v="0"/>
    <n v="27"/>
    <n v="0"/>
    <n v="0"/>
    <n v="86625"/>
    <n v="0"/>
    <s v="Southampton"/>
    <x v="1"/>
    <s v="TERCERA"/>
    <s v="HOMBRE"/>
    <n v="27"/>
    <x v="2"/>
    <m/>
    <m/>
    <m/>
    <m/>
    <m/>
  </r>
  <r>
    <n v="823"/>
    <n v="0"/>
    <x v="1"/>
    <s v="Reuchlin, Jonkheer. John George"/>
    <x v="0"/>
    <n v="38"/>
    <n v="0"/>
    <n v="0"/>
    <n v="0"/>
    <n v="0"/>
    <s v="Southampton"/>
    <x v="0"/>
    <s v="PRIMERA"/>
    <s v="HOMBRE"/>
    <n v="38"/>
    <x v="1"/>
    <m/>
    <m/>
    <m/>
    <m/>
    <m/>
  </r>
  <r>
    <n v="824"/>
    <n v="1"/>
    <x v="0"/>
    <s v="Moor, Mrs. (Beila)"/>
    <x v="1"/>
    <n v="27"/>
    <n v="0"/>
    <n v="1"/>
    <n v="12475"/>
    <n v="1"/>
    <s v="Southampton"/>
    <x v="1"/>
    <s v="TERCERA"/>
    <s v="MUJER"/>
    <n v="27"/>
    <x v="2"/>
    <m/>
    <m/>
    <m/>
    <m/>
    <m/>
  </r>
  <r>
    <n v="825"/>
    <n v="0"/>
    <x v="0"/>
    <s v="Panula, Master. Urho Abraham"/>
    <x v="0"/>
    <n v="2"/>
    <n v="4"/>
    <n v="1"/>
    <n v="396875"/>
    <n v="0"/>
    <s v="Southampton"/>
    <x v="0"/>
    <s v="TERCERA"/>
    <s v="HOMBRE"/>
    <n v="2"/>
    <x v="4"/>
    <m/>
    <m/>
    <m/>
    <m/>
    <m/>
  </r>
  <r>
    <n v="826"/>
    <n v="0"/>
    <x v="0"/>
    <s v="Flynn, Mr. John"/>
    <x v="0"/>
    <m/>
    <n v="0"/>
    <n v="0"/>
    <n v="695"/>
    <n v="0"/>
    <s v="Queenstown"/>
    <x v="0"/>
    <s v="TERCERA"/>
    <s v="HOMBRE"/>
    <s v=""/>
    <x v="4"/>
    <m/>
    <m/>
    <m/>
    <m/>
    <m/>
  </r>
  <r>
    <n v="827"/>
    <n v="0"/>
    <x v="0"/>
    <s v="Lam, Mr. Len"/>
    <x v="0"/>
    <m/>
    <n v="0"/>
    <n v="0"/>
    <n v="564958"/>
    <n v="0"/>
    <s v="Southampton"/>
    <x v="0"/>
    <s v="TERCERA"/>
    <s v="HOMBRE"/>
    <s v=""/>
    <x v="4"/>
    <m/>
    <m/>
    <m/>
    <m/>
    <m/>
  </r>
  <r>
    <n v="828"/>
    <n v="1"/>
    <x v="2"/>
    <s v="Mallet, Master. Andre"/>
    <x v="0"/>
    <n v="1"/>
    <n v="0"/>
    <n v="2"/>
    <n v="370042"/>
    <n v="0"/>
    <s v="Cherburg"/>
    <x v="1"/>
    <s v="SEGUNDA"/>
    <s v="HOMBRE"/>
    <n v="1"/>
    <x v="4"/>
    <m/>
    <m/>
    <m/>
    <m/>
    <m/>
  </r>
  <r>
    <n v="829"/>
    <n v="1"/>
    <x v="0"/>
    <s v="McCormack, Mr. Thomas Joseph"/>
    <x v="0"/>
    <m/>
    <n v="0"/>
    <n v="0"/>
    <n v="775"/>
    <n v="0"/>
    <s v="Queenstown"/>
    <x v="1"/>
    <s v="TERCERA"/>
    <s v="HOMBRE"/>
    <s v=""/>
    <x v="4"/>
    <m/>
    <m/>
    <m/>
    <m/>
    <m/>
  </r>
  <r>
    <n v="830"/>
    <n v="1"/>
    <x v="1"/>
    <s v="Stone, Mrs. George Nelson (Martha Evelyn)"/>
    <x v="1"/>
    <n v="62"/>
    <n v="0"/>
    <n v="0"/>
    <n v="80"/>
    <n v="1"/>
    <m/>
    <x v="1"/>
    <s v="PRIMERA"/>
    <s v="MUJER"/>
    <n v="62"/>
    <x v="5"/>
    <m/>
    <m/>
    <m/>
    <m/>
    <m/>
  </r>
  <r>
    <n v="831"/>
    <n v="1"/>
    <x v="0"/>
    <s v="Yasbeck, Mrs. Antoni (Selini Alexander)"/>
    <x v="1"/>
    <n v="15"/>
    <n v="1"/>
    <n v="0"/>
    <n v="144542"/>
    <n v="0"/>
    <s v="Cherburg"/>
    <x v="1"/>
    <s v="TERCERA"/>
    <s v="MUJER"/>
    <n v="15"/>
    <x v="8"/>
    <m/>
    <m/>
    <m/>
    <m/>
    <m/>
  </r>
  <r>
    <n v="832"/>
    <n v="1"/>
    <x v="2"/>
    <s v="Richards, Master. George Sibley"/>
    <x v="0"/>
    <n v="83"/>
    <n v="1"/>
    <n v="1"/>
    <n v="1875"/>
    <n v="0"/>
    <s v="Southampton"/>
    <x v="1"/>
    <s v="SEGUNDA"/>
    <s v="HOMBRE"/>
    <n v="83"/>
    <x v="5"/>
    <m/>
    <m/>
    <m/>
    <m/>
    <m/>
  </r>
  <r>
    <n v="833"/>
    <n v="0"/>
    <x v="0"/>
    <s v="Saad, Mr. Amin"/>
    <x v="0"/>
    <m/>
    <n v="0"/>
    <n v="0"/>
    <n v="72292"/>
    <n v="0"/>
    <s v="Cherburg"/>
    <x v="0"/>
    <s v="TERCERA"/>
    <s v="HOMBRE"/>
    <s v=""/>
    <x v="4"/>
    <m/>
    <m/>
    <m/>
    <m/>
    <m/>
  </r>
  <r>
    <n v="834"/>
    <n v="0"/>
    <x v="0"/>
    <s v="Augustsson, Mr. Albert"/>
    <x v="0"/>
    <n v="23"/>
    <n v="0"/>
    <n v="0"/>
    <n v="78542"/>
    <n v="0"/>
    <s v="Southampton"/>
    <x v="0"/>
    <s v="TERCERA"/>
    <s v="HOMBRE"/>
    <n v="23"/>
    <x v="0"/>
    <m/>
    <m/>
    <m/>
    <m/>
    <m/>
  </r>
  <r>
    <n v="835"/>
    <n v="0"/>
    <x v="0"/>
    <s v="Allum, Mr. Owen George"/>
    <x v="0"/>
    <n v="18"/>
    <n v="0"/>
    <n v="0"/>
    <n v="83"/>
    <n v="0"/>
    <s v="Southampton"/>
    <x v="0"/>
    <s v="TERCERA"/>
    <s v="HOMBRE"/>
    <n v="18"/>
    <x v="8"/>
    <m/>
    <m/>
    <m/>
    <m/>
    <m/>
  </r>
  <r>
    <n v="836"/>
    <n v="1"/>
    <x v="1"/>
    <s v="Compton, Miss. Sara Rebecca"/>
    <x v="1"/>
    <n v="39"/>
    <n v="1"/>
    <n v="1"/>
    <n v="831583"/>
    <n v="1"/>
    <s v="Cherburg"/>
    <x v="1"/>
    <s v="PRIMERA"/>
    <s v="MUJER"/>
    <n v="39"/>
    <x v="1"/>
    <m/>
    <m/>
    <m/>
    <m/>
    <m/>
  </r>
  <r>
    <n v="837"/>
    <n v="0"/>
    <x v="0"/>
    <s v="Pasic, Mr. Jakob"/>
    <x v="0"/>
    <n v="21"/>
    <n v="0"/>
    <n v="0"/>
    <n v="86625"/>
    <n v="0"/>
    <s v="Southampton"/>
    <x v="0"/>
    <s v="TERCERA"/>
    <s v="HOMBRE"/>
    <n v="21"/>
    <x v="6"/>
    <m/>
    <m/>
    <m/>
    <m/>
    <m/>
  </r>
  <r>
    <n v="838"/>
    <n v="0"/>
    <x v="0"/>
    <s v="Sirota, Mr. Maurice"/>
    <x v="0"/>
    <m/>
    <n v="0"/>
    <n v="0"/>
    <n v="805"/>
    <n v="0"/>
    <s v="Southampton"/>
    <x v="0"/>
    <s v="TERCERA"/>
    <s v="HOMBRE"/>
    <s v=""/>
    <x v="4"/>
    <m/>
    <m/>
    <m/>
    <m/>
    <m/>
  </r>
  <r>
    <n v="839"/>
    <n v="1"/>
    <x v="0"/>
    <s v="Chip, Mr. Chang"/>
    <x v="0"/>
    <n v="32"/>
    <n v="0"/>
    <n v="0"/>
    <n v="564958"/>
    <n v="0"/>
    <s v="Southampton"/>
    <x v="1"/>
    <s v="TERCERA"/>
    <s v="HOMBRE"/>
    <n v="32"/>
    <x v="3"/>
    <m/>
    <m/>
    <m/>
    <m/>
    <m/>
  </r>
  <r>
    <n v="840"/>
    <n v="1"/>
    <x v="1"/>
    <s v="Marechal, Mr. Pierre"/>
    <x v="0"/>
    <m/>
    <n v="0"/>
    <n v="0"/>
    <n v="297"/>
    <n v="1"/>
    <s v="Cherburg"/>
    <x v="1"/>
    <s v="PRIMERA"/>
    <s v="HOMBRE"/>
    <s v=""/>
    <x v="4"/>
    <m/>
    <m/>
    <m/>
    <m/>
    <m/>
  </r>
  <r>
    <n v="841"/>
    <n v="0"/>
    <x v="0"/>
    <s v="Alhomaki, Mr. Ilmari Rudolf"/>
    <x v="0"/>
    <n v="20"/>
    <n v="0"/>
    <n v="0"/>
    <n v="7925"/>
    <n v="0"/>
    <s v="Southampton"/>
    <x v="0"/>
    <s v="TERCERA"/>
    <s v="HOMBRE"/>
    <n v="20"/>
    <x v="6"/>
    <m/>
    <m/>
    <m/>
    <m/>
    <m/>
  </r>
  <r>
    <n v="842"/>
    <n v="0"/>
    <x v="2"/>
    <s v="Mudd, Mr. Thomas Charles"/>
    <x v="0"/>
    <n v="16"/>
    <n v="0"/>
    <n v="0"/>
    <n v="105"/>
    <n v="0"/>
    <s v="Southampton"/>
    <x v="0"/>
    <s v="SEGUNDA"/>
    <s v="HOMBRE"/>
    <n v="16"/>
    <x v="8"/>
    <m/>
    <m/>
    <m/>
    <m/>
    <m/>
  </r>
  <r>
    <n v="843"/>
    <n v="1"/>
    <x v="1"/>
    <s v="Serepeca, Miss. Augusta"/>
    <x v="1"/>
    <n v="30"/>
    <n v="0"/>
    <n v="0"/>
    <n v="31"/>
    <n v="0"/>
    <s v="Cherburg"/>
    <x v="1"/>
    <s v="PRIMERA"/>
    <s v="MUJER"/>
    <n v="30"/>
    <x v="7"/>
    <m/>
    <m/>
    <m/>
    <m/>
    <m/>
  </r>
  <r>
    <n v="844"/>
    <n v="0"/>
    <x v="0"/>
    <s v="Lemberopolous, Mr. Peter L"/>
    <x v="0"/>
    <n v="345"/>
    <n v="0"/>
    <n v="0"/>
    <n v="64375"/>
    <n v="0"/>
    <s v="Cherburg"/>
    <x v="0"/>
    <s v="TERCERA"/>
    <s v="HOMBRE"/>
    <n v="34.5"/>
    <x v="3"/>
    <m/>
    <m/>
    <m/>
    <m/>
    <m/>
  </r>
  <r>
    <n v="845"/>
    <n v="0"/>
    <x v="0"/>
    <s v="Culumovic, Mr. Jeso"/>
    <x v="0"/>
    <n v="17"/>
    <n v="0"/>
    <n v="0"/>
    <n v="86625"/>
    <n v="0"/>
    <s v="Southampton"/>
    <x v="0"/>
    <s v="TERCERA"/>
    <s v="HOMBRE"/>
    <n v="17"/>
    <x v="8"/>
    <m/>
    <m/>
    <m/>
    <m/>
    <m/>
  </r>
  <r>
    <n v="846"/>
    <n v="0"/>
    <x v="0"/>
    <s v="Abbing, Mr. Anthony"/>
    <x v="0"/>
    <n v="42"/>
    <n v="0"/>
    <n v="0"/>
    <n v="755"/>
    <n v="0"/>
    <s v="Southampton"/>
    <x v="0"/>
    <s v="TERCERA"/>
    <s v="HOMBRE"/>
    <n v="42"/>
    <x v="9"/>
    <m/>
    <m/>
    <m/>
    <m/>
    <m/>
  </r>
  <r>
    <n v="847"/>
    <n v="0"/>
    <x v="0"/>
    <s v="Sage, Mr. Douglas Bullen"/>
    <x v="0"/>
    <m/>
    <n v="8"/>
    <n v="2"/>
    <n v="6955"/>
    <n v="0"/>
    <s v="Southampton"/>
    <x v="0"/>
    <s v="TERCERA"/>
    <s v="HOMBRE"/>
    <s v=""/>
    <x v="4"/>
    <m/>
    <m/>
    <m/>
    <m/>
    <m/>
  </r>
  <r>
    <n v="848"/>
    <n v="0"/>
    <x v="0"/>
    <s v="Markoff, Mr. Marin"/>
    <x v="0"/>
    <n v="35"/>
    <n v="0"/>
    <n v="0"/>
    <n v="78958"/>
    <n v="0"/>
    <s v="Cherburg"/>
    <x v="0"/>
    <s v="TERCERA"/>
    <s v="HOMBRE"/>
    <n v="35"/>
    <x v="3"/>
    <m/>
    <m/>
    <m/>
    <m/>
    <m/>
  </r>
  <r>
    <n v="849"/>
    <n v="0"/>
    <x v="2"/>
    <s v="Harper, Rev. John"/>
    <x v="0"/>
    <n v="28"/>
    <n v="0"/>
    <n v="1"/>
    <n v="33"/>
    <n v="0"/>
    <s v="Southampton"/>
    <x v="0"/>
    <s v="SEGUNDA"/>
    <s v="HOMBRE"/>
    <n v="28"/>
    <x v="2"/>
    <m/>
    <m/>
    <m/>
    <m/>
    <m/>
  </r>
  <r>
    <n v="850"/>
    <n v="1"/>
    <x v="1"/>
    <s v="Goldenberg, Mrs. Samuel L (Edwiga Grabowska)"/>
    <x v="1"/>
    <m/>
    <n v="1"/>
    <n v="0"/>
    <n v="891042"/>
    <n v="1"/>
    <s v="Cherburg"/>
    <x v="1"/>
    <s v="PRIMERA"/>
    <s v="MUJER"/>
    <s v=""/>
    <x v="4"/>
    <m/>
    <m/>
    <m/>
    <m/>
    <m/>
  </r>
  <r>
    <n v="851"/>
    <n v="0"/>
    <x v="0"/>
    <s v="Andersson, Master. Sigvard Harald Elias"/>
    <x v="0"/>
    <n v="4"/>
    <n v="4"/>
    <n v="2"/>
    <n v="31275"/>
    <n v="0"/>
    <s v="Southampton"/>
    <x v="0"/>
    <s v="TERCERA"/>
    <s v="HOMBRE"/>
    <n v="4"/>
    <x v="4"/>
    <m/>
    <m/>
    <m/>
    <m/>
    <m/>
  </r>
  <r>
    <n v="852"/>
    <n v="0"/>
    <x v="0"/>
    <s v="Svensson, Mr. Johan"/>
    <x v="0"/>
    <n v="74"/>
    <n v="0"/>
    <n v="0"/>
    <n v="7775"/>
    <n v="0"/>
    <s v="Southampton"/>
    <x v="0"/>
    <s v="TERCERA"/>
    <s v="HOMBRE"/>
    <n v="74"/>
    <x v="5"/>
    <m/>
    <m/>
    <m/>
    <m/>
    <m/>
  </r>
  <r>
    <n v="853"/>
    <n v="0"/>
    <x v="0"/>
    <s v="Boulos, Miss. Nourelain"/>
    <x v="1"/>
    <n v="9"/>
    <n v="1"/>
    <n v="1"/>
    <n v="152458"/>
    <n v="0"/>
    <s v="Cherburg"/>
    <x v="0"/>
    <s v="TERCERA"/>
    <s v="MUJER"/>
    <n v="9"/>
    <x v="4"/>
    <m/>
    <m/>
    <m/>
    <m/>
    <m/>
  </r>
  <r>
    <n v="854"/>
    <n v="1"/>
    <x v="1"/>
    <s v="Lines, Miss. Mary Conover"/>
    <x v="1"/>
    <n v="16"/>
    <n v="0"/>
    <n v="1"/>
    <n v="394"/>
    <n v="1"/>
    <s v="Southampton"/>
    <x v="1"/>
    <s v="PRIMERA"/>
    <s v="MUJER"/>
    <n v="16"/>
    <x v="8"/>
    <m/>
    <m/>
    <m/>
    <m/>
    <m/>
  </r>
  <r>
    <n v="855"/>
    <n v="0"/>
    <x v="2"/>
    <s v="Carter, Mrs. Ernest Courtenay (Lilian Hughes)"/>
    <x v="1"/>
    <n v="44"/>
    <n v="1"/>
    <n v="0"/>
    <n v="26"/>
    <n v="0"/>
    <s v="Southampton"/>
    <x v="0"/>
    <s v="SEGUNDA"/>
    <s v="MUJER"/>
    <n v="44"/>
    <x v="9"/>
    <m/>
    <m/>
    <m/>
    <m/>
    <m/>
  </r>
  <r>
    <n v="856"/>
    <n v="1"/>
    <x v="0"/>
    <s v="Aks, Mrs. Sam (Leah Rosen)"/>
    <x v="1"/>
    <n v="18"/>
    <n v="0"/>
    <n v="1"/>
    <n v="935"/>
    <n v="0"/>
    <s v="Southampton"/>
    <x v="1"/>
    <s v="TERCERA"/>
    <s v="MUJER"/>
    <n v="18"/>
    <x v="8"/>
    <m/>
    <m/>
    <m/>
    <m/>
    <m/>
  </r>
  <r>
    <n v="857"/>
    <n v="1"/>
    <x v="1"/>
    <s v="Wick, Mrs. George Dennick (Mary Hitchcock)"/>
    <x v="1"/>
    <n v="45"/>
    <n v="1"/>
    <n v="1"/>
    <n v="1648667"/>
    <n v="0"/>
    <s v="Southampton"/>
    <x v="1"/>
    <s v="PRIMERA"/>
    <s v="MUJER"/>
    <n v="45"/>
    <x v="9"/>
    <m/>
    <m/>
    <m/>
    <m/>
    <m/>
  </r>
  <r>
    <n v="858"/>
    <n v="1"/>
    <x v="1"/>
    <s v="Daly, Mr. Peter Denis "/>
    <x v="0"/>
    <n v="51"/>
    <n v="0"/>
    <n v="0"/>
    <n v="2655"/>
    <n v="1"/>
    <s v="Southampton"/>
    <x v="1"/>
    <s v="PRIMERA"/>
    <s v="HOMBRE"/>
    <n v="51"/>
    <x v="5"/>
    <m/>
    <m/>
    <m/>
    <m/>
    <m/>
  </r>
  <r>
    <n v="859"/>
    <n v="1"/>
    <x v="0"/>
    <s v="Baclini, Mrs. Solomon (Latifa Qurban)"/>
    <x v="1"/>
    <n v="24"/>
    <n v="0"/>
    <n v="3"/>
    <n v="192583"/>
    <n v="0"/>
    <s v="Cherburg"/>
    <x v="1"/>
    <s v="TERCERA"/>
    <s v="MUJER"/>
    <n v="24"/>
    <x v="0"/>
    <m/>
    <m/>
    <m/>
    <m/>
    <m/>
  </r>
  <r>
    <n v="860"/>
    <n v="0"/>
    <x v="0"/>
    <s v="Razi, Mr. Raihed"/>
    <x v="0"/>
    <m/>
    <n v="0"/>
    <n v="0"/>
    <n v="72292"/>
    <n v="0"/>
    <s v="Cherburg"/>
    <x v="0"/>
    <s v="TERCERA"/>
    <s v="HOMBRE"/>
    <s v=""/>
    <x v="4"/>
    <m/>
    <m/>
    <m/>
    <m/>
    <m/>
  </r>
  <r>
    <n v="861"/>
    <n v="0"/>
    <x v="0"/>
    <s v="Hansen, Mr. Claus Peter"/>
    <x v="0"/>
    <n v="41"/>
    <n v="2"/>
    <n v="0"/>
    <n v="141083"/>
    <n v="0"/>
    <s v="Southampton"/>
    <x v="0"/>
    <s v="TERCERA"/>
    <s v="HOMBRE"/>
    <n v="41"/>
    <x v="1"/>
    <m/>
    <m/>
    <m/>
    <m/>
    <m/>
  </r>
  <r>
    <n v="862"/>
    <n v="0"/>
    <x v="2"/>
    <s v="Giles, Mr. Frederick Edward"/>
    <x v="0"/>
    <n v="21"/>
    <n v="1"/>
    <n v="0"/>
    <n v="115"/>
    <n v="0"/>
    <s v="Southampton"/>
    <x v="0"/>
    <s v="SEGUNDA"/>
    <s v="HOMBRE"/>
    <n v="21"/>
    <x v="6"/>
    <m/>
    <m/>
    <m/>
    <m/>
    <m/>
  </r>
  <r>
    <n v="863"/>
    <n v="1"/>
    <x v="1"/>
    <s v="Swift, Mrs. Frederick Joel (Margaret Welles Barron)"/>
    <x v="1"/>
    <n v="48"/>
    <n v="0"/>
    <n v="0"/>
    <n v="259292"/>
    <n v="1"/>
    <s v="Southampton"/>
    <x v="1"/>
    <s v="PRIMERA"/>
    <s v="MUJER"/>
    <n v="48"/>
    <x v="9"/>
    <m/>
    <m/>
    <m/>
    <m/>
    <m/>
  </r>
  <r>
    <n v="864"/>
    <n v="0"/>
    <x v="0"/>
    <s v="Sage, Miss. Dorothy Edith &quot;Dolly&quot;"/>
    <x v="1"/>
    <m/>
    <n v="8"/>
    <n v="2"/>
    <n v="6955"/>
    <n v="0"/>
    <s v="Southampton"/>
    <x v="0"/>
    <s v="TERCERA"/>
    <s v="MUJER"/>
    <s v=""/>
    <x v="4"/>
    <m/>
    <m/>
    <m/>
    <m/>
    <m/>
  </r>
  <r>
    <n v="865"/>
    <n v="0"/>
    <x v="2"/>
    <s v="Gill, Mr. John William"/>
    <x v="0"/>
    <n v="24"/>
    <n v="0"/>
    <n v="0"/>
    <n v="13"/>
    <n v="0"/>
    <s v="Southampton"/>
    <x v="0"/>
    <s v="SEGUNDA"/>
    <s v="HOMBRE"/>
    <n v="24"/>
    <x v="0"/>
    <m/>
    <m/>
    <m/>
    <m/>
    <m/>
  </r>
  <r>
    <n v="866"/>
    <n v="1"/>
    <x v="2"/>
    <s v="Bystrom, Mrs. (Karolina)"/>
    <x v="1"/>
    <n v="42"/>
    <n v="0"/>
    <n v="0"/>
    <n v="13"/>
    <n v="0"/>
    <s v="Southampton"/>
    <x v="1"/>
    <s v="SEGUNDA"/>
    <s v="MUJER"/>
    <n v="42"/>
    <x v="9"/>
    <m/>
    <m/>
    <m/>
    <m/>
    <m/>
  </r>
  <r>
    <n v="867"/>
    <n v="1"/>
    <x v="2"/>
    <s v="Duran y More, Miss. Asuncion"/>
    <x v="1"/>
    <n v="27"/>
    <n v="1"/>
    <n v="0"/>
    <n v="138583"/>
    <n v="0"/>
    <s v="Cherburg"/>
    <x v="1"/>
    <s v="SEGUNDA"/>
    <s v="MUJER"/>
    <n v="27"/>
    <x v="2"/>
    <m/>
    <m/>
    <m/>
    <m/>
    <m/>
  </r>
  <r>
    <n v="868"/>
    <n v="0"/>
    <x v="1"/>
    <s v="Roebling, Mr. Washington Augustus II"/>
    <x v="0"/>
    <n v="31"/>
    <n v="0"/>
    <n v="0"/>
    <n v="504958"/>
    <n v="1"/>
    <s v="Southampton"/>
    <x v="0"/>
    <s v="PRIMERA"/>
    <s v="HOMBRE"/>
    <n v="31"/>
    <x v="7"/>
    <m/>
    <m/>
    <m/>
    <m/>
    <m/>
  </r>
  <r>
    <n v="869"/>
    <n v="0"/>
    <x v="0"/>
    <s v="van Melkebeke, Mr. Philemon"/>
    <x v="0"/>
    <m/>
    <n v="0"/>
    <n v="0"/>
    <n v="95"/>
    <n v="0"/>
    <s v="Southampton"/>
    <x v="0"/>
    <s v="TERCERA"/>
    <s v="HOMBRE"/>
    <s v=""/>
    <x v="4"/>
    <m/>
    <m/>
    <m/>
    <m/>
    <m/>
  </r>
  <r>
    <n v="870"/>
    <n v="1"/>
    <x v="0"/>
    <s v="Johnson, Master. Harold Theodor"/>
    <x v="0"/>
    <n v="4"/>
    <n v="1"/>
    <n v="1"/>
    <n v="111333"/>
    <n v="0"/>
    <s v="Southampton"/>
    <x v="1"/>
    <s v="TERCERA"/>
    <s v="HOMBRE"/>
    <n v="4"/>
    <x v="4"/>
    <m/>
    <m/>
    <m/>
    <m/>
    <m/>
  </r>
  <r>
    <n v="871"/>
    <n v="0"/>
    <x v="0"/>
    <s v="Balkic, Mr. Cerin"/>
    <x v="0"/>
    <n v="26"/>
    <n v="0"/>
    <n v="0"/>
    <n v="78958"/>
    <n v="0"/>
    <s v="Southampton"/>
    <x v="0"/>
    <s v="TERCERA"/>
    <s v="HOMBRE"/>
    <n v="26"/>
    <x v="2"/>
    <m/>
    <m/>
    <m/>
    <m/>
    <m/>
  </r>
  <r>
    <n v="872"/>
    <n v="1"/>
    <x v="1"/>
    <s v="Beckwith, Mrs. Richard Leonard (Sallie Monypeny)"/>
    <x v="1"/>
    <n v="47"/>
    <n v="1"/>
    <n v="1"/>
    <n v="525542"/>
    <n v="1"/>
    <s v="Southampton"/>
    <x v="1"/>
    <s v="PRIMERA"/>
    <s v="MUJER"/>
    <n v="47"/>
    <x v="9"/>
    <m/>
    <m/>
    <m/>
    <m/>
    <m/>
  </r>
  <r>
    <n v="873"/>
    <n v="0"/>
    <x v="1"/>
    <s v="Carlsson, Mr. Frans Olof"/>
    <x v="0"/>
    <n v="33"/>
    <n v="0"/>
    <n v="0"/>
    <n v="5"/>
    <n v="1"/>
    <s v="Southampton"/>
    <x v="0"/>
    <s v="PRIMERA"/>
    <s v="HOMBRE"/>
    <n v="33"/>
    <x v="3"/>
    <m/>
    <m/>
    <m/>
    <m/>
    <m/>
  </r>
  <r>
    <n v="874"/>
    <n v="0"/>
    <x v="0"/>
    <s v="Vander Cruyssen, Mr. Victor"/>
    <x v="0"/>
    <n v="47"/>
    <n v="0"/>
    <n v="0"/>
    <n v="9"/>
    <n v="0"/>
    <s v="Southampton"/>
    <x v="0"/>
    <s v="TERCERA"/>
    <s v="HOMBRE"/>
    <n v="47"/>
    <x v="9"/>
    <m/>
    <m/>
    <m/>
    <m/>
    <m/>
  </r>
  <r>
    <n v="875"/>
    <n v="1"/>
    <x v="2"/>
    <s v="Abelson, Mrs. Samuel (Hannah Wizosky)"/>
    <x v="1"/>
    <n v="28"/>
    <n v="1"/>
    <n v="0"/>
    <n v="24"/>
    <n v="0"/>
    <s v="Cherburg"/>
    <x v="1"/>
    <s v="SEGUNDA"/>
    <s v="MUJER"/>
    <n v="28"/>
    <x v="2"/>
    <m/>
    <m/>
    <m/>
    <m/>
    <m/>
  </r>
  <r>
    <n v="876"/>
    <n v="1"/>
    <x v="0"/>
    <s v="Najib, Miss. Adele Kiamie &quot;Jane&quot;"/>
    <x v="1"/>
    <n v="15"/>
    <n v="0"/>
    <n v="0"/>
    <n v="7225"/>
    <n v="0"/>
    <s v="Cherburg"/>
    <x v="1"/>
    <s v="TERCERA"/>
    <s v="MUJER"/>
    <n v="15"/>
    <x v="8"/>
    <m/>
    <m/>
    <m/>
    <m/>
    <m/>
  </r>
  <r>
    <n v="877"/>
    <n v="0"/>
    <x v="0"/>
    <s v="Gustafsson, Mr. Alfred Ossian"/>
    <x v="0"/>
    <n v="20"/>
    <n v="0"/>
    <n v="0"/>
    <n v="98458"/>
    <n v="0"/>
    <s v="Southampton"/>
    <x v="0"/>
    <s v="TERCERA"/>
    <s v="HOMBRE"/>
    <n v="20"/>
    <x v="6"/>
    <m/>
    <m/>
    <m/>
    <m/>
    <m/>
  </r>
  <r>
    <n v="878"/>
    <n v="0"/>
    <x v="0"/>
    <s v="Petroff, Mr. Nedelio"/>
    <x v="0"/>
    <n v="19"/>
    <n v="0"/>
    <n v="0"/>
    <n v="78958"/>
    <n v="0"/>
    <s v="Southampton"/>
    <x v="0"/>
    <s v="TERCERA"/>
    <s v="HOMBRE"/>
    <n v="19"/>
    <x v="6"/>
    <m/>
    <m/>
    <m/>
    <m/>
    <m/>
  </r>
  <r>
    <n v="879"/>
    <n v="0"/>
    <x v="0"/>
    <s v="Laleff, Mr. Kristo"/>
    <x v="0"/>
    <m/>
    <n v="0"/>
    <n v="0"/>
    <n v="78958"/>
    <n v="0"/>
    <s v="Southampton"/>
    <x v="0"/>
    <s v="TERCERA"/>
    <s v="HOMBRE"/>
    <s v=""/>
    <x v="4"/>
    <m/>
    <m/>
    <m/>
    <m/>
    <m/>
  </r>
  <r>
    <n v="880"/>
    <n v="1"/>
    <x v="1"/>
    <s v="Potter, Mrs. Thomas Jr (Lily Alexenia Wilson)"/>
    <x v="1"/>
    <n v="56"/>
    <n v="0"/>
    <n v="1"/>
    <n v="831583"/>
    <n v="1"/>
    <s v="Cherburg"/>
    <x v="1"/>
    <s v="PRIMERA"/>
    <s v="MUJER"/>
    <n v="56"/>
    <x v="5"/>
    <m/>
    <m/>
    <m/>
    <m/>
    <m/>
  </r>
  <r>
    <n v="881"/>
    <n v="1"/>
    <x v="2"/>
    <s v="Shelley, Mrs. William (Imanita Parrish Hall)"/>
    <x v="1"/>
    <n v="25"/>
    <n v="0"/>
    <n v="1"/>
    <n v="26"/>
    <n v="0"/>
    <s v="Southampton"/>
    <x v="1"/>
    <s v="SEGUNDA"/>
    <s v="MUJER"/>
    <n v="25"/>
    <x v="2"/>
    <m/>
    <m/>
    <m/>
    <m/>
    <m/>
  </r>
  <r>
    <n v="882"/>
    <n v="0"/>
    <x v="0"/>
    <s v="Markun, Mr. Johann"/>
    <x v="0"/>
    <n v="33"/>
    <n v="0"/>
    <n v="0"/>
    <n v="78958"/>
    <n v="0"/>
    <s v="Southampton"/>
    <x v="0"/>
    <s v="TERCERA"/>
    <s v="HOMBRE"/>
    <n v="33"/>
    <x v="3"/>
    <m/>
    <m/>
    <m/>
    <m/>
    <m/>
  </r>
  <r>
    <n v="883"/>
    <n v="0"/>
    <x v="0"/>
    <s v="Dahlberg, Miss. Gerda Ulrika"/>
    <x v="1"/>
    <n v="22"/>
    <n v="0"/>
    <n v="0"/>
    <n v="105167"/>
    <n v="0"/>
    <s v="Southampton"/>
    <x v="0"/>
    <s v="TERCERA"/>
    <s v="MUJER"/>
    <n v="22"/>
    <x v="0"/>
    <m/>
    <m/>
    <m/>
    <m/>
    <m/>
  </r>
  <r>
    <n v="884"/>
    <n v="0"/>
    <x v="2"/>
    <s v="Banfield, Mr. Frederick James"/>
    <x v="0"/>
    <n v="28"/>
    <n v="0"/>
    <n v="0"/>
    <n v="105"/>
    <n v="0"/>
    <s v="Southampton"/>
    <x v="0"/>
    <s v="SEGUNDA"/>
    <s v="HOMBRE"/>
    <n v="28"/>
    <x v="2"/>
    <m/>
    <m/>
    <m/>
    <m/>
    <m/>
  </r>
  <r>
    <n v="885"/>
    <n v="0"/>
    <x v="0"/>
    <s v="Sutehall, Mr. Henry Jr"/>
    <x v="0"/>
    <n v="25"/>
    <n v="0"/>
    <n v="0"/>
    <n v="705"/>
    <n v="0"/>
    <s v="Southampton"/>
    <x v="0"/>
    <s v="TERCERA"/>
    <s v="HOMBRE"/>
    <n v="25"/>
    <x v="2"/>
    <m/>
    <m/>
    <m/>
    <m/>
    <m/>
  </r>
  <r>
    <n v="886"/>
    <n v="0"/>
    <x v="0"/>
    <s v="Rice, Mrs. William (Margaret Norton)"/>
    <x v="1"/>
    <n v="39"/>
    <n v="0"/>
    <n v="5"/>
    <n v="29125"/>
    <n v="0"/>
    <s v="Queenstown"/>
    <x v="0"/>
    <s v="TERCERA"/>
    <s v="MUJER"/>
    <n v="39"/>
    <x v="1"/>
    <m/>
    <m/>
    <m/>
    <m/>
    <m/>
  </r>
  <r>
    <n v="887"/>
    <n v="0"/>
    <x v="2"/>
    <s v="Montvila, Rev. Juozas"/>
    <x v="0"/>
    <n v="27"/>
    <n v="0"/>
    <n v="0"/>
    <n v="13"/>
    <n v="0"/>
    <s v="Southampton"/>
    <x v="0"/>
    <s v="SEGUNDA"/>
    <s v="HOMBRE"/>
    <n v="27"/>
    <x v="2"/>
    <m/>
    <m/>
    <m/>
    <m/>
    <m/>
  </r>
  <r>
    <n v="888"/>
    <n v="1"/>
    <x v="1"/>
    <s v="Graham, Miss. Margaret Edith"/>
    <x v="1"/>
    <n v="19"/>
    <n v="0"/>
    <n v="0"/>
    <n v="30"/>
    <n v="1"/>
    <s v="Southampton"/>
    <x v="1"/>
    <s v="PRIMERA"/>
    <s v="MUJER"/>
    <n v="19"/>
    <x v="6"/>
    <m/>
    <m/>
    <m/>
    <m/>
    <m/>
  </r>
  <r>
    <n v="889"/>
    <n v="0"/>
    <x v="0"/>
    <s v="Johnston, Miss. Catherine Helen &quot;Carrie&quot;"/>
    <x v="1"/>
    <m/>
    <n v="1"/>
    <n v="2"/>
    <n v="2345"/>
    <n v="0"/>
    <s v="Southampton"/>
    <x v="0"/>
    <s v="TERCERA"/>
    <s v="MUJER"/>
    <s v=""/>
    <x v="4"/>
    <m/>
    <m/>
    <m/>
    <m/>
    <m/>
  </r>
  <r>
    <n v="890"/>
    <n v="1"/>
    <x v="1"/>
    <s v="Behr, Mr. Karl Howell"/>
    <x v="0"/>
    <n v="26"/>
    <n v="0"/>
    <n v="0"/>
    <n v="30"/>
    <n v="1"/>
    <s v="Cherburg"/>
    <x v="1"/>
    <s v="PRIMERA"/>
    <s v="HOMBRE"/>
    <n v="26"/>
    <x v="2"/>
    <m/>
    <m/>
    <m/>
    <m/>
    <m/>
  </r>
  <r>
    <n v="891"/>
    <n v="0"/>
    <x v="0"/>
    <s v="Dooley, Mr. Patrick"/>
    <x v="0"/>
    <n v="32"/>
    <n v="0"/>
    <n v="0"/>
    <n v="775"/>
    <n v="0"/>
    <s v="Queenstown"/>
    <x v="0"/>
    <s v="TERCERA"/>
    <s v="HOMBRE"/>
    <n v="32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CC3B71-3075-B44A-BD72-42FC3CEF8503}" name="TablaDinámica8" cacheId="8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:E15" firstHeaderRow="1" firstDataRow="2" firstDataCol="1"/>
  <pivotFields count="21">
    <pivotField showAll="0"/>
    <pivotField showAll="0"/>
    <pivotField showAll="0">
      <items count="4">
        <item x="1"/>
        <item h="1" x="2"/>
        <item h="1" x="0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axis="axisRow" showAll="0" sortType="ascending">
      <items count="23">
        <item x="8"/>
        <item h="1" m="1" x="11"/>
        <item x="6"/>
        <item x="0"/>
        <item x="2"/>
        <item x="7"/>
        <item x="3"/>
        <item x="1"/>
        <item x="9"/>
        <item x="5"/>
        <item x="10"/>
        <item h="1" m="1" x="17"/>
        <item h="1" m="1" x="18"/>
        <item h="1" m="1" x="15"/>
        <item h="1" m="1" x="13"/>
        <item h="1" m="1" x="20"/>
        <item h="1" m="1" x="16"/>
        <item h="1" m="1" x="14"/>
        <item h="1" m="1" x="21"/>
        <item h="1" x="4"/>
        <item h="1" m="1" x="19"/>
        <item h="1" m="1" x="12"/>
        <item t="default"/>
      </items>
    </pivotField>
    <pivotField showAll="0"/>
    <pivotField showAll="0"/>
    <pivotField showAll="0"/>
    <pivotField showAll="0"/>
    <pivotField showAll="0"/>
  </pivotFields>
  <rowFields count="1">
    <field x="15"/>
  </rowFields>
  <rowItems count="11">
    <i>
      <x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Cuenta de C Sobrevive" fld="11" subtotal="count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_Edad" xr10:uid="{6D02CC5C-B9BC-0B46-BB16-471942E1323D}" sourceName="C Edad">
  <pivotTables>
    <pivotTable tabId="5" name="TablaDinámica8"/>
  </pivotTables>
  <data>
    <tabular pivotCacheId="1585194704">
      <items count="22">
        <i x="8" s="1"/>
        <i x="6" s="1"/>
        <i x="0" s="1"/>
        <i x="2" s="1"/>
        <i x="7" s="1"/>
        <i x="3" s="1"/>
        <i x="1" s="1"/>
        <i x="9" s="1"/>
        <i x="5" s="1"/>
        <i x="10" s="1"/>
        <i x="4"/>
        <i x="11" nd="1"/>
        <i x="17" nd="1"/>
        <i x="18" nd="1"/>
        <i x="15" nd="1"/>
        <i x="13" nd="1"/>
        <i x="20" nd="1"/>
        <i x="16" nd="1"/>
        <i x="14" nd="1"/>
        <i x="21" nd="1"/>
        <i x="19" nd="1"/>
        <i x="12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exo" xr10:uid="{65C5FD98-D970-C443-848E-F304EB9D989A}" sourceName="Sexo">
  <pivotTables>
    <pivotTable tabId="5" name="TablaDinámica8"/>
  </pivotTables>
  <data>
    <tabular pivotCacheId="1585194704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lase" xr10:uid="{4EE76F48-C01C-0C4A-981D-41EF672BD4C4}" sourceName="Clase">
  <pivotTables>
    <pivotTable tabId="5" name="TablaDinámica8"/>
  </pivotTables>
  <data>
    <tabular pivotCacheId="1585194704">
      <items count="3">
        <i x="1" s="1"/>
        <i x="2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 Edad" xr10:uid="{A46D1450-82D6-2047-85BD-B79716E6D286}" cache="SegmentaciónDeDatos_C_Edad" caption="C Edad" startItem="3" rowHeight="251883"/>
  <slicer name="Sexo" xr10:uid="{E62EE4FD-1618-6E40-9FEC-F4F8D119C6E1}" cache="SegmentaciónDeDatos_Sexo" caption="Sexo" rowHeight="251883"/>
  <slicer name="Clase" xr10:uid="{6102F995-3B9B-C94E-B4CD-2B5EFB99E196}" cache="SegmentaciónDeDatos_Clase" caption="Clase" rowHeight="251883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8FF2049-16F6-5841-B968-7C74D5A68AD9}" name="Titanic" displayName="Titanic" ref="B5:V896" totalsRowShown="0" headerRowDxfId="11" dataDxfId="10">
  <autoFilter ref="B5:V896" xr:uid="{D8FF2049-16F6-5841-B968-7C74D5A68AD9}"/>
  <tableColumns count="21">
    <tableColumn id="1" xr3:uid="{1C047254-D8E3-D24C-AA9B-1B5B6B5810D8}" name="Indice" dataDxfId="22"/>
    <tableColumn id="2" xr3:uid="{373DB846-BFF9-3D4D-8605-7A1C5C65D025}" name="Sobrevive" dataDxfId="21"/>
    <tableColumn id="3" xr3:uid="{784D5A72-1C13-9646-9408-F0A58678B996}" name="Clase" dataDxfId="20"/>
    <tableColumn id="4" xr3:uid="{58BD37D2-024B-DD47-AD32-862A20FB893D}" name="Nombre" dataDxfId="19"/>
    <tableColumn id="5" xr3:uid="{3D677351-C84C-B44B-833A-F98949AF7825}" name="Sexo" dataDxfId="18"/>
    <tableColumn id="6" xr3:uid="{D2F30236-5608-704E-AFC4-A35786C93539}" name="Edad" dataDxfId="17"/>
    <tableColumn id="7" xr3:uid="{4A8A8A42-2C0F-144E-AAE1-1AB573C4C3D9}" name="Familia Horizontal" dataDxfId="16"/>
    <tableColumn id="8" xr3:uid="{6832C33F-8EC0-3C43-A9CE-7C475AC9F75E}" name="Familia Vertical" dataDxfId="15"/>
    <tableColumn id="9" xr3:uid="{F85BC557-10EB-B645-9807-4F8CB62D94C3}" name="Pagado" dataDxfId="14"/>
    <tableColumn id="10" xr3:uid="{D79E2172-87D3-6B48-8524-BB334619F3C7}" name="Cabina" dataDxfId="13"/>
    <tableColumn id="11" xr3:uid="{45405812-9C45-A144-BF06-79CC6D62D82D}" name="Puerto" dataDxfId="12"/>
    <tableColumn id="12" xr3:uid="{522BB39C-33F3-5645-BCA8-758E2A3CF4C4}" name="C Sobrevive" dataDxfId="5">
      <calculatedColumnFormula>IF(Titanic[[#This Row],[Sobrevive]]=1, "SOBREVIVE", "NO SOBREVIVE")</calculatedColumnFormula>
    </tableColumn>
    <tableColumn id="13" xr3:uid="{CD454B6C-FB22-A24F-8885-54065168E007}" name="C Clase" dataDxfId="4">
      <calculatedColumnFormula>LOOKUP(Titanic[[#This Row],[Clase]],{1,2,3}, {"PRIMERA","SEGUNDA","TERCERA"})</calculatedColumnFormula>
    </tableColumn>
    <tableColumn id="14" xr3:uid="{6B9ADBA0-6749-0640-96EC-4D83E7855A30}" name="C Sexo" dataDxfId="3">
      <calculatedColumnFormula>IF(Titanic[[#This Row],[Sexo]]="Hombre", "HOMBRE", "MUJER")</calculatedColumnFormula>
    </tableColumn>
    <tableColumn id="21" xr3:uid="{106DFAAA-E9F6-0E41-A8CE-F60595D0054E}" name="Edad Corrigida" dataDxfId="2">
      <calculatedColumnFormula>IF(Titanic[[#This Row],[Edad]]="", "", IF(Titanic[[#This Row],[Edad]]&gt;=100, Titanic[[#This Row],[Edad]] / 10, Titanic[[#This Row],[Edad]]))</calculatedColumnFormula>
    </tableColumn>
    <tableColumn id="15" xr3:uid="{107BB1E9-3C7B-1E41-9192-93378EF84AC4}" name="C Edad" dataDxfId="1">
      <calculatedColumnFormula>IFERROR(LOOKUP(Titanic[[#This Row],[Edad Corrigida]],'Práctica 1'!$K$231:$K$240,'Práctica 1'!$L$231:$L$240), "DESCONOCIDO")</calculatedColumnFormula>
    </tableColumn>
    <tableColumn id="16" xr3:uid="{933DA40A-3850-314D-8413-590298DC05A0}" name="Familiares" dataDxfId="0">
      <calculatedColumnFormula>Titanic[[#This Row],[Familia Horizontal]]+Titanic[[#This Row],[Familia Vertical]]</calculatedColumnFormula>
    </tableColumn>
    <tableColumn id="17" xr3:uid="{9A5CE5F5-C606-0D43-822C-23139F6D12C8}" name="C Familiares" dataDxfId="9"/>
    <tableColumn id="18" xr3:uid="{F9D76C29-F756-2540-BD91-E66FDA9414F5}" name="C Pago" dataDxfId="8"/>
    <tableColumn id="19" xr3:uid="{94D661A7-B444-084B-A0EB-926FF7DF8F02}" name="C Cabina" dataDxfId="7"/>
    <tableColumn id="20" xr3:uid="{B92C827F-2164-4B4A-8A1F-172C017FC4BD}" name="C Puerto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laura.ramirezt@scotiabank.com.mx" TargetMode="External"/><Relationship Id="rId2" Type="http://schemas.openxmlformats.org/officeDocument/2006/relationships/hyperlink" Target="mailto:administracion@belatrix.com" TargetMode="External"/><Relationship Id="rId1" Type="http://schemas.openxmlformats.org/officeDocument/2006/relationships/hyperlink" Target="mailto:alan@belatrix.com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59EE-A8F4-2E4B-BD09-4C10988617B1}">
  <dimension ref="B3:H12"/>
  <sheetViews>
    <sheetView zoomScale="266" workbookViewId="0">
      <selection activeCell="C6" sqref="C6"/>
    </sheetView>
  </sheetViews>
  <sheetFormatPr baseColWidth="10" defaultRowHeight="16" x14ac:dyDescent="0.2"/>
  <sheetData>
    <row r="3" spans="2:8" x14ac:dyDescent="0.2">
      <c r="B3" s="2" t="s">
        <v>906</v>
      </c>
      <c r="C3" s="2"/>
      <c r="D3" s="2"/>
      <c r="E3" t="s">
        <v>907</v>
      </c>
    </row>
    <row r="4" spans="2:8" x14ac:dyDescent="0.2">
      <c r="F4" t="s">
        <v>908</v>
      </c>
    </row>
    <row r="6" spans="2:8" x14ac:dyDescent="0.2">
      <c r="C6" s="1" t="s">
        <v>909</v>
      </c>
      <c r="D6" s="1"/>
      <c r="E6" s="1"/>
      <c r="F6" s="1"/>
      <c r="G6" s="1"/>
    </row>
    <row r="9" spans="2:8" x14ac:dyDescent="0.2">
      <c r="B9" s="2" t="s">
        <v>910</v>
      </c>
      <c r="C9" s="2"/>
      <c r="D9" s="2"/>
      <c r="E9" t="s">
        <v>911</v>
      </c>
    </row>
    <row r="10" spans="2:8" x14ac:dyDescent="0.2">
      <c r="F10" t="s">
        <v>912</v>
      </c>
    </row>
    <row r="12" spans="2:8" x14ac:dyDescent="0.2">
      <c r="C12" s="1" t="s">
        <v>913</v>
      </c>
      <c r="D12" s="1"/>
      <c r="E12" s="1"/>
      <c r="F12" s="1"/>
      <c r="G12" s="1"/>
      <c r="H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8E198-3DE6-D24B-B098-4B7BBB2FBFA6}">
  <dimension ref="B2:V896"/>
  <sheetViews>
    <sheetView topLeftCell="E1" zoomScale="152" workbookViewId="0">
      <selection activeCell="J23" sqref="J23"/>
    </sheetView>
  </sheetViews>
  <sheetFormatPr baseColWidth="10" defaultRowHeight="16" x14ac:dyDescent="0.2"/>
  <cols>
    <col min="3" max="3" width="16.5" customWidth="1"/>
    <col min="7" max="7" width="12.83203125" customWidth="1"/>
    <col min="8" max="8" width="20.1640625" customWidth="1"/>
    <col min="9" max="9" width="16" customWidth="1"/>
    <col min="10" max="10" width="14.83203125" customWidth="1"/>
    <col min="12" max="12" width="20.5" customWidth="1"/>
    <col min="13" max="13" width="16.33203125" customWidth="1"/>
    <col min="16" max="16" width="19.33203125" customWidth="1"/>
    <col min="17" max="17" width="18.5" customWidth="1"/>
    <col min="18" max="18" width="13.1640625" customWidth="1"/>
    <col min="19" max="19" width="17.6640625" customWidth="1"/>
  </cols>
  <sheetData>
    <row r="2" spans="2:22" x14ac:dyDescent="0.2">
      <c r="G2" s="6" cm="1">
        <f t="array" ref="G2">SUM((Titanic[Edad]="")*1)</f>
        <v>177</v>
      </c>
    </row>
    <row r="5" spans="2:22" x14ac:dyDescent="0.2">
      <c r="B5" s="4" t="s">
        <v>914</v>
      </c>
      <c r="C5" s="5" t="s">
        <v>0</v>
      </c>
      <c r="D5" s="5" t="s">
        <v>1</v>
      </c>
      <c r="E5" s="5" t="s">
        <v>2</v>
      </c>
      <c r="F5" s="5" t="s">
        <v>3</v>
      </c>
      <c r="G5" s="5" t="s">
        <v>4</v>
      </c>
      <c r="H5" s="5" t="s">
        <v>5</v>
      </c>
      <c r="I5" s="5" t="s">
        <v>6</v>
      </c>
      <c r="J5" s="5" t="s">
        <v>7</v>
      </c>
      <c r="K5" s="5" t="s">
        <v>8</v>
      </c>
      <c r="L5" s="5" t="s">
        <v>9</v>
      </c>
      <c r="M5" s="5" t="s">
        <v>915</v>
      </c>
      <c r="N5" s="5" t="s">
        <v>916</v>
      </c>
      <c r="O5" s="5" t="s">
        <v>917</v>
      </c>
      <c r="P5" s="5" t="s">
        <v>924</v>
      </c>
      <c r="Q5" s="5" t="s">
        <v>918</v>
      </c>
      <c r="R5" s="5" t="s">
        <v>919</v>
      </c>
      <c r="S5" s="5" t="s">
        <v>920</v>
      </c>
      <c r="T5" s="5" t="s">
        <v>921</v>
      </c>
      <c r="U5" s="5" t="s">
        <v>922</v>
      </c>
      <c r="V5" s="5" t="s">
        <v>923</v>
      </c>
    </row>
    <row r="6" spans="2:22" x14ac:dyDescent="0.2">
      <c r="B6" s="6">
        <v>1</v>
      </c>
      <c r="C6" s="7">
        <v>0</v>
      </c>
      <c r="D6" s="8">
        <v>3</v>
      </c>
      <c r="E6" s="8" t="s">
        <v>10</v>
      </c>
      <c r="F6" s="8" t="s">
        <v>11</v>
      </c>
      <c r="G6" s="8">
        <v>22</v>
      </c>
      <c r="H6" s="8">
        <v>1</v>
      </c>
      <c r="I6" s="8">
        <v>0</v>
      </c>
      <c r="J6" s="8">
        <v>725</v>
      </c>
      <c r="K6" s="8">
        <v>0</v>
      </c>
      <c r="L6" s="8" t="s">
        <v>12</v>
      </c>
      <c r="M6" s="8" t="str">
        <f>IF(Titanic[[#This Row],[Sobrevive]]=1, "SOBREVIVE", "NO SOBREVIVE")</f>
        <v>NO SOBREVIVE</v>
      </c>
      <c r="N6" s="8" t="str">
        <f>LOOKUP(Titanic[[#This Row],[Clase]],{1,2,3}, {"PRIMERA","SEGUNDA","TERCERA"})</f>
        <v>TERCERA</v>
      </c>
      <c r="O6" s="8" t="str">
        <f>IF(Titanic[[#This Row],[Sexo]]="Hombre", "HOMBRE", "MUJER")</f>
        <v>HOMBRE</v>
      </c>
      <c r="P6" s="8">
        <f>IF(Titanic[[#This Row],[Edad]]="", "", IF(Titanic[[#This Row],[Edad]]&gt;=100, Titanic[[#This Row],[Edad]] / 10, Titanic[[#This Row],[Edad]]))</f>
        <v>22</v>
      </c>
      <c r="Q6" s="8" t="str">
        <f>IFERROR(LOOKUP(Titanic[[#This Row],[Edad Corrigida]],'Práctica 1'!$K$231:$K$240,'Práctica 1'!$L$231:$L$240), "DESCONOCIDO")</f>
        <v>3. JOVEN</v>
      </c>
      <c r="R6" s="8">
        <f>Titanic[[#This Row],[Familia Horizontal]]+Titanic[[#This Row],[Familia Vertical]]</f>
        <v>1</v>
      </c>
      <c r="S6" s="8"/>
      <c r="T6" s="8"/>
      <c r="U6" s="8"/>
      <c r="V6" s="8"/>
    </row>
    <row r="7" spans="2:22" x14ac:dyDescent="0.2">
      <c r="B7" s="6">
        <v>2</v>
      </c>
      <c r="C7" s="7">
        <v>1</v>
      </c>
      <c r="D7" s="8">
        <v>1</v>
      </c>
      <c r="E7" s="8" t="s">
        <v>13</v>
      </c>
      <c r="F7" s="8" t="s">
        <v>14</v>
      </c>
      <c r="G7" s="8">
        <v>38</v>
      </c>
      <c r="H7" s="8">
        <v>1</v>
      </c>
      <c r="I7" s="8">
        <v>0</v>
      </c>
      <c r="J7" s="8">
        <v>712833</v>
      </c>
      <c r="K7" s="8">
        <v>1</v>
      </c>
      <c r="L7" s="8" t="s">
        <v>15</v>
      </c>
      <c r="M7" s="8" t="str">
        <f>IF(Titanic[[#This Row],[Sobrevive]]=1, "SOBREVIVE", "NO SOBREVIVE")</f>
        <v>SOBREVIVE</v>
      </c>
      <c r="N7" s="8" t="str">
        <f>LOOKUP(Titanic[[#This Row],[Clase]],{1,2,3}, {"PRIMERA","SEGUNDA","TERCERA"})</f>
        <v>PRIMERA</v>
      </c>
      <c r="O7" s="8" t="str">
        <f>IF(Titanic[[#This Row],[Sexo]]="Hombre", "HOMBRE", "MUJER")</f>
        <v>MUJER</v>
      </c>
      <c r="P7" s="8">
        <f>IF(Titanic[[#This Row],[Edad]]="", "", IF(Titanic[[#This Row],[Edad]]&gt;=100, Titanic[[#This Row],[Edad]] / 10, Titanic[[#This Row],[Edad]]))</f>
        <v>38</v>
      </c>
      <c r="Q7" s="8" t="str">
        <f>IFERROR(LOOKUP(Titanic[[#This Row],[Edad Corrigida]],'Práctica 1'!$K$231:$K$240,'Práctica 1'!$L$231:$L$240), "DESCONOCIDO")</f>
        <v>7. ADULTO 2</v>
      </c>
      <c r="R7" s="8">
        <f>Titanic[[#This Row],[Familia Horizontal]]+Titanic[[#This Row],[Familia Vertical]]</f>
        <v>1</v>
      </c>
      <c r="S7" s="8"/>
      <c r="T7" s="8"/>
      <c r="U7" s="8"/>
      <c r="V7" s="8"/>
    </row>
    <row r="8" spans="2:22" x14ac:dyDescent="0.2">
      <c r="B8" s="6">
        <v>3</v>
      </c>
      <c r="C8" s="7">
        <v>1</v>
      </c>
      <c r="D8" s="8">
        <v>3</v>
      </c>
      <c r="E8" s="8" t="s">
        <v>16</v>
      </c>
      <c r="F8" s="8" t="s">
        <v>14</v>
      </c>
      <c r="G8" s="8">
        <v>26</v>
      </c>
      <c r="H8" s="8">
        <v>0</v>
      </c>
      <c r="I8" s="8">
        <v>0</v>
      </c>
      <c r="J8" s="8">
        <v>7925</v>
      </c>
      <c r="K8" s="8">
        <v>0</v>
      </c>
      <c r="L8" s="8" t="s">
        <v>12</v>
      </c>
      <c r="M8" s="8" t="str">
        <f>IF(Titanic[[#This Row],[Sobrevive]]=1, "SOBREVIVE", "NO SOBREVIVE")</f>
        <v>SOBREVIVE</v>
      </c>
      <c r="N8" s="8" t="str">
        <f>LOOKUP(Titanic[[#This Row],[Clase]],{1,2,3}, {"PRIMERA","SEGUNDA","TERCERA"})</f>
        <v>TERCERA</v>
      </c>
      <c r="O8" s="8" t="str">
        <f>IF(Titanic[[#This Row],[Sexo]]="Hombre", "HOMBRE", "MUJER")</f>
        <v>MUJER</v>
      </c>
      <c r="P8" s="8">
        <f>IF(Titanic[[#This Row],[Edad]]="", "", IF(Titanic[[#This Row],[Edad]]&gt;=100, Titanic[[#This Row],[Edad]] / 10, Titanic[[#This Row],[Edad]]))</f>
        <v>26</v>
      </c>
      <c r="Q8" s="8" t="str">
        <f>IFERROR(LOOKUP(Titanic[[#This Row],[Edad Corrigida]],'Práctica 1'!$K$231:$K$240,'Práctica 1'!$L$231:$L$240), "DESCONOCIDO")</f>
        <v>4. ADULTO JOVEN</v>
      </c>
      <c r="R8" s="8">
        <f>Titanic[[#This Row],[Familia Horizontal]]+Titanic[[#This Row],[Familia Vertical]]</f>
        <v>0</v>
      </c>
      <c r="S8" s="8"/>
      <c r="T8" s="8"/>
      <c r="U8" s="8"/>
      <c r="V8" s="8"/>
    </row>
    <row r="9" spans="2:22" x14ac:dyDescent="0.2">
      <c r="B9" s="6">
        <v>4</v>
      </c>
      <c r="C9" s="7">
        <v>1</v>
      </c>
      <c r="D9" s="8">
        <v>1</v>
      </c>
      <c r="E9" s="8" t="s">
        <v>17</v>
      </c>
      <c r="F9" s="8" t="s">
        <v>14</v>
      </c>
      <c r="G9" s="8">
        <v>35</v>
      </c>
      <c r="H9" s="8">
        <v>1</v>
      </c>
      <c r="I9" s="8">
        <v>0</v>
      </c>
      <c r="J9" s="8">
        <v>531</v>
      </c>
      <c r="K9" s="8">
        <v>1</v>
      </c>
      <c r="L9" s="8" t="s">
        <v>12</v>
      </c>
      <c r="M9" s="8" t="str">
        <f>IF(Titanic[[#This Row],[Sobrevive]]=1, "SOBREVIVE", "NO SOBREVIVE")</f>
        <v>SOBREVIVE</v>
      </c>
      <c r="N9" s="8" t="str">
        <f>LOOKUP(Titanic[[#This Row],[Clase]],{1,2,3}, {"PRIMERA","SEGUNDA","TERCERA"})</f>
        <v>PRIMERA</v>
      </c>
      <c r="O9" s="8" t="str">
        <f>IF(Titanic[[#This Row],[Sexo]]="Hombre", "HOMBRE", "MUJER")</f>
        <v>MUJER</v>
      </c>
      <c r="P9" s="8">
        <f>IF(Titanic[[#This Row],[Edad]]="", "", IF(Titanic[[#This Row],[Edad]]&gt;=100, Titanic[[#This Row],[Edad]] / 10, Titanic[[#This Row],[Edad]]))</f>
        <v>35</v>
      </c>
      <c r="Q9" s="8" t="str">
        <f>IFERROR(LOOKUP(Titanic[[#This Row],[Edad Corrigida]],'Práctica 1'!$K$231:$K$240,'Práctica 1'!$L$231:$L$240), "DESCONOCIDO")</f>
        <v>6. ADULTO 1</v>
      </c>
      <c r="R9" s="8">
        <f>Titanic[[#This Row],[Familia Horizontal]]+Titanic[[#This Row],[Familia Vertical]]</f>
        <v>1</v>
      </c>
      <c r="S9" s="8"/>
      <c r="T9" s="8"/>
      <c r="U9" s="8"/>
      <c r="V9" s="8"/>
    </row>
    <row r="10" spans="2:22" x14ac:dyDescent="0.2">
      <c r="B10" s="6">
        <v>5</v>
      </c>
      <c r="C10" s="7">
        <v>0</v>
      </c>
      <c r="D10" s="8">
        <v>3</v>
      </c>
      <c r="E10" s="8" t="s">
        <v>18</v>
      </c>
      <c r="F10" s="8" t="s">
        <v>11</v>
      </c>
      <c r="G10" s="8">
        <v>35</v>
      </c>
      <c r="H10" s="8">
        <v>0</v>
      </c>
      <c r="I10" s="8">
        <v>0</v>
      </c>
      <c r="J10" s="8">
        <v>805</v>
      </c>
      <c r="K10" s="8">
        <v>0</v>
      </c>
      <c r="L10" s="8" t="s">
        <v>12</v>
      </c>
      <c r="M10" s="8" t="str">
        <f>IF(Titanic[[#This Row],[Sobrevive]]=1, "SOBREVIVE", "NO SOBREVIVE")</f>
        <v>NO SOBREVIVE</v>
      </c>
      <c r="N10" s="8" t="str">
        <f>LOOKUP(Titanic[[#This Row],[Clase]],{1,2,3}, {"PRIMERA","SEGUNDA","TERCERA"})</f>
        <v>TERCERA</v>
      </c>
      <c r="O10" s="8" t="str">
        <f>IF(Titanic[[#This Row],[Sexo]]="Hombre", "HOMBRE", "MUJER")</f>
        <v>HOMBRE</v>
      </c>
      <c r="P10" s="8">
        <f>IF(Titanic[[#This Row],[Edad]]="", "", IF(Titanic[[#This Row],[Edad]]&gt;=100, Titanic[[#This Row],[Edad]] / 10, Titanic[[#This Row],[Edad]]))</f>
        <v>35</v>
      </c>
      <c r="Q10" s="8" t="str">
        <f>IFERROR(LOOKUP(Titanic[[#This Row],[Edad Corrigida]],'Práctica 1'!$K$231:$K$240,'Práctica 1'!$L$231:$L$240), "DESCONOCIDO")</f>
        <v>6. ADULTO 1</v>
      </c>
      <c r="R10" s="8">
        <f>Titanic[[#This Row],[Familia Horizontal]]+Titanic[[#This Row],[Familia Vertical]]</f>
        <v>0</v>
      </c>
      <c r="S10" s="8"/>
      <c r="T10" s="8"/>
      <c r="U10" s="8"/>
      <c r="V10" s="8"/>
    </row>
    <row r="11" spans="2:22" x14ac:dyDescent="0.2">
      <c r="B11" s="6">
        <v>6</v>
      </c>
      <c r="C11" s="7">
        <v>0</v>
      </c>
      <c r="D11" s="8">
        <v>3</v>
      </c>
      <c r="E11" s="8" t="s">
        <v>19</v>
      </c>
      <c r="F11" s="8" t="s">
        <v>11</v>
      </c>
      <c r="G11" s="9"/>
      <c r="H11" s="8">
        <v>0</v>
      </c>
      <c r="I11" s="8">
        <v>0</v>
      </c>
      <c r="J11" s="8">
        <v>84583</v>
      </c>
      <c r="K11" s="8">
        <v>0</v>
      </c>
      <c r="L11" s="8" t="s">
        <v>20</v>
      </c>
      <c r="M11" s="8" t="str">
        <f>IF(Titanic[[#This Row],[Sobrevive]]=1, "SOBREVIVE", "NO SOBREVIVE")</f>
        <v>NO SOBREVIVE</v>
      </c>
      <c r="N11" s="8" t="str">
        <f>LOOKUP(Titanic[[#This Row],[Clase]],{1,2,3}, {"PRIMERA","SEGUNDA","TERCERA"})</f>
        <v>TERCERA</v>
      </c>
      <c r="O11" s="8" t="str">
        <f>IF(Titanic[[#This Row],[Sexo]]="Hombre", "HOMBRE", "MUJER")</f>
        <v>HOMBRE</v>
      </c>
      <c r="P11" s="8" t="str">
        <f>IF(Titanic[[#This Row],[Edad]]="", "", IF(Titanic[[#This Row],[Edad]]&gt;=100, Titanic[[#This Row],[Edad]] / 10, Titanic[[#This Row],[Edad]]))</f>
        <v/>
      </c>
      <c r="Q11" s="8" t="str">
        <f>IFERROR(LOOKUP(Titanic[[#This Row],[Edad Corrigida]],'Práctica 1'!$K$231:$K$240,'Práctica 1'!$L$231:$L$240), "DESCONOCIDO")</f>
        <v>DESCONOCIDO</v>
      </c>
      <c r="R11" s="8">
        <f>Titanic[[#This Row],[Familia Horizontal]]+Titanic[[#This Row],[Familia Vertical]]</f>
        <v>0</v>
      </c>
      <c r="S11" s="8"/>
      <c r="T11" s="8"/>
      <c r="U11" s="8"/>
      <c r="V11" s="8"/>
    </row>
    <row r="12" spans="2:22" x14ac:dyDescent="0.2">
      <c r="B12" s="6">
        <v>7</v>
      </c>
      <c r="C12" s="7">
        <v>0</v>
      </c>
      <c r="D12" s="8">
        <v>1</v>
      </c>
      <c r="E12" s="8" t="s">
        <v>21</v>
      </c>
      <c r="F12" s="8" t="s">
        <v>11</v>
      </c>
      <c r="G12" s="8">
        <v>54</v>
      </c>
      <c r="H12" s="8">
        <v>0</v>
      </c>
      <c r="I12" s="8">
        <v>0</v>
      </c>
      <c r="J12" s="8">
        <v>518625</v>
      </c>
      <c r="K12" s="8">
        <v>1</v>
      </c>
      <c r="L12" s="8" t="s">
        <v>12</v>
      </c>
      <c r="M12" s="8" t="str">
        <f>IF(Titanic[[#This Row],[Sobrevive]]=1, "SOBREVIVE", "NO SOBREVIVE")</f>
        <v>NO SOBREVIVE</v>
      </c>
      <c r="N12" s="8" t="str">
        <f>LOOKUP(Titanic[[#This Row],[Clase]],{1,2,3}, {"PRIMERA","SEGUNDA","TERCERA"})</f>
        <v>PRIMERA</v>
      </c>
      <c r="O12" s="8" t="str">
        <f>IF(Titanic[[#This Row],[Sexo]]="Hombre", "HOMBRE", "MUJER")</f>
        <v>HOMBRE</v>
      </c>
      <c r="P12" s="8">
        <f>IF(Titanic[[#This Row],[Edad]]="", "", IF(Titanic[[#This Row],[Edad]]&gt;=100, Titanic[[#This Row],[Edad]] / 10, Titanic[[#This Row],[Edad]]))</f>
        <v>54</v>
      </c>
      <c r="Q12" s="8" t="str">
        <f>IFERROR(LOOKUP(Titanic[[#This Row],[Edad Corrigida]],'Práctica 1'!$K$231:$K$240,'Práctica 1'!$L$231:$L$240), "DESCONOCIDO")</f>
        <v>9. ADULTO 4</v>
      </c>
      <c r="R12" s="8">
        <f>Titanic[[#This Row],[Familia Horizontal]]+Titanic[[#This Row],[Familia Vertical]]</f>
        <v>0</v>
      </c>
      <c r="S12" s="8"/>
      <c r="T12" s="8"/>
      <c r="U12" s="8"/>
      <c r="V12" s="8"/>
    </row>
    <row r="13" spans="2:22" x14ac:dyDescent="0.2">
      <c r="B13" s="6">
        <v>8</v>
      </c>
      <c r="C13" s="7">
        <v>0</v>
      </c>
      <c r="D13" s="8">
        <v>3</v>
      </c>
      <c r="E13" s="8" t="s">
        <v>22</v>
      </c>
      <c r="F13" s="8" t="s">
        <v>11</v>
      </c>
      <c r="G13" s="8">
        <v>2</v>
      </c>
      <c r="H13" s="8">
        <v>3</v>
      </c>
      <c r="I13" s="8">
        <v>1</v>
      </c>
      <c r="J13" s="8">
        <v>21075</v>
      </c>
      <c r="K13" s="8">
        <v>0</v>
      </c>
      <c r="L13" s="8" t="s">
        <v>12</v>
      </c>
      <c r="M13" s="8" t="str">
        <f>IF(Titanic[[#This Row],[Sobrevive]]=1, "SOBREVIVE", "NO SOBREVIVE")</f>
        <v>NO SOBREVIVE</v>
      </c>
      <c r="N13" s="8" t="str">
        <f>LOOKUP(Titanic[[#This Row],[Clase]],{1,2,3}, {"PRIMERA","SEGUNDA","TERCERA"})</f>
        <v>TERCERA</v>
      </c>
      <c r="O13" s="8" t="str">
        <f>IF(Titanic[[#This Row],[Sexo]]="Hombre", "HOMBRE", "MUJER")</f>
        <v>HOMBRE</v>
      </c>
      <c r="P13" s="8">
        <f>IF(Titanic[[#This Row],[Edad]]="", "", IF(Titanic[[#This Row],[Edad]]&gt;=100, Titanic[[#This Row],[Edad]] / 10, Titanic[[#This Row],[Edad]]))</f>
        <v>2</v>
      </c>
      <c r="Q13" s="8" t="str">
        <f>IFERROR(LOOKUP(Titanic[[#This Row],[Edad Corrigida]],'Práctica 1'!$K$231:$K$240,'Práctica 1'!$L$231:$L$240), "DESCONOCIDO")</f>
        <v>DESCONOCIDO</v>
      </c>
      <c r="R13" s="8">
        <f>Titanic[[#This Row],[Familia Horizontal]]+Titanic[[#This Row],[Familia Vertical]]</f>
        <v>4</v>
      </c>
      <c r="S13" s="8"/>
      <c r="T13" s="8"/>
      <c r="U13" s="8"/>
      <c r="V13" s="8"/>
    </row>
    <row r="14" spans="2:22" x14ac:dyDescent="0.2">
      <c r="B14" s="6">
        <v>9</v>
      </c>
      <c r="C14" s="7">
        <v>1</v>
      </c>
      <c r="D14" s="8">
        <v>3</v>
      </c>
      <c r="E14" s="8" t="s">
        <v>23</v>
      </c>
      <c r="F14" s="8" t="s">
        <v>14</v>
      </c>
      <c r="G14" s="8">
        <v>27</v>
      </c>
      <c r="H14" s="8">
        <v>0</v>
      </c>
      <c r="I14" s="8">
        <v>2</v>
      </c>
      <c r="J14" s="8">
        <v>111333</v>
      </c>
      <c r="K14" s="8">
        <v>0</v>
      </c>
      <c r="L14" s="8" t="s">
        <v>12</v>
      </c>
      <c r="M14" s="8" t="str">
        <f>IF(Titanic[[#This Row],[Sobrevive]]=1, "SOBREVIVE", "NO SOBREVIVE")</f>
        <v>SOBREVIVE</v>
      </c>
      <c r="N14" s="8" t="str">
        <f>LOOKUP(Titanic[[#This Row],[Clase]],{1,2,3}, {"PRIMERA","SEGUNDA","TERCERA"})</f>
        <v>TERCERA</v>
      </c>
      <c r="O14" s="8" t="str">
        <f>IF(Titanic[[#This Row],[Sexo]]="Hombre", "HOMBRE", "MUJER")</f>
        <v>MUJER</v>
      </c>
      <c r="P14" s="8">
        <f>IF(Titanic[[#This Row],[Edad]]="", "", IF(Titanic[[#This Row],[Edad]]&gt;=100, Titanic[[#This Row],[Edad]] / 10, Titanic[[#This Row],[Edad]]))</f>
        <v>27</v>
      </c>
      <c r="Q14" s="8" t="str">
        <f>IFERROR(LOOKUP(Titanic[[#This Row],[Edad Corrigida]],'Práctica 1'!$K$231:$K$240,'Práctica 1'!$L$231:$L$240), "DESCONOCIDO")</f>
        <v>4. ADULTO JOVEN</v>
      </c>
      <c r="R14" s="8">
        <f>Titanic[[#This Row],[Familia Horizontal]]+Titanic[[#This Row],[Familia Vertical]]</f>
        <v>2</v>
      </c>
      <c r="S14" s="8"/>
      <c r="T14" s="8"/>
      <c r="U14" s="8"/>
      <c r="V14" s="8"/>
    </row>
    <row r="15" spans="2:22" x14ac:dyDescent="0.2">
      <c r="B15" s="6">
        <v>10</v>
      </c>
      <c r="C15" s="7">
        <v>1</v>
      </c>
      <c r="D15" s="8">
        <v>2</v>
      </c>
      <c r="E15" s="8" t="s">
        <v>24</v>
      </c>
      <c r="F15" s="8" t="s">
        <v>14</v>
      </c>
      <c r="G15" s="8">
        <v>14</v>
      </c>
      <c r="H15" s="8">
        <v>1</v>
      </c>
      <c r="I15" s="8">
        <v>0</v>
      </c>
      <c r="J15" s="8">
        <v>300708</v>
      </c>
      <c r="K15" s="8">
        <v>0</v>
      </c>
      <c r="L15" s="8" t="s">
        <v>15</v>
      </c>
      <c r="M15" s="8" t="str">
        <f>IF(Titanic[[#This Row],[Sobrevive]]=1, "SOBREVIVE", "NO SOBREVIVE")</f>
        <v>SOBREVIVE</v>
      </c>
      <c r="N15" s="8" t="str">
        <f>LOOKUP(Titanic[[#This Row],[Clase]],{1,2,3}, {"PRIMERA","SEGUNDA","TERCERA"})</f>
        <v>SEGUNDA</v>
      </c>
      <c r="O15" s="8" t="str">
        <f>IF(Titanic[[#This Row],[Sexo]]="Hombre", "HOMBRE", "MUJER")</f>
        <v>MUJER</v>
      </c>
      <c r="P15" s="8">
        <f>IF(Titanic[[#This Row],[Edad]]="", "", IF(Titanic[[#This Row],[Edad]]&gt;=100, Titanic[[#This Row],[Edad]] / 10, Titanic[[#This Row],[Edad]]))</f>
        <v>14</v>
      </c>
      <c r="Q15" s="8" t="str">
        <f>IFERROR(LOOKUP(Titanic[[#This Row],[Edad Corrigida]],'Práctica 1'!$K$231:$K$240,'Práctica 1'!$L$231:$L$240), "DESCONOCIDO")</f>
        <v>DESCONOCIDO</v>
      </c>
      <c r="R15" s="8">
        <f>Titanic[[#This Row],[Familia Horizontal]]+Titanic[[#This Row],[Familia Vertical]]</f>
        <v>1</v>
      </c>
      <c r="S15" s="8"/>
      <c r="T15" s="8"/>
      <c r="U15" s="8"/>
      <c r="V15" s="8"/>
    </row>
    <row r="16" spans="2:22" x14ac:dyDescent="0.2">
      <c r="B16" s="6">
        <v>11</v>
      </c>
      <c r="C16" s="7">
        <v>1</v>
      </c>
      <c r="D16" s="8">
        <v>3</v>
      </c>
      <c r="E16" s="8" t="s">
        <v>25</v>
      </c>
      <c r="F16" s="8" t="s">
        <v>14</v>
      </c>
      <c r="G16" s="8">
        <v>4</v>
      </c>
      <c r="H16" s="8">
        <v>1</v>
      </c>
      <c r="I16" s="8">
        <v>1</v>
      </c>
      <c r="J16" s="8">
        <v>167</v>
      </c>
      <c r="K16" s="8">
        <v>1</v>
      </c>
      <c r="L16" s="8" t="s">
        <v>12</v>
      </c>
      <c r="M16" s="8" t="str">
        <f>IF(Titanic[[#This Row],[Sobrevive]]=1, "SOBREVIVE", "NO SOBREVIVE")</f>
        <v>SOBREVIVE</v>
      </c>
      <c r="N16" s="8" t="str">
        <f>LOOKUP(Titanic[[#This Row],[Clase]],{1,2,3}, {"PRIMERA","SEGUNDA","TERCERA"})</f>
        <v>TERCERA</v>
      </c>
      <c r="O16" s="8" t="str">
        <f>IF(Titanic[[#This Row],[Sexo]]="Hombre", "HOMBRE", "MUJER")</f>
        <v>MUJER</v>
      </c>
      <c r="P16" s="8">
        <f>IF(Titanic[[#This Row],[Edad]]="", "", IF(Titanic[[#This Row],[Edad]]&gt;=100, Titanic[[#This Row],[Edad]] / 10, Titanic[[#This Row],[Edad]]))</f>
        <v>4</v>
      </c>
      <c r="Q16" s="8" t="str">
        <f>IFERROR(LOOKUP(Titanic[[#This Row],[Edad Corrigida]],'Práctica 1'!$K$231:$K$240,'Práctica 1'!$L$231:$L$240), "DESCONOCIDO")</f>
        <v>DESCONOCIDO</v>
      </c>
      <c r="R16" s="8">
        <f>Titanic[[#This Row],[Familia Horizontal]]+Titanic[[#This Row],[Familia Vertical]]</f>
        <v>2</v>
      </c>
      <c r="S16" s="8"/>
      <c r="T16" s="8"/>
      <c r="U16" s="8"/>
      <c r="V16" s="8"/>
    </row>
    <row r="17" spans="2:22" x14ac:dyDescent="0.2">
      <c r="B17" s="6">
        <v>12</v>
      </c>
      <c r="C17" s="7">
        <v>1</v>
      </c>
      <c r="D17" s="8">
        <v>1</v>
      </c>
      <c r="E17" s="8" t="s">
        <v>26</v>
      </c>
      <c r="F17" s="8" t="s">
        <v>14</v>
      </c>
      <c r="G17" s="8">
        <v>58</v>
      </c>
      <c r="H17" s="8">
        <v>0</v>
      </c>
      <c r="I17" s="8">
        <v>0</v>
      </c>
      <c r="J17" s="8">
        <v>2655</v>
      </c>
      <c r="K17" s="8">
        <v>1</v>
      </c>
      <c r="L17" s="8" t="s">
        <v>12</v>
      </c>
      <c r="M17" s="8" t="str">
        <f>IF(Titanic[[#This Row],[Sobrevive]]=1, "SOBREVIVE", "NO SOBREVIVE")</f>
        <v>SOBREVIVE</v>
      </c>
      <c r="N17" s="8" t="str">
        <f>LOOKUP(Titanic[[#This Row],[Clase]],{1,2,3}, {"PRIMERA","SEGUNDA","TERCERA"})</f>
        <v>PRIMERA</v>
      </c>
      <c r="O17" s="8" t="str">
        <f>IF(Titanic[[#This Row],[Sexo]]="Hombre", "HOMBRE", "MUJER")</f>
        <v>MUJER</v>
      </c>
      <c r="P17" s="8">
        <f>IF(Titanic[[#This Row],[Edad]]="", "", IF(Titanic[[#This Row],[Edad]]&gt;=100, Titanic[[#This Row],[Edad]] / 10, Titanic[[#This Row],[Edad]]))</f>
        <v>58</v>
      </c>
      <c r="Q17" s="8" t="str">
        <f>IFERROR(LOOKUP(Titanic[[#This Row],[Edad Corrigida]],'Práctica 1'!$K$231:$K$240,'Práctica 1'!$L$231:$L$240), "DESCONOCIDO")</f>
        <v>9. ADULTO 4</v>
      </c>
      <c r="R17" s="8">
        <f>Titanic[[#This Row],[Familia Horizontal]]+Titanic[[#This Row],[Familia Vertical]]</f>
        <v>0</v>
      </c>
      <c r="S17" s="8"/>
      <c r="T17" s="8"/>
      <c r="U17" s="8"/>
      <c r="V17" s="8"/>
    </row>
    <row r="18" spans="2:22" x14ac:dyDescent="0.2">
      <c r="B18" s="6">
        <v>13</v>
      </c>
      <c r="C18" s="7">
        <v>0</v>
      </c>
      <c r="D18" s="8">
        <v>3</v>
      </c>
      <c r="E18" s="8" t="s">
        <v>27</v>
      </c>
      <c r="F18" s="8" t="s">
        <v>11</v>
      </c>
      <c r="G18" s="8">
        <v>20</v>
      </c>
      <c r="H18" s="8">
        <v>0</v>
      </c>
      <c r="I18" s="8">
        <v>0</v>
      </c>
      <c r="J18" s="8">
        <v>805</v>
      </c>
      <c r="K18" s="8">
        <v>0</v>
      </c>
      <c r="L18" s="8" t="s">
        <v>12</v>
      </c>
      <c r="M18" s="8" t="str">
        <f>IF(Titanic[[#This Row],[Sobrevive]]=1, "SOBREVIVE", "NO SOBREVIVE")</f>
        <v>NO SOBREVIVE</v>
      </c>
      <c r="N18" s="8" t="str">
        <f>LOOKUP(Titanic[[#This Row],[Clase]],{1,2,3}, {"PRIMERA","SEGUNDA","TERCERA"})</f>
        <v>TERCERA</v>
      </c>
      <c r="O18" s="8" t="str">
        <f>IF(Titanic[[#This Row],[Sexo]]="Hombre", "HOMBRE", "MUJER")</f>
        <v>HOMBRE</v>
      </c>
      <c r="P18" s="8">
        <f>IF(Titanic[[#This Row],[Edad]]="", "", IF(Titanic[[#This Row],[Edad]]&gt;=100, Titanic[[#This Row],[Edad]] / 10, Titanic[[#This Row],[Edad]]))</f>
        <v>20</v>
      </c>
      <c r="Q18" s="8" t="str">
        <f>IFERROR(LOOKUP(Titanic[[#This Row],[Edad Corrigida]],'Práctica 1'!$K$231:$K$240,'Práctica 1'!$L$231:$L$240), "DESCONOCIDO")</f>
        <v>2. ADOLESCENTE</v>
      </c>
      <c r="R18" s="8">
        <f>Titanic[[#This Row],[Familia Horizontal]]+Titanic[[#This Row],[Familia Vertical]]</f>
        <v>0</v>
      </c>
      <c r="S18" s="8"/>
      <c r="T18" s="8"/>
      <c r="U18" s="8"/>
      <c r="V18" s="8"/>
    </row>
    <row r="19" spans="2:22" x14ac:dyDescent="0.2">
      <c r="B19" s="6">
        <v>14</v>
      </c>
      <c r="C19" s="7">
        <v>0</v>
      </c>
      <c r="D19" s="8">
        <v>3</v>
      </c>
      <c r="E19" s="8" t="s">
        <v>28</v>
      </c>
      <c r="F19" s="8" t="s">
        <v>11</v>
      </c>
      <c r="G19" s="8">
        <v>39</v>
      </c>
      <c r="H19" s="8">
        <v>1</v>
      </c>
      <c r="I19" s="8">
        <v>5</v>
      </c>
      <c r="J19" s="8">
        <v>31275</v>
      </c>
      <c r="K19" s="8">
        <v>0</v>
      </c>
      <c r="L19" s="8" t="s">
        <v>12</v>
      </c>
      <c r="M19" s="8" t="str">
        <f>IF(Titanic[[#This Row],[Sobrevive]]=1, "SOBREVIVE", "NO SOBREVIVE")</f>
        <v>NO SOBREVIVE</v>
      </c>
      <c r="N19" s="8" t="str">
        <f>LOOKUP(Titanic[[#This Row],[Clase]],{1,2,3}, {"PRIMERA","SEGUNDA","TERCERA"})</f>
        <v>TERCERA</v>
      </c>
      <c r="O19" s="8" t="str">
        <f>IF(Titanic[[#This Row],[Sexo]]="Hombre", "HOMBRE", "MUJER")</f>
        <v>HOMBRE</v>
      </c>
      <c r="P19" s="8">
        <f>IF(Titanic[[#This Row],[Edad]]="", "", IF(Titanic[[#This Row],[Edad]]&gt;=100, Titanic[[#This Row],[Edad]] / 10, Titanic[[#This Row],[Edad]]))</f>
        <v>39</v>
      </c>
      <c r="Q19" s="8" t="str">
        <f>IFERROR(LOOKUP(Titanic[[#This Row],[Edad Corrigida]],'Práctica 1'!$K$231:$K$240,'Práctica 1'!$L$231:$L$240), "DESCONOCIDO")</f>
        <v>7. ADULTO 2</v>
      </c>
      <c r="R19" s="8">
        <f>Titanic[[#This Row],[Familia Horizontal]]+Titanic[[#This Row],[Familia Vertical]]</f>
        <v>6</v>
      </c>
      <c r="S19" s="8"/>
      <c r="T19" s="8"/>
      <c r="U19" s="8"/>
      <c r="V19" s="8"/>
    </row>
    <row r="20" spans="2:22" x14ac:dyDescent="0.2">
      <c r="B20" s="6">
        <v>15</v>
      </c>
      <c r="C20" s="7">
        <v>0</v>
      </c>
      <c r="D20" s="8">
        <v>3</v>
      </c>
      <c r="E20" s="8" t="s">
        <v>29</v>
      </c>
      <c r="F20" s="8" t="s">
        <v>14</v>
      </c>
      <c r="G20" s="8">
        <v>14</v>
      </c>
      <c r="H20" s="8">
        <v>0</v>
      </c>
      <c r="I20" s="8">
        <v>0</v>
      </c>
      <c r="J20" s="8">
        <v>78542</v>
      </c>
      <c r="K20" s="8">
        <v>0</v>
      </c>
      <c r="L20" s="8" t="s">
        <v>12</v>
      </c>
      <c r="M20" s="8" t="str">
        <f>IF(Titanic[[#This Row],[Sobrevive]]=1, "SOBREVIVE", "NO SOBREVIVE")</f>
        <v>NO SOBREVIVE</v>
      </c>
      <c r="N20" s="8" t="str">
        <f>LOOKUP(Titanic[[#This Row],[Clase]],{1,2,3}, {"PRIMERA","SEGUNDA","TERCERA"})</f>
        <v>TERCERA</v>
      </c>
      <c r="O20" s="8" t="str">
        <f>IF(Titanic[[#This Row],[Sexo]]="Hombre", "HOMBRE", "MUJER")</f>
        <v>MUJER</v>
      </c>
      <c r="P20" s="8">
        <f>IF(Titanic[[#This Row],[Edad]]="", "", IF(Titanic[[#This Row],[Edad]]&gt;=100, Titanic[[#This Row],[Edad]] / 10, Titanic[[#This Row],[Edad]]))</f>
        <v>14</v>
      </c>
      <c r="Q20" s="8" t="str">
        <f>IFERROR(LOOKUP(Titanic[[#This Row],[Edad Corrigida]],'Práctica 1'!$K$231:$K$240,'Práctica 1'!$L$231:$L$240), "DESCONOCIDO")</f>
        <v>DESCONOCIDO</v>
      </c>
      <c r="R20" s="8">
        <f>Titanic[[#This Row],[Familia Horizontal]]+Titanic[[#This Row],[Familia Vertical]]</f>
        <v>0</v>
      </c>
      <c r="S20" s="8"/>
      <c r="T20" s="8"/>
      <c r="U20" s="8"/>
      <c r="V20" s="8"/>
    </row>
    <row r="21" spans="2:22" x14ac:dyDescent="0.2">
      <c r="B21" s="6">
        <v>16</v>
      </c>
      <c r="C21" s="7">
        <v>1</v>
      </c>
      <c r="D21" s="8">
        <v>2</v>
      </c>
      <c r="E21" s="8" t="s">
        <v>30</v>
      </c>
      <c r="F21" s="8" t="s">
        <v>14</v>
      </c>
      <c r="G21" s="8">
        <v>55</v>
      </c>
      <c r="H21" s="8">
        <v>0</v>
      </c>
      <c r="I21" s="8">
        <v>0</v>
      </c>
      <c r="J21" s="8">
        <v>16</v>
      </c>
      <c r="K21" s="8">
        <v>0</v>
      </c>
      <c r="L21" s="8" t="s">
        <v>12</v>
      </c>
      <c r="M21" s="8" t="str">
        <f>IF(Titanic[[#This Row],[Sobrevive]]=1, "SOBREVIVE", "NO SOBREVIVE")</f>
        <v>SOBREVIVE</v>
      </c>
      <c r="N21" s="8" t="str">
        <f>LOOKUP(Titanic[[#This Row],[Clase]],{1,2,3}, {"PRIMERA","SEGUNDA","TERCERA"})</f>
        <v>SEGUNDA</v>
      </c>
      <c r="O21" s="8" t="str">
        <f>IF(Titanic[[#This Row],[Sexo]]="Hombre", "HOMBRE", "MUJER")</f>
        <v>MUJER</v>
      </c>
      <c r="P21" s="8">
        <f>IF(Titanic[[#This Row],[Edad]]="", "", IF(Titanic[[#This Row],[Edad]]&gt;=100, Titanic[[#This Row],[Edad]] / 10, Titanic[[#This Row],[Edad]]))</f>
        <v>55</v>
      </c>
      <c r="Q21" s="8" t="str">
        <f>IFERROR(LOOKUP(Titanic[[#This Row],[Edad Corrigida]],'Práctica 1'!$K$231:$K$240,'Práctica 1'!$L$231:$L$240), "DESCONOCIDO")</f>
        <v>9. ADULTO 4</v>
      </c>
      <c r="R21" s="8">
        <f>Titanic[[#This Row],[Familia Horizontal]]+Titanic[[#This Row],[Familia Vertical]]</f>
        <v>0</v>
      </c>
      <c r="S21" s="8"/>
      <c r="T21" s="8"/>
      <c r="U21" s="8"/>
      <c r="V21" s="8"/>
    </row>
    <row r="22" spans="2:22" x14ac:dyDescent="0.2">
      <c r="B22" s="6">
        <v>17</v>
      </c>
      <c r="C22" s="7">
        <v>0</v>
      </c>
      <c r="D22" s="8">
        <v>3</v>
      </c>
      <c r="E22" s="8" t="s">
        <v>31</v>
      </c>
      <c r="F22" s="8" t="s">
        <v>11</v>
      </c>
      <c r="G22" s="8">
        <v>2</v>
      </c>
      <c r="H22" s="8">
        <v>4</v>
      </c>
      <c r="I22" s="8">
        <v>1</v>
      </c>
      <c r="J22" s="8">
        <v>29125</v>
      </c>
      <c r="K22" s="8">
        <v>0</v>
      </c>
      <c r="L22" s="8" t="s">
        <v>20</v>
      </c>
      <c r="M22" s="8" t="str">
        <f>IF(Titanic[[#This Row],[Sobrevive]]=1, "SOBREVIVE", "NO SOBREVIVE")</f>
        <v>NO SOBREVIVE</v>
      </c>
      <c r="N22" s="8" t="str">
        <f>LOOKUP(Titanic[[#This Row],[Clase]],{1,2,3}, {"PRIMERA","SEGUNDA","TERCERA"})</f>
        <v>TERCERA</v>
      </c>
      <c r="O22" s="8" t="str">
        <f>IF(Titanic[[#This Row],[Sexo]]="Hombre", "HOMBRE", "MUJER")</f>
        <v>HOMBRE</v>
      </c>
      <c r="P22" s="8">
        <f>IF(Titanic[[#This Row],[Edad]]="", "", IF(Titanic[[#This Row],[Edad]]&gt;=100, Titanic[[#This Row],[Edad]] / 10, Titanic[[#This Row],[Edad]]))</f>
        <v>2</v>
      </c>
      <c r="Q22" s="8" t="str">
        <f>IFERROR(LOOKUP(Titanic[[#This Row],[Edad Corrigida]],'Práctica 1'!$K$231:$K$240,'Práctica 1'!$L$231:$L$240), "DESCONOCIDO")</f>
        <v>DESCONOCIDO</v>
      </c>
      <c r="R22" s="8">
        <f>Titanic[[#This Row],[Familia Horizontal]]+Titanic[[#This Row],[Familia Vertical]]</f>
        <v>5</v>
      </c>
      <c r="S22" s="8"/>
      <c r="T22" s="8"/>
      <c r="U22" s="8"/>
      <c r="V22" s="8"/>
    </row>
    <row r="23" spans="2:22" x14ac:dyDescent="0.2">
      <c r="B23" s="6">
        <v>18</v>
      </c>
      <c r="C23" s="7">
        <v>1</v>
      </c>
      <c r="D23" s="8">
        <v>2</v>
      </c>
      <c r="E23" s="8" t="s">
        <v>32</v>
      </c>
      <c r="F23" s="8" t="s">
        <v>11</v>
      </c>
      <c r="G23" s="9"/>
      <c r="H23" s="8">
        <v>0</v>
      </c>
      <c r="I23" s="8">
        <v>0</v>
      </c>
      <c r="J23" s="8">
        <v>13</v>
      </c>
      <c r="K23" s="8">
        <v>0</v>
      </c>
      <c r="L23" s="8" t="s">
        <v>12</v>
      </c>
      <c r="M23" s="8" t="str">
        <f>IF(Titanic[[#This Row],[Sobrevive]]=1, "SOBREVIVE", "NO SOBREVIVE")</f>
        <v>SOBREVIVE</v>
      </c>
      <c r="N23" s="8" t="str">
        <f>LOOKUP(Titanic[[#This Row],[Clase]],{1,2,3}, {"PRIMERA","SEGUNDA","TERCERA"})</f>
        <v>SEGUNDA</v>
      </c>
      <c r="O23" s="8" t="str">
        <f>IF(Titanic[[#This Row],[Sexo]]="Hombre", "HOMBRE", "MUJER")</f>
        <v>HOMBRE</v>
      </c>
      <c r="P23" s="8" t="str">
        <f>IF(Titanic[[#This Row],[Edad]]="", "", IF(Titanic[[#This Row],[Edad]]&gt;=100, Titanic[[#This Row],[Edad]] / 10, Titanic[[#This Row],[Edad]]))</f>
        <v/>
      </c>
      <c r="Q23" s="8" t="str">
        <f>IFERROR(LOOKUP(Titanic[[#This Row],[Edad Corrigida]],'Práctica 1'!$K$231:$K$240,'Práctica 1'!$L$231:$L$240), "DESCONOCIDO")</f>
        <v>DESCONOCIDO</v>
      </c>
      <c r="R23" s="8">
        <f>Titanic[[#This Row],[Familia Horizontal]]+Titanic[[#This Row],[Familia Vertical]]</f>
        <v>0</v>
      </c>
      <c r="S23" s="8"/>
      <c r="T23" s="8"/>
      <c r="U23" s="8"/>
      <c r="V23" s="8"/>
    </row>
    <row r="24" spans="2:22" x14ac:dyDescent="0.2">
      <c r="B24" s="6">
        <v>19</v>
      </c>
      <c r="C24" s="7">
        <v>0</v>
      </c>
      <c r="D24" s="8">
        <v>3</v>
      </c>
      <c r="E24" s="8" t="s">
        <v>33</v>
      </c>
      <c r="F24" s="8" t="s">
        <v>14</v>
      </c>
      <c r="G24" s="8">
        <v>31</v>
      </c>
      <c r="H24" s="8">
        <v>1</v>
      </c>
      <c r="I24" s="8">
        <v>0</v>
      </c>
      <c r="J24" s="8">
        <v>18</v>
      </c>
      <c r="K24" s="8">
        <v>0</v>
      </c>
      <c r="L24" s="8" t="s">
        <v>12</v>
      </c>
      <c r="M24" s="8" t="str">
        <f>IF(Titanic[[#This Row],[Sobrevive]]=1, "SOBREVIVE", "NO SOBREVIVE")</f>
        <v>NO SOBREVIVE</v>
      </c>
      <c r="N24" s="8" t="str">
        <f>LOOKUP(Titanic[[#This Row],[Clase]],{1,2,3}, {"PRIMERA","SEGUNDA","TERCERA"})</f>
        <v>TERCERA</v>
      </c>
      <c r="O24" s="8" t="str">
        <f>IF(Titanic[[#This Row],[Sexo]]="Hombre", "HOMBRE", "MUJER")</f>
        <v>MUJER</v>
      </c>
      <c r="P24" s="8">
        <f>IF(Titanic[[#This Row],[Edad]]="", "", IF(Titanic[[#This Row],[Edad]]&gt;=100, Titanic[[#This Row],[Edad]] / 10, Titanic[[#This Row],[Edad]]))</f>
        <v>31</v>
      </c>
      <c r="Q24" s="8" t="str">
        <f>IFERROR(LOOKUP(Titanic[[#This Row],[Edad Corrigida]],'Práctica 1'!$K$231:$K$240,'Práctica 1'!$L$231:$L$240), "DESCONOCIDO")</f>
        <v>5. ADULTO</v>
      </c>
      <c r="R24" s="8">
        <f>Titanic[[#This Row],[Familia Horizontal]]+Titanic[[#This Row],[Familia Vertical]]</f>
        <v>1</v>
      </c>
      <c r="S24" s="8"/>
      <c r="T24" s="8"/>
      <c r="U24" s="8"/>
      <c r="V24" s="8"/>
    </row>
    <row r="25" spans="2:22" x14ac:dyDescent="0.2">
      <c r="B25" s="6">
        <v>20</v>
      </c>
      <c r="C25" s="7">
        <v>1</v>
      </c>
      <c r="D25" s="8">
        <v>3</v>
      </c>
      <c r="E25" s="8" t="s">
        <v>34</v>
      </c>
      <c r="F25" s="8" t="s">
        <v>14</v>
      </c>
      <c r="G25" s="9"/>
      <c r="H25" s="8">
        <v>0</v>
      </c>
      <c r="I25" s="8">
        <v>0</v>
      </c>
      <c r="J25" s="8">
        <v>7225</v>
      </c>
      <c r="K25" s="8">
        <v>0</v>
      </c>
      <c r="L25" s="8" t="s">
        <v>15</v>
      </c>
      <c r="M25" s="8" t="str">
        <f>IF(Titanic[[#This Row],[Sobrevive]]=1, "SOBREVIVE", "NO SOBREVIVE")</f>
        <v>SOBREVIVE</v>
      </c>
      <c r="N25" s="8" t="str">
        <f>LOOKUP(Titanic[[#This Row],[Clase]],{1,2,3}, {"PRIMERA","SEGUNDA","TERCERA"})</f>
        <v>TERCERA</v>
      </c>
      <c r="O25" s="8" t="str">
        <f>IF(Titanic[[#This Row],[Sexo]]="Hombre", "HOMBRE", "MUJER")</f>
        <v>MUJER</v>
      </c>
      <c r="P25" s="8" t="str">
        <f>IF(Titanic[[#This Row],[Edad]]="", "", IF(Titanic[[#This Row],[Edad]]&gt;=100, Titanic[[#This Row],[Edad]] / 10, Titanic[[#This Row],[Edad]]))</f>
        <v/>
      </c>
      <c r="Q25" s="8" t="str">
        <f>IFERROR(LOOKUP(Titanic[[#This Row],[Edad Corrigida]],'Práctica 1'!$K$231:$K$240,'Práctica 1'!$L$231:$L$240), "DESCONOCIDO")</f>
        <v>DESCONOCIDO</v>
      </c>
      <c r="R25" s="8">
        <f>Titanic[[#This Row],[Familia Horizontal]]+Titanic[[#This Row],[Familia Vertical]]</f>
        <v>0</v>
      </c>
      <c r="S25" s="8"/>
      <c r="T25" s="8"/>
      <c r="U25" s="8"/>
      <c r="V25" s="8"/>
    </row>
    <row r="26" spans="2:22" x14ac:dyDescent="0.2">
      <c r="B26" s="6">
        <v>21</v>
      </c>
      <c r="C26" s="7">
        <v>0</v>
      </c>
      <c r="D26" s="8">
        <v>2</v>
      </c>
      <c r="E26" s="8" t="s">
        <v>35</v>
      </c>
      <c r="F26" s="8" t="s">
        <v>11</v>
      </c>
      <c r="G26" s="8">
        <v>35</v>
      </c>
      <c r="H26" s="8">
        <v>0</v>
      </c>
      <c r="I26" s="8">
        <v>0</v>
      </c>
      <c r="J26" s="8">
        <v>26</v>
      </c>
      <c r="K26" s="8">
        <v>0</v>
      </c>
      <c r="L26" s="8" t="s">
        <v>12</v>
      </c>
      <c r="M26" s="8" t="str">
        <f>IF(Titanic[[#This Row],[Sobrevive]]=1, "SOBREVIVE", "NO SOBREVIVE")</f>
        <v>NO SOBREVIVE</v>
      </c>
      <c r="N26" s="8" t="str">
        <f>LOOKUP(Titanic[[#This Row],[Clase]],{1,2,3}, {"PRIMERA","SEGUNDA","TERCERA"})</f>
        <v>SEGUNDA</v>
      </c>
      <c r="O26" s="8" t="str">
        <f>IF(Titanic[[#This Row],[Sexo]]="Hombre", "HOMBRE", "MUJER")</f>
        <v>HOMBRE</v>
      </c>
      <c r="P26" s="8">
        <f>IF(Titanic[[#This Row],[Edad]]="", "", IF(Titanic[[#This Row],[Edad]]&gt;=100, Titanic[[#This Row],[Edad]] / 10, Titanic[[#This Row],[Edad]]))</f>
        <v>35</v>
      </c>
      <c r="Q26" s="8" t="str">
        <f>IFERROR(LOOKUP(Titanic[[#This Row],[Edad Corrigida]],'Práctica 1'!$K$231:$K$240,'Práctica 1'!$L$231:$L$240), "DESCONOCIDO")</f>
        <v>6. ADULTO 1</v>
      </c>
      <c r="R26" s="8">
        <f>Titanic[[#This Row],[Familia Horizontal]]+Titanic[[#This Row],[Familia Vertical]]</f>
        <v>0</v>
      </c>
      <c r="S26" s="8"/>
      <c r="T26" s="8"/>
      <c r="U26" s="8"/>
      <c r="V26" s="8"/>
    </row>
    <row r="27" spans="2:22" x14ac:dyDescent="0.2">
      <c r="B27" s="6">
        <v>22</v>
      </c>
      <c r="C27" s="7">
        <v>1</v>
      </c>
      <c r="D27" s="8">
        <v>2</v>
      </c>
      <c r="E27" s="8" t="s">
        <v>36</v>
      </c>
      <c r="F27" s="8" t="s">
        <v>11</v>
      </c>
      <c r="G27" s="8">
        <v>34</v>
      </c>
      <c r="H27" s="8">
        <v>0</v>
      </c>
      <c r="I27" s="8">
        <v>0</v>
      </c>
      <c r="J27" s="8">
        <v>13</v>
      </c>
      <c r="K27" s="8">
        <v>1</v>
      </c>
      <c r="L27" s="8" t="s">
        <v>12</v>
      </c>
      <c r="M27" s="8" t="str">
        <f>IF(Titanic[[#This Row],[Sobrevive]]=1, "SOBREVIVE", "NO SOBREVIVE")</f>
        <v>SOBREVIVE</v>
      </c>
      <c r="N27" s="8" t="str">
        <f>LOOKUP(Titanic[[#This Row],[Clase]],{1,2,3}, {"PRIMERA","SEGUNDA","TERCERA"})</f>
        <v>SEGUNDA</v>
      </c>
      <c r="O27" s="8" t="str">
        <f>IF(Titanic[[#This Row],[Sexo]]="Hombre", "HOMBRE", "MUJER")</f>
        <v>HOMBRE</v>
      </c>
      <c r="P27" s="8">
        <f>IF(Titanic[[#This Row],[Edad]]="", "", IF(Titanic[[#This Row],[Edad]]&gt;=100, Titanic[[#This Row],[Edad]] / 10, Titanic[[#This Row],[Edad]]))</f>
        <v>34</v>
      </c>
      <c r="Q27" s="8" t="str">
        <f>IFERROR(LOOKUP(Titanic[[#This Row],[Edad Corrigida]],'Práctica 1'!$K$231:$K$240,'Práctica 1'!$L$231:$L$240), "DESCONOCIDO")</f>
        <v>6. ADULTO 1</v>
      </c>
      <c r="R27" s="8">
        <f>Titanic[[#This Row],[Familia Horizontal]]+Titanic[[#This Row],[Familia Vertical]]</f>
        <v>0</v>
      </c>
      <c r="S27" s="8"/>
      <c r="T27" s="8"/>
      <c r="U27" s="8"/>
      <c r="V27" s="8"/>
    </row>
    <row r="28" spans="2:22" x14ac:dyDescent="0.2">
      <c r="B28" s="6">
        <v>23</v>
      </c>
      <c r="C28" s="7">
        <v>1</v>
      </c>
      <c r="D28" s="8">
        <v>3</v>
      </c>
      <c r="E28" s="8" t="s">
        <v>37</v>
      </c>
      <c r="F28" s="8" t="s">
        <v>14</v>
      </c>
      <c r="G28" s="8">
        <v>15</v>
      </c>
      <c r="H28" s="8">
        <v>0</v>
      </c>
      <c r="I28" s="8">
        <v>0</v>
      </c>
      <c r="J28" s="8">
        <v>80292</v>
      </c>
      <c r="K28" s="8">
        <v>0</v>
      </c>
      <c r="L28" s="8" t="s">
        <v>20</v>
      </c>
      <c r="M28" s="8" t="str">
        <f>IF(Titanic[[#This Row],[Sobrevive]]=1, "SOBREVIVE", "NO SOBREVIVE")</f>
        <v>SOBREVIVE</v>
      </c>
      <c r="N28" s="8" t="str">
        <f>LOOKUP(Titanic[[#This Row],[Clase]],{1,2,3}, {"PRIMERA","SEGUNDA","TERCERA"})</f>
        <v>TERCERA</v>
      </c>
      <c r="O28" s="8" t="str">
        <f>IF(Titanic[[#This Row],[Sexo]]="Hombre", "HOMBRE", "MUJER")</f>
        <v>MUJER</v>
      </c>
      <c r="P28" s="8">
        <f>IF(Titanic[[#This Row],[Edad]]="", "", IF(Titanic[[#This Row],[Edad]]&gt;=100, Titanic[[#This Row],[Edad]] / 10, Titanic[[#This Row],[Edad]]))</f>
        <v>15</v>
      </c>
      <c r="Q28" s="8" t="str">
        <f>IFERROR(LOOKUP(Titanic[[#This Row],[Edad Corrigida]],'Práctica 1'!$K$231:$K$240,'Práctica 1'!$L$231:$L$240), "DESCONOCIDO")</f>
        <v>1. INFANTE</v>
      </c>
      <c r="R28" s="8">
        <f>Titanic[[#This Row],[Familia Horizontal]]+Titanic[[#This Row],[Familia Vertical]]</f>
        <v>0</v>
      </c>
      <c r="S28" s="8"/>
      <c r="T28" s="8"/>
      <c r="U28" s="8"/>
      <c r="V28" s="8"/>
    </row>
    <row r="29" spans="2:22" x14ac:dyDescent="0.2">
      <c r="B29" s="6">
        <v>24</v>
      </c>
      <c r="C29" s="7">
        <v>1</v>
      </c>
      <c r="D29" s="8">
        <v>1</v>
      </c>
      <c r="E29" s="8" t="s">
        <v>38</v>
      </c>
      <c r="F29" s="8" t="s">
        <v>11</v>
      </c>
      <c r="G29" s="8">
        <v>28</v>
      </c>
      <c r="H29" s="8">
        <v>0</v>
      </c>
      <c r="I29" s="8">
        <v>0</v>
      </c>
      <c r="J29" s="8">
        <v>355</v>
      </c>
      <c r="K29" s="8">
        <v>1</v>
      </c>
      <c r="L29" s="8" t="s">
        <v>12</v>
      </c>
      <c r="M29" s="8" t="str">
        <f>IF(Titanic[[#This Row],[Sobrevive]]=1, "SOBREVIVE", "NO SOBREVIVE")</f>
        <v>SOBREVIVE</v>
      </c>
      <c r="N29" s="8" t="str">
        <f>LOOKUP(Titanic[[#This Row],[Clase]],{1,2,3}, {"PRIMERA","SEGUNDA","TERCERA"})</f>
        <v>PRIMERA</v>
      </c>
      <c r="O29" s="8" t="str">
        <f>IF(Titanic[[#This Row],[Sexo]]="Hombre", "HOMBRE", "MUJER")</f>
        <v>HOMBRE</v>
      </c>
      <c r="P29" s="8">
        <f>IF(Titanic[[#This Row],[Edad]]="", "", IF(Titanic[[#This Row],[Edad]]&gt;=100, Titanic[[#This Row],[Edad]] / 10, Titanic[[#This Row],[Edad]]))</f>
        <v>28</v>
      </c>
      <c r="Q29" s="8" t="str">
        <f>IFERROR(LOOKUP(Titanic[[#This Row],[Edad Corrigida]],'Práctica 1'!$K$231:$K$240,'Práctica 1'!$L$231:$L$240), "DESCONOCIDO")</f>
        <v>4. ADULTO JOVEN</v>
      </c>
      <c r="R29" s="8">
        <f>Titanic[[#This Row],[Familia Horizontal]]+Titanic[[#This Row],[Familia Vertical]]</f>
        <v>0</v>
      </c>
      <c r="S29" s="8"/>
      <c r="T29" s="8"/>
      <c r="U29" s="8"/>
      <c r="V29" s="8"/>
    </row>
    <row r="30" spans="2:22" x14ac:dyDescent="0.2">
      <c r="B30" s="6">
        <v>25</v>
      </c>
      <c r="C30" s="7">
        <v>0</v>
      </c>
      <c r="D30" s="8">
        <v>3</v>
      </c>
      <c r="E30" s="8" t="s">
        <v>39</v>
      </c>
      <c r="F30" s="8" t="s">
        <v>14</v>
      </c>
      <c r="G30" s="8">
        <v>8</v>
      </c>
      <c r="H30" s="8">
        <v>3</v>
      </c>
      <c r="I30" s="8">
        <v>1</v>
      </c>
      <c r="J30" s="8">
        <v>21075</v>
      </c>
      <c r="K30" s="8">
        <v>0</v>
      </c>
      <c r="L30" s="8" t="s">
        <v>12</v>
      </c>
      <c r="M30" s="8" t="str">
        <f>IF(Titanic[[#This Row],[Sobrevive]]=1, "SOBREVIVE", "NO SOBREVIVE")</f>
        <v>NO SOBREVIVE</v>
      </c>
      <c r="N30" s="8" t="str">
        <f>LOOKUP(Titanic[[#This Row],[Clase]],{1,2,3}, {"PRIMERA","SEGUNDA","TERCERA"})</f>
        <v>TERCERA</v>
      </c>
      <c r="O30" s="8" t="str">
        <f>IF(Titanic[[#This Row],[Sexo]]="Hombre", "HOMBRE", "MUJER")</f>
        <v>MUJER</v>
      </c>
      <c r="P30" s="8">
        <f>IF(Titanic[[#This Row],[Edad]]="", "", IF(Titanic[[#This Row],[Edad]]&gt;=100, Titanic[[#This Row],[Edad]] / 10, Titanic[[#This Row],[Edad]]))</f>
        <v>8</v>
      </c>
      <c r="Q30" s="8" t="str">
        <f>IFERROR(LOOKUP(Titanic[[#This Row],[Edad Corrigida]],'Práctica 1'!$K$231:$K$240,'Práctica 1'!$L$231:$L$240), "DESCONOCIDO")</f>
        <v>DESCONOCIDO</v>
      </c>
      <c r="R30" s="8">
        <f>Titanic[[#This Row],[Familia Horizontal]]+Titanic[[#This Row],[Familia Vertical]]</f>
        <v>4</v>
      </c>
      <c r="S30" s="8"/>
      <c r="T30" s="8"/>
      <c r="U30" s="8"/>
      <c r="V30" s="8"/>
    </row>
    <row r="31" spans="2:22" x14ac:dyDescent="0.2">
      <c r="B31" s="6">
        <v>26</v>
      </c>
      <c r="C31" s="7">
        <v>1</v>
      </c>
      <c r="D31" s="8">
        <v>3</v>
      </c>
      <c r="E31" s="8" t="s">
        <v>40</v>
      </c>
      <c r="F31" s="8" t="s">
        <v>14</v>
      </c>
      <c r="G31" s="8">
        <v>38</v>
      </c>
      <c r="H31" s="8">
        <v>1</v>
      </c>
      <c r="I31" s="8">
        <v>5</v>
      </c>
      <c r="J31" s="8">
        <v>313875</v>
      </c>
      <c r="K31" s="8">
        <v>0</v>
      </c>
      <c r="L31" s="8" t="s">
        <v>12</v>
      </c>
      <c r="M31" s="8" t="str">
        <f>IF(Titanic[[#This Row],[Sobrevive]]=1, "SOBREVIVE", "NO SOBREVIVE")</f>
        <v>SOBREVIVE</v>
      </c>
      <c r="N31" s="8" t="str">
        <f>LOOKUP(Titanic[[#This Row],[Clase]],{1,2,3}, {"PRIMERA","SEGUNDA","TERCERA"})</f>
        <v>TERCERA</v>
      </c>
      <c r="O31" s="8" t="str">
        <f>IF(Titanic[[#This Row],[Sexo]]="Hombre", "HOMBRE", "MUJER")</f>
        <v>MUJER</v>
      </c>
      <c r="P31" s="8">
        <f>IF(Titanic[[#This Row],[Edad]]="", "", IF(Titanic[[#This Row],[Edad]]&gt;=100, Titanic[[#This Row],[Edad]] / 10, Titanic[[#This Row],[Edad]]))</f>
        <v>38</v>
      </c>
      <c r="Q31" s="8" t="str">
        <f>IFERROR(LOOKUP(Titanic[[#This Row],[Edad Corrigida]],'Práctica 1'!$K$231:$K$240,'Práctica 1'!$L$231:$L$240), "DESCONOCIDO")</f>
        <v>7. ADULTO 2</v>
      </c>
      <c r="R31" s="8">
        <f>Titanic[[#This Row],[Familia Horizontal]]+Titanic[[#This Row],[Familia Vertical]]</f>
        <v>6</v>
      </c>
      <c r="S31" s="8"/>
      <c r="T31" s="8"/>
      <c r="U31" s="8"/>
      <c r="V31" s="8"/>
    </row>
    <row r="32" spans="2:22" x14ac:dyDescent="0.2">
      <c r="B32" s="6">
        <v>27</v>
      </c>
      <c r="C32" s="7">
        <v>0</v>
      </c>
      <c r="D32" s="8">
        <v>3</v>
      </c>
      <c r="E32" s="8" t="s">
        <v>41</v>
      </c>
      <c r="F32" s="8" t="s">
        <v>11</v>
      </c>
      <c r="G32" s="9"/>
      <c r="H32" s="8">
        <v>0</v>
      </c>
      <c r="I32" s="8">
        <v>0</v>
      </c>
      <c r="J32" s="8">
        <v>7225</v>
      </c>
      <c r="K32" s="8">
        <v>0</v>
      </c>
      <c r="L32" s="8" t="s">
        <v>15</v>
      </c>
      <c r="M32" s="8" t="str">
        <f>IF(Titanic[[#This Row],[Sobrevive]]=1, "SOBREVIVE", "NO SOBREVIVE")</f>
        <v>NO SOBREVIVE</v>
      </c>
      <c r="N32" s="8" t="str">
        <f>LOOKUP(Titanic[[#This Row],[Clase]],{1,2,3}, {"PRIMERA","SEGUNDA","TERCERA"})</f>
        <v>TERCERA</v>
      </c>
      <c r="O32" s="8" t="str">
        <f>IF(Titanic[[#This Row],[Sexo]]="Hombre", "HOMBRE", "MUJER")</f>
        <v>HOMBRE</v>
      </c>
      <c r="P32" s="8" t="str">
        <f>IF(Titanic[[#This Row],[Edad]]="", "", IF(Titanic[[#This Row],[Edad]]&gt;=100, Titanic[[#This Row],[Edad]] / 10, Titanic[[#This Row],[Edad]]))</f>
        <v/>
      </c>
      <c r="Q32" s="8" t="str">
        <f>IFERROR(LOOKUP(Titanic[[#This Row],[Edad Corrigida]],'Práctica 1'!$K$231:$K$240,'Práctica 1'!$L$231:$L$240), "DESCONOCIDO")</f>
        <v>DESCONOCIDO</v>
      </c>
      <c r="R32" s="8">
        <f>Titanic[[#This Row],[Familia Horizontal]]+Titanic[[#This Row],[Familia Vertical]]</f>
        <v>0</v>
      </c>
      <c r="S32" s="8"/>
      <c r="T32" s="8"/>
      <c r="U32" s="8"/>
      <c r="V32" s="8"/>
    </row>
    <row r="33" spans="2:22" x14ac:dyDescent="0.2">
      <c r="B33" s="6">
        <v>28</v>
      </c>
      <c r="C33" s="7">
        <v>0</v>
      </c>
      <c r="D33" s="8">
        <v>1</v>
      </c>
      <c r="E33" s="8" t="s">
        <v>42</v>
      </c>
      <c r="F33" s="8" t="s">
        <v>11</v>
      </c>
      <c r="G33" s="8">
        <v>19</v>
      </c>
      <c r="H33" s="8">
        <v>3</v>
      </c>
      <c r="I33" s="8">
        <v>2</v>
      </c>
      <c r="J33" s="8">
        <v>263</v>
      </c>
      <c r="K33" s="8">
        <v>1</v>
      </c>
      <c r="L33" s="8" t="s">
        <v>12</v>
      </c>
      <c r="M33" s="8" t="str">
        <f>IF(Titanic[[#This Row],[Sobrevive]]=1, "SOBREVIVE", "NO SOBREVIVE")</f>
        <v>NO SOBREVIVE</v>
      </c>
      <c r="N33" s="8" t="str">
        <f>LOOKUP(Titanic[[#This Row],[Clase]],{1,2,3}, {"PRIMERA","SEGUNDA","TERCERA"})</f>
        <v>PRIMERA</v>
      </c>
      <c r="O33" s="8" t="str">
        <f>IF(Titanic[[#This Row],[Sexo]]="Hombre", "HOMBRE", "MUJER")</f>
        <v>HOMBRE</v>
      </c>
      <c r="P33" s="8">
        <f>IF(Titanic[[#This Row],[Edad]]="", "", IF(Titanic[[#This Row],[Edad]]&gt;=100, Titanic[[#This Row],[Edad]] / 10, Titanic[[#This Row],[Edad]]))</f>
        <v>19</v>
      </c>
      <c r="Q33" s="8" t="str">
        <f>IFERROR(LOOKUP(Titanic[[#This Row],[Edad Corrigida]],'Práctica 1'!$K$231:$K$240,'Práctica 1'!$L$231:$L$240), "DESCONOCIDO")</f>
        <v>2. ADOLESCENTE</v>
      </c>
      <c r="R33" s="8">
        <f>Titanic[[#This Row],[Familia Horizontal]]+Titanic[[#This Row],[Familia Vertical]]</f>
        <v>5</v>
      </c>
      <c r="S33" s="8"/>
      <c r="T33" s="8"/>
      <c r="U33" s="8"/>
      <c r="V33" s="8"/>
    </row>
    <row r="34" spans="2:22" x14ac:dyDescent="0.2">
      <c r="B34" s="6">
        <v>29</v>
      </c>
      <c r="C34" s="7">
        <v>1</v>
      </c>
      <c r="D34" s="8">
        <v>3</v>
      </c>
      <c r="E34" s="8" t="s">
        <v>43</v>
      </c>
      <c r="F34" s="8" t="s">
        <v>14</v>
      </c>
      <c r="G34" s="9"/>
      <c r="H34" s="8">
        <v>0</v>
      </c>
      <c r="I34" s="8">
        <v>0</v>
      </c>
      <c r="J34" s="8">
        <v>78792</v>
      </c>
      <c r="K34" s="8">
        <v>0</v>
      </c>
      <c r="L34" s="8" t="s">
        <v>20</v>
      </c>
      <c r="M34" s="8" t="str">
        <f>IF(Titanic[[#This Row],[Sobrevive]]=1, "SOBREVIVE", "NO SOBREVIVE")</f>
        <v>SOBREVIVE</v>
      </c>
      <c r="N34" s="8" t="str">
        <f>LOOKUP(Titanic[[#This Row],[Clase]],{1,2,3}, {"PRIMERA","SEGUNDA","TERCERA"})</f>
        <v>TERCERA</v>
      </c>
      <c r="O34" s="8" t="str">
        <f>IF(Titanic[[#This Row],[Sexo]]="Hombre", "HOMBRE", "MUJER")</f>
        <v>MUJER</v>
      </c>
      <c r="P34" s="8" t="str">
        <f>IF(Titanic[[#This Row],[Edad]]="", "", IF(Titanic[[#This Row],[Edad]]&gt;=100, Titanic[[#This Row],[Edad]] / 10, Titanic[[#This Row],[Edad]]))</f>
        <v/>
      </c>
      <c r="Q34" s="8" t="str">
        <f>IFERROR(LOOKUP(Titanic[[#This Row],[Edad Corrigida]],'Práctica 1'!$K$231:$K$240,'Práctica 1'!$L$231:$L$240), "DESCONOCIDO")</f>
        <v>DESCONOCIDO</v>
      </c>
      <c r="R34" s="8">
        <f>Titanic[[#This Row],[Familia Horizontal]]+Titanic[[#This Row],[Familia Vertical]]</f>
        <v>0</v>
      </c>
      <c r="S34" s="8"/>
      <c r="T34" s="8"/>
      <c r="U34" s="8"/>
      <c r="V34" s="8"/>
    </row>
    <row r="35" spans="2:22" x14ac:dyDescent="0.2">
      <c r="B35" s="6">
        <v>30</v>
      </c>
      <c r="C35" s="7">
        <v>0</v>
      </c>
      <c r="D35" s="8">
        <v>3</v>
      </c>
      <c r="E35" s="8" t="s">
        <v>44</v>
      </c>
      <c r="F35" s="8" t="s">
        <v>11</v>
      </c>
      <c r="G35" s="9"/>
      <c r="H35" s="8">
        <v>0</v>
      </c>
      <c r="I35" s="8">
        <v>0</v>
      </c>
      <c r="J35" s="8">
        <v>78958</v>
      </c>
      <c r="K35" s="8">
        <v>0</v>
      </c>
      <c r="L35" s="8" t="s">
        <v>12</v>
      </c>
      <c r="M35" s="8" t="str">
        <f>IF(Titanic[[#This Row],[Sobrevive]]=1, "SOBREVIVE", "NO SOBREVIVE")</f>
        <v>NO SOBREVIVE</v>
      </c>
      <c r="N35" s="8" t="str">
        <f>LOOKUP(Titanic[[#This Row],[Clase]],{1,2,3}, {"PRIMERA","SEGUNDA","TERCERA"})</f>
        <v>TERCERA</v>
      </c>
      <c r="O35" s="8" t="str">
        <f>IF(Titanic[[#This Row],[Sexo]]="Hombre", "HOMBRE", "MUJER")</f>
        <v>HOMBRE</v>
      </c>
      <c r="P35" s="8" t="str">
        <f>IF(Titanic[[#This Row],[Edad]]="", "", IF(Titanic[[#This Row],[Edad]]&gt;=100, Titanic[[#This Row],[Edad]] / 10, Titanic[[#This Row],[Edad]]))</f>
        <v/>
      </c>
      <c r="Q35" s="8" t="str">
        <f>IFERROR(LOOKUP(Titanic[[#This Row],[Edad Corrigida]],'Práctica 1'!$K$231:$K$240,'Práctica 1'!$L$231:$L$240), "DESCONOCIDO")</f>
        <v>DESCONOCIDO</v>
      </c>
      <c r="R35" s="8">
        <f>Titanic[[#This Row],[Familia Horizontal]]+Titanic[[#This Row],[Familia Vertical]]</f>
        <v>0</v>
      </c>
      <c r="S35" s="8"/>
      <c r="T35" s="8"/>
      <c r="U35" s="8"/>
      <c r="V35" s="8"/>
    </row>
    <row r="36" spans="2:22" x14ac:dyDescent="0.2">
      <c r="B36" s="6">
        <v>31</v>
      </c>
      <c r="C36" s="7">
        <v>0</v>
      </c>
      <c r="D36" s="8">
        <v>1</v>
      </c>
      <c r="E36" s="8" t="s">
        <v>45</v>
      </c>
      <c r="F36" s="8" t="s">
        <v>11</v>
      </c>
      <c r="G36" s="8">
        <v>40</v>
      </c>
      <c r="H36" s="8">
        <v>0</v>
      </c>
      <c r="I36" s="8">
        <v>0</v>
      </c>
      <c r="J36" s="8">
        <v>277208</v>
      </c>
      <c r="K36" s="8">
        <v>0</v>
      </c>
      <c r="L36" s="8" t="s">
        <v>15</v>
      </c>
      <c r="M36" s="8" t="str">
        <f>IF(Titanic[[#This Row],[Sobrevive]]=1, "SOBREVIVE", "NO SOBREVIVE")</f>
        <v>NO SOBREVIVE</v>
      </c>
      <c r="N36" s="8" t="str">
        <f>LOOKUP(Titanic[[#This Row],[Clase]],{1,2,3}, {"PRIMERA","SEGUNDA","TERCERA"})</f>
        <v>PRIMERA</v>
      </c>
      <c r="O36" s="8" t="str">
        <f>IF(Titanic[[#This Row],[Sexo]]="Hombre", "HOMBRE", "MUJER")</f>
        <v>HOMBRE</v>
      </c>
      <c r="P36" s="8">
        <f>IF(Titanic[[#This Row],[Edad]]="", "", IF(Titanic[[#This Row],[Edad]]&gt;=100, Titanic[[#This Row],[Edad]] / 10, Titanic[[#This Row],[Edad]]))</f>
        <v>40</v>
      </c>
      <c r="Q36" s="8" t="str">
        <f>IFERROR(LOOKUP(Titanic[[#This Row],[Edad Corrigida]],'Práctica 1'!$K$231:$K$240,'Práctica 1'!$L$231:$L$240), "DESCONOCIDO")</f>
        <v>7. ADULTO 2</v>
      </c>
      <c r="R36" s="8">
        <f>Titanic[[#This Row],[Familia Horizontal]]+Titanic[[#This Row],[Familia Vertical]]</f>
        <v>0</v>
      </c>
      <c r="S36" s="8"/>
      <c r="T36" s="8"/>
      <c r="U36" s="8"/>
      <c r="V36" s="8"/>
    </row>
    <row r="37" spans="2:22" x14ac:dyDescent="0.2">
      <c r="B37" s="6">
        <v>32</v>
      </c>
      <c r="C37" s="7">
        <v>1</v>
      </c>
      <c r="D37" s="8">
        <v>1</v>
      </c>
      <c r="E37" s="8" t="s">
        <v>46</v>
      </c>
      <c r="F37" s="8" t="s">
        <v>14</v>
      </c>
      <c r="G37" s="9"/>
      <c r="H37" s="8">
        <v>1</v>
      </c>
      <c r="I37" s="8">
        <v>0</v>
      </c>
      <c r="J37" s="8">
        <v>1465208</v>
      </c>
      <c r="K37" s="8">
        <v>1</v>
      </c>
      <c r="L37" s="8" t="s">
        <v>15</v>
      </c>
      <c r="M37" s="8" t="str">
        <f>IF(Titanic[[#This Row],[Sobrevive]]=1, "SOBREVIVE", "NO SOBREVIVE")</f>
        <v>SOBREVIVE</v>
      </c>
      <c r="N37" s="8" t="str">
        <f>LOOKUP(Titanic[[#This Row],[Clase]],{1,2,3}, {"PRIMERA","SEGUNDA","TERCERA"})</f>
        <v>PRIMERA</v>
      </c>
      <c r="O37" s="8" t="str">
        <f>IF(Titanic[[#This Row],[Sexo]]="Hombre", "HOMBRE", "MUJER")</f>
        <v>MUJER</v>
      </c>
      <c r="P37" s="8" t="str">
        <f>IF(Titanic[[#This Row],[Edad]]="", "", IF(Titanic[[#This Row],[Edad]]&gt;=100, Titanic[[#This Row],[Edad]] / 10, Titanic[[#This Row],[Edad]]))</f>
        <v/>
      </c>
      <c r="Q37" s="8" t="str">
        <f>IFERROR(LOOKUP(Titanic[[#This Row],[Edad Corrigida]],'Práctica 1'!$K$231:$K$240,'Práctica 1'!$L$231:$L$240), "DESCONOCIDO")</f>
        <v>DESCONOCIDO</v>
      </c>
      <c r="R37" s="8">
        <f>Titanic[[#This Row],[Familia Horizontal]]+Titanic[[#This Row],[Familia Vertical]]</f>
        <v>1</v>
      </c>
      <c r="S37" s="8"/>
      <c r="T37" s="8"/>
      <c r="U37" s="8"/>
      <c r="V37" s="8"/>
    </row>
    <row r="38" spans="2:22" x14ac:dyDescent="0.2">
      <c r="B38" s="6">
        <v>33</v>
      </c>
      <c r="C38" s="7">
        <v>1</v>
      </c>
      <c r="D38" s="8">
        <v>3</v>
      </c>
      <c r="E38" s="8" t="s">
        <v>47</v>
      </c>
      <c r="F38" s="8" t="s">
        <v>14</v>
      </c>
      <c r="G38" s="9"/>
      <c r="H38" s="8">
        <v>0</v>
      </c>
      <c r="I38" s="8">
        <v>0</v>
      </c>
      <c r="J38" s="8">
        <v>775</v>
      </c>
      <c r="K38" s="8">
        <v>0</v>
      </c>
      <c r="L38" s="8" t="s">
        <v>20</v>
      </c>
      <c r="M38" s="8" t="str">
        <f>IF(Titanic[[#This Row],[Sobrevive]]=1, "SOBREVIVE", "NO SOBREVIVE")</f>
        <v>SOBREVIVE</v>
      </c>
      <c r="N38" s="8" t="str">
        <f>LOOKUP(Titanic[[#This Row],[Clase]],{1,2,3}, {"PRIMERA","SEGUNDA","TERCERA"})</f>
        <v>TERCERA</v>
      </c>
      <c r="O38" s="8" t="str">
        <f>IF(Titanic[[#This Row],[Sexo]]="Hombre", "HOMBRE", "MUJER")</f>
        <v>MUJER</v>
      </c>
      <c r="P38" s="8" t="str">
        <f>IF(Titanic[[#This Row],[Edad]]="", "", IF(Titanic[[#This Row],[Edad]]&gt;=100, Titanic[[#This Row],[Edad]] / 10, Titanic[[#This Row],[Edad]]))</f>
        <v/>
      </c>
      <c r="Q38" s="8" t="str">
        <f>IFERROR(LOOKUP(Titanic[[#This Row],[Edad Corrigida]],'Práctica 1'!$K$231:$K$240,'Práctica 1'!$L$231:$L$240), "DESCONOCIDO")</f>
        <v>DESCONOCIDO</v>
      </c>
      <c r="R38" s="8">
        <f>Titanic[[#This Row],[Familia Horizontal]]+Titanic[[#This Row],[Familia Vertical]]</f>
        <v>0</v>
      </c>
      <c r="S38" s="8"/>
      <c r="T38" s="8"/>
      <c r="U38" s="8"/>
      <c r="V38" s="8"/>
    </row>
    <row r="39" spans="2:22" x14ac:dyDescent="0.2">
      <c r="B39" s="6">
        <v>34</v>
      </c>
      <c r="C39" s="7">
        <v>0</v>
      </c>
      <c r="D39" s="8">
        <v>2</v>
      </c>
      <c r="E39" s="8" t="s">
        <v>48</v>
      </c>
      <c r="F39" s="8" t="s">
        <v>11</v>
      </c>
      <c r="G39" s="8">
        <v>66</v>
      </c>
      <c r="H39" s="8">
        <v>0</v>
      </c>
      <c r="I39" s="8">
        <v>0</v>
      </c>
      <c r="J39" s="8">
        <v>105</v>
      </c>
      <c r="K39" s="8">
        <v>0</v>
      </c>
      <c r="L39" s="8" t="s">
        <v>12</v>
      </c>
      <c r="M39" s="8" t="str">
        <f>IF(Titanic[[#This Row],[Sobrevive]]=1, "SOBREVIVE", "NO SOBREVIVE")</f>
        <v>NO SOBREVIVE</v>
      </c>
      <c r="N39" s="8" t="str">
        <f>LOOKUP(Titanic[[#This Row],[Clase]],{1,2,3}, {"PRIMERA","SEGUNDA","TERCERA"})</f>
        <v>SEGUNDA</v>
      </c>
      <c r="O39" s="8" t="str">
        <f>IF(Titanic[[#This Row],[Sexo]]="Hombre", "HOMBRE", "MUJER")</f>
        <v>HOMBRE</v>
      </c>
      <c r="P39" s="8">
        <f>IF(Titanic[[#This Row],[Edad]]="", "", IF(Titanic[[#This Row],[Edad]]&gt;=100, Titanic[[#This Row],[Edad]] / 10, Titanic[[#This Row],[Edad]]))</f>
        <v>66</v>
      </c>
      <c r="Q39" s="8" t="str">
        <f>IFERROR(LOOKUP(Titanic[[#This Row],[Edad Corrigida]],'Práctica 1'!$K$231:$K$240,'Práctica 1'!$L$231:$L$240), "DESCONOCIDO")</f>
        <v>9. ADULTO 4</v>
      </c>
      <c r="R39" s="8">
        <f>Titanic[[#This Row],[Familia Horizontal]]+Titanic[[#This Row],[Familia Vertical]]</f>
        <v>0</v>
      </c>
      <c r="S39" s="8"/>
      <c r="T39" s="8"/>
      <c r="U39" s="8"/>
      <c r="V39" s="8"/>
    </row>
    <row r="40" spans="2:22" x14ac:dyDescent="0.2">
      <c r="B40" s="6">
        <v>35</v>
      </c>
      <c r="C40" s="7">
        <v>0</v>
      </c>
      <c r="D40" s="8">
        <v>1</v>
      </c>
      <c r="E40" s="8" t="s">
        <v>49</v>
      </c>
      <c r="F40" s="8" t="s">
        <v>11</v>
      </c>
      <c r="G40" s="8">
        <v>28</v>
      </c>
      <c r="H40" s="8">
        <v>1</v>
      </c>
      <c r="I40" s="8">
        <v>0</v>
      </c>
      <c r="J40" s="8">
        <v>821708</v>
      </c>
      <c r="K40" s="8">
        <v>0</v>
      </c>
      <c r="L40" s="8" t="s">
        <v>15</v>
      </c>
      <c r="M40" s="8" t="str">
        <f>IF(Titanic[[#This Row],[Sobrevive]]=1, "SOBREVIVE", "NO SOBREVIVE")</f>
        <v>NO SOBREVIVE</v>
      </c>
      <c r="N40" s="8" t="str">
        <f>LOOKUP(Titanic[[#This Row],[Clase]],{1,2,3}, {"PRIMERA","SEGUNDA","TERCERA"})</f>
        <v>PRIMERA</v>
      </c>
      <c r="O40" s="8" t="str">
        <f>IF(Titanic[[#This Row],[Sexo]]="Hombre", "HOMBRE", "MUJER")</f>
        <v>HOMBRE</v>
      </c>
      <c r="P40" s="8">
        <f>IF(Titanic[[#This Row],[Edad]]="", "", IF(Titanic[[#This Row],[Edad]]&gt;=100, Titanic[[#This Row],[Edad]] / 10, Titanic[[#This Row],[Edad]]))</f>
        <v>28</v>
      </c>
      <c r="Q40" s="8" t="str">
        <f>IFERROR(LOOKUP(Titanic[[#This Row],[Edad Corrigida]],'Práctica 1'!$K$231:$K$240,'Práctica 1'!$L$231:$L$240), "DESCONOCIDO")</f>
        <v>4. ADULTO JOVEN</v>
      </c>
      <c r="R40" s="8">
        <f>Titanic[[#This Row],[Familia Horizontal]]+Titanic[[#This Row],[Familia Vertical]]</f>
        <v>1</v>
      </c>
      <c r="S40" s="8"/>
      <c r="T40" s="8"/>
      <c r="U40" s="8"/>
      <c r="V40" s="8"/>
    </row>
    <row r="41" spans="2:22" x14ac:dyDescent="0.2">
      <c r="B41" s="6">
        <v>36</v>
      </c>
      <c r="C41" s="7">
        <v>0</v>
      </c>
      <c r="D41" s="8">
        <v>1</v>
      </c>
      <c r="E41" s="8" t="s">
        <v>50</v>
      </c>
      <c r="F41" s="8" t="s">
        <v>11</v>
      </c>
      <c r="G41" s="8">
        <v>42</v>
      </c>
      <c r="H41" s="8">
        <v>1</v>
      </c>
      <c r="I41" s="8">
        <v>0</v>
      </c>
      <c r="J41" s="8">
        <v>52</v>
      </c>
      <c r="K41" s="8">
        <v>0</v>
      </c>
      <c r="L41" s="8" t="s">
        <v>12</v>
      </c>
      <c r="M41" s="8" t="str">
        <f>IF(Titanic[[#This Row],[Sobrevive]]=1, "SOBREVIVE", "NO SOBREVIVE")</f>
        <v>NO SOBREVIVE</v>
      </c>
      <c r="N41" s="8" t="str">
        <f>LOOKUP(Titanic[[#This Row],[Clase]],{1,2,3}, {"PRIMERA","SEGUNDA","TERCERA"})</f>
        <v>PRIMERA</v>
      </c>
      <c r="O41" s="8" t="str">
        <f>IF(Titanic[[#This Row],[Sexo]]="Hombre", "HOMBRE", "MUJER")</f>
        <v>HOMBRE</v>
      </c>
      <c r="P41" s="8">
        <f>IF(Titanic[[#This Row],[Edad]]="", "", IF(Titanic[[#This Row],[Edad]]&gt;=100, Titanic[[#This Row],[Edad]] / 10, Titanic[[#This Row],[Edad]]))</f>
        <v>42</v>
      </c>
      <c r="Q41" s="8" t="str">
        <f>IFERROR(LOOKUP(Titanic[[#This Row],[Edad Corrigida]],'Práctica 1'!$K$231:$K$240,'Práctica 1'!$L$231:$L$240), "DESCONOCIDO")</f>
        <v>8. ADULTO 3</v>
      </c>
      <c r="R41" s="8">
        <f>Titanic[[#This Row],[Familia Horizontal]]+Titanic[[#This Row],[Familia Vertical]]</f>
        <v>1</v>
      </c>
      <c r="S41" s="8"/>
      <c r="T41" s="8"/>
      <c r="U41" s="8"/>
      <c r="V41" s="8"/>
    </row>
    <row r="42" spans="2:22" x14ac:dyDescent="0.2">
      <c r="B42" s="6">
        <v>37</v>
      </c>
      <c r="C42" s="7">
        <v>1</v>
      </c>
      <c r="D42" s="8">
        <v>3</v>
      </c>
      <c r="E42" s="8" t="s">
        <v>51</v>
      </c>
      <c r="F42" s="8" t="s">
        <v>11</v>
      </c>
      <c r="G42" s="9"/>
      <c r="H42" s="8">
        <v>0</v>
      </c>
      <c r="I42" s="8">
        <v>0</v>
      </c>
      <c r="J42" s="8">
        <v>72292</v>
      </c>
      <c r="K42" s="8">
        <v>0</v>
      </c>
      <c r="L42" s="8" t="s">
        <v>15</v>
      </c>
      <c r="M42" s="8" t="str">
        <f>IF(Titanic[[#This Row],[Sobrevive]]=1, "SOBREVIVE", "NO SOBREVIVE")</f>
        <v>SOBREVIVE</v>
      </c>
      <c r="N42" s="8" t="str">
        <f>LOOKUP(Titanic[[#This Row],[Clase]],{1,2,3}, {"PRIMERA","SEGUNDA","TERCERA"})</f>
        <v>TERCERA</v>
      </c>
      <c r="O42" s="8" t="str">
        <f>IF(Titanic[[#This Row],[Sexo]]="Hombre", "HOMBRE", "MUJER")</f>
        <v>HOMBRE</v>
      </c>
      <c r="P42" s="8" t="str">
        <f>IF(Titanic[[#This Row],[Edad]]="", "", IF(Titanic[[#This Row],[Edad]]&gt;=100, Titanic[[#This Row],[Edad]] / 10, Titanic[[#This Row],[Edad]]))</f>
        <v/>
      </c>
      <c r="Q42" s="8" t="str">
        <f>IFERROR(LOOKUP(Titanic[[#This Row],[Edad Corrigida]],'Práctica 1'!$K$231:$K$240,'Práctica 1'!$L$231:$L$240), "DESCONOCIDO")</f>
        <v>DESCONOCIDO</v>
      </c>
      <c r="R42" s="8">
        <f>Titanic[[#This Row],[Familia Horizontal]]+Titanic[[#This Row],[Familia Vertical]]</f>
        <v>0</v>
      </c>
      <c r="S42" s="8"/>
      <c r="T42" s="8"/>
      <c r="U42" s="8"/>
      <c r="V42" s="8"/>
    </row>
    <row r="43" spans="2:22" x14ac:dyDescent="0.2">
      <c r="B43" s="6">
        <v>38</v>
      </c>
      <c r="C43" s="7">
        <v>0</v>
      </c>
      <c r="D43" s="8">
        <v>3</v>
      </c>
      <c r="E43" s="8" t="s">
        <v>52</v>
      </c>
      <c r="F43" s="8" t="s">
        <v>11</v>
      </c>
      <c r="G43" s="8">
        <v>21</v>
      </c>
      <c r="H43" s="8">
        <v>0</v>
      </c>
      <c r="I43" s="8">
        <v>0</v>
      </c>
      <c r="J43" s="8">
        <v>805</v>
      </c>
      <c r="K43" s="8">
        <v>0</v>
      </c>
      <c r="L43" s="8" t="s">
        <v>12</v>
      </c>
      <c r="M43" s="8" t="str">
        <f>IF(Titanic[[#This Row],[Sobrevive]]=1, "SOBREVIVE", "NO SOBREVIVE")</f>
        <v>NO SOBREVIVE</v>
      </c>
      <c r="N43" s="8" t="str">
        <f>LOOKUP(Titanic[[#This Row],[Clase]],{1,2,3}, {"PRIMERA","SEGUNDA","TERCERA"})</f>
        <v>TERCERA</v>
      </c>
      <c r="O43" s="8" t="str">
        <f>IF(Titanic[[#This Row],[Sexo]]="Hombre", "HOMBRE", "MUJER")</f>
        <v>HOMBRE</v>
      </c>
      <c r="P43" s="8">
        <f>IF(Titanic[[#This Row],[Edad]]="", "", IF(Titanic[[#This Row],[Edad]]&gt;=100, Titanic[[#This Row],[Edad]] / 10, Titanic[[#This Row],[Edad]]))</f>
        <v>21</v>
      </c>
      <c r="Q43" s="8" t="str">
        <f>IFERROR(LOOKUP(Titanic[[#This Row],[Edad Corrigida]],'Práctica 1'!$K$231:$K$240,'Práctica 1'!$L$231:$L$240), "DESCONOCIDO")</f>
        <v>2. ADOLESCENTE</v>
      </c>
      <c r="R43" s="8">
        <f>Titanic[[#This Row],[Familia Horizontal]]+Titanic[[#This Row],[Familia Vertical]]</f>
        <v>0</v>
      </c>
      <c r="S43" s="8"/>
      <c r="T43" s="8"/>
      <c r="U43" s="8"/>
      <c r="V43" s="8"/>
    </row>
    <row r="44" spans="2:22" x14ac:dyDescent="0.2">
      <c r="B44" s="6">
        <v>39</v>
      </c>
      <c r="C44" s="7">
        <v>0</v>
      </c>
      <c r="D44" s="8">
        <v>3</v>
      </c>
      <c r="E44" s="8" t="s">
        <v>53</v>
      </c>
      <c r="F44" s="8" t="s">
        <v>14</v>
      </c>
      <c r="G44" s="8">
        <v>18</v>
      </c>
      <c r="H44" s="8">
        <v>2</v>
      </c>
      <c r="I44" s="8">
        <v>0</v>
      </c>
      <c r="J44" s="8">
        <v>18</v>
      </c>
      <c r="K44" s="8">
        <v>0</v>
      </c>
      <c r="L44" s="8" t="s">
        <v>12</v>
      </c>
      <c r="M44" s="8" t="str">
        <f>IF(Titanic[[#This Row],[Sobrevive]]=1, "SOBREVIVE", "NO SOBREVIVE")</f>
        <v>NO SOBREVIVE</v>
      </c>
      <c r="N44" s="8" t="str">
        <f>LOOKUP(Titanic[[#This Row],[Clase]],{1,2,3}, {"PRIMERA","SEGUNDA","TERCERA"})</f>
        <v>TERCERA</v>
      </c>
      <c r="O44" s="8" t="str">
        <f>IF(Titanic[[#This Row],[Sexo]]="Hombre", "HOMBRE", "MUJER")</f>
        <v>MUJER</v>
      </c>
      <c r="P44" s="8">
        <f>IF(Titanic[[#This Row],[Edad]]="", "", IF(Titanic[[#This Row],[Edad]]&gt;=100, Titanic[[#This Row],[Edad]] / 10, Titanic[[#This Row],[Edad]]))</f>
        <v>18</v>
      </c>
      <c r="Q44" s="8" t="str">
        <f>IFERROR(LOOKUP(Titanic[[#This Row],[Edad Corrigida]],'Práctica 1'!$K$231:$K$240,'Práctica 1'!$L$231:$L$240), "DESCONOCIDO")</f>
        <v>1. INFANTE</v>
      </c>
      <c r="R44" s="8">
        <f>Titanic[[#This Row],[Familia Horizontal]]+Titanic[[#This Row],[Familia Vertical]]</f>
        <v>2</v>
      </c>
      <c r="S44" s="8"/>
      <c r="T44" s="8"/>
      <c r="U44" s="8"/>
      <c r="V44" s="8"/>
    </row>
    <row r="45" spans="2:22" x14ac:dyDescent="0.2">
      <c r="B45" s="6">
        <v>40</v>
      </c>
      <c r="C45" s="7">
        <v>1</v>
      </c>
      <c r="D45" s="8">
        <v>3</v>
      </c>
      <c r="E45" s="8" t="s">
        <v>54</v>
      </c>
      <c r="F45" s="8" t="s">
        <v>14</v>
      </c>
      <c r="G45" s="8">
        <v>14</v>
      </c>
      <c r="H45" s="8">
        <v>1</v>
      </c>
      <c r="I45" s="8">
        <v>0</v>
      </c>
      <c r="J45" s="8">
        <v>112417</v>
      </c>
      <c r="K45" s="8">
        <v>0</v>
      </c>
      <c r="L45" s="8" t="s">
        <v>15</v>
      </c>
      <c r="M45" s="8" t="str">
        <f>IF(Titanic[[#This Row],[Sobrevive]]=1, "SOBREVIVE", "NO SOBREVIVE")</f>
        <v>SOBREVIVE</v>
      </c>
      <c r="N45" s="8" t="str">
        <f>LOOKUP(Titanic[[#This Row],[Clase]],{1,2,3}, {"PRIMERA","SEGUNDA","TERCERA"})</f>
        <v>TERCERA</v>
      </c>
      <c r="O45" s="8" t="str">
        <f>IF(Titanic[[#This Row],[Sexo]]="Hombre", "HOMBRE", "MUJER")</f>
        <v>MUJER</v>
      </c>
      <c r="P45" s="8">
        <f>IF(Titanic[[#This Row],[Edad]]="", "", IF(Titanic[[#This Row],[Edad]]&gt;=100, Titanic[[#This Row],[Edad]] / 10, Titanic[[#This Row],[Edad]]))</f>
        <v>14</v>
      </c>
      <c r="Q45" s="8" t="str">
        <f>IFERROR(LOOKUP(Titanic[[#This Row],[Edad Corrigida]],'Práctica 1'!$K$231:$K$240,'Práctica 1'!$L$231:$L$240), "DESCONOCIDO")</f>
        <v>DESCONOCIDO</v>
      </c>
      <c r="R45" s="8">
        <f>Titanic[[#This Row],[Familia Horizontal]]+Titanic[[#This Row],[Familia Vertical]]</f>
        <v>1</v>
      </c>
      <c r="S45" s="8"/>
      <c r="T45" s="8"/>
      <c r="U45" s="8"/>
      <c r="V45" s="8"/>
    </row>
    <row r="46" spans="2:22" x14ac:dyDescent="0.2">
      <c r="B46" s="6">
        <v>41</v>
      </c>
      <c r="C46" s="7">
        <v>0</v>
      </c>
      <c r="D46" s="8">
        <v>3</v>
      </c>
      <c r="E46" s="8" t="s">
        <v>55</v>
      </c>
      <c r="F46" s="8" t="s">
        <v>14</v>
      </c>
      <c r="G46" s="8">
        <v>40</v>
      </c>
      <c r="H46" s="8">
        <v>1</v>
      </c>
      <c r="I46" s="8">
        <v>0</v>
      </c>
      <c r="J46" s="8">
        <v>9475</v>
      </c>
      <c r="K46" s="8">
        <v>0</v>
      </c>
      <c r="L46" s="8" t="s">
        <v>12</v>
      </c>
      <c r="M46" s="8" t="str">
        <f>IF(Titanic[[#This Row],[Sobrevive]]=1, "SOBREVIVE", "NO SOBREVIVE")</f>
        <v>NO SOBREVIVE</v>
      </c>
      <c r="N46" s="8" t="str">
        <f>LOOKUP(Titanic[[#This Row],[Clase]],{1,2,3}, {"PRIMERA","SEGUNDA","TERCERA"})</f>
        <v>TERCERA</v>
      </c>
      <c r="O46" s="8" t="str">
        <f>IF(Titanic[[#This Row],[Sexo]]="Hombre", "HOMBRE", "MUJER")</f>
        <v>MUJER</v>
      </c>
      <c r="P46" s="8">
        <f>IF(Titanic[[#This Row],[Edad]]="", "", IF(Titanic[[#This Row],[Edad]]&gt;=100, Titanic[[#This Row],[Edad]] / 10, Titanic[[#This Row],[Edad]]))</f>
        <v>40</v>
      </c>
      <c r="Q46" s="8" t="str">
        <f>IFERROR(LOOKUP(Titanic[[#This Row],[Edad Corrigida]],'Práctica 1'!$K$231:$K$240,'Práctica 1'!$L$231:$L$240), "DESCONOCIDO")</f>
        <v>7. ADULTO 2</v>
      </c>
      <c r="R46" s="8">
        <f>Titanic[[#This Row],[Familia Horizontal]]+Titanic[[#This Row],[Familia Vertical]]</f>
        <v>1</v>
      </c>
      <c r="S46" s="8"/>
      <c r="T46" s="8"/>
      <c r="U46" s="8"/>
      <c r="V46" s="8"/>
    </row>
    <row r="47" spans="2:22" x14ac:dyDescent="0.2">
      <c r="B47" s="6">
        <v>42</v>
      </c>
      <c r="C47" s="7">
        <v>0</v>
      </c>
      <c r="D47" s="8">
        <v>2</v>
      </c>
      <c r="E47" s="8" t="s">
        <v>56</v>
      </c>
      <c r="F47" s="8" t="s">
        <v>14</v>
      </c>
      <c r="G47" s="8">
        <v>27</v>
      </c>
      <c r="H47" s="8">
        <v>1</v>
      </c>
      <c r="I47" s="8">
        <v>0</v>
      </c>
      <c r="J47" s="8">
        <v>21</v>
      </c>
      <c r="K47" s="8">
        <v>0</v>
      </c>
      <c r="L47" s="8" t="s">
        <v>12</v>
      </c>
      <c r="M47" s="8" t="str">
        <f>IF(Titanic[[#This Row],[Sobrevive]]=1, "SOBREVIVE", "NO SOBREVIVE")</f>
        <v>NO SOBREVIVE</v>
      </c>
      <c r="N47" s="8" t="str">
        <f>LOOKUP(Titanic[[#This Row],[Clase]],{1,2,3}, {"PRIMERA","SEGUNDA","TERCERA"})</f>
        <v>SEGUNDA</v>
      </c>
      <c r="O47" s="8" t="str">
        <f>IF(Titanic[[#This Row],[Sexo]]="Hombre", "HOMBRE", "MUJER")</f>
        <v>MUJER</v>
      </c>
      <c r="P47" s="8">
        <f>IF(Titanic[[#This Row],[Edad]]="", "", IF(Titanic[[#This Row],[Edad]]&gt;=100, Titanic[[#This Row],[Edad]] / 10, Titanic[[#This Row],[Edad]]))</f>
        <v>27</v>
      </c>
      <c r="Q47" s="8" t="str">
        <f>IFERROR(LOOKUP(Titanic[[#This Row],[Edad Corrigida]],'Práctica 1'!$K$231:$K$240,'Práctica 1'!$L$231:$L$240), "DESCONOCIDO")</f>
        <v>4. ADULTO JOVEN</v>
      </c>
      <c r="R47" s="8">
        <f>Titanic[[#This Row],[Familia Horizontal]]+Titanic[[#This Row],[Familia Vertical]]</f>
        <v>1</v>
      </c>
      <c r="S47" s="8"/>
      <c r="T47" s="8"/>
      <c r="U47" s="8"/>
      <c r="V47" s="8"/>
    </row>
    <row r="48" spans="2:22" x14ac:dyDescent="0.2">
      <c r="B48" s="6">
        <v>43</v>
      </c>
      <c r="C48" s="7">
        <v>0</v>
      </c>
      <c r="D48" s="8">
        <v>3</v>
      </c>
      <c r="E48" s="8" t="s">
        <v>57</v>
      </c>
      <c r="F48" s="8" t="s">
        <v>11</v>
      </c>
      <c r="G48" s="9"/>
      <c r="H48" s="8">
        <v>0</v>
      </c>
      <c r="I48" s="8">
        <v>0</v>
      </c>
      <c r="J48" s="8">
        <v>78958</v>
      </c>
      <c r="K48" s="8">
        <v>0</v>
      </c>
      <c r="L48" s="8" t="s">
        <v>15</v>
      </c>
      <c r="M48" s="8" t="str">
        <f>IF(Titanic[[#This Row],[Sobrevive]]=1, "SOBREVIVE", "NO SOBREVIVE")</f>
        <v>NO SOBREVIVE</v>
      </c>
      <c r="N48" s="8" t="str">
        <f>LOOKUP(Titanic[[#This Row],[Clase]],{1,2,3}, {"PRIMERA","SEGUNDA","TERCERA"})</f>
        <v>TERCERA</v>
      </c>
      <c r="O48" s="8" t="str">
        <f>IF(Titanic[[#This Row],[Sexo]]="Hombre", "HOMBRE", "MUJER")</f>
        <v>HOMBRE</v>
      </c>
      <c r="P48" s="8" t="str">
        <f>IF(Titanic[[#This Row],[Edad]]="", "", IF(Titanic[[#This Row],[Edad]]&gt;=100, Titanic[[#This Row],[Edad]] / 10, Titanic[[#This Row],[Edad]]))</f>
        <v/>
      </c>
      <c r="Q48" s="8" t="str">
        <f>IFERROR(LOOKUP(Titanic[[#This Row],[Edad Corrigida]],'Práctica 1'!$K$231:$K$240,'Práctica 1'!$L$231:$L$240), "DESCONOCIDO")</f>
        <v>DESCONOCIDO</v>
      </c>
      <c r="R48" s="8">
        <f>Titanic[[#This Row],[Familia Horizontal]]+Titanic[[#This Row],[Familia Vertical]]</f>
        <v>0</v>
      </c>
      <c r="S48" s="8"/>
      <c r="T48" s="8"/>
      <c r="U48" s="8"/>
      <c r="V48" s="8"/>
    </row>
    <row r="49" spans="2:22" x14ac:dyDescent="0.2">
      <c r="B49" s="6">
        <v>44</v>
      </c>
      <c r="C49" s="7">
        <v>1</v>
      </c>
      <c r="D49" s="8">
        <v>2</v>
      </c>
      <c r="E49" s="8" t="s">
        <v>58</v>
      </c>
      <c r="F49" s="8" t="s">
        <v>14</v>
      </c>
      <c r="G49" s="8">
        <v>3</v>
      </c>
      <c r="H49" s="8">
        <v>1</v>
      </c>
      <c r="I49" s="8">
        <v>2</v>
      </c>
      <c r="J49" s="8">
        <v>415792</v>
      </c>
      <c r="K49" s="8">
        <v>0</v>
      </c>
      <c r="L49" s="8" t="s">
        <v>15</v>
      </c>
      <c r="M49" s="8" t="str">
        <f>IF(Titanic[[#This Row],[Sobrevive]]=1, "SOBREVIVE", "NO SOBREVIVE")</f>
        <v>SOBREVIVE</v>
      </c>
      <c r="N49" s="8" t="str">
        <f>LOOKUP(Titanic[[#This Row],[Clase]],{1,2,3}, {"PRIMERA","SEGUNDA","TERCERA"})</f>
        <v>SEGUNDA</v>
      </c>
      <c r="O49" s="8" t="str">
        <f>IF(Titanic[[#This Row],[Sexo]]="Hombre", "HOMBRE", "MUJER")</f>
        <v>MUJER</v>
      </c>
      <c r="P49" s="8">
        <f>IF(Titanic[[#This Row],[Edad]]="", "", IF(Titanic[[#This Row],[Edad]]&gt;=100, Titanic[[#This Row],[Edad]] / 10, Titanic[[#This Row],[Edad]]))</f>
        <v>3</v>
      </c>
      <c r="Q49" s="8" t="str">
        <f>IFERROR(LOOKUP(Titanic[[#This Row],[Edad Corrigida]],'Práctica 1'!$K$231:$K$240,'Práctica 1'!$L$231:$L$240), "DESCONOCIDO")</f>
        <v>DESCONOCIDO</v>
      </c>
      <c r="R49" s="8">
        <f>Titanic[[#This Row],[Familia Horizontal]]+Titanic[[#This Row],[Familia Vertical]]</f>
        <v>3</v>
      </c>
      <c r="S49" s="8"/>
      <c r="T49" s="8"/>
      <c r="U49" s="8"/>
      <c r="V49" s="8"/>
    </row>
    <row r="50" spans="2:22" x14ac:dyDescent="0.2">
      <c r="B50" s="6">
        <v>45</v>
      </c>
      <c r="C50" s="7">
        <v>1</v>
      </c>
      <c r="D50" s="8">
        <v>3</v>
      </c>
      <c r="E50" s="8" t="s">
        <v>59</v>
      </c>
      <c r="F50" s="8" t="s">
        <v>14</v>
      </c>
      <c r="G50" s="8">
        <v>19</v>
      </c>
      <c r="H50" s="8">
        <v>0</v>
      </c>
      <c r="I50" s="8">
        <v>0</v>
      </c>
      <c r="J50" s="8">
        <v>78792</v>
      </c>
      <c r="K50" s="8">
        <v>0</v>
      </c>
      <c r="L50" s="8" t="s">
        <v>20</v>
      </c>
      <c r="M50" s="8" t="str">
        <f>IF(Titanic[[#This Row],[Sobrevive]]=1, "SOBREVIVE", "NO SOBREVIVE")</f>
        <v>SOBREVIVE</v>
      </c>
      <c r="N50" s="8" t="str">
        <f>LOOKUP(Titanic[[#This Row],[Clase]],{1,2,3}, {"PRIMERA","SEGUNDA","TERCERA"})</f>
        <v>TERCERA</v>
      </c>
      <c r="O50" s="8" t="str">
        <f>IF(Titanic[[#This Row],[Sexo]]="Hombre", "HOMBRE", "MUJER")</f>
        <v>MUJER</v>
      </c>
      <c r="P50" s="8">
        <f>IF(Titanic[[#This Row],[Edad]]="", "", IF(Titanic[[#This Row],[Edad]]&gt;=100, Titanic[[#This Row],[Edad]] / 10, Titanic[[#This Row],[Edad]]))</f>
        <v>19</v>
      </c>
      <c r="Q50" s="8" t="str">
        <f>IFERROR(LOOKUP(Titanic[[#This Row],[Edad Corrigida]],'Práctica 1'!$K$231:$K$240,'Práctica 1'!$L$231:$L$240), "DESCONOCIDO")</f>
        <v>2. ADOLESCENTE</v>
      </c>
      <c r="R50" s="8">
        <f>Titanic[[#This Row],[Familia Horizontal]]+Titanic[[#This Row],[Familia Vertical]]</f>
        <v>0</v>
      </c>
      <c r="S50" s="8"/>
      <c r="T50" s="8"/>
      <c r="U50" s="8"/>
      <c r="V50" s="8"/>
    </row>
    <row r="51" spans="2:22" x14ac:dyDescent="0.2">
      <c r="B51" s="6">
        <v>46</v>
      </c>
      <c r="C51" s="7">
        <v>0</v>
      </c>
      <c r="D51" s="8">
        <v>3</v>
      </c>
      <c r="E51" s="8" t="s">
        <v>60</v>
      </c>
      <c r="F51" s="8" t="s">
        <v>11</v>
      </c>
      <c r="G51" s="9"/>
      <c r="H51" s="8">
        <v>0</v>
      </c>
      <c r="I51" s="8">
        <v>0</v>
      </c>
      <c r="J51" s="8">
        <v>805</v>
      </c>
      <c r="K51" s="8">
        <v>0</v>
      </c>
      <c r="L51" s="8" t="s">
        <v>12</v>
      </c>
      <c r="M51" s="8" t="str">
        <f>IF(Titanic[[#This Row],[Sobrevive]]=1, "SOBREVIVE", "NO SOBREVIVE")</f>
        <v>NO SOBREVIVE</v>
      </c>
      <c r="N51" s="8" t="str">
        <f>LOOKUP(Titanic[[#This Row],[Clase]],{1,2,3}, {"PRIMERA","SEGUNDA","TERCERA"})</f>
        <v>TERCERA</v>
      </c>
      <c r="O51" s="8" t="str">
        <f>IF(Titanic[[#This Row],[Sexo]]="Hombre", "HOMBRE", "MUJER")</f>
        <v>HOMBRE</v>
      </c>
      <c r="P51" s="8" t="str">
        <f>IF(Titanic[[#This Row],[Edad]]="", "", IF(Titanic[[#This Row],[Edad]]&gt;=100, Titanic[[#This Row],[Edad]] / 10, Titanic[[#This Row],[Edad]]))</f>
        <v/>
      </c>
      <c r="Q51" s="8" t="str">
        <f>IFERROR(LOOKUP(Titanic[[#This Row],[Edad Corrigida]],'Práctica 1'!$K$231:$K$240,'Práctica 1'!$L$231:$L$240), "DESCONOCIDO")</f>
        <v>DESCONOCIDO</v>
      </c>
      <c r="R51" s="8">
        <f>Titanic[[#This Row],[Familia Horizontal]]+Titanic[[#This Row],[Familia Vertical]]</f>
        <v>0</v>
      </c>
      <c r="S51" s="8"/>
      <c r="T51" s="8"/>
      <c r="U51" s="8"/>
      <c r="V51" s="8"/>
    </row>
    <row r="52" spans="2:22" x14ac:dyDescent="0.2">
      <c r="B52" s="6">
        <v>47</v>
      </c>
      <c r="C52" s="7">
        <v>0</v>
      </c>
      <c r="D52" s="8">
        <v>3</v>
      </c>
      <c r="E52" s="8" t="s">
        <v>61</v>
      </c>
      <c r="F52" s="8" t="s">
        <v>11</v>
      </c>
      <c r="G52" s="9"/>
      <c r="H52" s="8">
        <v>1</v>
      </c>
      <c r="I52" s="8">
        <v>0</v>
      </c>
      <c r="J52" s="8">
        <v>155</v>
      </c>
      <c r="K52" s="8">
        <v>0</v>
      </c>
      <c r="L52" s="8" t="s">
        <v>20</v>
      </c>
      <c r="M52" s="8" t="str">
        <f>IF(Titanic[[#This Row],[Sobrevive]]=1, "SOBREVIVE", "NO SOBREVIVE")</f>
        <v>NO SOBREVIVE</v>
      </c>
      <c r="N52" s="8" t="str">
        <f>LOOKUP(Titanic[[#This Row],[Clase]],{1,2,3}, {"PRIMERA","SEGUNDA","TERCERA"})</f>
        <v>TERCERA</v>
      </c>
      <c r="O52" s="8" t="str">
        <f>IF(Titanic[[#This Row],[Sexo]]="Hombre", "HOMBRE", "MUJER")</f>
        <v>HOMBRE</v>
      </c>
      <c r="P52" s="8" t="str">
        <f>IF(Titanic[[#This Row],[Edad]]="", "", IF(Titanic[[#This Row],[Edad]]&gt;=100, Titanic[[#This Row],[Edad]] / 10, Titanic[[#This Row],[Edad]]))</f>
        <v/>
      </c>
      <c r="Q52" s="8" t="str">
        <f>IFERROR(LOOKUP(Titanic[[#This Row],[Edad Corrigida]],'Práctica 1'!$K$231:$K$240,'Práctica 1'!$L$231:$L$240), "DESCONOCIDO")</f>
        <v>DESCONOCIDO</v>
      </c>
      <c r="R52" s="8">
        <f>Titanic[[#This Row],[Familia Horizontal]]+Titanic[[#This Row],[Familia Vertical]]</f>
        <v>1</v>
      </c>
      <c r="S52" s="8"/>
      <c r="T52" s="8"/>
      <c r="U52" s="8"/>
      <c r="V52" s="8"/>
    </row>
    <row r="53" spans="2:22" x14ac:dyDescent="0.2">
      <c r="B53" s="6">
        <v>48</v>
      </c>
      <c r="C53" s="7">
        <v>1</v>
      </c>
      <c r="D53" s="8">
        <v>3</v>
      </c>
      <c r="E53" s="8" t="s">
        <v>62</v>
      </c>
      <c r="F53" s="8" t="s">
        <v>14</v>
      </c>
      <c r="G53" s="9"/>
      <c r="H53" s="8">
        <v>0</v>
      </c>
      <c r="I53" s="8">
        <v>0</v>
      </c>
      <c r="J53" s="8">
        <v>775</v>
      </c>
      <c r="K53" s="8">
        <v>0</v>
      </c>
      <c r="L53" s="8" t="s">
        <v>20</v>
      </c>
      <c r="M53" s="8" t="str">
        <f>IF(Titanic[[#This Row],[Sobrevive]]=1, "SOBREVIVE", "NO SOBREVIVE")</f>
        <v>SOBREVIVE</v>
      </c>
      <c r="N53" s="8" t="str">
        <f>LOOKUP(Titanic[[#This Row],[Clase]],{1,2,3}, {"PRIMERA","SEGUNDA","TERCERA"})</f>
        <v>TERCERA</v>
      </c>
      <c r="O53" s="8" t="str">
        <f>IF(Titanic[[#This Row],[Sexo]]="Hombre", "HOMBRE", "MUJER")</f>
        <v>MUJER</v>
      </c>
      <c r="P53" s="8" t="str">
        <f>IF(Titanic[[#This Row],[Edad]]="", "", IF(Titanic[[#This Row],[Edad]]&gt;=100, Titanic[[#This Row],[Edad]] / 10, Titanic[[#This Row],[Edad]]))</f>
        <v/>
      </c>
      <c r="Q53" s="8" t="str">
        <f>IFERROR(LOOKUP(Titanic[[#This Row],[Edad Corrigida]],'Práctica 1'!$K$231:$K$240,'Práctica 1'!$L$231:$L$240), "DESCONOCIDO")</f>
        <v>DESCONOCIDO</v>
      </c>
      <c r="R53" s="8">
        <f>Titanic[[#This Row],[Familia Horizontal]]+Titanic[[#This Row],[Familia Vertical]]</f>
        <v>0</v>
      </c>
      <c r="S53" s="8"/>
      <c r="T53" s="8"/>
      <c r="U53" s="8"/>
      <c r="V53" s="8"/>
    </row>
    <row r="54" spans="2:22" x14ac:dyDescent="0.2">
      <c r="B54" s="6">
        <v>49</v>
      </c>
      <c r="C54" s="7">
        <v>0</v>
      </c>
      <c r="D54" s="8">
        <v>3</v>
      </c>
      <c r="E54" s="8" t="s">
        <v>63</v>
      </c>
      <c r="F54" s="8" t="s">
        <v>11</v>
      </c>
      <c r="G54" s="9"/>
      <c r="H54" s="8">
        <v>2</v>
      </c>
      <c r="I54" s="8">
        <v>0</v>
      </c>
      <c r="J54" s="8">
        <v>216792</v>
      </c>
      <c r="K54" s="8">
        <v>0</v>
      </c>
      <c r="L54" s="8" t="s">
        <v>15</v>
      </c>
      <c r="M54" s="8" t="str">
        <f>IF(Titanic[[#This Row],[Sobrevive]]=1, "SOBREVIVE", "NO SOBREVIVE")</f>
        <v>NO SOBREVIVE</v>
      </c>
      <c r="N54" s="8" t="str">
        <f>LOOKUP(Titanic[[#This Row],[Clase]],{1,2,3}, {"PRIMERA","SEGUNDA","TERCERA"})</f>
        <v>TERCERA</v>
      </c>
      <c r="O54" s="8" t="str">
        <f>IF(Titanic[[#This Row],[Sexo]]="Hombre", "HOMBRE", "MUJER")</f>
        <v>HOMBRE</v>
      </c>
      <c r="P54" s="8" t="str">
        <f>IF(Titanic[[#This Row],[Edad]]="", "", IF(Titanic[[#This Row],[Edad]]&gt;=100, Titanic[[#This Row],[Edad]] / 10, Titanic[[#This Row],[Edad]]))</f>
        <v/>
      </c>
      <c r="Q54" s="8" t="str">
        <f>IFERROR(LOOKUP(Titanic[[#This Row],[Edad Corrigida]],'Práctica 1'!$K$231:$K$240,'Práctica 1'!$L$231:$L$240), "DESCONOCIDO")</f>
        <v>DESCONOCIDO</v>
      </c>
      <c r="R54" s="8">
        <f>Titanic[[#This Row],[Familia Horizontal]]+Titanic[[#This Row],[Familia Vertical]]</f>
        <v>2</v>
      </c>
      <c r="S54" s="8"/>
      <c r="T54" s="8"/>
      <c r="U54" s="8"/>
      <c r="V54" s="8"/>
    </row>
    <row r="55" spans="2:22" x14ac:dyDescent="0.2">
      <c r="B55" s="6">
        <v>50</v>
      </c>
      <c r="C55" s="7">
        <v>0</v>
      </c>
      <c r="D55" s="8">
        <v>3</v>
      </c>
      <c r="E55" s="8" t="s">
        <v>64</v>
      </c>
      <c r="F55" s="8" t="s">
        <v>14</v>
      </c>
      <c r="G55" s="8">
        <v>18</v>
      </c>
      <c r="H55" s="8">
        <v>1</v>
      </c>
      <c r="I55" s="8">
        <v>0</v>
      </c>
      <c r="J55" s="8">
        <v>178</v>
      </c>
      <c r="K55" s="8">
        <v>0</v>
      </c>
      <c r="L55" s="8" t="s">
        <v>12</v>
      </c>
      <c r="M55" s="8" t="str">
        <f>IF(Titanic[[#This Row],[Sobrevive]]=1, "SOBREVIVE", "NO SOBREVIVE")</f>
        <v>NO SOBREVIVE</v>
      </c>
      <c r="N55" s="8" t="str">
        <f>LOOKUP(Titanic[[#This Row],[Clase]],{1,2,3}, {"PRIMERA","SEGUNDA","TERCERA"})</f>
        <v>TERCERA</v>
      </c>
      <c r="O55" s="8" t="str">
        <f>IF(Titanic[[#This Row],[Sexo]]="Hombre", "HOMBRE", "MUJER")</f>
        <v>MUJER</v>
      </c>
      <c r="P55" s="8">
        <f>IF(Titanic[[#This Row],[Edad]]="", "", IF(Titanic[[#This Row],[Edad]]&gt;=100, Titanic[[#This Row],[Edad]] / 10, Titanic[[#This Row],[Edad]]))</f>
        <v>18</v>
      </c>
      <c r="Q55" s="8" t="str">
        <f>IFERROR(LOOKUP(Titanic[[#This Row],[Edad Corrigida]],'Práctica 1'!$K$231:$K$240,'Práctica 1'!$L$231:$L$240), "DESCONOCIDO")</f>
        <v>1. INFANTE</v>
      </c>
      <c r="R55" s="8">
        <f>Titanic[[#This Row],[Familia Horizontal]]+Titanic[[#This Row],[Familia Vertical]]</f>
        <v>1</v>
      </c>
      <c r="S55" s="8"/>
      <c r="T55" s="8"/>
      <c r="U55" s="8"/>
      <c r="V55" s="8"/>
    </row>
    <row r="56" spans="2:22" x14ac:dyDescent="0.2">
      <c r="B56" s="6">
        <v>51</v>
      </c>
      <c r="C56" s="7">
        <v>0</v>
      </c>
      <c r="D56" s="8">
        <v>3</v>
      </c>
      <c r="E56" s="8" t="s">
        <v>65</v>
      </c>
      <c r="F56" s="8" t="s">
        <v>11</v>
      </c>
      <c r="G56" s="8">
        <v>7</v>
      </c>
      <c r="H56" s="8">
        <v>4</v>
      </c>
      <c r="I56" s="8">
        <v>1</v>
      </c>
      <c r="J56" s="8">
        <v>396875</v>
      </c>
      <c r="K56" s="8">
        <v>0</v>
      </c>
      <c r="L56" s="8" t="s">
        <v>12</v>
      </c>
      <c r="M56" s="8" t="str">
        <f>IF(Titanic[[#This Row],[Sobrevive]]=1, "SOBREVIVE", "NO SOBREVIVE")</f>
        <v>NO SOBREVIVE</v>
      </c>
      <c r="N56" s="8" t="str">
        <f>LOOKUP(Titanic[[#This Row],[Clase]],{1,2,3}, {"PRIMERA","SEGUNDA","TERCERA"})</f>
        <v>TERCERA</v>
      </c>
      <c r="O56" s="8" t="str">
        <f>IF(Titanic[[#This Row],[Sexo]]="Hombre", "HOMBRE", "MUJER")</f>
        <v>HOMBRE</v>
      </c>
      <c r="P56" s="8">
        <f>IF(Titanic[[#This Row],[Edad]]="", "", IF(Titanic[[#This Row],[Edad]]&gt;=100, Titanic[[#This Row],[Edad]] / 10, Titanic[[#This Row],[Edad]]))</f>
        <v>7</v>
      </c>
      <c r="Q56" s="8" t="str">
        <f>IFERROR(LOOKUP(Titanic[[#This Row],[Edad Corrigida]],'Práctica 1'!$K$231:$K$240,'Práctica 1'!$L$231:$L$240), "DESCONOCIDO")</f>
        <v>DESCONOCIDO</v>
      </c>
      <c r="R56" s="8">
        <f>Titanic[[#This Row],[Familia Horizontal]]+Titanic[[#This Row],[Familia Vertical]]</f>
        <v>5</v>
      </c>
      <c r="S56" s="8"/>
      <c r="T56" s="8"/>
      <c r="U56" s="8"/>
      <c r="V56" s="8"/>
    </row>
    <row r="57" spans="2:22" x14ac:dyDescent="0.2">
      <c r="B57" s="6">
        <v>52</v>
      </c>
      <c r="C57" s="7">
        <v>0</v>
      </c>
      <c r="D57" s="8">
        <v>3</v>
      </c>
      <c r="E57" s="8" t="s">
        <v>66</v>
      </c>
      <c r="F57" s="8" t="s">
        <v>11</v>
      </c>
      <c r="G57" s="8">
        <v>21</v>
      </c>
      <c r="H57" s="8">
        <v>0</v>
      </c>
      <c r="I57" s="8">
        <v>0</v>
      </c>
      <c r="J57" s="8">
        <v>78</v>
      </c>
      <c r="K57" s="8">
        <v>0</v>
      </c>
      <c r="L57" s="8" t="s">
        <v>12</v>
      </c>
      <c r="M57" s="8" t="str">
        <f>IF(Titanic[[#This Row],[Sobrevive]]=1, "SOBREVIVE", "NO SOBREVIVE")</f>
        <v>NO SOBREVIVE</v>
      </c>
      <c r="N57" s="8" t="str">
        <f>LOOKUP(Titanic[[#This Row],[Clase]],{1,2,3}, {"PRIMERA","SEGUNDA","TERCERA"})</f>
        <v>TERCERA</v>
      </c>
      <c r="O57" s="8" t="str">
        <f>IF(Titanic[[#This Row],[Sexo]]="Hombre", "HOMBRE", "MUJER")</f>
        <v>HOMBRE</v>
      </c>
      <c r="P57" s="8">
        <f>IF(Titanic[[#This Row],[Edad]]="", "", IF(Titanic[[#This Row],[Edad]]&gt;=100, Titanic[[#This Row],[Edad]] / 10, Titanic[[#This Row],[Edad]]))</f>
        <v>21</v>
      </c>
      <c r="Q57" s="8" t="str">
        <f>IFERROR(LOOKUP(Titanic[[#This Row],[Edad Corrigida]],'Práctica 1'!$K$231:$K$240,'Práctica 1'!$L$231:$L$240), "DESCONOCIDO")</f>
        <v>2. ADOLESCENTE</v>
      </c>
      <c r="R57" s="8">
        <f>Titanic[[#This Row],[Familia Horizontal]]+Titanic[[#This Row],[Familia Vertical]]</f>
        <v>0</v>
      </c>
      <c r="S57" s="8"/>
      <c r="T57" s="8"/>
      <c r="U57" s="8"/>
      <c r="V57" s="8"/>
    </row>
    <row r="58" spans="2:22" x14ac:dyDescent="0.2">
      <c r="B58" s="6">
        <v>53</v>
      </c>
      <c r="C58" s="7">
        <v>1</v>
      </c>
      <c r="D58" s="8">
        <v>1</v>
      </c>
      <c r="E58" s="8" t="s">
        <v>67</v>
      </c>
      <c r="F58" s="8" t="s">
        <v>14</v>
      </c>
      <c r="G58" s="8">
        <v>49</v>
      </c>
      <c r="H58" s="8">
        <v>1</v>
      </c>
      <c r="I58" s="8">
        <v>0</v>
      </c>
      <c r="J58" s="8">
        <v>767292</v>
      </c>
      <c r="K58" s="8">
        <v>1</v>
      </c>
      <c r="L58" s="8" t="s">
        <v>15</v>
      </c>
      <c r="M58" s="8" t="str">
        <f>IF(Titanic[[#This Row],[Sobrevive]]=1, "SOBREVIVE", "NO SOBREVIVE")</f>
        <v>SOBREVIVE</v>
      </c>
      <c r="N58" s="8" t="str">
        <f>LOOKUP(Titanic[[#This Row],[Clase]],{1,2,3}, {"PRIMERA","SEGUNDA","TERCERA"})</f>
        <v>PRIMERA</v>
      </c>
      <c r="O58" s="8" t="str">
        <f>IF(Titanic[[#This Row],[Sexo]]="Hombre", "HOMBRE", "MUJER")</f>
        <v>MUJER</v>
      </c>
      <c r="P58" s="8">
        <f>IF(Titanic[[#This Row],[Edad]]="", "", IF(Titanic[[#This Row],[Edad]]&gt;=100, Titanic[[#This Row],[Edad]] / 10, Titanic[[#This Row],[Edad]]))</f>
        <v>49</v>
      </c>
      <c r="Q58" s="8" t="str">
        <f>IFERROR(LOOKUP(Titanic[[#This Row],[Edad Corrigida]],'Práctica 1'!$K$231:$K$240,'Práctica 1'!$L$231:$L$240), "DESCONOCIDO")</f>
        <v>8. ADULTO 3</v>
      </c>
      <c r="R58" s="8">
        <f>Titanic[[#This Row],[Familia Horizontal]]+Titanic[[#This Row],[Familia Vertical]]</f>
        <v>1</v>
      </c>
      <c r="S58" s="8"/>
      <c r="T58" s="8"/>
      <c r="U58" s="8"/>
      <c r="V58" s="8"/>
    </row>
    <row r="59" spans="2:22" x14ac:dyDescent="0.2">
      <c r="B59" s="6">
        <v>54</v>
      </c>
      <c r="C59" s="7">
        <v>1</v>
      </c>
      <c r="D59" s="8">
        <v>2</v>
      </c>
      <c r="E59" s="8" t="s">
        <v>68</v>
      </c>
      <c r="F59" s="8" t="s">
        <v>14</v>
      </c>
      <c r="G59" s="8">
        <v>29</v>
      </c>
      <c r="H59" s="8">
        <v>1</v>
      </c>
      <c r="I59" s="8">
        <v>0</v>
      </c>
      <c r="J59" s="8">
        <v>26</v>
      </c>
      <c r="K59" s="8">
        <v>0</v>
      </c>
      <c r="L59" s="8" t="s">
        <v>12</v>
      </c>
      <c r="M59" s="8" t="str">
        <f>IF(Titanic[[#This Row],[Sobrevive]]=1, "SOBREVIVE", "NO SOBREVIVE")</f>
        <v>SOBREVIVE</v>
      </c>
      <c r="N59" s="8" t="str">
        <f>LOOKUP(Titanic[[#This Row],[Clase]],{1,2,3}, {"PRIMERA","SEGUNDA","TERCERA"})</f>
        <v>SEGUNDA</v>
      </c>
      <c r="O59" s="8" t="str">
        <f>IF(Titanic[[#This Row],[Sexo]]="Hombre", "HOMBRE", "MUJER")</f>
        <v>MUJER</v>
      </c>
      <c r="P59" s="8">
        <f>IF(Titanic[[#This Row],[Edad]]="", "", IF(Titanic[[#This Row],[Edad]]&gt;=100, Titanic[[#This Row],[Edad]] / 10, Titanic[[#This Row],[Edad]]))</f>
        <v>29</v>
      </c>
      <c r="Q59" s="8" t="str">
        <f>IFERROR(LOOKUP(Titanic[[#This Row],[Edad Corrigida]],'Práctica 1'!$K$231:$K$240,'Práctica 1'!$L$231:$L$240), "DESCONOCIDO")</f>
        <v>5. ADULTO</v>
      </c>
      <c r="R59" s="8">
        <f>Titanic[[#This Row],[Familia Horizontal]]+Titanic[[#This Row],[Familia Vertical]]</f>
        <v>1</v>
      </c>
      <c r="S59" s="8"/>
      <c r="T59" s="8"/>
      <c r="U59" s="8"/>
      <c r="V59" s="8"/>
    </row>
    <row r="60" spans="2:22" x14ac:dyDescent="0.2">
      <c r="B60" s="6">
        <v>55</v>
      </c>
      <c r="C60" s="7">
        <v>0</v>
      </c>
      <c r="D60" s="8">
        <v>1</v>
      </c>
      <c r="E60" s="8" t="s">
        <v>69</v>
      </c>
      <c r="F60" s="8" t="s">
        <v>11</v>
      </c>
      <c r="G60" s="8">
        <v>65</v>
      </c>
      <c r="H60" s="8">
        <v>0</v>
      </c>
      <c r="I60" s="8">
        <v>1</v>
      </c>
      <c r="J60" s="8">
        <v>619792</v>
      </c>
      <c r="K60" s="8">
        <v>1</v>
      </c>
      <c r="L60" s="8" t="s">
        <v>15</v>
      </c>
      <c r="M60" s="8" t="str">
        <f>IF(Titanic[[#This Row],[Sobrevive]]=1, "SOBREVIVE", "NO SOBREVIVE")</f>
        <v>NO SOBREVIVE</v>
      </c>
      <c r="N60" s="8" t="str">
        <f>LOOKUP(Titanic[[#This Row],[Clase]],{1,2,3}, {"PRIMERA","SEGUNDA","TERCERA"})</f>
        <v>PRIMERA</v>
      </c>
      <c r="O60" s="8" t="str">
        <f>IF(Titanic[[#This Row],[Sexo]]="Hombre", "HOMBRE", "MUJER")</f>
        <v>HOMBRE</v>
      </c>
      <c r="P60" s="8">
        <f>IF(Titanic[[#This Row],[Edad]]="", "", IF(Titanic[[#This Row],[Edad]]&gt;=100, Titanic[[#This Row],[Edad]] / 10, Titanic[[#This Row],[Edad]]))</f>
        <v>65</v>
      </c>
      <c r="Q60" s="8" t="str">
        <f>IFERROR(LOOKUP(Titanic[[#This Row],[Edad Corrigida]],'Práctica 1'!$K$231:$K$240,'Práctica 1'!$L$231:$L$240), "DESCONOCIDO")</f>
        <v>9. ADULTO 4</v>
      </c>
      <c r="R60" s="8">
        <f>Titanic[[#This Row],[Familia Horizontal]]+Titanic[[#This Row],[Familia Vertical]]</f>
        <v>1</v>
      </c>
      <c r="S60" s="8"/>
      <c r="T60" s="8"/>
      <c r="U60" s="8"/>
      <c r="V60" s="8"/>
    </row>
    <row r="61" spans="2:22" x14ac:dyDescent="0.2">
      <c r="B61" s="6">
        <v>56</v>
      </c>
      <c r="C61" s="7">
        <v>1</v>
      </c>
      <c r="D61" s="8">
        <v>1</v>
      </c>
      <c r="E61" s="8" t="s">
        <v>70</v>
      </c>
      <c r="F61" s="8" t="s">
        <v>11</v>
      </c>
      <c r="G61" s="9"/>
      <c r="H61" s="8">
        <v>0</v>
      </c>
      <c r="I61" s="8">
        <v>0</v>
      </c>
      <c r="J61" s="8">
        <v>355</v>
      </c>
      <c r="K61" s="8">
        <v>1</v>
      </c>
      <c r="L61" s="8" t="s">
        <v>12</v>
      </c>
      <c r="M61" s="8" t="str">
        <f>IF(Titanic[[#This Row],[Sobrevive]]=1, "SOBREVIVE", "NO SOBREVIVE")</f>
        <v>SOBREVIVE</v>
      </c>
      <c r="N61" s="8" t="str">
        <f>LOOKUP(Titanic[[#This Row],[Clase]],{1,2,3}, {"PRIMERA","SEGUNDA","TERCERA"})</f>
        <v>PRIMERA</v>
      </c>
      <c r="O61" s="8" t="str">
        <f>IF(Titanic[[#This Row],[Sexo]]="Hombre", "HOMBRE", "MUJER")</f>
        <v>HOMBRE</v>
      </c>
      <c r="P61" s="8" t="str">
        <f>IF(Titanic[[#This Row],[Edad]]="", "", IF(Titanic[[#This Row],[Edad]]&gt;=100, Titanic[[#This Row],[Edad]] / 10, Titanic[[#This Row],[Edad]]))</f>
        <v/>
      </c>
      <c r="Q61" s="8" t="str">
        <f>IFERROR(LOOKUP(Titanic[[#This Row],[Edad Corrigida]],'Práctica 1'!$K$231:$K$240,'Práctica 1'!$L$231:$L$240), "DESCONOCIDO")</f>
        <v>DESCONOCIDO</v>
      </c>
      <c r="R61" s="8">
        <f>Titanic[[#This Row],[Familia Horizontal]]+Titanic[[#This Row],[Familia Vertical]]</f>
        <v>0</v>
      </c>
      <c r="S61" s="8"/>
      <c r="T61" s="8"/>
      <c r="U61" s="8"/>
      <c r="V61" s="8"/>
    </row>
    <row r="62" spans="2:22" x14ac:dyDescent="0.2">
      <c r="B62" s="6">
        <v>57</v>
      </c>
      <c r="C62" s="7">
        <v>1</v>
      </c>
      <c r="D62" s="8">
        <v>2</v>
      </c>
      <c r="E62" s="8" t="s">
        <v>71</v>
      </c>
      <c r="F62" s="8" t="s">
        <v>14</v>
      </c>
      <c r="G62" s="8">
        <v>21</v>
      </c>
      <c r="H62" s="8">
        <v>0</v>
      </c>
      <c r="I62" s="8">
        <v>0</v>
      </c>
      <c r="J62" s="8">
        <v>105</v>
      </c>
      <c r="K62" s="8">
        <v>0</v>
      </c>
      <c r="L62" s="8" t="s">
        <v>12</v>
      </c>
      <c r="M62" s="8" t="str">
        <f>IF(Titanic[[#This Row],[Sobrevive]]=1, "SOBREVIVE", "NO SOBREVIVE")</f>
        <v>SOBREVIVE</v>
      </c>
      <c r="N62" s="8" t="str">
        <f>LOOKUP(Titanic[[#This Row],[Clase]],{1,2,3}, {"PRIMERA","SEGUNDA","TERCERA"})</f>
        <v>SEGUNDA</v>
      </c>
      <c r="O62" s="8" t="str">
        <f>IF(Titanic[[#This Row],[Sexo]]="Hombre", "HOMBRE", "MUJER")</f>
        <v>MUJER</v>
      </c>
      <c r="P62" s="8">
        <f>IF(Titanic[[#This Row],[Edad]]="", "", IF(Titanic[[#This Row],[Edad]]&gt;=100, Titanic[[#This Row],[Edad]] / 10, Titanic[[#This Row],[Edad]]))</f>
        <v>21</v>
      </c>
      <c r="Q62" s="8" t="str">
        <f>IFERROR(LOOKUP(Titanic[[#This Row],[Edad Corrigida]],'Práctica 1'!$K$231:$K$240,'Práctica 1'!$L$231:$L$240), "DESCONOCIDO")</f>
        <v>2. ADOLESCENTE</v>
      </c>
      <c r="R62" s="8">
        <f>Titanic[[#This Row],[Familia Horizontal]]+Titanic[[#This Row],[Familia Vertical]]</f>
        <v>0</v>
      </c>
      <c r="S62" s="8"/>
      <c r="T62" s="8"/>
      <c r="U62" s="8"/>
      <c r="V62" s="8"/>
    </row>
    <row r="63" spans="2:22" x14ac:dyDescent="0.2">
      <c r="B63" s="6">
        <v>58</v>
      </c>
      <c r="C63" s="7">
        <v>0</v>
      </c>
      <c r="D63" s="8">
        <v>3</v>
      </c>
      <c r="E63" s="8" t="s">
        <v>72</v>
      </c>
      <c r="F63" s="8" t="s">
        <v>11</v>
      </c>
      <c r="G63" s="8">
        <v>285</v>
      </c>
      <c r="H63" s="8">
        <v>0</v>
      </c>
      <c r="I63" s="8">
        <v>0</v>
      </c>
      <c r="J63" s="8">
        <v>72292</v>
      </c>
      <c r="K63" s="8">
        <v>0</v>
      </c>
      <c r="L63" s="8" t="s">
        <v>15</v>
      </c>
      <c r="M63" s="8" t="str">
        <f>IF(Titanic[[#This Row],[Sobrevive]]=1, "SOBREVIVE", "NO SOBREVIVE")</f>
        <v>NO SOBREVIVE</v>
      </c>
      <c r="N63" s="8" t="str">
        <f>LOOKUP(Titanic[[#This Row],[Clase]],{1,2,3}, {"PRIMERA","SEGUNDA","TERCERA"})</f>
        <v>TERCERA</v>
      </c>
      <c r="O63" s="8" t="str">
        <f>IF(Titanic[[#This Row],[Sexo]]="Hombre", "HOMBRE", "MUJER")</f>
        <v>HOMBRE</v>
      </c>
      <c r="P63" s="8">
        <f>IF(Titanic[[#This Row],[Edad]]="", "", IF(Titanic[[#This Row],[Edad]]&gt;=100, Titanic[[#This Row],[Edad]] / 10, Titanic[[#This Row],[Edad]]))</f>
        <v>28.5</v>
      </c>
      <c r="Q63" s="8" t="str">
        <f>IFERROR(LOOKUP(Titanic[[#This Row],[Edad Corrigida]],'Práctica 1'!$K$231:$K$240,'Práctica 1'!$L$231:$L$240), "DESCONOCIDO")</f>
        <v>4. ADULTO JOVEN</v>
      </c>
      <c r="R63" s="8">
        <f>Titanic[[#This Row],[Familia Horizontal]]+Titanic[[#This Row],[Familia Vertical]]</f>
        <v>0</v>
      </c>
      <c r="S63" s="8"/>
      <c r="T63" s="8"/>
      <c r="U63" s="8"/>
      <c r="V63" s="8"/>
    </row>
    <row r="64" spans="2:22" x14ac:dyDescent="0.2">
      <c r="B64" s="6">
        <v>59</v>
      </c>
      <c r="C64" s="7">
        <v>1</v>
      </c>
      <c r="D64" s="8">
        <v>2</v>
      </c>
      <c r="E64" s="8" t="s">
        <v>73</v>
      </c>
      <c r="F64" s="8" t="s">
        <v>14</v>
      </c>
      <c r="G64" s="8">
        <v>5</v>
      </c>
      <c r="H64" s="8">
        <v>1</v>
      </c>
      <c r="I64" s="8">
        <v>2</v>
      </c>
      <c r="J64" s="8">
        <v>2775</v>
      </c>
      <c r="K64" s="8">
        <v>0</v>
      </c>
      <c r="L64" s="8" t="s">
        <v>12</v>
      </c>
      <c r="M64" s="8" t="str">
        <f>IF(Titanic[[#This Row],[Sobrevive]]=1, "SOBREVIVE", "NO SOBREVIVE")</f>
        <v>SOBREVIVE</v>
      </c>
      <c r="N64" s="8" t="str">
        <f>LOOKUP(Titanic[[#This Row],[Clase]],{1,2,3}, {"PRIMERA","SEGUNDA","TERCERA"})</f>
        <v>SEGUNDA</v>
      </c>
      <c r="O64" s="8" t="str">
        <f>IF(Titanic[[#This Row],[Sexo]]="Hombre", "HOMBRE", "MUJER")</f>
        <v>MUJER</v>
      </c>
      <c r="P64" s="8">
        <f>IF(Titanic[[#This Row],[Edad]]="", "", IF(Titanic[[#This Row],[Edad]]&gt;=100, Titanic[[#This Row],[Edad]] / 10, Titanic[[#This Row],[Edad]]))</f>
        <v>5</v>
      </c>
      <c r="Q64" s="8" t="str">
        <f>IFERROR(LOOKUP(Titanic[[#This Row],[Edad Corrigida]],'Práctica 1'!$K$231:$K$240,'Práctica 1'!$L$231:$L$240), "DESCONOCIDO")</f>
        <v>DESCONOCIDO</v>
      </c>
      <c r="R64" s="8">
        <f>Titanic[[#This Row],[Familia Horizontal]]+Titanic[[#This Row],[Familia Vertical]]</f>
        <v>3</v>
      </c>
      <c r="S64" s="8"/>
      <c r="T64" s="8"/>
      <c r="U64" s="8"/>
      <c r="V64" s="8"/>
    </row>
    <row r="65" spans="2:22" x14ac:dyDescent="0.2">
      <c r="B65" s="6">
        <v>60</v>
      </c>
      <c r="C65" s="7">
        <v>0</v>
      </c>
      <c r="D65" s="8">
        <v>3</v>
      </c>
      <c r="E65" s="8" t="s">
        <v>74</v>
      </c>
      <c r="F65" s="8" t="s">
        <v>11</v>
      </c>
      <c r="G65" s="8">
        <v>11</v>
      </c>
      <c r="H65" s="8">
        <v>5</v>
      </c>
      <c r="I65" s="8">
        <v>2</v>
      </c>
      <c r="J65" s="8">
        <v>469</v>
      </c>
      <c r="K65" s="8">
        <v>0</v>
      </c>
      <c r="L65" s="8" t="s">
        <v>12</v>
      </c>
      <c r="M65" s="8" t="str">
        <f>IF(Titanic[[#This Row],[Sobrevive]]=1, "SOBREVIVE", "NO SOBREVIVE")</f>
        <v>NO SOBREVIVE</v>
      </c>
      <c r="N65" s="8" t="str">
        <f>LOOKUP(Titanic[[#This Row],[Clase]],{1,2,3}, {"PRIMERA","SEGUNDA","TERCERA"})</f>
        <v>TERCERA</v>
      </c>
      <c r="O65" s="8" t="str">
        <f>IF(Titanic[[#This Row],[Sexo]]="Hombre", "HOMBRE", "MUJER")</f>
        <v>HOMBRE</v>
      </c>
      <c r="P65" s="8">
        <f>IF(Titanic[[#This Row],[Edad]]="", "", IF(Titanic[[#This Row],[Edad]]&gt;=100, Titanic[[#This Row],[Edad]] / 10, Titanic[[#This Row],[Edad]]))</f>
        <v>11</v>
      </c>
      <c r="Q65" s="8" t="str">
        <f>IFERROR(LOOKUP(Titanic[[#This Row],[Edad Corrigida]],'Práctica 1'!$K$231:$K$240,'Práctica 1'!$L$231:$L$240), "DESCONOCIDO")</f>
        <v>DESCONOCIDO</v>
      </c>
      <c r="R65" s="8">
        <f>Titanic[[#This Row],[Familia Horizontal]]+Titanic[[#This Row],[Familia Vertical]]</f>
        <v>7</v>
      </c>
      <c r="S65" s="8"/>
      <c r="T65" s="8"/>
      <c r="U65" s="8"/>
      <c r="V65" s="8"/>
    </row>
    <row r="66" spans="2:22" x14ac:dyDescent="0.2">
      <c r="B66" s="6">
        <v>61</v>
      </c>
      <c r="C66" s="7">
        <v>0</v>
      </c>
      <c r="D66" s="8">
        <v>3</v>
      </c>
      <c r="E66" s="8" t="s">
        <v>75</v>
      </c>
      <c r="F66" s="8" t="s">
        <v>11</v>
      </c>
      <c r="G66" s="8">
        <v>22</v>
      </c>
      <c r="H66" s="8">
        <v>0</v>
      </c>
      <c r="I66" s="8">
        <v>0</v>
      </c>
      <c r="J66" s="8">
        <v>72292</v>
      </c>
      <c r="K66" s="8">
        <v>0</v>
      </c>
      <c r="L66" s="8" t="s">
        <v>15</v>
      </c>
      <c r="M66" s="8" t="str">
        <f>IF(Titanic[[#This Row],[Sobrevive]]=1, "SOBREVIVE", "NO SOBREVIVE")</f>
        <v>NO SOBREVIVE</v>
      </c>
      <c r="N66" s="8" t="str">
        <f>LOOKUP(Titanic[[#This Row],[Clase]],{1,2,3}, {"PRIMERA","SEGUNDA","TERCERA"})</f>
        <v>TERCERA</v>
      </c>
      <c r="O66" s="8" t="str">
        <f>IF(Titanic[[#This Row],[Sexo]]="Hombre", "HOMBRE", "MUJER")</f>
        <v>HOMBRE</v>
      </c>
      <c r="P66" s="8">
        <f>IF(Titanic[[#This Row],[Edad]]="", "", IF(Titanic[[#This Row],[Edad]]&gt;=100, Titanic[[#This Row],[Edad]] / 10, Titanic[[#This Row],[Edad]]))</f>
        <v>22</v>
      </c>
      <c r="Q66" s="8" t="str">
        <f>IFERROR(LOOKUP(Titanic[[#This Row],[Edad Corrigida]],'Práctica 1'!$K$231:$K$240,'Práctica 1'!$L$231:$L$240), "DESCONOCIDO")</f>
        <v>3. JOVEN</v>
      </c>
      <c r="R66" s="8">
        <f>Titanic[[#This Row],[Familia Horizontal]]+Titanic[[#This Row],[Familia Vertical]]</f>
        <v>0</v>
      </c>
      <c r="S66" s="8"/>
      <c r="T66" s="8"/>
      <c r="U66" s="8"/>
      <c r="V66" s="8"/>
    </row>
    <row r="67" spans="2:22" x14ac:dyDescent="0.2">
      <c r="B67" s="6">
        <v>62</v>
      </c>
      <c r="C67" s="7">
        <v>1</v>
      </c>
      <c r="D67" s="8">
        <v>1</v>
      </c>
      <c r="E67" s="8" t="s">
        <v>76</v>
      </c>
      <c r="F67" s="8" t="s">
        <v>14</v>
      </c>
      <c r="G67" s="8">
        <v>38</v>
      </c>
      <c r="H67" s="8">
        <v>0</v>
      </c>
      <c r="I67" s="8">
        <v>0</v>
      </c>
      <c r="J67" s="8">
        <v>80</v>
      </c>
      <c r="K67" s="8">
        <v>1</v>
      </c>
      <c r="L67" s="9"/>
      <c r="M67" s="8" t="str">
        <f>IF(Titanic[[#This Row],[Sobrevive]]=1, "SOBREVIVE", "NO SOBREVIVE")</f>
        <v>SOBREVIVE</v>
      </c>
      <c r="N67" s="8" t="str">
        <f>LOOKUP(Titanic[[#This Row],[Clase]],{1,2,3}, {"PRIMERA","SEGUNDA","TERCERA"})</f>
        <v>PRIMERA</v>
      </c>
      <c r="O67" s="8" t="str">
        <f>IF(Titanic[[#This Row],[Sexo]]="Hombre", "HOMBRE", "MUJER")</f>
        <v>MUJER</v>
      </c>
      <c r="P67" s="8">
        <f>IF(Titanic[[#This Row],[Edad]]="", "", IF(Titanic[[#This Row],[Edad]]&gt;=100, Titanic[[#This Row],[Edad]] / 10, Titanic[[#This Row],[Edad]]))</f>
        <v>38</v>
      </c>
      <c r="Q67" s="8" t="str">
        <f>IFERROR(LOOKUP(Titanic[[#This Row],[Edad Corrigida]],'Práctica 1'!$K$231:$K$240,'Práctica 1'!$L$231:$L$240), "DESCONOCIDO")</f>
        <v>7. ADULTO 2</v>
      </c>
      <c r="R67" s="8">
        <f>Titanic[[#This Row],[Familia Horizontal]]+Titanic[[#This Row],[Familia Vertical]]</f>
        <v>0</v>
      </c>
      <c r="S67" s="8"/>
      <c r="T67" s="8"/>
      <c r="U67" s="8"/>
      <c r="V67" s="8"/>
    </row>
    <row r="68" spans="2:22" x14ac:dyDescent="0.2">
      <c r="B68" s="6">
        <v>63</v>
      </c>
      <c r="C68" s="7">
        <v>0</v>
      </c>
      <c r="D68" s="8">
        <v>1</v>
      </c>
      <c r="E68" s="8" t="s">
        <v>77</v>
      </c>
      <c r="F68" s="8" t="s">
        <v>11</v>
      </c>
      <c r="G68" s="8">
        <v>45</v>
      </c>
      <c r="H68" s="8">
        <v>1</v>
      </c>
      <c r="I68" s="8">
        <v>0</v>
      </c>
      <c r="J68" s="8">
        <v>83475</v>
      </c>
      <c r="K68" s="8">
        <v>1</v>
      </c>
      <c r="L68" s="8" t="s">
        <v>12</v>
      </c>
      <c r="M68" s="8" t="str">
        <f>IF(Titanic[[#This Row],[Sobrevive]]=1, "SOBREVIVE", "NO SOBREVIVE")</f>
        <v>NO SOBREVIVE</v>
      </c>
      <c r="N68" s="8" t="str">
        <f>LOOKUP(Titanic[[#This Row],[Clase]],{1,2,3}, {"PRIMERA","SEGUNDA","TERCERA"})</f>
        <v>PRIMERA</v>
      </c>
      <c r="O68" s="8" t="str">
        <f>IF(Titanic[[#This Row],[Sexo]]="Hombre", "HOMBRE", "MUJER")</f>
        <v>HOMBRE</v>
      </c>
      <c r="P68" s="8">
        <f>IF(Titanic[[#This Row],[Edad]]="", "", IF(Titanic[[#This Row],[Edad]]&gt;=100, Titanic[[#This Row],[Edad]] / 10, Titanic[[#This Row],[Edad]]))</f>
        <v>45</v>
      </c>
      <c r="Q68" s="8" t="str">
        <f>IFERROR(LOOKUP(Titanic[[#This Row],[Edad Corrigida]],'Práctica 1'!$K$231:$K$240,'Práctica 1'!$L$231:$L$240), "DESCONOCIDO")</f>
        <v>8. ADULTO 3</v>
      </c>
      <c r="R68" s="8">
        <f>Titanic[[#This Row],[Familia Horizontal]]+Titanic[[#This Row],[Familia Vertical]]</f>
        <v>1</v>
      </c>
      <c r="S68" s="8"/>
      <c r="T68" s="8"/>
      <c r="U68" s="8"/>
      <c r="V68" s="8"/>
    </row>
    <row r="69" spans="2:22" x14ac:dyDescent="0.2">
      <c r="B69" s="6">
        <v>64</v>
      </c>
      <c r="C69" s="7">
        <v>0</v>
      </c>
      <c r="D69" s="8">
        <v>3</v>
      </c>
      <c r="E69" s="8" t="s">
        <v>78</v>
      </c>
      <c r="F69" s="8" t="s">
        <v>11</v>
      </c>
      <c r="G69" s="8">
        <v>4</v>
      </c>
      <c r="H69" s="8">
        <v>3</v>
      </c>
      <c r="I69" s="8">
        <v>2</v>
      </c>
      <c r="J69" s="8">
        <v>279</v>
      </c>
      <c r="K69" s="8">
        <v>0</v>
      </c>
      <c r="L69" s="8" t="s">
        <v>12</v>
      </c>
      <c r="M69" s="8" t="str">
        <f>IF(Titanic[[#This Row],[Sobrevive]]=1, "SOBREVIVE", "NO SOBREVIVE")</f>
        <v>NO SOBREVIVE</v>
      </c>
      <c r="N69" s="8" t="str">
        <f>LOOKUP(Titanic[[#This Row],[Clase]],{1,2,3}, {"PRIMERA","SEGUNDA","TERCERA"})</f>
        <v>TERCERA</v>
      </c>
      <c r="O69" s="8" t="str">
        <f>IF(Titanic[[#This Row],[Sexo]]="Hombre", "HOMBRE", "MUJER")</f>
        <v>HOMBRE</v>
      </c>
      <c r="P69" s="8">
        <f>IF(Titanic[[#This Row],[Edad]]="", "", IF(Titanic[[#This Row],[Edad]]&gt;=100, Titanic[[#This Row],[Edad]] / 10, Titanic[[#This Row],[Edad]]))</f>
        <v>4</v>
      </c>
      <c r="Q69" s="8" t="str">
        <f>IFERROR(LOOKUP(Titanic[[#This Row],[Edad Corrigida]],'Práctica 1'!$K$231:$K$240,'Práctica 1'!$L$231:$L$240), "DESCONOCIDO")</f>
        <v>DESCONOCIDO</v>
      </c>
      <c r="R69" s="8">
        <f>Titanic[[#This Row],[Familia Horizontal]]+Titanic[[#This Row],[Familia Vertical]]</f>
        <v>5</v>
      </c>
      <c r="S69" s="8"/>
      <c r="T69" s="8"/>
      <c r="U69" s="8"/>
      <c r="V69" s="8"/>
    </row>
    <row r="70" spans="2:22" x14ac:dyDescent="0.2">
      <c r="B70" s="6">
        <v>65</v>
      </c>
      <c r="C70" s="7">
        <v>0</v>
      </c>
      <c r="D70" s="8">
        <v>1</v>
      </c>
      <c r="E70" s="8" t="s">
        <v>79</v>
      </c>
      <c r="F70" s="8" t="s">
        <v>11</v>
      </c>
      <c r="G70" s="9"/>
      <c r="H70" s="8">
        <v>0</v>
      </c>
      <c r="I70" s="8">
        <v>0</v>
      </c>
      <c r="J70" s="8">
        <v>277208</v>
      </c>
      <c r="K70" s="8">
        <v>0</v>
      </c>
      <c r="L70" s="8" t="s">
        <v>15</v>
      </c>
      <c r="M70" s="8" t="str">
        <f>IF(Titanic[[#This Row],[Sobrevive]]=1, "SOBREVIVE", "NO SOBREVIVE")</f>
        <v>NO SOBREVIVE</v>
      </c>
      <c r="N70" s="8" t="str">
        <f>LOOKUP(Titanic[[#This Row],[Clase]],{1,2,3}, {"PRIMERA","SEGUNDA","TERCERA"})</f>
        <v>PRIMERA</v>
      </c>
      <c r="O70" s="8" t="str">
        <f>IF(Titanic[[#This Row],[Sexo]]="Hombre", "HOMBRE", "MUJER")</f>
        <v>HOMBRE</v>
      </c>
      <c r="P70" s="8" t="str">
        <f>IF(Titanic[[#This Row],[Edad]]="", "", IF(Titanic[[#This Row],[Edad]]&gt;=100, Titanic[[#This Row],[Edad]] / 10, Titanic[[#This Row],[Edad]]))</f>
        <v/>
      </c>
      <c r="Q70" s="8" t="str">
        <f>IFERROR(LOOKUP(Titanic[[#This Row],[Edad Corrigida]],'Práctica 1'!$K$231:$K$240,'Práctica 1'!$L$231:$L$240), "DESCONOCIDO")</f>
        <v>DESCONOCIDO</v>
      </c>
      <c r="R70" s="8">
        <f>Titanic[[#This Row],[Familia Horizontal]]+Titanic[[#This Row],[Familia Vertical]]</f>
        <v>0</v>
      </c>
      <c r="S70" s="8"/>
      <c r="T70" s="8"/>
      <c r="U70" s="8"/>
      <c r="V70" s="8"/>
    </row>
    <row r="71" spans="2:22" x14ac:dyDescent="0.2">
      <c r="B71" s="6">
        <v>66</v>
      </c>
      <c r="C71" s="7">
        <v>1</v>
      </c>
      <c r="D71" s="8">
        <v>3</v>
      </c>
      <c r="E71" s="8" t="s">
        <v>80</v>
      </c>
      <c r="F71" s="8" t="s">
        <v>11</v>
      </c>
      <c r="G71" s="9"/>
      <c r="H71" s="8">
        <v>1</v>
      </c>
      <c r="I71" s="8">
        <v>1</v>
      </c>
      <c r="J71" s="8">
        <v>152458</v>
      </c>
      <c r="K71" s="8">
        <v>0</v>
      </c>
      <c r="L71" s="8" t="s">
        <v>15</v>
      </c>
      <c r="M71" s="8" t="str">
        <f>IF(Titanic[[#This Row],[Sobrevive]]=1, "SOBREVIVE", "NO SOBREVIVE")</f>
        <v>SOBREVIVE</v>
      </c>
      <c r="N71" s="8" t="str">
        <f>LOOKUP(Titanic[[#This Row],[Clase]],{1,2,3}, {"PRIMERA","SEGUNDA","TERCERA"})</f>
        <v>TERCERA</v>
      </c>
      <c r="O71" s="8" t="str">
        <f>IF(Titanic[[#This Row],[Sexo]]="Hombre", "HOMBRE", "MUJER")</f>
        <v>HOMBRE</v>
      </c>
      <c r="P71" s="8" t="str">
        <f>IF(Titanic[[#This Row],[Edad]]="", "", IF(Titanic[[#This Row],[Edad]]&gt;=100, Titanic[[#This Row],[Edad]] / 10, Titanic[[#This Row],[Edad]]))</f>
        <v/>
      </c>
      <c r="Q71" s="8" t="str">
        <f>IFERROR(LOOKUP(Titanic[[#This Row],[Edad Corrigida]],'Práctica 1'!$K$231:$K$240,'Práctica 1'!$L$231:$L$240), "DESCONOCIDO")</f>
        <v>DESCONOCIDO</v>
      </c>
      <c r="R71" s="8">
        <f>Titanic[[#This Row],[Familia Horizontal]]+Titanic[[#This Row],[Familia Vertical]]</f>
        <v>2</v>
      </c>
      <c r="S71" s="8"/>
      <c r="T71" s="8"/>
      <c r="U71" s="8"/>
      <c r="V71" s="8"/>
    </row>
    <row r="72" spans="2:22" x14ac:dyDescent="0.2">
      <c r="B72" s="6">
        <v>67</v>
      </c>
      <c r="C72" s="7">
        <v>1</v>
      </c>
      <c r="D72" s="8">
        <v>2</v>
      </c>
      <c r="E72" s="8" t="s">
        <v>81</v>
      </c>
      <c r="F72" s="8" t="s">
        <v>14</v>
      </c>
      <c r="G72" s="8">
        <v>29</v>
      </c>
      <c r="H72" s="8">
        <v>0</v>
      </c>
      <c r="I72" s="8">
        <v>0</v>
      </c>
      <c r="J72" s="8">
        <v>105</v>
      </c>
      <c r="K72" s="8">
        <v>1</v>
      </c>
      <c r="L72" s="8" t="s">
        <v>12</v>
      </c>
      <c r="M72" s="8" t="str">
        <f>IF(Titanic[[#This Row],[Sobrevive]]=1, "SOBREVIVE", "NO SOBREVIVE")</f>
        <v>SOBREVIVE</v>
      </c>
      <c r="N72" s="8" t="str">
        <f>LOOKUP(Titanic[[#This Row],[Clase]],{1,2,3}, {"PRIMERA","SEGUNDA","TERCERA"})</f>
        <v>SEGUNDA</v>
      </c>
      <c r="O72" s="8" t="str">
        <f>IF(Titanic[[#This Row],[Sexo]]="Hombre", "HOMBRE", "MUJER")</f>
        <v>MUJER</v>
      </c>
      <c r="P72" s="8">
        <f>IF(Titanic[[#This Row],[Edad]]="", "", IF(Titanic[[#This Row],[Edad]]&gt;=100, Titanic[[#This Row],[Edad]] / 10, Titanic[[#This Row],[Edad]]))</f>
        <v>29</v>
      </c>
      <c r="Q72" s="8" t="str">
        <f>IFERROR(LOOKUP(Titanic[[#This Row],[Edad Corrigida]],'Práctica 1'!$K$231:$K$240,'Práctica 1'!$L$231:$L$240), "DESCONOCIDO")</f>
        <v>5. ADULTO</v>
      </c>
      <c r="R72" s="8">
        <f>Titanic[[#This Row],[Familia Horizontal]]+Titanic[[#This Row],[Familia Vertical]]</f>
        <v>0</v>
      </c>
      <c r="S72" s="8"/>
      <c r="T72" s="8"/>
      <c r="U72" s="8"/>
      <c r="V72" s="8"/>
    </row>
    <row r="73" spans="2:22" x14ac:dyDescent="0.2">
      <c r="B73" s="6">
        <v>68</v>
      </c>
      <c r="C73" s="7">
        <v>0</v>
      </c>
      <c r="D73" s="8">
        <v>3</v>
      </c>
      <c r="E73" s="8" t="s">
        <v>82</v>
      </c>
      <c r="F73" s="8" t="s">
        <v>11</v>
      </c>
      <c r="G73" s="8">
        <v>19</v>
      </c>
      <c r="H73" s="8">
        <v>0</v>
      </c>
      <c r="I73" s="8">
        <v>0</v>
      </c>
      <c r="J73" s="8">
        <v>81583</v>
      </c>
      <c r="K73" s="8">
        <v>0</v>
      </c>
      <c r="L73" s="8" t="s">
        <v>12</v>
      </c>
      <c r="M73" s="8" t="str">
        <f>IF(Titanic[[#This Row],[Sobrevive]]=1, "SOBREVIVE", "NO SOBREVIVE")</f>
        <v>NO SOBREVIVE</v>
      </c>
      <c r="N73" s="8" t="str">
        <f>LOOKUP(Titanic[[#This Row],[Clase]],{1,2,3}, {"PRIMERA","SEGUNDA","TERCERA"})</f>
        <v>TERCERA</v>
      </c>
      <c r="O73" s="8" t="str">
        <f>IF(Titanic[[#This Row],[Sexo]]="Hombre", "HOMBRE", "MUJER")</f>
        <v>HOMBRE</v>
      </c>
      <c r="P73" s="8">
        <f>IF(Titanic[[#This Row],[Edad]]="", "", IF(Titanic[[#This Row],[Edad]]&gt;=100, Titanic[[#This Row],[Edad]] / 10, Titanic[[#This Row],[Edad]]))</f>
        <v>19</v>
      </c>
      <c r="Q73" s="8" t="str">
        <f>IFERROR(LOOKUP(Titanic[[#This Row],[Edad Corrigida]],'Práctica 1'!$K$231:$K$240,'Práctica 1'!$L$231:$L$240), "DESCONOCIDO")</f>
        <v>2. ADOLESCENTE</v>
      </c>
      <c r="R73" s="8">
        <f>Titanic[[#This Row],[Familia Horizontal]]+Titanic[[#This Row],[Familia Vertical]]</f>
        <v>0</v>
      </c>
      <c r="S73" s="8"/>
      <c r="T73" s="8"/>
      <c r="U73" s="8"/>
      <c r="V73" s="8"/>
    </row>
    <row r="74" spans="2:22" x14ac:dyDescent="0.2">
      <c r="B74" s="6">
        <v>69</v>
      </c>
      <c r="C74" s="7">
        <v>1</v>
      </c>
      <c r="D74" s="8">
        <v>3</v>
      </c>
      <c r="E74" s="8" t="s">
        <v>83</v>
      </c>
      <c r="F74" s="8" t="s">
        <v>14</v>
      </c>
      <c r="G74" s="8">
        <v>17</v>
      </c>
      <c r="H74" s="8">
        <v>4</v>
      </c>
      <c r="I74" s="8">
        <v>2</v>
      </c>
      <c r="J74" s="8">
        <v>7925</v>
      </c>
      <c r="K74" s="8">
        <v>0</v>
      </c>
      <c r="L74" s="8" t="s">
        <v>12</v>
      </c>
      <c r="M74" s="8" t="str">
        <f>IF(Titanic[[#This Row],[Sobrevive]]=1, "SOBREVIVE", "NO SOBREVIVE")</f>
        <v>SOBREVIVE</v>
      </c>
      <c r="N74" s="8" t="str">
        <f>LOOKUP(Titanic[[#This Row],[Clase]],{1,2,3}, {"PRIMERA","SEGUNDA","TERCERA"})</f>
        <v>TERCERA</v>
      </c>
      <c r="O74" s="8" t="str">
        <f>IF(Titanic[[#This Row],[Sexo]]="Hombre", "HOMBRE", "MUJER")</f>
        <v>MUJER</v>
      </c>
      <c r="P74" s="8">
        <f>IF(Titanic[[#This Row],[Edad]]="", "", IF(Titanic[[#This Row],[Edad]]&gt;=100, Titanic[[#This Row],[Edad]] / 10, Titanic[[#This Row],[Edad]]))</f>
        <v>17</v>
      </c>
      <c r="Q74" s="8" t="str">
        <f>IFERROR(LOOKUP(Titanic[[#This Row],[Edad Corrigida]],'Práctica 1'!$K$231:$K$240,'Práctica 1'!$L$231:$L$240), "DESCONOCIDO")</f>
        <v>1. INFANTE</v>
      </c>
      <c r="R74" s="8">
        <f>Titanic[[#This Row],[Familia Horizontal]]+Titanic[[#This Row],[Familia Vertical]]</f>
        <v>6</v>
      </c>
      <c r="S74" s="8"/>
      <c r="T74" s="8"/>
      <c r="U74" s="8"/>
      <c r="V74" s="8"/>
    </row>
    <row r="75" spans="2:22" x14ac:dyDescent="0.2">
      <c r="B75" s="6">
        <v>70</v>
      </c>
      <c r="C75" s="7">
        <v>0</v>
      </c>
      <c r="D75" s="8">
        <v>3</v>
      </c>
      <c r="E75" s="8" t="s">
        <v>84</v>
      </c>
      <c r="F75" s="8" t="s">
        <v>11</v>
      </c>
      <c r="G75" s="8">
        <v>26</v>
      </c>
      <c r="H75" s="8">
        <v>2</v>
      </c>
      <c r="I75" s="8">
        <v>0</v>
      </c>
      <c r="J75" s="8">
        <v>86625</v>
      </c>
      <c r="K75" s="8">
        <v>0</v>
      </c>
      <c r="L75" s="8" t="s">
        <v>12</v>
      </c>
      <c r="M75" s="8" t="str">
        <f>IF(Titanic[[#This Row],[Sobrevive]]=1, "SOBREVIVE", "NO SOBREVIVE")</f>
        <v>NO SOBREVIVE</v>
      </c>
      <c r="N75" s="8" t="str">
        <f>LOOKUP(Titanic[[#This Row],[Clase]],{1,2,3}, {"PRIMERA","SEGUNDA","TERCERA"})</f>
        <v>TERCERA</v>
      </c>
      <c r="O75" s="8" t="str">
        <f>IF(Titanic[[#This Row],[Sexo]]="Hombre", "HOMBRE", "MUJER")</f>
        <v>HOMBRE</v>
      </c>
      <c r="P75" s="8">
        <f>IF(Titanic[[#This Row],[Edad]]="", "", IF(Titanic[[#This Row],[Edad]]&gt;=100, Titanic[[#This Row],[Edad]] / 10, Titanic[[#This Row],[Edad]]))</f>
        <v>26</v>
      </c>
      <c r="Q75" s="8" t="str">
        <f>IFERROR(LOOKUP(Titanic[[#This Row],[Edad Corrigida]],'Práctica 1'!$K$231:$K$240,'Práctica 1'!$L$231:$L$240), "DESCONOCIDO")</f>
        <v>4. ADULTO JOVEN</v>
      </c>
      <c r="R75" s="8">
        <f>Titanic[[#This Row],[Familia Horizontal]]+Titanic[[#This Row],[Familia Vertical]]</f>
        <v>2</v>
      </c>
      <c r="S75" s="8"/>
      <c r="T75" s="8"/>
      <c r="U75" s="8"/>
      <c r="V75" s="8"/>
    </row>
    <row r="76" spans="2:22" x14ac:dyDescent="0.2">
      <c r="B76" s="6">
        <v>71</v>
      </c>
      <c r="C76" s="7">
        <v>0</v>
      </c>
      <c r="D76" s="8">
        <v>2</v>
      </c>
      <c r="E76" s="8" t="s">
        <v>85</v>
      </c>
      <c r="F76" s="8" t="s">
        <v>11</v>
      </c>
      <c r="G76" s="8">
        <v>32</v>
      </c>
      <c r="H76" s="8">
        <v>0</v>
      </c>
      <c r="I76" s="8">
        <v>0</v>
      </c>
      <c r="J76" s="8">
        <v>105</v>
      </c>
      <c r="K76" s="8">
        <v>0</v>
      </c>
      <c r="L76" s="8" t="s">
        <v>12</v>
      </c>
      <c r="M76" s="8" t="str">
        <f>IF(Titanic[[#This Row],[Sobrevive]]=1, "SOBREVIVE", "NO SOBREVIVE")</f>
        <v>NO SOBREVIVE</v>
      </c>
      <c r="N76" s="8" t="str">
        <f>LOOKUP(Titanic[[#This Row],[Clase]],{1,2,3}, {"PRIMERA","SEGUNDA","TERCERA"})</f>
        <v>SEGUNDA</v>
      </c>
      <c r="O76" s="8" t="str">
        <f>IF(Titanic[[#This Row],[Sexo]]="Hombre", "HOMBRE", "MUJER")</f>
        <v>HOMBRE</v>
      </c>
      <c r="P76" s="8">
        <f>IF(Titanic[[#This Row],[Edad]]="", "", IF(Titanic[[#This Row],[Edad]]&gt;=100, Titanic[[#This Row],[Edad]] / 10, Titanic[[#This Row],[Edad]]))</f>
        <v>32</v>
      </c>
      <c r="Q76" s="8" t="str">
        <f>IFERROR(LOOKUP(Titanic[[#This Row],[Edad Corrigida]],'Práctica 1'!$K$231:$K$240,'Práctica 1'!$L$231:$L$240), "DESCONOCIDO")</f>
        <v>6. ADULTO 1</v>
      </c>
      <c r="R76" s="8">
        <f>Titanic[[#This Row],[Familia Horizontal]]+Titanic[[#This Row],[Familia Vertical]]</f>
        <v>0</v>
      </c>
      <c r="S76" s="8"/>
      <c r="T76" s="8"/>
      <c r="U76" s="8"/>
      <c r="V76" s="8"/>
    </row>
    <row r="77" spans="2:22" x14ac:dyDescent="0.2">
      <c r="B77" s="6">
        <v>72</v>
      </c>
      <c r="C77" s="7">
        <v>0</v>
      </c>
      <c r="D77" s="8">
        <v>3</v>
      </c>
      <c r="E77" s="8" t="s">
        <v>86</v>
      </c>
      <c r="F77" s="8" t="s">
        <v>14</v>
      </c>
      <c r="G77" s="8">
        <v>16</v>
      </c>
      <c r="H77" s="8">
        <v>5</v>
      </c>
      <c r="I77" s="8">
        <v>2</v>
      </c>
      <c r="J77" s="8">
        <v>469</v>
      </c>
      <c r="K77" s="8">
        <v>0</v>
      </c>
      <c r="L77" s="8" t="s">
        <v>12</v>
      </c>
      <c r="M77" s="8" t="str">
        <f>IF(Titanic[[#This Row],[Sobrevive]]=1, "SOBREVIVE", "NO SOBREVIVE")</f>
        <v>NO SOBREVIVE</v>
      </c>
      <c r="N77" s="8" t="str">
        <f>LOOKUP(Titanic[[#This Row],[Clase]],{1,2,3}, {"PRIMERA","SEGUNDA","TERCERA"})</f>
        <v>TERCERA</v>
      </c>
      <c r="O77" s="8" t="str">
        <f>IF(Titanic[[#This Row],[Sexo]]="Hombre", "HOMBRE", "MUJER")</f>
        <v>MUJER</v>
      </c>
      <c r="P77" s="8">
        <f>IF(Titanic[[#This Row],[Edad]]="", "", IF(Titanic[[#This Row],[Edad]]&gt;=100, Titanic[[#This Row],[Edad]] / 10, Titanic[[#This Row],[Edad]]))</f>
        <v>16</v>
      </c>
      <c r="Q77" s="8" t="str">
        <f>IFERROR(LOOKUP(Titanic[[#This Row],[Edad Corrigida]],'Práctica 1'!$K$231:$K$240,'Práctica 1'!$L$231:$L$240), "DESCONOCIDO")</f>
        <v>1. INFANTE</v>
      </c>
      <c r="R77" s="8">
        <f>Titanic[[#This Row],[Familia Horizontal]]+Titanic[[#This Row],[Familia Vertical]]</f>
        <v>7</v>
      </c>
      <c r="S77" s="8"/>
      <c r="T77" s="8"/>
      <c r="U77" s="8"/>
      <c r="V77" s="8"/>
    </row>
    <row r="78" spans="2:22" x14ac:dyDescent="0.2">
      <c r="B78" s="6">
        <v>73</v>
      </c>
      <c r="C78" s="7">
        <v>0</v>
      </c>
      <c r="D78" s="8">
        <v>2</v>
      </c>
      <c r="E78" s="8" t="s">
        <v>87</v>
      </c>
      <c r="F78" s="8" t="s">
        <v>11</v>
      </c>
      <c r="G78" s="8">
        <v>21</v>
      </c>
      <c r="H78" s="8">
        <v>0</v>
      </c>
      <c r="I78" s="8">
        <v>0</v>
      </c>
      <c r="J78" s="8">
        <v>735</v>
      </c>
      <c r="K78" s="8">
        <v>0</v>
      </c>
      <c r="L78" s="8" t="s">
        <v>12</v>
      </c>
      <c r="M78" s="8" t="str">
        <f>IF(Titanic[[#This Row],[Sobrevive]]=1, "SOBREVIVE", "NO SOBREVIVE")</f>
        <v>NO SOBREVIVE</v>
      </c>
      <c r="N78" s="8" t="str">
        <f>LOOKUP(Titanic[[#This Row],[Clase]],{1,2,3}, {"PRIMERA","SEGUNDA","TERCERA"})</f>
        <v>SEGUNDA</v>
      </c>
      <c r="O78" s="8" t="str">
        <f>IF(Titanic[[#This Row],[Sexo]]="Hombre", "HOMBRE", "MUJER")</f>
        <v>HOMBRE</v>
      </c>
      <c r="P78" s="8">
        <f>IF(Titanic[[#This Row],[Edad]]="", "", IF(Titanic[[#This Row],[Edad]]&gt;=100, Titanic[[#This Row],[Edad]] / 10, Titanic[[#This Row],[Edad]]))</f>
        <v>21</v>
      </c>
      <c r="Q78" s="8" t="str">
        <f>IFERROR(LOOKUP(Titanic[[#This Row],[Edad Corrigida]],'Práctica 1'!$K$231:$K$240,'Práctica 1'!$L$231:$L$240), "DESCONOCIDO")</f>
        <v>2. ADOLESCENTE</v>
      </c>
      <c r="R78" s="8">
        <f>Titanic[[#This Row],[Familia Horizontal]]+Titanic[[#This Row],[Familia Vertical]]</f>
        <v>0</v>
      </c>
      <c r="S78" s="8"/>
      <c r="T78" s="8"/>
      <c r="U78" s="8"/>
      <c r="V78" s="8"/>
    </row>
    <row r="79" spans="2:22" x14ac:dyDescent="0.2">
      <c r="B79" s="6">
        <v>74</v>
      </c>
      <c r="C79" s="7">
        <v>0</v>
      </c>
      <c r="D79" s="8">
        <v>3</v>
      </c>
      <c r="E79" s="8" t="s">
        <v>88</v>
      </c>
      <c r="F79" s="8" t="s">
        <v>11</v>
      </c>
      <c r="G79" s="8">
        <v>26</v>
      </c>
      <c r="H79" s="8">
        <v>1</v>
      </c>
      <c r="I79" s="8">
        <v>0</v>
      </c>
      <c r="J79" s="8">
        <v>144542</v>
      </c>
      <c r="K79" s="8">
        <v>0</v>
      </c>
      <c r="L79" s="8" t="s">
        <v>15</v>
      </c>
      <c r="M79" s="8" t="str">
        <f>IF(Titanic[[#This Row],[Sobrevive]]=1, "SOBREVIVE", "NO SOBREVIVE")</f>
        <v>NO SOBREVIVE</v>
      </c>
      <c r="N79" s="8" t="str">
        <f>LOOKUP(Titanic[[#This Row],[Clase]],{1,2,3}, {"PRIMERA","SEGUNDA","TERCERA"})</f>
        <v>TERCERA</v>
      </c>
      <c r="O79" s="8" t="str">
        <f>IF(Titanic[[#This Row],[Sexo]]="Hombre", "HOMBRE", "MUJER")</f>
        <v>HOMBRE</v>
      </c>
      <c r="P79" s="8">
        <f>IF(Titanic[[#This Row],[Edad]]="", "", IF(Titanic[[#This Row],[Edad]]&gt;=100, Titanic[[#This Row],[Edad]] / 10, Titanic[[#This Row],[Edad]]))</f>
        <v>26</v>
      </c>
      <c r="Q79" s="8" t="str">
        <f>IFERROR(LOOKUP(Titanic[[#This Row],[Edad Corrigida]],'Práctica 1'!$K$231:$K$240,'Práctica 1'!$L$231:$L$240), "DESCONOCIDO")</f>
        <v>4. ADULTO JOVEN</v>
      </c>
      <c r="R79" s="8">
        <f>Titanic[[#This Row],[Familia Horizontal]]+Titanic[[#This Row],[Familia Vertical]]</f>
        <v>1</v>
      </c>
      <c r="S79" s="8"/>
      <c r="T79" s="8"/>
      <c r="U79" s="8"/>
      <c r="V79" s="8"/>
    </row>
    <row r="80" spans="2:22" x14ac:dyDescent="0.2">
      <c r="B80" s="6">
        <v>75</v>
      </c>
      <c r="C80" s="7">
        <v>1</v>
      </c>
      <c r="D80" s="8">
        <v>3</v>
      </c>
      <c r="E80" s="8" t="s">
        <v>89</v>
      </c>
      <c r="F80" s="8" t="s">
        <v>11</v>
      </c>
      <c r="G80" s="8">
        <v>32</v>
      </c>
      <c r="H80" s="8">
        <v>0</v>
      </c>
      <c r="I80" s="8">
        <v>0</v>
      </c>
      <c r="J80" s="8">
        <v>564958</v>
      </c>
      <c r="K80" s="8">
        <v>0</v>
      </c>
      <c r="L80" s="8" t="s">
        <v>12</v>
      </c>
      <c r="M80" s="8" t="str">
        <f>IF(Titanic[[#This Row],[Sobrevive]]=1, "SOBREVIVE", "NO SOBREVIVE")</f>
        <v>SOBREVIVE</v>
      </c>
      <c r="N80" s="8" t="str">
        <f>LOOKUP(Titanic[[#This Row],[Clase]],{1,2,3}, {"PRIMERA","SEGUNDA","TERCERA"})</f>
        <v>TERCERA</v>
      </c>
      <c r="O80" s="8" t="str">
        <f>IF(Titanic[[#This Row],[Sexo]]="Hombre", "HOMBRE", "MUJER")</f>
        <v>HOMBRE</v>
      </c>
      <c r="P80" s="8">
        <f>IF(Titanic[[#This Row],[Edad]]="", "", IF(Titanic[[#This Row],[Edad]]&gt;=100, Titanic[[#This Row],[Edad]] / 10, Titanic[[#This Row],[Edad]]))</f>
        <v>32</v>
      </c>
      <c r="Q80" s="8" t="str">
        <f>IFERROR(LOOKUP(Titanic[[#This Row],[Edad Corrigida]],'Práctica 1'!$K$231:$K$240,'Práctica 1'!$L$231:$L$240), "DESCONOCIDO")</f>
        <v>6. ADULTO 1</v>
      </c>
      <c r="R80" s="8">
        <f>Titanic[[#This Row],[Familia Horizontal]]+Titanic[[#This Row],[Familia Vertical]]</f>
        <v>0</v>
      </c>
      <c r="S80" s="8"/>
      <c r="T80" s="8"/>
      <c r="U80" s="8"/>
      <c r="V80" s="8"/>
    </row>
    <row r="81" spans="2:22" x14ac:dyDescent="0.2">
      <c r="B81" s="6">
        <v>76</v>
      </c>
      <c r="C81" s="7">
        <v>0</v>
      </c>
      <c r="D81" s="8">
        <v>3</v>
      </c>
      <c r="E81" s="8" t="s">
        <v>90</v>
      </c>
      <c r="F81" s="8" t="s">
        <v>11</v>
      </c>
      <c r="G81" s="8">
        <v>25</v>
      </c>
      <c r="H81" s="8">
        <v>0</v>
      </c>
      <c r="I81" s="8">
        <v>0</v>
      </c>
      <c r="J81" s="8">
        <v>765</v>
      </c>
      <c r="K81" s="8">
        <v>1</v>
      </c>
      <c r="L81" s="8" t="s">
        <v>12</v>
      </c>
      <c r="M81" s="8" t="str">
        <f>IF(Titanic[[#This Row],[Sobrevive]]=1, "SOBREVIVE", "NO SOBREVIVE")</f>
        <v>NO SOBREVIVE</v>
      </c>
      <c r="N81" s="8" t="str">
        <f>LOOKUP(Titanic[[#This Row],[Clase]],{1,2,3}, {"PRIMERA","SEGUNDA","TERCERA"})</f>
        <v>TERCERA</v>
      </c>
      <c r="O81" s="8" t="str">
        <f>IF(Titanic[[#This Row],[Sexo]]="Hombre", "HOMBRE", "MUJER")</f>
        <v>HOMBRE</v>
      </c>
      <c r="P81" s="8">
        <f>IF(Titanic[[#This Row],[Edad]]="", "", IF(Titanic[[#This Row],[Edad]]&gt;=100, Titanic[[#This Row],[Edad]] / 10, Titanic[[#This Row],[Edad]]))</f>
        <v>25</v>
      </c>
      <c r="Q81" s="8" t="str">
        <f>IFERROR(LOOKUP(Titanic[[#This Row],[Edad Corrigida]],'Práctica 1'!$K$231:$K$240,'Práctica 1'!$L$231:$L$240), "DESCONOCIDO")</f>
        <v>4. ADULTO JOVEN</v>
      </c>
      <c r="R81" s="8">
        <f>Titanic[[#This Row],[Familia Horizontal]]+Titanic[[#This Row],[Familia Vertical]]</f>
        <v>0</v>
      </c>
      <c r="S81" s="8"/>
      <c r="T81" s="8"/>
      <c r="U81" s="8"/>
      <c r="V81" s="8"/>
    </row>
    <row r="82" spans="2:22" x14ac:dyDescent="0.2">
      <c r="B82" s="6">
        <v>77</v>
      </c>
      <c r="C82" s="7">
        <v>0</v>
      </c>
      <c r="D82" s="8">
        <v>3</v>
      </c>
      <c r="E82" s="8" t="s">
        <v>91</v>
      </c>
      <c r="F82" s="8" t="s">
        <v>11</v>
      </c>
      <c r="G82" s="9"/>
      <c r="H82" s="8">
        <v>0</v>
      </c>
      <c r="I82" s="8">
        <v>0</v>
      </c>
      <c r="J82" s="8">
        <v>78958</v>
      </c>
      <c r="K82" s="8">
        <v>0</v>
      </c>
      <c r="L82" s="8" t="s">
        <v>12</v>
      </c>
      <c r="M82" s="8" t="str">
        <f>IF(Titanic[[#This Row],[Sobrevive]]=1, "SOBREVIVE", "NO SOBREVIVE")</f>
        <v>NO SOBREVIVE</v>
      </c>
      <c r="N82" s="8" t="str">
        <f>LOOKUP(Titanic[[#This Row],[Clase]],{1,2,3}, {"PRIMERA","SEGUNDA","TERCERA"})</f>
        <v>TERCERA</v>
      </c>
      <c r="O82" s="8" t="str">
        <f>IF(Titanic[[#This Row],[Sexo]]="Hombre", "HOMBRE", "MUJER")</f>
        <v>HOMBRE</v>
      </c>
      <c r="P82" s="8" t="str">
        <f>IF(Titanic[[#This Row],[Edad]]="", "", IF(Titanic[[#This Row],[Edad]]&gt;=100, Titanic[[#This Row],[Edad]] / 10, Titanic[[#This Row],[Edad]]))</f>
        <v/>
      </c>
      <c r="Q82" s="8" t="str">
        <f>IFERROR(LOOKUP(Titanic[[#This Row],[Edad Corrigida]],'Práctica 1'!$K$231:$K$240,'Práctica 1'!$L$231:$L$240), "DESCONOCIDO")</f>
        <v>DESCONOCIDO</v>
      </c>
      <c r="R82" s="8">
        <f>Titanic[[#This Row],[Familia Horizontal]]+Titanic[[#This Row],[Familia Vertical]]</f>
        <v>0</v>
      </c>
      <c r="S82" s="8"/>
      <c r="T82" s="8"/>
      <c r="U82" s="8"/>
      <c r="V82" s="8"/>
    </row>
    <row r="83" spans="2:22" x14ac:dyDescent="0.2">
      <c r="B83" s="6">
        <v>78</v>
      </c>
      <c r="C83" s="7">
        <v>0</v>
      </c>
      <c r="D83" s="8">
        <v>3</v>
      </c>
      <c r="E83" s="8" t="s">
        <v>92</v>
      </c>
      <c r="F83" s="8" t="s">
        <v>11</v>
      </c>
      <c r="G83" s="9"/>
      <c r="H83" s="8">
        <v>0</v>
      </c>
      <c r="I83" s="8">
        <v>0</v>
      </c>
      <c r="J83" s="8">
        <v>805</v>
      </c>
      <c r="K83" s="8">
        <v>0</v>
      </c>
      <c r="L83" s="8" t="s">
        <v>12</v>
      </c>
      <c r="M83" s="8" t="str">
        <f>IF(Titanic[[#This Row],[Sobrevive]]=1, "SOBREVIVE", "NO SOBREVIVE")</f>
        <v>NO SOBREVIVE</v>
      </c>
      <c r="N83" s="8" t="str">
        <f>LOOKUP(Titanic[[#This Row],[Clase]],{1,2,3}, {"PRIMERA","SEGUNDA","TERCERA"})</f>
        <v>TERCERA</v>
      </c>
      <c r="O83" s="8" t="str">
        <f>IF(Titanic[[#This Row],[Sexo]]="Hombre", "HOMBRE", "MUJER")</f>
        <v>HOMBRE</v>
      </c>
      <c r="P83" s="8" t="str">
        <f>IF(Titanic[[#This Row],[Edad]]="", "", IF(Titanic[[#This Row],[Edad]]&gt;=100, Titanic[[#This Row],[Edad]] / 10, Titanic[[#This Row],[Edad]]))</f>
        <v/>
      </c>
      <c r="Q83" s="8" t="str">
        <f>IFERROR(LOOKUP(Titanic[[#This Row],[Edad Corrigida]],'Práctica 1'!$K$231:$K$240,'Práctica 1'!$L$231:$L$240), "DESCONOCIDO")</f>
        <v>DESCONOCIDO</v>
      </c>
      <c r="R83" s="8">
        <f>Titanic[[#This Row],[Familia Horizontal]]+Titanic[[#This Row],[Familia Vertical]]</f>
        <v>0</v>
      </c>
      <c r="S83" s="8"/>
      <c r="T83" s="8"/>
      <c r="U83" s="8"/>
      <c r="V83" s="8"/>
    </row>
    <row r="84" spans="2:22" x14ac:dyDescent="0.2">
      <c r="B84" s="6">
        <v>79</v>
      </c>
      <c r="C84" s="7">
        <v>1</v>
      </c>
      <c r="D84" s="8">
        <v>2</v>
      </c>
      <c r="E84" s="8" t="s">
        <v>93</v>
      </c>
      <c r="F84" s="8" t="s">
        <v>11</v>
      </c>
      <c r="G84" s="8">
        <v>83</v>
      </c>
      <c r="H84" s="8">
        <v>0</v>
      </c>
      <c r="I84" s="8">
        <v>2</v>
      </c>
      <c r="J84" s="8">
        <v>29</v>
      </c>
      <c r="K84" s="8">
        <v>0</v>
      </c>
      <c r="L84" s="8" t="s">
        <v>12</v>
      </c>
      <c r="M84" s="8" t="str">
        <f>IF(Titanic[[#This Row],[Sobrevive]]=1, "SOBREVIVE", "NO SOBREVIVE")</f>
        <v>SOBREVIVE</v>
      </c>
      <c r="N84" s="8" t="str">
        <f>LOOKUP(Titanic[[#This Row],[Clase]],{1,2,3}, {"PRIMERA","SEGUNDA","TERCERA"})</f>
        <v>SEGUNDA</v>
      </c>
      <c r="O84" s="8" t="str">
        <f>IF(Titanic[[#This Row],[Sexo]]="Hombre", "HOMBRE", "MUJER")</f>
        <v>HOMBRE</v>
      </c>
      <c r="P84" s="8">
        <f>IF(Titanic[[#This Row],[Edad]]="", "", IF(Titanic[[#This Row],[Edad]]&gt;=100, Titanic[[#This Row],[Edad]] / 10, Titanic[[#This Row],[Edad]]))</f>
        <v>83</v>
      </c>
      <c r="Q84" s="8" t="str">
        <f>IFERROR(LOOKUP(Titanic[[#This Row],[Edad Corrigida]],'Práctica 1'!$K$231:$K$240,'Práctica 1'!$L$231:$L$240), "DESCONOCIDO")</f>
        <v>9. ADULTO 4</v>
      </c>
      <c r="R84" s="8">
        <f>Titanic[[#This Row],[Familia Horizontal]]+Titanic[[#This Row],[Familia Vertical]]</f>
        <v>2</v>
      </c>
      <c r="S84" s="8"/>
      <c r="T84" s="8"/>
      <c r="U84" s="8"/>
      <c r="V84" s="8"/>
    </row>
    <row r="85" spans="2:22" x14ac:dyDescent="0.2">
      <c r="B85" s="6">
        <v>80</v>
      </c>
      <c r="C85" s="7">
        <v>1</v>
      </c>
      <c r="D85" s="8">
        <v>3</v>
      </c>
      <c r="E85" s="8" t="s">
        <v>94</v>
      </c>
      <c r="F85" s="8" t="s">
        <v>14</v>
      </c>
      <c r="G85" s="8">
        <v>30</v>
      </c>
      <c r="H85" s="8">
        <v>0</v>
      </c>
      <c r="I85" s="8">
        <v>0</v>
      </c>
      <c r="J85" s="8">
        <v>12475</v>
      </c>
      <c r="K85" s="8">
        <v>0</v>
      </c>
      <c r="L85" s="8" t="s">
        <v>12</v>
      </c>
      <c r="M85" s="8" t="str">
        <f>IF(Titanic[[#This Row],[Sobrevive]]=1, "SOBREVIVE", "NO SOBREVIVE")</f>
        <v>SOBREVIVE</v>
      </c>
      <c r="N85" s="8" t="str">
        <f>LOOKUP(Titanic[[#This Row],[Clase]],{1,2,3}, {"PRIMERA","SEGUNDA","TERCERA"})</f>
        <v>TERCERA</v>
      </c>
      <c r="O85" s="8" t="str">
        <f>IF(Titanic[[#This Row],[Sexo]]="Hombre", "HOMBRE", "MUJER")</f>
        <v>MUJER</v>
      </c>
      <c r="P85" s="8">
        <f>IF(Titanic[[#This Row],[Edad]]="", "", IF(Titanic[[#This Row],[Edad]]&gt;=100, Titanic[[#This Row],[Edad]] / 10, Titanic[[#This Row],[Edad]]))</f>
        <v>30</v>
      </c>
      <c r="Q85" s="8" t="str">
        <f>IFERROR(LOOKUP(Titanic[[#This Row],[Edad Corrigida]],'Práctica 1'!$K$231:$K$240,'Práctica 1'!$L$231:$L$240), "DESCONOCIDO")</f>
        <v>5. ADULTO</v>
      </c>
      <c r="R85" s="8">
        <f>Titanic[[#This Row],[Familia Horizontal]]+Titanic[[#This Row],[Familia Vertical]]</f>
        <v>0</v>
      </c>
      <c r="S85" s="8"/>
      <c r="T85" s="8"/>
      <c r="U85" s="8"/>
      <c r="V85" s="8"/>
    </row>
    <row r="86" spans="2:22" x14ac:dyDescent="0.2">
      <c r="B86" s="6">
        <v>81</v>
      </c>
      <c r="C86" s="7">
        <v>0</v>
      </c>
      <c r="D86" s="8">
        <v>3</v>
      </c>
      <c r="E86" s="8" t="s">
        <v>95</v>
      </c>
      <c r="F86" s="8" t="s">
        <v>11</v>
      </c>
      <c r="G86" s="8">
        <v>22</v>
      </c>
      <c r="H86" s="8">
        <v>0</v>
      </c>
      <c r="I86" s="8">
        <v>0</v>
      </c>
      <c r="J86" s="8">
        <v>9</v>
      </c>
      <c r="K86" s="8">
        <v>0</v>
      </c>
      <c r="L86" s="8" t="s">
        <v>12</v>
      </c>
      <c r="M86" s="8" t="str">
        <f>IF(Titanic[[#This Row],[Sobrevive]]=1, "SOBREVIVE", "NO SOBREVIVE")</f>
        <v>NO SOBREVIVE</v>
      </c>
      <c r="N86" s="8" t="str">
        <f>LOOKUP(Titanic[[#This Row],[Clase]],{1,2,3}, {"PRIMERA","SEGUNDA","TERCERA"})</f>
        <v>TERCERA</v>
      </c>
      <c r="O86" s="8" t="str">
        <f>IF(Titanic[[#This Row],[Sexo]]="Hombre", "HOMBRE", "MUJER")</f>
        <v>HOMBRE</v>
      </c>
      <c r="P86" s="8">
        <f>IF(Titanic[[#This Row],[Edad]]="", "", IF(Titanic[[#This Row],[Edad]]&gt;=100, Titanic[[#This Row],[Edad]] / 10, Titanic[[#This Row],[Edad]]))</f>
        <v>22</v>
      </c>
      <c r="Q86" s="8" t="str">
        <f>IFERROR(LOOKUP(Titanic[[#This Row],[Edad Corrigida]],'Práctica 1'!$K$231:$K$240,'Práctica 1'!$L$231:$L$240), "DESCONOCIDO")</f>
        <v>3. JOVEN</v>
      </c>
      <c r="R86" s="8">
        <f>Titanic[[#This Row],[Familia Horizontal]]+Titanic[[#This Row],[Familia Vertical]]</f>
        <v>0</v>
      </c>
      <c r="S86" s="8"/>
      <c r="T86" s="8"/>
      <c r="U86" s="8"/>
      <c r="V86" s="8"/>
    </row>
    <row r="87" spans="2:22" x14ac:dyDescent="0.2">
      <c r="B87" s="6">
        <v>82</v>
      </c>
      <c r="C87" s="7">
        <v>1</v>
      </c>
      <c r="D87" s="8">
        <v>3</v>
      </c>
      <c r="E87" s="8" t="s">
        <v>96</v>
      </c>
      <c r="F87" s="8" t="s">
        <v>11</v>
      </c>
      <c r="G87" s="8">
        <v>29</v>
      </c>
      <c r="H87" s="8">
        <v>0</v>
      </c>
      <c r="I87" s="8">
        <v>0</v>
      </c>
      <c r="J87" s="8">
        <v>95</v>
      </c>
      <c r="K87" s="8">
        <v>0</v>
      </c>
      <c r="L87" s="8" t="s">
        <v>12</v>
      </c>
      <c r="M87" s="8" t="str">
        <f>IF(Titanic[[#This Row],[Sobrevive]]=1, "SOBREVIVE", "NO SOBREVIVE")</f>
        <v>SOBREVIVE</v>
      </c>
      <c r="N87" s="8" t="str">
        <f>LOOKUP(Titanic[[#This Row],[Clase]],{1,2,3}, {"PRIMERA","SEGUNDA","TERCERA"})</f>
        <v>TERCERA</v>
      </c>
      <c r="O87" s="8" t="str">
        <f>IF(Titanic[[#This Row],[Sexo]]="Hombre", "HOMBRE", "MUJER")</f>
        <v>HOMBRE</v>
      </c>
      <c r="P87" s="8">
        <f>IF(Titanic[[#This Row],[Edad]]="", "", IF(Titanic[[#This Row],[Edad]]&gt;=100, Titanic[[#This Row],[Edad]] / 10, Titanic[[#This Row],[Edad]]))</f>
        <v>29</v>
      </c>
      <c r="Q87" s="8" t="str">
        <f>IFERROR(LOOKUP(Titanic[[#This Row],[Edad Corrigida]],'Práctica 1'!$K$231:$K$240,'Práctica 1'!$L$231:$L$240), "DESCONOCIDO")</f>
        <v>5. ADULTO</v>
      </c>
      <c r="R87" s="8">
        <f>Titanic[[#This Row],[Familia Horizontal]]+Titanic[[#This Row],[Familia Vertical]]</f>
        <v>0</v>
      </c>
      <c r="S87" s="8"/>
      <c r="T87" s="8"/>
      <c r="U87" s="8"/>
      <c r="V87" s="8"/>
    </row>
    <row r="88" spans="2:22" x14ac:dyDescent="0.2">
      <c r="B88" s="6">
        <v>83</v>
      </c>
      <c r="C88" s="7">
        <v>1</v>
      </c>
      <c r="D88" s="8">
        <v>3</v>
      </c>
      <c r="E88" s="8" t="s">
        <v>97</v>
      </c>
      <c r="F88" s="8" t="s">
        <v>14</v>
      </c>
      <c r="G88" s="9"/>
      <c r="H88" s="8">
        <v>0</v>
      </c>
      <c r="I88" s="8">
        <v>0</v>
      </c>
      <c r="J88" s="8">
        <v>77875</v>
      </c>
      <c r="K88" s="8">
        <v>0</v>
      </c>
      <c r="L88" s="8" t="s">
        <v>20</v>
      </c>
      <c r="M88" s="8" t="str">
        <f>IF(Titanic[[#This Row],[Sobrevive]]=1, "SOBREVIVE", "NO SOBREVIVE")</f>
        <v>SOBREVIVE</v>
      </c>
      <c r="N88" s="8" t="str">
        <f>LOOKUP(Titanic[[#This Row],[Clase]],{1,2,3}, {"PRIMERA","SEGUNDA","TERCERA"})</f>
        <v>TERCERA</v>
      </c>
      <c r="O88" s="8" t="str">
        <f>IF(Titanic[[#This Row],[Sexo]]="Hombre", "HOMBRE", "MUJER")</f>
        <v>MUJER</v>
      </c>
      <c r="P88" s="8" t="str">
        <f>IF(Titanic[[#This Row],[Edad]]="", "", IF(Titanic[[#This Row],[Edad]]&gt;=100, Titanic[[#This Row],[Edad]] / 10, Titanic[[#This Row],[Edad]]))</f>
        <v/>
      </c>
      <c r="Q88" s="8" t="str">
        <f>IFERROR(LOOKUP(Titanic[[#This Row],[Edad Corrigida]],'Práctica 1'!$K$231:$K$240,'Práctica 1'!$L$231:$L$240), "DESCONOCIDO")</f>
        <v>DESCONOCIDO</v>
      </c>
      <c r="R88" s="8">
        <f>Titanic[[#This Row],[Familia Horizontal]]+Titanic[[#This Row],[Familia Vertical]]</f>
        <v>0</v>
      </c>
      <c r="S88" s="8"/>
      <c r="T88" s="8"/>
      <c r="U88" s="8"/>
      <c r="V88" s="8"/>
    </row>
    <row r="89" spans="2:22" x14ac:dyDescent="0.2">
      <c r="B89" s="6">
        <v>84</v>
      </c>
      <c r="C89" s="7">
        <v>0</v>
      </c>
      <c r="D89" s="8">
        <v>1</v>
      </c>
      <c r="E89" s="8" t="s">
        <v>98</v>
      </c>
      <c r="F89" s="8" t="s">
        <v>11</v>
      </c>
      <c r="G89" s="8">
        <v>28</v>
      </c>
      <c r="H89" s="8">
        <v>0</v>
      </c>
      <c r="I89" s="8">
        <v>0</v>
      </c>
      <c r="J89" s="8">
        <v>471</v>
      </c>
      <c r="K89" s="8">
        <v>0</v>
      </c>
      <c r="L89" s="8" t="s">
        <v>12</v>
      </c>
      <c r="M89" s="8" t="str">
        <f>IF(Titanic[[#This Row],[Sobrevive]]=1, "SOBREVIVE", "NO SOBREVIVE")</f>
        <v>NO SOBREVIVE</v>
      </c>
      <c r="N89" s="8" t="str">
        <f>LOOKUP(Titanic[[#This Row],[Clase]],{1,2,3}, {"PRIMERA","SEGUNDA","TERCERA"})</f>
        <v>PRIMERA</v>
      </c>
      <c r="O89" s="8" t="str">
        <f>IF(Titanic[[#This Row],[Sexo]]="Hombre", "HOMBRE", "MUJER")</f>
        <v>HOMBRE</v>
      </c>
      <c r="P89" s="8">
        <f>IF(Titanic[[#This Row],[Edad]]="", "", IF(Titanic[[#This Row],[Edad]]&gt;=100, Titanic[[#This Row],[Edad]] / 10, Titanic[[#This Row],[Edad]]))</f>
        <v>28</v>
      </c>
      <c r="Q89" s="8" t="str">
        <f>IFERROR(LOOKUP(Titanic[[#This Row],[Edad Corrigida]],'Práctica 1'!$K$231:$K$240,'Práctica 1'!$L$231:$L$240), "DESCONOCIDO")</f>
        <v>4. ADULTO JOVEN</v>
      </c>
      <c r="R89" s="8">
        <f>Titanic[[#This Row],[Familia Horizontal]]+Titanic[[#This Row],[Familia Vertical]]</f>
        <v>0</v>
      </c>
      <c r="S89" s="8"/>
      <c r="T89" s="8"/>
      <c r="U89" s="8"/>
      <c r="V89" s="8"/>
    </row>
    <row r="90" spans="2:22" x14ac:dyDescent="0.2">
      <c r="B90" s="6">
        <v>85</v>
      </c>
      <c r="C90" s="7">
        <v>1</v>
      </c>
      <c r="D90" s="8">
        <v>2</v>
      </c>
      <c r="E90" s="8" t="s">
        <v>99</v>
      </c>
      <c r="F90" s="8" t="s">
        <v>14</v>
      </c>
      <c r="G90" s="8">
        <v>17</v>
      </c>
      <c r="H90" s="8">
        <v>0</v>
      </c>
      <c r="I90" s="8">
        <v>0</v>
      </c>
      <c r="J90" s="8">
        <v>105</v>
      </c>
      <c r="K90" s="8">
        <v>0</v>
      </c>
      <c r="L90" s="8" t="s">
        <v>12</v>
      </c>
      <c r="M90" s="8" t="str">
        <f>IF(Titanic[[#This Row],[Sobrevive]]=1, "SOBREVIVE", "NO SOBREVIVE")</f>
        <v>SOBREVIVE</v>
      </c>
      <c r="N90" s="8" t="str">
        <f>LOOKUP(Titanic[[#This Row],[Clase]],{1,2,3}, {"PRIMERA","SEGUNDA","TERCERA"})</f>
        <v>SEGUNDA</v>
      </c>
      <c r="O90" s="8" t="str">
        <f>IF(Titanic[[#This Row],[Sexo]]="Hombre", "HOMBRE", "MUJER")</f>
        <v>MUJER</v>
      </c>
      <c r="P90" s="8">
        <f>IF(Titanic[[#This Row],[Edad]]="", "", IF(Titanic[[#This Row],[Edad]]&gt;=100, Titanic[[#This Row],[Edad]] / 10, Titanic[[#This Row],[Edad]]))</f>
        <v>17</v>
      </c>
      <c r="Q90" s="8" t="str">
        <f>IFERROR(LOOKUP(Titanic[[#This Row],[Edad Corrigida]],'Práctica 1'!$K$231:$K$240,'Práctica 1'!$L$231:$L$240), "DESCONOCIDO")</f>
        <v>1. INFANTE</v>
      </c>
      <c r="R90" s="8">
        <f>Titanic[[#This Row],[Familia Horizontal]]+Titanic[[#This Row],[Familia Vertical]]</f>
        <v>0</v>
      </c>
      <c r="S90" s="8"/>
      <c r="T90" s="8"/>
      <c r="U90" s="8"/>
      <c r="V90" s="8"/>
    </row>
    <row r="91" spans="2:22" x14ac:dyDescent="0.2">
      <c r="B91" s="6">
        <v>86</v>
      </c>
      <c r="C91" s="7">
        <v>1</v>
      </c>
      <c r="D91" s="8">
        <v>3</v>
      </c>
      <c r="E91" s="8" t="s">
        <v>100</v>
      </c>
      <c r="F91" s="8" t="s">
        <v>14</v>
      </c>
      <c r="G91" s="8">
        <v>33</v>
      </c>
      <c r="H91" s="8">
        <v>3</v>
      </c>
      <c r="I91" s="8">
        <v>0</v>
      </c>
      <c r="J91" s="8">
        <v>1585</v>
      </c>
      <c r="K91" s="8">
        <v>0</v>
      </c>
      <c r="L91" s="8" t="s">
        <v>12</v>
      </c>
      <c r="M91" s="8" t="str">
        <f>IF(Titanic[[#This Row],[Sobrevive]]=1, "SOBREVIVE", "NO SOBREVIVE")</f>
        <v>SOBREVIVE</v>
      </c>
      <c r="N91" s="8" t="str">
        <f>LOOKUP(Titanic[[#This Row],[Clase]],{1,2,3}, {"PRIMERA","SEGUNDA","TERCERA"})</f>
        <v>TERCERA</v>
      </c>
      <c r="O91" s="8" t="str">
        <f>IF(Titanic[[#This Row],[Sexo]]="Hombre", "HOMBRE", "MUJER")</f>
        <v>MUJER</v>
      </c>
      <c r="P91" s="8">
        <f>IF(Titanic[[#This Row],[Edad]]="", "", IF(Titanic[[#This Row],[Edad]]&gt;=100, Titanic[[#This Row],[Edad]] / 10, Titanic[[#This Row],[Edad]]))</f>
        <v>33</v>
      </c>
      <c r="Q91" s="8" t="str">
        <f>IFERROR(LOOKUP(Titanic[[#This Row],[Edad Corrigida]],'Práctica 1'!$K$231:$K$240,'Práctica 1'!$L$231:$L$240), "DESCONOCIDO")</f>
        <v>6. ADULTO 1</v>
      </c>
      <c r="R91" s="8">
        <f>Titanic[[#This Row],[Familia Horizontal]]+Titanic[[#This Row],[Familia Vertical]]</f>
        <v>3</v>
      </c>
      <c r="S91" s="8"/>
      <c r="T91" s="8"/>
      <c r="U91" s="8"/>
      <c r="V91" s="8"/>
    </row>
    <row r="92" spans="2:22" x14ac:dyDescent="0.2">
      <c r="B92" s="6">
        <v>87</v>
      </c>
      <c r="C92" s="7">
        <v>0</v>
      </c>
      <c r="D92" s="8">
        <v>3</v>
      </c>
      <c r="E92" s="8" t="s">
        <v>101</v>
      </c>
      <c r="F92" s="8" t="s">
        <v>11</v>
      </c>
      <c r="G92" s="8">
        <v>16</v>
      </c>
      <c r="H92" s="8">
        <v>1</v>
      </c>
      <c r="I92" s="8">
        <v>3</v>
      </c>
      <c r="J92" s="8">
        <v>34375</v>
      </c>
      <c r="K92" s="8">
        <v>0</v>
      </c>
      <c r="L92" s="8" t="s">
        <v>12</v>
      </c>
      <c r="M92" s="8" t="str">
        <f>IF(Titanic[[#This Row],[Sobrevive]]=1, "SOBREVIVE", "NO SOBREVIVE")</f>
        <v>NO SOBREVIVE</v>
      </c>
      <c r="N92" s="8" t="str">
        <f>LOOKUP(Titanic[[#This Row],[Clase]],{1,2,3}, {"PRIMERA","SEGUNDA","TERCERA"})</f>
        <v>TERCERA</v>
      </c>
      <c r="O92" s="8" t="str">
        <f>IF(Titanic[[#This Row],[Sexo]]="Hombre", "HOMBRE", "MUJER")</f>
        <v>HOMBRE</v>
      </c>
      <c r="P92" s="8">
        <f>IF(Titanic[[#This Row],[Edad]]="", "", IF(Titanic[[#This Row],[Edad]]&gt;=100, Titanic[[#This Row],[Edad]] / 10, Titanic[[#This Row],[Edad]]))</f>
        <v>16</v>
      </c>
      <c r="Q92" s="8" t="str">
        <f>IFERROR(LOOKUP(Titanic[[#This Row],[Edad Corrigida]],'Práctica 1'!$K$231:$K$240,'Práctica 1'!$L$231:$L$240), "DESCONOCIDO")</f>
        <v>1. INFANTE</v>
      </c>
      <c r="R92" s="8">
        <f>Titanic[[#This Row],[Familia Horizontal]]+Titanic[[#This Row],[Familia Vertical]]</f>
        <v>4</v>
      </c>
      <c r="S92" s="8"/>
      <c r="T92" s="8"/>
      <c r="U92" s="8"/>
      <c r="V92" s="8"/>
    </row>
    <row r="93" spans="2:22" x14ac:dyDescent="0.2">
      <c r="B93" s="6">
        <v>88</v>
      </c>
      <c r="C93" s="7">
        <v>0</v>
      </c>
      <c r="D93" s="8">
        <v>3</v>
      </c>
      <c r="E93" s="8" t="s">
        <v>102</v>
      </c>
      <c r="F93" s="8" t="s">
        <v>11</v>
      </c>
      <c r="G93" s="9"/>
      <c r="H93" s="8">
        <v>0</v>
      </c>
      <c r="I93" s="8">
        <v>0</v>
      </c>
      <c r="J93" s="8">
        <v>805</v>
      </c>
      <c r="K93" s="8">
        <v>0</v>
      </c>
      <c r="L93" s="8" t="s">
        <v>12</v>
      </c>
      <c r="M93" s="8" t="str">
        <f>IF(Titanic[[#This Row],[Sobrevive]]=1, "SOBREVIVE", "NO SOBREVIVE")</f>
        <v>NO SOBREVIVE</v>
      </c>
      <c r="N93" s="8" t="str">
        <f>LOOKUP(Titanic[[#This Row],[Clase]],{1,2,3}, {"PRIMERA","SEGUNDA","TERCERA"})</f>
        <v>TERCERA</v>
      </c>
      <c r="O93" s="8" t="str">
        <f>IF(Titanic[[#This Row],[Sexo]]="Hombre", "HOMBRE", "MUJER")</f>
        <v>HOMBRE</v>
      </c>
      <c r="P93" s="8" t="str">
        <f>IF(Titanic[[#This Row],[Edad]]="", "", IF(Titanic[[#This Row],[Edad]]&gt;=100, Titanic[[#This Row],[Edad]] / 10, Titanic[[#This Row],[Edad]]))</f>
        <v/>
      </c>
      <c r="Q93" s="8" t="str">
        <f>IFERROR(LOOKUP(Titanic[[#This Row],[Edad Corrigida]],'Práctica 1'!$K$231:$K$240,'Práctica 1'!$L$231:$L$240), "DESCONOCIDO")</f>
        <v>DESCONOCIDO</v>
      </c>
      <c r="R93" s="8">
        <f>Titanic[[#This Row],[Familia Horizontal]]+Titanic[[#This Row],[Familia Vertical]]</f>
        <v>0</v>
      </c>
      <c r="S93" s="8"/>
      <c r="T93" s="8"/>
      <c r="U93" s="8"/>
      <c r="V93" s="8"/>
    </row>
    <row r="94" spans="2:22" x14ac:dyDescent="0.2">
      <c r="B94" s="6">
        <v>89</v>
      </c>
      <c r="C94" s="7">
        <v>1</v>
      </c>
      <c r="D94" s="8">
        <v>1</v>
      </c>
      <c r="E94" s="8" t="s">
        <v>103</v>
      </c>
      <c r="F94" s="8" t="s">
        <v>14</v>
      </c>
      <c r="G94" s="8">
        <v>23</v>
      </c>
      <c r="H94" s="8">
        <v>3</v>
      </c>
      <c r="I94" s="8">
        <v>2</v>
      </c>
      <c r="J94" s="8">
        <v>263</v>
      </c>
      <c r="K94" s="8">
        <v>1</v>
      </c>
      <c r="L94" s="8" t="s">
        <v>12</v>
      </c>
      <c r="M94" s="8" t="str">
        <f>IF(Titanic[[#This Row],[Sobrevive]]=1, "SOBREVIVE", "NO SOBREVIVE")</f>
        <v>SOBREVIVE</v>
      </c>
      <c r="N94" s="8" t="str">
        <f>LOOKUP(Titanic[[#This Row],[Clase]],{1,2,3}, {"PRIMERA","SEGUNDA","TERCERA"})</f>
        <v>PRIMERA</v>
      </c>
      <c r="O94" s="8" t="str">
        <f>IF(Titanic[[#This Row],[Sexo]]="Hombre", "HOMBRE", "MUJER")</f>
        <v>MUJER</v>
      </c>
      <c r="P94" s="8">
        <f>IF(Titanic[[#This Row],[Edad]]="", "", IF(Titanic[[#This Row],[Edad]]&gt;=100, Titanic[[#This Row],[Edad]] / 10, Titanic[[#This Row],[Edad]]))</f>
        <v>23</v>
      </c>
      <c r="Q94" s="8" t="str">
        <f>IFERROR(LOOKUP(Titanic[[#This Row],[Edad Corrigida]],'Práctica 1'!$K$231:$K$240,'Práctica 1'!$L$231:$L$240), "DESCONOCIDO")</f>
        <v>3. JOVEN</v>
      </c>
      <c r="R94" s="8">
        <f>Titanic[[#This Row],[Familia Horizontal]]+Titanic[[#This Row],[Familia Vertical]]</f>
        <v>5</v>
      </c>
      <c r="S94" s="8"/>
      <c r="T94" s="8"/>
      <c r="U94" s="8"/>
      <c r="V94" s="8"/>
    </row>
    <row r="95" spans="2:22" x14ac:dyDescent="0.2">
      <c r="B95" s="6">
        <v>90</v>
      </c>
      <c r="C95" s="7">
        <v>0</v>
      </c>
      <c r="D95" s="8">
        <v>3</v>
      </c>
      <c r="E95" s="8" t="s">
        <v>104</v>
      </c>
      <c r="F95" s="8" t="s">
        <v>11</v>
      </c>
      <c r="G95" s="8">
        <v>24</v>
      </c>
      <c r="H95" s="8">
        <v>0</v>
      </c>
      <c r="I95" s="8">
        <v>0</v>
      </c>
      <c r="J95" s="8">
        <v>805</v>
      </c>
      <c r="K95" s="8">
        <v>0</v>
      </c>
      <c r="L95" s="8" t="s">
        <v>12</v>
      </c>
      <c r="M95" s="8" t="str">
        <f>IF(Titanic[[#This Row],[Sobrevive]]=1, "SOBREVIVE", "NO SOBREVIVE")</f>
        <v>NO SOBREVIVE</v>
      </c>
      <c r="N95" s="8" t="str">
        <f>LOOKUP(Titanic[[#This Row],[Clase]],{1,2,3}, {"PRIMERA","SEGUNDA","TERCERA"})</f>
        <v>TERCERA</v>
      </c>
      <c r="O95" s="8" t="str">
        <f>IF(Titanic[[#This Row],[Sexo]]="Hombre", "HOMBRE", "MUJER")</f>
        <v>HOMBRE</v>
      </c>
      <c r="P95" s="8">
        <f>IF(Titanic[[#This Row],[Edad]]="", "", IF(Titanic[[#This Row],[Edad]]&gt;=100, Titanic[[#This Row],[Edad]] / 10, Titanic[[#This Row],[Edad]]))</f>
        <v>24</v>
      </c>
      <c r="Q95" s="8" t="str">
        <f>IFERROR(LOOKUP(Titanic[[#This Row],[Edad Corrigida]],'Práctica 1'!$K$231:$K$240,'Práctica 1'!$L$231:$L$240), "DESCONOCIDO")</f>
        <v>3. JOVEN</v>
      </c>
      <c r="R95" s="8">
        <f>Titanic[[#This Row],[Familia Horizontal]]+Titanic[[#This Row],[Familia Vertical]]</f>
        <v>0</v>
      </c>
      <c r="S95" s="8"/>
      <c r="T95" s="8"/>
      <c r="U95" s="8"/>
      <c r="V95" s="8"/>
    </row>
    <row r="96" spans="2:22" x14ac:dyDescent="0.2">
      <c r="B96" s="6">
        <v>91</v>
      </c>
      <c r="C96" s="7">
        <v>0</v>
      </c>
      <c r="D96" s="8">
        <v>3</v>
      </c>
      <c r="E96" s="8" t="s">
        <v>105</v>
      </c>
      <c r="F96" s="8" t="s">
        <v>11</v>
      </c>
      <c r="G96" s="8">
        <v>29</v>
      </c>
      <c r="H96" s="8">
        <v>0</v>
      </c>
      <c r="I96" s="8">
        <v>0</v>
      </c>
      <c r="J96" s="8">
        <v>805</v>
      </c>
      <c r="K96" s="8">
        <v>0</v>
      </c>
      <c r="L96" s="8" t="s">
        <v>12</v>
      </c>
      <c r="M96" s="8" t="str">
        <f>IF(Titanic[[#This Row],[Sobrevive]]=1, "SOBREVIVE", "NO SOBREVIVE")</f>
        <v>NO SOBREVIVE</v>
      </c>
      <c r="N96" s="8" t="str">
        <f>LOOKUP(Titanic[[#This Row],[Clase]],{1,2,3}, {"PRIMERA","SEGUNDA","TERCERA"})</f>
        <v>TERCERA</v>
      </c>
      <c r="O96" s="8" t="str">
        <f>IF(Titanic[[#This Row],[Sexo]]="Hombre", "HOMBRE", "MUJER")</f>
        <v>HOMBRE</v>
      </c>
      <c r="P96" s="8">
        <f>IF(Titanic[[#This Row],[Edad]]="", "", IF(Titanic[[#This Row],[Edad]]&gt;=100, Titanic[[#This Row],[Edad]] / 10, Titanic[[#This Row],[Edad]]))</f>
        <v>29</v>
      </c>
      <c r="Q96" s="8" t="str">
        <f>IFERROR(LOOKUP(Titanic[[#This Row],[Edad Corrigida]],'Práctica 1'!$K$231:$K$240,'Práctica 1'!$L$231:$L$240), "DESCONOCIDO")</f>
        <v>5. ADULTO</v>
      </c>
      <c r="R96" s="8">
        <f>Titanic[[#This Row],[Familia Horizontal]]+Titanic[[#This Row],[Familia Vertical]]</f>
        <v>0</v>
      </c>
      <c r="S96" s="8"/>
      <c r="T96" s="8"/>
      <c r="U96" s="8"/>
      <c r="V96" s="8"/>
    </row>
    <row r="97" spans="2:22" x14ac:dyDescent="0.2">
      <c r="B97" s="6">
        <v>92</v>
      </c>
      <c r="C97" s="7">
        <v>0</v>
      </c>
      <c r="D97" s="8">
        <v>3</v>
      </c>
      <c r="E97" s="8" t="s">
        <v>106</v>
      </c>
      <c r="F97" s="8" t="s">
        <v>11</v>
      </c>
      <c r="G97" s="8">
        <v>20</v>
      </c>
      <c r="H97" s="8">
        <v>0</v>
      </c>
      <c r="I97" s="8">
        <v>0</v>
      </c>
      <c r="J97" s="8">
        <v>78542</v>
      </c>
      <c r="K97" s="8">
        <v>0</v>
      </c>
      <c r="L97" s="8" t="s">
        <v>12</v>
      </c>
      <c r="M97" s="8" t="str">
        <f>IF(Titanic[[#This Row],[Sobrevive]]=1, "SOBREVIVE", "NO SOBREVIVE")</f>
        <v>NO SOBREVIVE</v>
      </c>
      <c r="N97" s="8" t="str">
        <f>LOOKUP(Titanic[[#This Row],[Clase]],{1,2,3}, {"PRIMERA","SEGUNDA","TERCERA"})</f>
        <v>TERCERA</v>
      </c>
      <c r="O97" s="8" t="str">
        <f>IF(Titanic[[#This Row],[Sexo]]="Hombre", "HOMBRE", "MUJER")</f>
        <v>HOMBRE</v>
      </c>
      <c r="P97" s="8">
        <f>IF(Titanic[[#This Row],[Edad]]="", "", IF(Titanic[[#This Row],[Edad]]&gt;=100, Titanic[[#This Row],[Edad]] / 10, Titanic[[#This Row],[Edad]]))</f>
        <v>20</v>
      </c>
      <c r="Q97" s="8" t="str">
        <f>IFERROR(LOOKUP(Titanic[[#This Row],[Edad Corrigida]],'Práctica 1'!$K$231:$K$240,'Práctica 1'!$L$231:$L$240), "DESCONOCIDO")</f>
        <v>2. ADOLESCENTE</v>
      </c>
      <c r="R97" s="8">
        <f>Titanic[[#This Row],[Familia Horizontal]]+Titanic[[#This Row],[Familia Vertical]]</f>
        <v>0</v>
      </c>
      <c r="S97" s="8"/>
      <c r="T97" s="8"/>
      <c r="U97" s="8"/>
      <c r="V97" s="8"/>
    </row>
    <row r="98" spans="2:22" x14ac:dyDescent="0.2">
      <c r="B98" s="6">
        <v>93</v>
      </c>
      <c r="C98" s="7">
        <v>0</v>
      </c>
      <c r="D98" s="8">
        <v>1</v>
      </c>
      <c r="E98" s="8" t="s">
        <v>107</v>
      </c>
      <c r="F98" s="8" t="s">
        <v>11</v>
      </c>
      <c r="G98" s="8">
        <v>46</v>
      </c>
      <c r="H98" s="8">
        <v>1</v>
      </c>
      <c r="I98" s="8">
        <v>0</v>
      </c>
      <c r="J98" s="8">
        <v>61175</v>
      </c>
      <c r="K98" s="8">
        <v>1</v>
      </c>
      <c r="L98" s="8" t="s">
        <v>12</v>
      </c>
      <c r="M98" s="8" t="str">
        <f>IF(Titanic[[#This Row],[Sobrevive]]=1, "SOBREVIVE", "NO SOBREVIVE")</f>
        <v>NO SOBREVIVE</v>
      </c>
      <c r="N98" s="8" t="str">
        <f>LOOKUP(Titanic[[#This Row],[Clase]],{1,2,3}, {"PRIMERA","SEGUNDA","TERCERA"})</f>
        <v>PRIMERA</v>
      </c>
      <c r="O98" s="8" t="str">
        <f>IF(Titanic[[#This Row],[Sexo]]="Hombre", "HOMBRE", "MUJER")</f>
        <v>HOMBRE</v>
      </c>
      <c r="P98" s="8">
        <f>IF(Titanic[[#This Row],[Edad]]="", "", IF(Titanic[[#This Row],[Edad]]&gt;=100, Titanic[[#This Row],[Edad]] / 10, Titanic[[#This Row],[Edad]]))</f>
        <v>46</v>
      </c>
      <c r="Q98" s="8" t="str">
        <f>IFERROR(LOOKUP(Titanic[[#This Row],[Edad Corrigida]],'Práctica 1'!$K$231:$K$240,'Práctica 1'!$L$231:$L$240), "DESCONOCIDO")</f>
        <v>8. ADULTO 3</v>
      </c>
      <c r="R98" s="8">
        <f>Titanic[[#This Row],[Familia Horizontal]]+Titanic[[#This Row],[Familia Vertical]]</f>
        <v>1</v>
      </c>
      <c r="S98" s="8"/>
      <c r="T98" s="8"/>
      <c r="U98" s="8"/>
      <c r="V98" s="8"/>
    </row>
    <row r="99" spans="2:22" x14ac:dyDescent="0.2">
      <c r="B99" s="6">
        <v>94</v>
      </c>
      <c r="C99" s="7">
        <v>0</v>
      </c>
      <c r="D99" s="8">
        <v>3</v>
      </c>
      <c r="E99" s="8" t="s">
        <v>108</v>
      </c>
      <c r="F99" s="8" t="s">
        <v>11</v>
      </c>
      <c r="G99" s="8">
        <v>26</v>
      </c>
      <c r="H99" s="8">
        <v>1</v>
      </c>
      <c r="I99" s="8">
        <v>2</v>
      </c>
      <c r="J99" s="8">
        <v>20575</v>
      </c>
      <c r="K99" s="8">
        <v>0</v>
      </c>
      <c r="L99" s="8" t="s">
        <v>12</v>
      </c>
      <c r="M99" s="8" t="str">
        <f>IF(Titanic[[#This Row],[Sobrevive]]=1, "SOBREVIVE", "NO SOBREVIVE")</f>
        <v>NO SOBREVIVE</v>
      </c>
      <c r="N99" s="8" t="str">
        <f>LOOKUP(Titanic[[#This Row],[Clase]],{1,2,3}, {"PRIMERA","SEGUNDA","TERCERA"})</f>
        <v>TERCERA</v>
      </c>
      <c r="O99" s="8" t="str">
        <f>IF(Titanic[[#This Row],[Sexo]]="Hombre", "HOMBRE", "MUJER")</f>
        <v>HOMBRE</v>
      </c>
      <c r="P99" s="8">
        <f>IF(Titanic[[#This Row],[Edad]]="", "", IF(Titanic[[#This Row],[Edad]]&gt;=100, Titanic[[#This Row],[Edad]] / 10, Titanic[[#This Row],[Edad]]))</f>
        <v>26</v>
      </c>
      <c r="Q99" s="8" t="str">
        <f>IFERROR(LOOKUP(Titanic[[#This Row],[Edad Corrigida]],'Práctica 1'!$K$231:$K$240,'Práctica 1'!$L$231:$L$240), "DESCONOCIDO")</f>
        <v>4. ADULTO JOVEN</v>
      </c>
      <c r="R99" s="8">
        <f>Titanic[[#This Row],[Familia Horizontal]]+Titanic[[#This Row],[Familia Vertical]]</f>
        <v>3</v>
      </c>
      <c r="S99" s="8"/>
      <c r="T99" s="8"/>
      <c r="U99" s="8"/>
      <c r="V99" s="8"/>
    </row>
    <row r="100" spans="2:22" x14ac:dyDescent="0.2">
      <c r="B100" s="6">
        <v>95</v>
      </c>
      <c r="C100" s="7">
        <v>0</v>
      </c>
      <c r="D100" s="8">
        <v>3</v>
      </c>
      <c r="E100" s="8" t="s">
        <v>109</v>
      </c>
      <c r="F100" s="8" t="s">
        <v>11</v>
      </c>
      <c r="G100" s="8">
        <v>59</v>
      </c>
      <c r="H100" s="8">
        <v>0</v>
      </c>
      <c r="I100" s="8">
        <v>0</v>
      </c>
      <c r="J100" s="8">
        <v>725</v>
      </c>
      <c r="K100" s="8">
        <v>0</v>
      </c>
      <c r="L100" s="8" t="s">
        <v>12</v>
      </c>
      <c r="M100" s="8" t="str">
        <f>IF(Titanic[[#This Row],[Sobrevive]]=1, "SOBREVIVE", "NO SOBREVIVE")</f>
        <v>NO SOBREVIVE</v>
      </c>
      <c r="N100" s="8" t="str">
        <f>LOOKUP(Titanic[[#This Row],[Clase]],{1,2,3}, {"PRIMERA","SEGUNDA","TERCERA"})</f>
        <v>TERCERA</v>
      </c>
      <c r="O100" s="8" t="str">
        <f>IF(Titanic[[#This Row],[Sexo]]="Hombre", "HOMBRE", "MUJER")</f>
        <v>HOMBRE</v>
      </c>
      <c r="P100" s="8">
        <f>IF(Titanic[[#This Row],[Edad]]="", "", IF(Titanic[[#This Row],[Edad]]&gt;=100, Titanic[[#This Row],[Edad]] / 10, Titanic[[#This Row],[Edad]]))</f>
        <v>59</v>
      </c>
      <c r="Q100" s="8" t="str">
        <f>IFERROR(LOOKUP(Titanic[[#This Row],[Edad Corrigida]],'Práctica 1'!$K$231:$K$240,'Práctica 1'!$L$231:$L$240), "DESCONOCIDO")</f>
        <v>9. ADULTO 4</v>
      </c>
      <c r="R100" s="8">
        <f>Titanic[[#This Row],[Familia Horizontal]]+Titanic[[#This Row],[Familia Vertical]]</f>
        <v>0</v>
      </c>
      <c r="S100" s="8"/>
      <c r="T100" s="8"/>
      <c r="U100" s="8"/>
      <c r="V100" s="8"/>
    </row>
    <row r="101" spans="2:22" x14ac:dyDescent="0.2">
      <c r="B101" s="6">
        <v>96</v>
      </c>
      <c r="C101" s="7">
        <v>0</v>
      </c>
      <c r="D101" s="8">
        <v>3</v>
      </c>
      <c r="E101" s="8" t="s">
        <v>110</v>
      </c>
      <c r="F101" s="8" t="s">
        <v>11</v>
      </c>
      <c r="G101" s="9"/>
      <c r="H101" s="8">
        <v>0</v>
      </c>
      <c r="I101" s="8">
        <v>0</v>
      </c>
      <c r="J101" s="8">
        <v>805</v>
      </c>
      <c r="K101" s="8">
        <v>0</v>
      </c>
      <c r="L101" s="8" t="s">
        <v>12</v>
      </c>
      <c r="M101" s="8" t="str">
        <f>IF(Titanic[[#This Row],[Sobrevive]]=1, "SOBREVIVE", "NO SOBREVIVE")</f>
        <v>NO SOBREVIVE</v>
      </c>
      <c r="N101" s="8" t="str">
        <f>LOOKUP(Titanic[[#This Row],[Clase]],{1,2,3}, {"PRIMERA","SEGUNDA","TERCERA"})</f>
        <v>TERCERA</v>
      </c>
      <c r="O101" s="8" t="str">
        <f>IF(Titanic[[#This Row],[Sexo]]="Hombre", "HOMBRE", "MUJER")</f>
        <v>HOMBRE</v>
      </c>
      <c r="P101" s="8" t="str">
        <f>IF(Titanic[[#This Row],[Edad]]="", "", IF(Titanic[[#This Row],[Edad]]&gt;=100, Titanic[[#This Row],[Edad]] / 10, Titanic[[#This Row],[Edad]]))</f>
        <v/>
      </c>
      <c r="Q101" s="8" t="str">
        <f>IFERROR(LOOKUP(Titanic[[#This Row],[Edad Corrigida]],'Práctica 1'!$K$231:$K$240,'Práctica 1'!$L$231:$L$240), "DESCONOCIDO")</f>
        <v>DESCONOCIDO</v>
      </c>
      <c r="R101" s="8">
        <f>Titanic[[#This Row],[Familia Horizontal]]+Titanic[[#This Row],[Familia Vertical]]</f>
        <v>0</v>
      </c>
      <c r="S101" s="8"/>
      <c r="T101" s="8"/>
      <c r="U101" s="8"/>
      <c r="V101" s="8"/>
    </row>
    <row r="102" spans="2:22" x14ac:dyDescent="0.2">
      <c r="B102" s="6">
        <v>97</v>
      </c>
      <c r="C102" s="7">
        <v>0</v>
      </c>
      <c r="D102" s="8">
        <v>1</v>
      </c>
      <c r="E102" s="8" t="s">
        <v>111</v>
      </c>
      <c r="F102" s="8" t="s">
        <v>11</v>
      </c>
      <c r="G102" s="8">
        <v>71</v>
      </c>
      <c r="H102" s="8">
        <v>0</v>
      </c>
      <c r="I102" s="8">
        <v>0</v>
      </c>
      <c r="J102" s="8">
        <v>346542</v>
      </c>
      <c r="K102" s="8">
        <v>1</v>
      </c>
      <c r="L102" s="8" t="s">
        <v>15</v>
      </c>
      <c r="M102" s="8" t="str">
        <f>IF(Titanic[[#This Row],[Sobrevive]]=1, "SOBREVIVE", "NO SOBREVIVE")</f>
        <v>NO SOBREVIVE</v>
      </c>
      <c r="N102" s="8" t="str">
        <f>LOOKUP(Titanic[[#This Row],[Clase]],{1,2,3}, {"PRIMERA","SEGUNDA","TERCERA"})</f>
        <v>PRIMERA</v>
      </c>
      <c r="O102" s="8" t="str">
        <f>IF(Titanic[[#This Row],[Sexo]]="Hombre", "HOMBRE", "MUJER")</f>
        <v>HOMBRE</v>
      </c>
      <c r="P102" s="8">
        <f>IF(Titanic[[#This Row],[Edad]]="", "", IF(Titanic[[#This Row],[Edad]]&gt;=100, Titanic[[#This Row],[Edad]] / 10, Titanic[[#This Row],[Edad]]))</f>
        <v>71</v>
      </c>
      <c r="Q102" s="8" t="str">
        <f>IFERROR(LOOKUP(Titanic[[#This Row],[Edad Corrigida]],'Práctica 1'!$K$231:$K$240,'Práctica 1'!$L$231:$L$240), "DESCONOCIDO")</f>
        <v>9. ADULTO 4</v>
      </c>
      <c r="R102" s="8">
        <f>Titanic[[#This Row],[Familia Horizontal]]+Titanic[[#This Row],[Familia Vertical]]</f>
        <v>0</v>
      </c>
      <c r="S102" s="8"/>
      <c r="T102" s="8"/>
      <c r="U102" s="8"/>
      <c r="V102" s="8"/>
    </row>
    <row r="103" spans="2:22" x14ac:dyDescent="0.2">
      <c r="B103" s="6">
        <v>98</v>
      </c>
      <c r="C103" s="7">
        <v>1</v>
      </c>
      <c r="D103" s="8">
        <v>1</v>
      </c>
      <c r="E103" s="8" t="s">
        <v>112</v>
      </c>
      <c r="F103" s="8" t="s">
        <v>11</v>
      </c>
      <c r="G103" s="8">
        <v>23</v>
      </c>
      <c r="H103" s="8">
        <v>0</v>
      </c>
      <c r="I103" s="8">
        <v>1</v>
      </c>
      <c r="J103" s="8">
        <v>633583</v>
      </c>
      <c r="K103" s="8">
        <v>1</v>
      </c>
      <c r="L103" s="8" t="s">
        <v>15</v>
      </c>
      <c r="M103" s="8" t="str">
        <f>IF(Titanic[[#This Row],[Sobrevive]]=1, "SOBREVIVE", "NO SOBREVIVE")</f>
        <v>SOBREVIVE</v>
      </c>
      <c r="N103" s="8" t="str">
        <f>LOOKUP(Titanic[[#This Row],[Clase]],{1,2,3}, {"PRIMERA","SEGUNDA","TERCERA"})</f>
        <v>PRIMERA</v>
      </c>
      <c r="O103" s="8" t="str">
        <f>IF(Titanic[[#This Row],[Sexo]]="Hombre", "HOMBRE", "MUJER")</f>
        <v>HOMBRE</v>
      </c>
      <c r="P103" s="8">
        <f>IF(Titanic[[#This Row],[Edad]]="", "", IF(Titanic[[#This Row],[Edad]]&gt;=100, Titanic[[#This Row],[Edad]] / 10, Titanic[[#This Row],[Edad]]))</f>
        <v>23</v>
      </c>
      <c r="Q103" s="8" t="str">
        <f>IFERROR(LOOKUP(Titanic[[#This Row],[Edad Corrigida]],'Práctica 1'!$K$231:$K$240,'Práctica 1'!$L$231:$L$240), "DESCONOCIDO")</f>
        <v>3. JOVEN</v>
      </c>
      <c r="R103" s="8">
        <f>Titanic[[#This Row],[Familia Horizontal]]+Titanic[[#This Row],[Familia Vertical]]</f>
        <v>1</v>
      </c>
      <c r="S103" s="8"/>
      <c r="T103" s="8"/>
      <c r="U103" s="8"/>
      <c r="V103" s="8"/>
    </row>
    <row r="104" spans="2:22" x14ac:dyDescent="0.2">
      <c r="B104" s="6">
        <v>99</v>
      </c>
      <c r="C104" s="7">
        <v>1</v>
      </c>
      <c r="D104" s="8">
        <v>2</v>
      </c>
      <c r="E104" s="8" t="s">
        <v>113</v>
      </c>
      <c r="F104" s="8" t="s">
        <v>14</v>
      </c>
      <c r="G104" s="8">
        <v>34</v>
      </c>
      <c r="H104" s="8">
        <v>0</v>
      </c>
      <c r="I104" s="8">
        <v>1</v>
      </c>
      <c r="J104" s="8">
        <v>23</v>
      </c>
      <c r="K104" s="8">
        <v>0</v>
      </c>
      <c r="L104" s="8" t="s">
        <v>12</v>
      </c>
      <c r="M104" s="8" t="str">
        <f>IF(Titanic[[#This Row],[Sobrevive]]=1, "SOBREVIVE", "NO SOBREVIVE")</f>
        <v>SOBREVIVE</v>
      </c>
      <c r="N104" s="8" t="str">
        <f>LOOKUP(Titanic[[#This Row],[Clase]],{1,2,3}, {"PRIMERA","SEGUNDA","TERCERA"})</f>
        <v>SEGUNDA</v>
      </c>
      <c r="O104" s="8" t="str">
        <f>IF(Titanic[[#This Row],[Sexo]]="Hombre", "HOMBRE", "MUJER")</f>
        <v>MUJER</v>
      </c>
      <c r="P104" s="8">
        <f>IF(Titanic[[#This Row],[Edad]]="", "", IF(Titanic[[#This Row],[Edad]]&gt;=100, Titanic[[#This Row],[Edad]] / 10, Titanic[[#This Row],[Edad]]))</f>
        <v>34</v>
      </c>
      <c r="Q104" s="8" t="str">
        <f>IFERROR(LOOKUP(Titanic[[#This Row],[Edad Corrigida]],'Práctica 1'!$K$231:$K$240,'Práctica 1'!$L$231:$L$240), "DESCONOCIDO")</f>
        <v>6. ADULTO 1</v>
      </c>
      <c r="R104" s="8">
        <f>Titanic[[#This Row],[Familia Horizontal]]+Titanic[[#This Row],[Familia Vertical]]</f>
        <v>1</v>
      </c>
      <c r="S104" s="8"/>
      <c r="T104" s="8"/>
      <c r="U104" s="8"/>
      <c r="V104" s="8"/>
    </row>
    <row r="105" spans="2:22" x14ac:dyDescent="0.2">
      <c r="B105" s="6">
        <v>100</v>
      </c>
      <c r="C105" s="7">
        <v>0</v>
      </c>
      <c r="D105" s="8">
        <v>2</v>
      </c>
      <c r="E105" s="8" t="s">
        <v>114</v>
      </c>
      <c r="F105" s="8" t="s">
        <v>11</v>
      </c>
      <c r="G105" s="8">
        <v>34</v>
      </c>
      <c r="H105" s="8">
        <v>1</v>
      </c>
      <c r="I105" s="8">
        <v>0</v>
      </c>
      <c r="J105" s="8">
        <v>26</v>
      </c>
      <c r="K105" s="8">
        <v>0</v>
      </c>
      <c r="L105" s="8" t="s">
        <v>12</v>
      </c>
      <c r="M105" s="8" t="str">
        <f>IF(Titanic[[#This Row],[Sobrevive]]=1, "SOBREVIVE", "NO SOBREVIVE")</f>
        <v>NO SOBREVIVE</v>
      </c>
      <c r="N105" s="8" t="str">
        <f>LOOKUP(Titanic[[#This Row],[Clase]],{1,2,3}, {"PRIMERA","SEGUNDA","TERCERA"})</f>
        <v>SEGUNDA</v>
      </c>
      <c r="O105" s="8" t="str">
        <f>IF(Titanic[[#This Row],[Sexo]]="Hombre", "HOMBRE", "MUJER")</f>
        <v>HOMBRE</v>
      </c>
      <c r="P105" s="8">
        <f>IF(Titanic[[#This Row],[Edad]]="", "", IF(Titanic[[#This Row],[Edad]]&gt;=100, Titanic[[#This Row],[Edad]] / 10, Titanic[[#This Row],[Edad]]))</f>
        <v>34</v>
      </c>
      <c r="Q105" s="8" t="str">
        <f>IFERROR(LOOKUP(Titanic[[#This Row],[Edad Corrigida]],'Práctica 1'!$K$231:$K$240,'Práctica 1'!$L$231:$L$240), "DESCONOCIDO")</f>
        <v>6. ADULTO 1</v>
      </c>
      <c r="R105" s="8">
        <f>Titanic[[#This Row],[Familia Horizontal]]+Titanic[[#This Row],[Familia Vertical]]</f>
        <v>1</v>
      </c>
      <c r="S105" s="8"/>
      <c r="T105" s="8"/>
      <c r="U105" s="8"/>
      <c r="V105" s="8"/>
    </row>
    <row r="106" spans="2:22" x14ac:dyDescent="0.2">
      <c r="B106" s="6">
        <v>101</v>
      </c>
      <c r="C106" s="7">
        <v>0</v>
      </c>
      <c r="D106" s="8">
        <v>3</v>
      </c>
      <c r="E106" s="8" t="s">
        <v>115</v>
      </c>
      <c r="F106" s="8" t="s">
        <v>14</v>
      </c>
      <c r="G106" s="8">
        <v>28</v>
      </c>
      <c r="H106" s="8">
        <v>0</v>
      </c>
      <c r="I106" s="8">
        <v>0</v>
      </c>
      <c r="J106" s="8">
        <v>78958</v>
      </c>
      <c r="K106" s="8">
        <v>0</v>
      </c>
      <c r="L106" s="8" t="s">
        <v>12</v>
      </c>
      <c r="M106" s="8" t="str">
        <f>IF(Titanic[[#This Row],[Sobrevive]]=1, "SOBREVIVE", "NO SOBREVIVE")</f>
        <v>NO SOBREVIVE</v>
      </c>
      <c r="N106" s="8" t="str">
        <f>LOOKUP(Titanic[[#This Row],[Clase]],{1,2,3}, {"PRIMERA","SEGUNDA","TERCERA"})</f>
        <v>TERCERA</v>
      </c>
      <c r="O106" s="8" t="str">
        <f>IF(Titanic[[#This Row],[Sexo]]="Hombre", "HOMBRE", "MUJER")</f>
        <v>MUJER</v>
      </c>
      <c r="P106" s="8">
        <f>IF(Titanic[[#This Row],[Edad]]="", "", IF(Titanic[[#This Row],[Edad]]&gt;=100, Titanic[[#This Row],[Edad]] / 10, Titanic[[#This Row],[Edad]]))</f>
        <v>28</v>
      </c>
      <c r="Q106" s="8" t="str">
        <f>IFERROR(LOOKUP(Titanic[[#This Row],[Edad Corrigida]],'Práctica 1'!$K$231:$K$240,'Práctica 1'!$L$231:$L$240), "DESCONOCIDO")</f>
        <v>4. ADULTO JOVEN</v>
      </c>
      <c r="R106" s="8">
        <f>Titanic[[#This Row],[Familia Horizontal]]+Titanic[[#This Row],[Familia Vertical]]</f>
        <v>0</v>
      </c>
      <c r="S106" s="8"/>
      <c r="T106" s="8"/>
      <c r="U106" s="8"/>
      <c r="V106" s="8"/>
    </row>
    <row r="107" spans="2:22" x14ac:dyDescent="0.2">
      <c r="B107" s="6">
        <v>102</v>
      </c>
      <c r="C107" s="7">
        <v>0</v>
      </c>
      <c r="D107" s="8">
        <v>3</v>
      </c>
      <c r="E107" s="8" t="s">
        <v>116</v>
      </c>
      <c r="F107" s="8" t="s">
        <v>11</v>
      </c>
      <c r="G107" s="9"/>
      <c r="H107" s="8">
        <v>0</v>
      </c>
      <c r="I107" s="8">
        <v>0</v>
      </c>
      <c r="J107" s="8">
        <v>78958</v>
      </c>
      <c r="K107" s="8">
        <v>0</v>
      </c>
      <c r="L107" s="8" t="s">
        <v>12</v>
      </c>
      <c r="M107" s="8" t="str">
        <f>IF(Titanic[[#This Row],[Sobrevive]]=1, "SOBREVIVE", "NO SOBREVIVE")</f>
        <v>NO SOBREVIVE</v>
      </c>
      <c r="N107" s="8" t="str">
        <f>LOOKUP(Titanic[[#This Row],[Clase]],{1,2,3}, {"PRIMERA","SEGUNDA","TERCERA"})</f>
        <v>TERCERA</v>
      </c>
      <c r="O107" s="8" t="str">
        <f>IF(Titanic[[#This Row],[Sexo]]="Hombre", "HOMBRE", "MUJER")</f>
        <v>HOMBRE</v>
      </c>
      <c r="P107" s="8" t="str">
        <f>IF(Titanic[[#This Row],[Edad]]="", "", IF(Titanic[[#This Row],[Edad]]&gt;=100, Titanic[[#This Row],[Edad]] / 10, Titanic[[#This Row],[Edad]]))</f>
        <v/>
      </c>
      <c r="Q107" s="8" t="str">
        <f>IFERROR(LOOKUP(Titanic[[#This Row],[Edad Corrigida]],'Práctica 1'!$K$231:$K$240,'Práctica 1'!$L$231:$L$240), "DESCONOCIDO")</f>
        <v>DESCONOCIDO</v>
      </c>
      <c r="R107" s="8">
        <f>Titanic[[#This Row],[Familia Horizontal]]+Titanic[[#This Row],[Familia Vertical]]</f>
        <v>0</v>
      </c>
      <c r="S107" s="8"/>
      <c r="T107" s="8"/>
      <c r="U107" s="8"/>
      <c r="V107" s="8"/>
    </row>
    <row r="108" spans="2:22" x14ac:dyDescent="0.2">
      <c r="B108" s="6">
        <v>103</v>
      </c>
      <c r="C108" s="7">
        <v>0</v>
      </c>
      <c r="D108" s="8">
        <v>1</v>
      </c>
      <c r="E108" s="8" t="s">
        <v>117</v>
      </c>
      <c r="F108" s="8" t="s">
        <v>11</v>
      </c>
      <c r="G108" s="8">
        <v>21</v>
      </c>
      <c r="H108" s="8">
        <v>0</v>
      </c>
      <c r="I108" s="8">
        <v>1</v>
      </c>
      <c r="J108" s="8">
        <v>772875</v>
      </c>
      <c r="K108" s="8">
        <v>1</v>
      </c>
      <c r="L108" s="8" t="s">
        <v>12</v>
      </c>
      <c r="M108" s="8" t="str">
        <f>IF(Titanic[[#This Row],[Sobrevive]]=1, "SOBREVIVE", "NO SOBREVIVE")</f>
        <v>NO SOBREVIVE</v>
      </c>
      <c r="N108" s="8" t="str">
        <f>LOOKUP(Titanic[[#This Row],[Clase]],{1,2,3}, {"PRIMERA","SEGUNDA","TERCERA"})</f>
        <v>PRIMERA</v>
      </c>
      <c r="O108" s="8" t="str">
        <f>IF(Titanic[[#This Row],[Sexo]]="Hombre", "HOMBRE", "MUJER")</f>
        <v>HOMBRE</v>
      </c>
      <c r="P108" s="8">
        <f>IF(Titanic[[#This Row],[Edad]]="", "", IF(Titanic[[#This Row],[Edad]]&gt;=100, Titanic[[#This Row],[Edad]] / 10, Titanic[[#This Row],[Edad]]))</f>
        <v>21</v>
      </c>
      <c r="Q108" s="8" t="str">
        <f>IFERROR(LOOKUP(Titanic[[#This Row],[Edad Corrigida]],'Práctica 1'!$K$231:$K$240,'Práctica 1'!$L$231:$L$240), "DESCONOCIDO")</f>
        <v>2. ADOLESCENTE</v>
      </c>
      <c r="R108" s="8">
        <f>Titanic[[#This Row],[Familia Horizontal]]+Titanic[[#This Row],[Familia Vertical]]</f>
        <v>1</v>
      </c>
      <c r="S108" s="8"/>
      <c r="T108" s="8"/>
      <c r="U108" s="8"/>
      <c r="V108" s="8"/>
    </row>
    <row r="109" spans="2:22" x14ac:dyDescent="0.2">
      <c r="B109" s="6">
        <v>104</v>
      </c>
      <c r="C109" s="7">
        <v>0</v>
      </c>
      <c r="D109" s="8">
        <v>3</v>
      </c>
      <c r="E109" s="8" t="s">
        <v>118</v>
      </c>
      <c r="F109" s="8" t="s">
        <v>11</v>
      </c>
      <c r="G109" s="8">
        <v>33</v>
      </c>
      <c r="H109" s="8">
        <v>0</v>
      </c>
      <c r="I109" s="8">
        <v>0</v>
      </c>
      <c r="J109" s="8">
        <v>86542</v>
      </c>
      <c r="K109" s="8">
        <v>0</v>
      </c>
      <c r="L109" s="8" t="s">
        <v>12</v>
      </c>
      <c r="M109" s="8" t="str">
        <f>IF(Titanic[[#This Row],[Sobrevive]]=1, "SOBREVIVE", "NO SOBREVIVE")</f>
        <v>NO SOBREVIVE</v>
      </c>
      <c r="N109" s="8" t="str">
        <f>LOOKUP(Titanic[[#This Row],[Clase]],{1,2,3}, {"PRIMERA","SEGUNDA","TERCERA"})</f>
        <v>TERCERA</v>
      </c>
      <c r="O109" s="8" t="str">
        <f>IF(Titanic[[#This Row],[Sexo]]="Hombre", "HOMBRE", "MUJER")</f>
        <v>HOMBRE</v>
      </c>
      <c r="P109" s="8">
        <f>IF(Titanic[[#This Row],[Edad]]="", "", IF(Titanic[[#This Row],[Edad]]&gt;=100, Titanic[[#This Row],[Edad]] / 10, Titanic[[#This Row],[Edad]]))</f>
        <v>33</v>
      </c>
      <c r="Q109" s="8" t="str">
        <f>IFERROR(LOOKUP(Titanic[[#This Row],[Edad Corrigida]],'Práctica 1'!$K$231:$K$240,'Práctica 1'!$L$231:$L$240), "DESCONOCIDO")</f>
        <v>6. ADULTO 1</v>
      </c>
      <c r="R109" s="8">
        <f>Titanic[[#This Row],[Familia Horizontal]]+Titanic[[#This Row],[Familia Vertical]]</f>
        <v>0</v>
      </c>
      <c r="S109" s="8"/>
      <c r="T109" s="8"/>
      <c r="U109" s="8"/>
      <c r="V109" s="8"/>
    </row>
    <row r="110" spans="2:22" x14ac:dyDescent="0.2">
      <c r="B110" s="6">
        <v>105</v>
      </c>
      <c r="C110" s="7">
        <v>0</v>
      </c>
      <c r="D110" s="8">
        <v>3</v>
      </c>
      <c r="E110" s="8" t="s">
        <v>119</v>
      </c>
      <c r="F110" s="8" t="s">
        <v>11</v>
      </c>
      <c r="G110" s="8">
        <v>37</v>
      </c>
      <c r="H110" s="8">
        <v>2</v>
      </c>
      <c r="I110" s="8">
        <v>0</v>
      </c>
      <c r="J110" s="8">
        <v>7925</v>
      </c>
      <c r="K110" s="8">
        <v>0</v>
      </c>
      <c r="L110" s="8" t="s">
        <v>12</v>
      </c>
      <c r="M110" s="8" t="str">
        <f>IF(Titanic[[#This Row],[Sobrevive]]=1, "SOBREVIVE", "NO SOBREVIVE")</f>
        <v>NO SOBREVIVE</v>
      </c>
      <c r="N110" s="8" t="str">
        <f>LOOKUP(Titanic[[#This Row],[Clase]],{1,2,3}, {"PRIMERA","SEGUNDA","TERCERA"})</f>
        <v>TERCERA</v>
      </c>
      <c r="O110" s="8" t="str">
        <f>IF(Titanic[[#This Row],[Sexo]]="Hombre", "HOMBRE", "MUJER")</f>
        <v>HOMBRE</v>
      </c>
      <c r="P110" s="8">
        <f>IF(Titanic[[#This Row],[Edad]]="", "", IF(Titanic[[#This Row],[Edad]]&gt;=100, Titanic[[#This Row],[Edad]] / 10, Titanic[[#This Row],[Edad]]))</f>
        <v>37</v>
      </c>
      <c r="Q110" s="8" t="str">
        <f>IFERROR(LOOKUP(Titanic[[#This Row],[Edad Corrigida]],'Práctica 1'!$K$231:$K$240,'Práctica 1'!$L$231:$L$240), "DESCONOCIDO")</f>
        <v>7. ADULTO 2</v>
      </c>
      <c r="R110" s="8">
        <f>Titanic[[#This Row],[Familia Horizontal]]+Titanic[[#This Row],[Familia Vertical]]</f>
        <v>2</v>
      </c>
      <c r="S110" s="8"/>
      <c r="T110" s="8"/>
      <c r="U110" s="8"/>
      <c r="V110" s="8"/>
    </row>
    <row r="111" spans="2:22" x14ac:dyDescent="0.2">
      <c r="B111" s="6">
        <v>106</v>
      </c>
      <c r="C111" s="7">
        <v>0</v>
      </c>
      <c r="D111" s="8">
        <v>3</v>
      </c>
      <c r="E111" s="8" t="s">
        <v>120</v>
      </c>
      <c r="F111" s="8" t="s">
        <v>11</v>
      </c>
      <c r="G111" s="8">
        <v>28</v>
      </c>
      <c r="H111" s="8">
        <v>0</v>
      </c>
      <c r="I111" s="8">
        <v>0</v>
      </c>
      <c r="J111" s="8">
        <v>78958</v>
      </c>
      <c r="K111" s="8">
        <v>0</v>
      </c>
      <c r="L111" s="8" t="s">
        <v>12</v>
      </c>
      <c r="M111" s="8" t="str">
        <f>IF(Titanic[[#This Row],[Sobrevive]]=1, "SOBREVIVE", "NO SOBREVIVE")</f>
        <v>NO SOBREVIVE</v>
      </c>
      <c r="N111" s="8" t="str">
        <f>LOOKUP(Titanic[[#This Row],[Clase]],{1,2,3}, {"PRIMERA","SEGUNDA","TERCERA"})</f>
        <v>TERCERA</v>
      </c>
      <c r="O111" s="8" t="str">
        <f>IF(Titanic[[#This Row],[Sexo]]="Hombre", "HOMBRE", "MUJER")</f>
        <v>HOMBRE</v>
      </c>
      <c r="P111" s="8">
        <f>IF(Titanic[[#This Row],[Edad]]="", "", IF(Titanic[[#This Row],[Edad]]&gt;=100, Titanic[[#This Row],[Edad]] / 10, Titanic[[#This Row],[Edad]]))</f>
        <v>28</v>
      </c>
      <c r="Q111" s="8" t="str">
        <f>IFERROR(LOOKUP(Titanic[[#This Row],[Edad Corrigida]],'Práctica 1'!$K$231:$K$240,'Práctica 1'!$L$231:$L$240), "DESCONOCIDO")</f>
        <v>4. ADULTO JOVEN</v>
      </c>
      <c r="R111" s="8">
        <f>Titanic[[#This Row],[Familia Horizontal]]+Titanic[[#This Row],[Familia Vertical]]</f>
        <v>0</v>
      </c>
      <c r="S111" s="8"/>
      <c r="T111" s="8"/>
      <c r="U111" s="8"/>
      <c r="V111" s="8"/>
    </row>
    <row r="112" spans="2:22" x14ac:dyDescent="0.2">
      <c r="B112" s="6">
        <v>107</v>
      </c>
      <c r="C112" s="7">
        <v>1</v>
      </c>
      <c r="D112" s="8">
        <v>3</v>
      </c>
      <c r="E112" s="8" t="s">
        <v>121</v>
      </c>
      <c r="F112" s="8" t="s">
        <v>14</v>
      </c>
      <c r="G112" s="8">
        <v>21</v>
      </c>
      <c r="H112" s="8">
        <v>0</v>
      </c>
      <c r="I112" s="8">
        <v>0</v>
      </c>
      <c r="J112" s="8">
        <v>765</v>
      </c>
      <c r="K112" s="8">
        <v>0</v>
      </c>
      <c r="L112" s="8" t="s">
        <v>12</v>
      </c>
      <c r="M112" s="8" t="str">
        <f>IF(Titanic[[#This Row],[Sobrevive]]=1, "SOBREVIVE", "NO SOBREVIVE")</f>
        <v>SOBREVIVE</v>
      </c>
      <c r="N112" s="8" t="str">
        <f>LOOKUP(Titanic[[#This Row],[Clase]],{1,2,3}, {"PRIMERA","SEGUNDA","TERCERA"})</f>
        <v>TERCERA</v>
      </c>
      <c r="O112" s="8" t="str">
        <f>IF(Titanic[[#This Row],[Sexo]]="Hombre", "HOMBRE", "MUJER")</f>
        <v>MUJER</v>
      </c>
      <c r="P112" s="8">
        <f>IF(Titanic[[#This Row],[Edad]]="", "", IF(Titanic[[#This Row],[Edad]]&gt;=100, Titanic[[#This Row],[Edad]] / 10, Titanic[[#This Row],[Edad]]))</f>
        <v>21</v>
      </c>
      <c r="Q112" s="8" t="str">
        <f>IFERROR(LOOKUP(Titanic[[#This Row],[Edad Corrigida]],'Práctica 1'!$K$231:$K$240,'Práctica 1'!$L$231:$L$240), "DESCONOCIDO")</f>
        <v>2. ADOLESCENTE</v>
      </c>
      <c r="R112" s="8">
        <f>Titanic[[#This Row],[Familia Horizontal]]+Titanic[[#This Row],[Familia Vertical]]</f>
        <v>0</v>
      </c>
      <c r="S112" s="8"/>
      <c r="T112" s="8"/>
      <c r="U112" s="8"/>
      <c r="V112" s="8"/>
    </row>
    <row r="113" spans="2:22" x14ac:dyDescent="0.2">
      <c r="B113" s="6">
        <v>108</v>
      </c>
      <c r="C113" s="7">
        <v>1</v>
      </c>
      <c r="D113" s="8">
        <v>3</v>
      </c>
      <c r="E113" s="8" t="s">
        <v>122</v>
      </c>
      <c r="F113" s="8" t="s">
        <v>11</v>
      </c>
      <c r="G113" s="9"/>
      <c r="H113" s="8">
        <v>0</v>
      </c>
      <c r="I113" s="8">
        <v>0</v>
      </c>
      <c r="J113" s="8">
        <v>7775</v>
      </c>
      <c r="K113" s="8">
        <v>0</v>
      </c>
      <c r="L113" s="8" t="s">
        <v>12</v>
      </c>
      <c r="M113" s="8" t="str">
        <f>IF(Titanic[[#This Row],[Sobrevive]]=1, "SOBREVIVE", "NO SOBREVIVE")</f>
        <v>SOBREVIVE</v>
      </c>
      <c r="N113" s="8" t="str">
        <f>LOOKUP(Titanic[[#This Row],[Clase]],{1,2,3}, {"PRIMERA","SEGUNDA","TERCERA"})</f>
        <v>TERCERA</v>
      </c>
      <c r="O113" s="8" t="str">
        <f>IF(Titanic[[#This Row],[Sexo]]="Hombre", "HOMBRE", "MUJER")</f>
        <v>HOMBRE</v>
      </c>
      <c r="P113" s="8" t="str">
        <f>IF(Titanic[[#This Row],[Edad]]="", "", IF(Titanic[[#This Row],[Edad]]&gt;=100, Titanic[[#This Row],[Edad]] / 10, Titanic[[#This Row],[Edad]]))</f>
        <v/>
      </c>
      <c r="Q113" s="8" t="str">
        <f>IFERROR(LOOKUP(Titanic[[#This Row],[Edad Corrigida]],'Práctica 1'!$K$231:$K$240,'Práctica 1'!$L$231:$L$240), "DESCONOCIDO")</f>
        <v>DESCONOCIDO</v>
      </c>
      <c r="R113" s="8">
        <f>Titanic[[#This Row],[Familia Horizontal]]+Titanic[[#This Row],[Familia Vertical]]</f>
        <v>0</v>
      </c>
      <c r="S113" s="8"/>
      <c r="T113" s="8"/>
      <c r="U113" s="8"/>
      <c r="V113" s="8"/>
    </row>
    <row r="114" spans="2:22" x14ac:dyDescent="0.2">
      <c r="B114" s="6">
        <v>109</v>
      </c>
      <c r="C114" s="7">
        <v>0</v>
      </c>
      <c r="D114" s="8">
        <v>3</v>
      </c>
      <c r="E114" s="8" t="s">
        <v>123</v>
      </c>
      <c r="F114" s="8" t="s">
        <v>11</v>
      </c>
      <c r="G114" s="8">
        <v>38</v>
      </c>
      <c r="H114" s="8">
        <v>0</v>
      </c>
      <c r="I114" s="8">
        <v>0</v>
      </c>
      <c r="J114" s="8">
        <v>78958</v>
      </c>
      <c r="K114" s="8">
        <v>0</v>
      </c>
      <c r="L114" s="8" t="s">
        <v>12</v>
      </c>
      <c r="M114" s="8" t="str">
        <f>IF(Titanic[[#This Row],[Sobrevive]]=1, "SOBREVIVE", "NO SOBREVIVE")</f>
        <v>NO SOBREVIVE</v>
      </c>
      <c r="N114" s="8" t="str">
        <f>LOOKUP(Titanic[[#This Row],[Clase]],{1,2,3}, {"PRIMERA","SEGUNDA","TERCERA"})</f>
        <v>TERCERA</v>
      </c>
      <c r="O114" s="8" t="str">
        <f>IF(Titanic[[#This Row],[Sexo]]="Hombre", "HOMBRE", "MUJER")</f>
        <v>HOMBRE</v>
      </c>
      <c r="P114" s="8">
        <f>IF(Titanic[[#This Row],[Edad]]="", "", IF(Titanic[[#This Row],[Edad]]&gt;=100, Titanic[[#This Row],[Edad]] / 10, Titanic[[#This Row],[Edad]]))</f>
        <v>38</v>
      </c>
      <c r="Q114" s="8" t="str">
        <f>IFERROR(LOOKUP(Titanic[[#This Row],[Edad Corrigida]],'Práctica 1'!$K$231:$K$240,'Práctica 1'!$L$231:$L$240), "DESCONOCIDO")</f>
        <v>7. ADULTO 2</v>
      </c>
      <c r="R114" s="8">
        <f>Titanic[[#This Row],[Familia Horizontal]]+Titanic[[#This Row],[Familia Vertical]]</f>
        <v>0</v>
      </c>
      <c r="S114" s="8"/>
      <c r="T114" s="8"/>
      <c r="U114" s="8"/>
      <c r="V114" s="8"/>
    </row>
    <row r="115" spans="2:22" x14ac:dyDescent="0.2">
      <c r="B115" s="6">
        <v>110</v>
      </c>
      <c r="C115" s="7">
        <v>1</v>
      </c>
      <c r="D115" s="8">
        <v>3</v>
      </c>
      <c r="E115" s="8" t="s">
        <v>124</v>
      </c>
      <c r="F115" s="8" t="s">
        <v>14</v>
      </c>
      <c r="G115" s="9"/>
      <c r="H115" s="8">
        <v>1</v>
      </c>
      <c r="I115" s="8">
        <v>0</v>
      </c>
      <c r="J115" s="8">
        <v>2415</v>
      </c>
      <c r="K115" s="8">
        <v>0</v>
      </c>
      <c r="L115" s="8" t="s">
        <v>20</v>
      </c>
      <c r="M115" s="8" t="str">
        <f>IF(Titanic[[#This Row],[Sobrevive]]=1, "SOBREVIVE", "NO SOBREVIVE")</f>
        <v>SOBREVIVE</v>
      </c>
      <c r="N115" s="8" t="str">
        <f>LOOKUP(Titanic[[#This Row],[Clase]],{1,2,3}, {"PRIMERA","SEGUNDA","TERCERA"})</f>
        <v>TERCERA</v>
      </c>
      <c r="O115" s="8" t="str">
        <f>IF(Titanic[[#This Row],[Sexo]]="Hombre", "HOMBRE", "MUJER")</f>
        <v>MUJER</v>
      </c>
      <c r="P115" s="8" t="str">
        <f>IF(Titanic[[#This Row],[Edad]]="", "", IF(Titanic[[#This Row],[Edad]]&gt;=100, Titanic[[#This Row],[Edad]] / 10, Titanic[[#This Row],[Edad]]))</f>
        <v/>
      </c>
      <c r="Q115" s="8" t="str">
        <f>IFERROR(LOOKUP(Titanic[[#This Row],[Edad Corrigida]],'Práctica 1'!$K$231:$K$240,'Práctica 1'!$L$231:$L$240), "DESCONOCIDO")</f>
        <v>DESCONOCIDO</v>
      </c>
      <c r="R115" s="8">
        <f>Titanic[[#This Row],[Familia Horizontal]]+Titanic[[#This Row],[Familia Vertical]]</f>
        <v>1</v>
      </c>
      <c r="S115" s="8"/>
      <c r="T115" s="8"/>
      <c r="U115" s="8"/>
      <c r="V115" s="8"/>
    </row>
    <row r="116" spans="2:22" x14ac:dyDescent="0.2">
      <c r="B116" s="6">
        <v>111</v>
      </c>
      <c r="C116" s="7">
        <v>0</v>
      </c>
      <c r="D116" s="8">
        <v>1</v>
      </c>
      <c r="E116" s="8" t="s">
        <v>125</v>
      </c>
      <c r="F116" s="8" t="s">
        <v>11</v>
      </c>
      <c r="G116" s="8">
        <v>47</v>
      </c>
      <c r="H116" s="8">
        <v>0</v>
      </c>
      <c r="I116" s="8">
        <v>0</v>
      </c>
      <c r="J116" s="8">
        <v>52</v>
      </c>
      <c r="K116" s="8">
        <v>1</v>
      </c>
      <c r="L116" s="8" t="s">
        <v>12</v>
      </c>
      <c r="M116" s="8" t="str">
        <f>IF(Titanic[[#This Row],[Sobrevive]]=1, "SOBREVIVE", "NO SOBREVIVE")</f>
        <v>NO SOBREVIVE</v>
      </c>
      <c r="N116" s="8" t="str">
        <f>LOOKUP(Titanic[[#This Row],[Clase]],{1,2,3}, {"PRIMERA","SEGUNDA","TERCERA"})</f>
        <v>PRIMERA</v>
      </c>
      <c r="O116" s="8" t="str">
        <f>IF(Titanic[[#This Row],[Sexo]]="Hombre", "HOMBRE", "MUJER")</f>
        <v>HOMBRE</v>
      </c>
      <c r="P116" s="8">
        <f>IF(Titanic[[#This Row],[Edad]]="", "", IF(Titanic[[#This Row],[Edad]]&gt;=100, Titanic[[#This Row],[Edad]] / 10, Titanic[[#This Row],[Edad]]))</f>
        <v>47</v>
      </c>
      <c r="Q116" s="8" t="str">
        <f>IFERROR(LOOKUP(Titanic[[#This Row],[Edad Corrigida]],'Práctica 1'!$K$231:$K$240,'Práctica 1'!$L$231:$L$240), "DESCONOCIDO")</f>
        <v>8. ADULTO 3</v>
      </c>
      <c r="R116" s="8">
        <f>Titanic[[#This Row],[Familia Horizontal]]+Titanic[[#This Row],[Familia Vertical]]</f>
        <v>0</v>
      </c>
      <c r="S116" s="8"/>
      <c r="T116" s="8"/>
      <c r="U116" s="8"/>
      <c r="V116" s="8"/>
    </row>
    <row r="117" spans="2:22" x14ac:dyDescent="0.2">
      <c r="B117" s="6">
        <v>112</v>
      </c>
      <c r="C117" s="7">
        <v>0</v>
      </c>
      <c r="D117" s="8">
        <v>3</v>
      </c>
      <c r="E117" s="8" t="s">
        <v>126</v>
      </c>
      <c r="F117" s="8" t="s">
        <v>14</v>
      </c>
      <c r="G117" s="8">
        <v>145</v>
      </c>
      <c r="H117" s="8">
        <v>1</v>
      </c>
      <c r="I117" s="8">
        <v>0</v>
      </c>
      <c r="J117" s="8">
        <v>144542</v>
      </c>
      <c r="K117" s="8">
        <v>0</v>
      </c>
      <c r="L117" s="8" t="s">
        <v>15</v>
      </c>
      <c r="M117" s="8" t="str">
        <f>IF(Titanic[[#This Row],[Sobrevive]]=1, "SOBREVIVE", "NO SOBREVIVE")</f>
        <v>NO SOBREVIVE</v>
      </c>
      <c r="N117" s="8" t="str">
        <f>LOOKUP(Titanic[[#This Row],[Clase]],{1,2,3}, {"PRIMERA","SEGUNDA","TERCERA"})</f>
        <v>TERCERA</v>
      </c>
      <c r="O117" s="8" t="str">
        <f>IF(Titanic[[#This Row],[Sexo]]="Hombre", "HOMBRE", "MUJER")</f>
        <v>MUJER</v>
      </c>
      <c r="P117" s="8">
        <f>IF(Titanic[[#This Row],[Edad]]="", "", IF(Titanic[[#This Row],[Edad]]&gt;=100, Titanic[[#This Row],[Edad]] / 10, Titanic[[#This Row],[Edad]]))</f>
        <v>14.5</v>
      </c>
      <c r="Q117" s="8" t="str">
        <f>IFERROR(LOOKUP(Titanic[[#This Row],[Edad Corrigida]],'Práctica 1'!$K$231:$K$240,'Práctica 1'!$L$231:$L$240), "DESCONOCIDO")</f>
        <v>DESCONOCIDO</v>
      </c>
      <c r="R117" s="8">
        <f>Titanic[[#This Row],[Familia Horizontal]]+Titanic[[#This Row],[Familia Vertical]]</f>
        <v>1</v>
      </c>
      <c r="S117" s="8"/>
      <c r="T117" s="8"/>
      <c r="U117" s="8"/>
      <c r="V117" s="8"/>
    </row>
    <row r="118" spans="2:22" x14ac:dyDescent="0.2">
      <c r="B118" s="6">
        <v>113</v>
      </c>
      <c r="C118" s="7">
        <v>0</v>
      </c>
      <c r="D118" s="8">
        <v>3</v>
      </c>
      <c r="E118" s="8" t="s">
        <v>127</v>
      </c>
      <c r="F118" s="8" t="s">
        <v>11</v>
      </c>
      <c r="G118" s="8">
        <v>22</v>
      </c>
      <c r="H118" s="8">
        <v>0</v>
      </c>
      <c r="I118" s="8">
        <v>0</v>
      </c>
      <c r="J118" s="8">
        <v>805</v>
      </c>
      <c r="K118" s="8">
        <v>0</v>
      </c>
      <c r="L118" s="8" t="s">
        <v>12</v>
      </c>
      <c r="M118" s="8" t="str">
        <f>IF(Titanic[[#This Row],[Sobrevive]]=1, "SOBREVIVE", "NO SOBREVIVE")</f>
        <v>NO SOBREVIVE</v>
      </c>
      <c r="N118" s="8" t="str">
        <f>LOOKUP(Titanic[[#This Row],[Clase]],{1,2,3}, {"PRIMERA","SEGUNDA","TERCERA"})</f>
        <v>TERCERA</v>
      </c>
      <c r="O118" s="8" t="str">
        <f>IF(Titanic[[#This Row],[Sexo]]="Hombre", "HOMBRE", "MUJER")</f>
        <v>HOMBRE</v>
      </c>
      <c r="P118" s="8">
        <f>IF(Titanic[[#This Row],[Edad]]="", "", IF(Titanic[[#This Row],[Edad]]&gt;=100, Titanic[[#This Row],[Edad]] / 10, Titanic[[#This Row],[Edad]]))</f>
        <v>22</v>
      </c>
      <c r="Q118" s="8" t="str">
        <f>IFERROR(LOOKUP(Titanic[[#This Row],[Edad Corrigida]],'Práctica 1'!$K$231:$K$240,'Práctica 1'!$L$231:$L$240), "DESCONOCIDO")</f>
        <v>3. JOVEN</v>
      </c>
      <c r="R118" s="8">
        <f>Titanic[[#This Row],[Familia Horizontal]]+Titanic[[#This Row],[Familia Vertical]]</f>
        <v>0</v>
      </c>
      <c r="S118" s="8"/>
      <c r="T118" s="8"/>
      <c r="U118" s="8"/>
      <c r="V118" s="8"/>
    </row>
    <row r="119" spans="2:22" x14ac:dyDescent="0.2">
      <c r="B119" s="6">
        <v>114</v>
      </c>
      <c r="C119" s="7">
        <v>0</v>
      </c>
      <c r="D119" s="8">
        <v>3</v>
      </c>
      <c r="E119" s="8" t="s">
        <v>128</v>
      </c>
      <c r="F119" s="8" t="s">
        <v>14</v>
      </c>
      <c r="G119" s="8">
        <v>20</v>
      </c>
      <c r="H119" s="8">
        <v>1</v>
      </c>
      <c r="I119" s="8">
        <v>0</v>
      </c>
      <c r="J119" s="8">
        <v>9825</v>
      </c>
      <c r="K119" s="8">
        <v>0</v>
      </c>
      <c r="L119" s="8" t="s">
        <v>12</v>
      </c>
      <c r="M119" s="8" t="str">
        <f>IF(Titanic[[#This Row],[Sobrevive]]=1, "SOBREVIVE", "NO SOBREVIVE")</f>
        <v>NO SOBREVIVE</v>
      </c>
      <c r="N119" s="8" t="str">
        <f>LOOKUP(Titanic[[#This Row],[Clase]],{1,2,3}, {"PRIMERA","SEGUNDA","TERCERA"})</f>
        <v>TERCERA</v>
      </c>
      <c r="O119" s="8" t="str">
        <f>IF(Titanic[[#This Row],[Sexo]]="Hombre", "HOMBRE", "MUJER")</f>
        <v>MUJER</v>
      </c>
      <c r="P119" s="8">
        <f>IF(Titanic[[#This Row],[Edad]]="", "", IF(Titanic[[#This Row],[Edad]]&gt;=100, Titanic[[#This Row],[Edad]] / 10, Titanic[[#This Row],[Edad]]))</f>
        <v>20</v>
      </c>
      <c r="Q119" s="8" t="str">
        <f>IFERROR(LOOKUP(Titanic[[#This Row],[Edad Corrigida]],'Práctica 1'!$K$231:$K$240,'Práctica 1'!$L$231:$L$240), "DESCONOCIDO")</f>
        <v>2. ADOLESCENTE</v>
      </c>
      <c r="R119" s="8">
        <f>Titanic[[#This Row],[Familia Horizontal]]+Titanic[[#This Row],[Familia Vertical]]</f>
        <v>1</v>
      </c>
      <c r="S119" s="8"/>
      <c r="T119" s="8"/>
      <c r="U119" s="8"/>
      <c r="V119" s="8"/>
    </row>
    <row r="120" spans="2:22" x14ac:dyDescent="0.2">
      <c r="B120" s="6">
        <v>115</v>
      </c>
      <c r="C120" s="7">
        <v>0</v>
      </c>
      <c r="D120" s="8">
        <v>3</v>
      </c>
      <c r="E120" s="8" t="s">
        <v>129</v>
      </c>
      <c r="F120" s="8" t="s">
        <v>14</v>
      </c>
      <c r="G120" s="8">
        <v>17</v>
      </c>
      <c r="H120" s="8">
        <v>0</v>
      </c>
      <c r="I120" s="8">
        <v>0</v>
      </c>
      <c r="J120" s="8">
        <v>144583</v>
      </c>
      <c r="K120" s="8">
        <v>0</v>
      </c>
      <c r="L120" s="8" t="s">
        <v>15</v>
      </c>
      <c r="M120" s="8" t="str">
        <f>IF(Titanic[[#This Row],[Sobrevive]]=1, "SOBREVIVE", "NO SOBREVIVE")</f>
        <v>NO SOBREVIVE</v>
      </c>
      <c r="N120" s="8" t="str">
        <f>LOOKUP(Titanic[[#This Row],[Clase]],{1,2,3}, {"PRIMERA","SEGUNDA","TERCERA"})</f>
        <v>TERCERA</v>
      </c>
      <c r="O120" s="8" t="str">
        <f>IF(Titanic[[#This Row],[Sexo]]="Hombre", "HOMBRE", "MUJER")</f>
        <v>MUJER</v>
      </c>
      <c r="P120" s="8">
        <f>IF(Titanic[[#This Row],[Edad]]="", "", IF(Titanic[[#This Row],[Edad]]&gt;=100, Titanic[[#This Row],[Edad]] / 10, Titanic[[#This Row],[Edad]]))</f>
        <v>17</v>
      </c>
      <c r="Q120" s="8" t="str">
        <f>IFERROR(LOOKUP(Titanic[[#This Row],[Edad Corrigida]],'Práctica 1'!$K$231:$K$240,'Práctica 1'!$L$231:$L$240), "DESCONOCIDO")</f>
        <v>1. INFANTE</v>
      </c>
      <c r="R120" s="8">
        <f>Titanic[[#This Row],[Familia Horizontal]]+Titanic[[#This Row],[Familia Vertical]]</f>
        <v>0</v>
      </c>
      <c r="S120" s="8"/>
      <c r="T120" s="8"/>
      <c r="U120" s="8"/>
      <c r="V120" s="8"/>
    </row>
    <row r="121" spans="2:22" x14ac:dyDescent="0.2">
      <c r="B121" s="6">
        <v>116</v>
      </c>
      <c r="C121" s="7">
        <v>0</v>
      </c>
      <c r="D121" s="8">
        <v>3</v>
      </c>
      <c r="E121" s="8" t="s">
        <v>130</v>
      </c>
      <c r="F121" s="8" t="s">
        <v>11</v>
      </c>
      <c r="G121" s="8">
        <v>21</v>
      </c>
      <c r="H121" s="8">
        <v>0</v>
      </c>
      <c r="I121" s="8">
        <v>0</v>
      </c>
      <c r="J121" s="8">
        <v>7925</v>
      </c>
      <c r="K121" s="8">
        <v>0</v>
      </c>
      <c r="L121" s="8" t="s">
        <v>12</v>
      </c>
      <c r="M121" s="8" t="str">
        <f>IF(Titanic[[#This Row],[Sobrevive]]=1, "SOBREVIVE", "NO SOBREVIVE")</f>
        <v>NO SOBREVIVE</v>
      </c>
      <c r="N121" s="8" t="str">
        <f>LOOKUP(Titanic[[#This Row],[Clase]],{1,2,3}, {"PRIMERA","SEGUNDA","TERCERA"})</f>
        <v>TERCERA</v>
      </c>
      <c r="O121" s="8" t="str">
        <f>IF(Titanic[[#This Row],[Sexo]]="Hombre", "HOMBRE", "MUJER")</f>
        <v>HOMBRE</v>
      </c>
      <c r="P121" s="8">
        <f>IF(Titanic[[#This Row],[Edad]]="", "", IF(Titanic[[#This Row],[Edad]]&gt;=100, Titanic[[#This Row],[Edad]] / 10, Titanic[[#This Row],[Edad]]))</f>
        <v>21</v>
      </c>
      <c r="Q121" s="8" t="str">
        <f>IFERROR(LOOKUP(Titanic[[#This Row],[Edad Corrigida]],'Práctica 1'!$K$231:$K$240,'Práctica 1'!$L$231:$L$240), "DESCONOCIDO")</f>
        <v>2. ADOLESCENTE</v>
      </c>
      <c r="R121" s="8">
        <f>Titanic[[#This Row],[Familia Horizontal]]+Titanic[[#This Row],[Familia Vertical]]</f>
        <v>0</v>
      </c>
      <c r="S121" s="8"/>
      <c r="T121" s="8"/>
      <c r="U121" s="8"/>
      <c r="V121" s="8"/>
    </row>
    <row r="122" spans="2:22" x14ac:dyDescent="0.2">
      <c r="B122" s="6">
        <v>117</v>
      </c>
      <c r="C122" s="7">
        <v>0</v>
      </c>
      <c r="D122" s="8">
        <v>3</v>
      </c>
      <c r="E122" s="8" t="s">
        <v>131</v>
      </c>
      <c r="F122" s="8" t="s">
        <v>11</v>
      </c>
      <c r="G122" s="8">
        <v>705</v>
      </c>
      <c r="H122" s="8">
        <v>0</v>
      </c>
      <c r="I122" s="8">
        <v>0</v>
      </c>
      <c r="J122" s="8">
        <v>775</v>
      </c>
      <c r="K122" s="8">
        <v>0</v>
      </c>
      <c r="L122" s="8" t="s">
        <v>20</v>
      </c>
      <c r="M122" s="8" t="str">
        <f>IF(Titanic[[#This Row],[Sobrevive]]=1, "SOBREVIVE", "NO SOBREVIVE")</f>
        <v>NO SOBREVIVE</v>
      </c>
      <c r="N122" s="8" t="str">
        <f>LOOKUP(Titanic[[#This Row],[Clase]],{1,2,3}, {"PRIMERA","SEGUNDA","TERCERA"})</f>
        <v>TERCERA</v>
      </c>
      <c r="O122" s="8" t="str">
        <f>IF(Titanic[[#This Row],[Sexo]]="Hombre", "HOMBRE", "MUJER")</f>
        <v>HOMBRE</v>
      </c>
      <c r="P122" s="8">
        <f>IF(Titanic[[#This Row],[Edad]]="", "", IF(Titanic[[#This Row],[Edad]]&gt;=100, Titanic[[#This Row],[Edad]] / 10, Titanic[[#This Row],[Edad]]))</f>
        <v>70.5</v>
      </c>
      <c r="Q122" s="8" t="str">
        <f>IFERROR(LOOKUP(Titanic[[#This Row],[Edad Corrigida]],'Práctica 1'!$K$231:$K$240,'Práctica 1'!$L$231:$L$240), "DESCONOCIDO")</f>
        <v>9. ADULTO 4</v>
      </c>
      <c r="R122" s="8">
        <f>Titanic[[#This Row],[Familia Horizontal]]+Titanic[[#This Row],[Familia Vertical]]</f>
        <v>0</v>
      </c>
      <c r="S122" s="8"/>
      <c r="T122" s="8"/>
      <c r="U122" s="8"/>
      <c r="V122" s="8"/>
    </row>
    <row r="123" spans="2:22" x14ac:dyDescent="0.2">
      <c r="B123" s="6">
        <v>118</v>
      </c>
      <c r="C123" s="7">
        <v>0</v>
      </c>
      <c r="D123" s="8">
        <v>2</v>
      </c>
      <c r="E123" s="8" t="s">
        <v>132</v>
      </c>
      <c r="F123" s="8" t="s">
        <v>11</v>
      </c>
      <c r="G123" s="8">
        <v>29</v>
      </c>
      <c r="H123" s="8">
        <v>1</v>
      </c>
      <c r="I123" s="8">
        <v>0</v>
      </c>
      <c r="J123" s="8">
        <v>21</v>
      </c>
      <c r="K123" s="8">
        <v>0</v>
      </c>
      <c r="L123" s="8" t="s">
        <v>12</v>
      </c>
      <c r="M123" s="8" t="str">
        <f>IF(Titanic[[#This Row],[Sobrevive]]=1, "SOBREVIVE", "NO SOBREVIVE")</f>
        <v>NO SOBREVIVE</v>
      </c>
      <c r="N123" s="8" t="str">
        <f>LOOKUP(Titanic[[#This Row],[Clase]],{1,2,3}, {"PRIMERA","SEGUNDA","TERCERA"})</f>
        <v>SEGUNDA</v>
      </c>
      <c r="O123" s="8" t="str">
        <f>IF(Titanic[[#This Row],[Sexo]]="Hombre", "HOMBRE", "MUJER")</f>
        <v>HOMBRE</v>
      </c>
      <c r="P123" s="8">
        <f>IF(Titanic[[#This Row],[Edad]]="", "", IF(Titanic[[#This Row],[Edad]]&gt;=100, Titanic[[#This Row],[Edad]] / 10, Titanic[[#This Row],[Edad]]))</f>
        <v>29</v>
      </c>
      <c r="Q123" s="8" t="str">
        <f>IFERROR(LOOKUP(Titanic[[#This Row],[Edad Corrigida]],'Práctica 1'!$K$231:$K$240,'Práctica 1'!$L$231:$L$240), "DESCONOCIDO")</f>
        <v>5. ADULTO</v>
      </c>
      <c r="R123" s="8">
        <f>Titanic[[#This Row],[Familia Horizontal]]+Titanic[[#This Row],[Familia Vertical]]</f>
        <v>1</v>
      </c>
      <c r="S123" s="8"/>
      <c r="T123" s="8"/>
      <c r="U123" s="8"/>
      <c r="V123" s="8"/>
    </row>
    <row r="124" spans="2:22" x14ac:dyDescent="0.2">
      <c r="B124" s="6">
        <v>119</v>
      </c>
      <c r="C124" s="7">
        <v>0</v>
      </c>
      <c r="D124" s="8">
        <v>1</v>
      </c>
      <c r="E124" s="8" t="s">
        <v>133</v>
      </c>
      <c r="F124" s="8" t="s">
        <v>11</v>
      </c>
      <c r="G124" s="8">
        <v>24</v>
      </c>
      <c r="H124" s="8">
        <v>0</v>
      </c>
      <c r="I124" s="8">
        <v>1</v>
      </c>
      <c r="J124" s="8">
        <v>2475208</v>
      </c>
      <c r="K124" s="8">
        <v>1</v>
      </c>
      <c r="L124" s="8" t="s">
        <v>15</v>
      </c>
      <c r="M124" s="8" t="str">
        <f>IF(Titanic[[#This Row],[Sobrevive]]=1, "SOBREVIVE", "NO SOBREVIVE")</f>
        <v>NO SOBREVIVE</v>
      </c>
      <c r="N124" s="8" t="str">
        <f>LOOKUP(Titanic[[#This Row],[Clase]],{1,2,3}, {"PRIMERA","SEGUNDA","TERCERA"})</f>
        <v>PRIMERA</v>
      </c>
      <c r="O124" s="8" t="str">
        <f>IF(Titanic[[#This Row],[Sexo]]="Hombre", "HOMBRE", "MUJER")</f>
        <v>HOMBRE</v>
      </c>
      <c r="P124" s="8">
        <f>IF(Titanic[[#This Row],[Edad]]="", "", IF(Titanic[[#This Row],[Edad]]&gt;=100, Titanic[[#This Row],[Edad]] / 10, Titanic[[#This Row],[Edad]]))</f>
        <v>24</v>
      </c>
      <c r="Q124" s="8" t="str">
        <f>IFERROR(LOOKUP(Titanic[[#This Row],[Edad Corrigida]],'Práctica 1'!$K$231:$K$240,'Práctica 1'!$L$231:$L$240), "DESCONOCIDO")</f>
        <v>3. JOVEN</v>
      </c>
      <c r="R124" s="8">
        <f>Titanic[[#This Row],[Familia Horizontal]]+Titanic[[#This Row],[Familia Vertical]]</f>
        <v>1</v>
      </c>
      <c r="S124" s="8"/>
      <c r="T124" s="8"/>
      <c r="U124" s="8"/>
      <c r="V124" s="8"/>
    </row>
    <row r="125" spans="2:22" x14ac:dyDescent="0.2">
      <c r="B125" s="6">
        <v>120</v>
      </c>
      <c r="C125" s="7">
        <v>0</v>
      </c>
      <c r="D125" s="8">
        <v>3</v>
      </c>
      <c r="E125" s="8" t="s">
        <v>134</v>
      </c>
      <c r="F125" s="8" t="s">
        <v>14</v>
      </c>
      <c r="G125" s="8">
        <v>2</v>
      </c>
      <c r="H125" s="8">
        <v>4</v>
      </c>
      <c r="I125" s="8">
        <v>2</v>
      </c>
      <c r="J125" s="8">
        <v>31275</v>
      </c>
      <c r="K125" s="8">
        <v>0</v>
      </c>
      <c r="L125" s="8" t="s">
        <v>12</v>
      </c>
      <c r="M125" s="8" t="str">
        <f>IF(Titanic[[#This Row],[Sobrevive]]=1, "SOBREVIVE", "NO SOBREVIVE")</f>
        <v>NO SOBREVIVE</v>
      </c>
      <c r="N125" s="8" t="str">
        <f>LOOKUP(Titanic[[#This Row],[Clase]],{1,2,3}, {"PRIMERA","SEGUNDA","TERCERA"})</f>
        <v>TERCERA</v>
      </c>
      <c r="O125" s="8" t="str">
        <f>IF(Titanic[[#This Row],[Sexo]]="Hombre", "HOMBRE", "MUJER")</f>
        <v>MUJER</v>
      </c>
      <c r="P125" s="8">
        <f>IF(Titanic[[#This Row],[Edad]]="", "", IF(Titanic[[#This Row],[Edad]]&gt;=100, Titanic[[#This Row],[Edad]] / 10, Titanic[[#This Row],[Edad]]))</f>
        <v>2</v>
      </c>
      <c r="Q125" s="8" t="str">
        <f>IFERROR(LOOKUP(Titanic[[#This Row],[Edad Corrigida]],'Práctica 1'!$K$231:$K$240,'Práctica 1'!$L$231:$L$240), "DESCONOCIDO")</f>
        <v>DESCONOCIDO</v>
      </c>
      <c r="R125" s="8">
        <f>Titanic[[#This Row],[Familia Horizontal]]+Titanic[[#This Row],[Familia Vertical]]</f>
        <v>6</v>
      </c>
      <c r="S125" s="8"/>
      <c r="T125" s="8"/>
      <c r="U125" s="8"/>
      <c r="V125" s="8"/>
    </row>
    <row r="126" spans="2:22" x14ac:dyDescent="0.2">
      <c r="B126" s="6">
        <v>121</v>
      </c>
      <c r="C126" s="7">
        <v>0</v>
      </c>
      <c r="D126" s="8">
        <v>2</v>
      </c>
      <c r="E126" s="8" t="s">
        <v>135</v>
      </c>
      <c r="F126" s="8" t="s">
        <v>11</v>
      </c>
      <c r="G126" s="8">
        <v>21</v>
      </c>
      <c r="H126" s="8">
        <v>2</v>
      </c>
      <c r="I126" s="8">
        <v>0</v>
      </c>
      <c r="J126" s="8">
        <v>735</v>
      </c>
      <c r="K126" s="8">
        <v>0</v>
      </c>
      <c r="L126" s="8" t="s">
        <v>12</v>
      </c>
      <c r="M126" s="8" t="str">
        <f>IF(Titanic[[#This Row],[Sobrevive]]=1, "SOBREVIVE", "NO SOBREVIVE")</f>
        <v>NO SOBREVIVE</v>
      </c>
      <c r="N126" s="8" t="str">
        <f>LOOKUP(Titanic[[#This Row],[Clase]],{1,2,3}, {"PRIMERA","SEGUNDA","TERCERA"})</f>
        <v>SEGUNDA</v>
      </c>
      <c r="O126" s="8" t="str">
        <f>IF(Titanic[[#This Row],[Sexo]]="Hombre", "HOMBRE", "MUJER")</f>
        <v>HOMBRE</v>
      </c>
      <c r="P126" s="8">
        <f>IF(Titanic[[#This Row],[Edad]]="", "", IF(Titanic[[#This Row],[Edad]]&gt;=100, Titanic[[#This Row],[Edad]] / 10, Titanic[[#This Row],[Edad]]))</f>
        <v>21</v>
      </c>
      <c r="Q126" s="8" t="str">
        <f>IFERROR(LOOKUP(Titanic[[#This Row],[Edad Corrigida]],'Práctica 1'!$K$231:$K$240,'Práctica 1'!$L$231:$L$240), "DESCONOCIDO")</f>
        <v>2. ADOLESCENTE</v>
      </c>
      <c r="R126" s="8">
        <f>Titanic[[#This Row],[Familia Horizontal]]+Titanic[[#This Row],[Familia Vertical]]</f>
        <v>2</v>
      </c>
      <c r="S126" s="8"/>
      <c r="T126" s="8"/>
      <c r="U126" s="8"/>
      <c r="V126" s="8"/>
    </row>
    <row r="127" spans="2:22" x14ac:dyDescent="0.2">
      <c r="B127" s="6">
        <v>122</v>
      </c>
      <c r="C127" s="7">
        <v>0</v>
      </c>
      <c r="D127" s="8">
        <v>3</v>
      </c>
      <c r="E127" s="8" t="s">
        <v>136</v>
      </c>
      <c r="F127" s="8" t="s">
        <v>11</v>
      </c>
      <c r="G127" s="9"/>
      <c r="H127" s="8">
        <v>0</v>
      </c>
      <c r="I127" s="8">
        <v>0</v>
      </c>
      <c r="J127" s="8">
        <v>805</v>
      </c>
      <c r="K127" s="8">
        <v>0</v>
      </c>
      <c r="L127" s="8" t="s">
        <v>12</v>
      </c>
      <c r="M127" s="8" t="str">
        <f>IF(Titanic[[#This Row],[Sobrevive]]=1, "SOBREVIVE", "NO SOBREVIVE")</f>
        <v>NO SOBREVIVE</v>
      </c>
      <c r="N127" s="8" t="str">
        <f>LOOKUP(Titanic[[#This Row],[Clase]],{1,2,3}, {"PRIMERA","SEGUNDA","TERCERA"})</f>
        <v>TERCERA</v>
      </c>
      <c r="O127" s="8" t="str">
        <f>IF(Titanic[[#This Row],[Sexo]]="Hombre", "HOMBRE", "MUJER")</f>
        <v>HOMBRE</v>
      </c>
      <c r="P127" s="8" t="str">
        <f>IF(Titanic[[#This Row],[Edad]]="", "", IF(Titanic[[#This Row],[Edad]]&gt;=100, Titanic[[#This Row],[Edad]] / 10, Titanic[[#This Row],[Edad]]))</f>
        <v/>
      </c>
      <c r="Q127" s="8" t="str">
        <f>IFERROR(LOOKUP(Titanic[[#This Row],[Edad Corrigida]],'Práctica 1'!$K$231:$K$240,'Práctica 1'!$L$231:$L$240), "DESCONOCIDO")</f>
        <v>DESCONOCIDO</v>
      </c>
      <c r="R127" s="8">
        <f>Titanic[[#This Row],[Familia Horizontal]]+Titanic[[#This Row],[Familia Vertical]]</f>
        <v>0</v>
      </c>
      <c r="S127" s="8"/>
      <c r="T127" s="8"/>
      <c r="U127" s="8"/>
      <c r="V127" s="8"/>
    </row>
    <row r="128" spans="2:22" x14ac:dyDescent="0.2">
      <c r="B128" s="6">
        <v>123</v>
      </c>
      <c r="C128" s="7">
        <v>0</v>
      </c>
      <c r="D128" s="8">
        <v>2</v>
      </c>
      <c r="E128" s="8" t="s">
        <v>137</v>
      </c>
      <c r="F128" s="8" t="s">
        <v>11</v>
      </c>
      <c r="G128" s="8">
        <v>325</v>
      </c>
      <c r="H128" s="8">
        <v>1</v>
      </c>
      <c r="I128" s="8">
        <v>0</v>
      </c>
      <c r="J128" s="8">
        <v>300708</v>
      </c>
      <c r="K128" s="8">
        <v>0</v>
      </c>
      <c r="L128" s="8" t="s">
        <v>15</v>
      </c>
      <c r="M128" s="8" t="str">
        <f>IF(Titanic[[#This Row],[Sobrevive]]=1, "SOBREVIVE", "NO SOBREVIVE")</f>
        <v>NO SOBREVIVE</v>
      </c>
      <c r="N128" s="8" t="str">
        <f>LOOKUP(Titanic[[#This Row],[Clase]],{1,2,3}, {"PRIMERA","SEGUNDA","TERCERA"})</f>
        <v>SEGUNDA</v>
      </c>
      <c r="O128" s="8" t="str">
        <f>IF(Titanic[[#This Row],[Sexo]]="Hombre", "HOMBRE", "MUJER")</f>
        <v>HOMBRE</v>
      </c>
      <c r="P128" s="8">
        <f>IF(Titanic[[#This Row],[Edad]]="", "", IF(Titanic[[#This Row],[Edad]]&gt;=100, Titanic[[#This Row],[Edad]] / 10, Titanic[[#This Row],[Edad]]))</f>
        <v>32.5</v>
      </c>
      <c r="Q128" s="8" t="str">
        <f>IFERROR(LOOKUP(Titanic[[#This Row],[Edad Corrigida]],'Práctica 1'!$K$231:$K$240,'Práctica 1'!$L$231:$L$240), "DESCONOCIDO")</f>
        <v>6. ADULTO 1</v>
      </c>
      <c r="R128" s="8">
        <f>Titanic[[#This Row],[Familia Horizontal]]+Titanic[[#This Row],[Familia Vertical]]</f>
        <v>1</v>
      </c>
      <c r="S128" s="8"/>
      <c r="T128" s="8"/>
      <c r="U128" s="8"/>
      <c r="V128" s="8"/>
    </row>
    <row r="129" spans="2:22" x14ac:dyDescent="0.2">
      <c r="B129" s="6">
        <v>124</v>
      </c>
      <c r="C129" s="7">
        <v>1</v>
      </c>
      <c r="D129" s="8">
        <v>2</v>
      </c>
      <c r="E129" s="8" t="s">
        <v>138</v>
      </c>
      <c r="F129" s="8" t="s">
        <v>14</v>
      </c>
      <c r="G129" s="8">
        <v>325</v>
      </c>
      <c r="H129" s="8">
        <v>0</v>
      </c>
      <c r="I129" s="8">
        <v>0</v>
      </c>
      <c r="J129" s="8">
        <v>13</v>
      </c>
      <c r="K129" s="8">
        <v>1</v>
      </c>
      <c r="L129" s="8" t="s">
        <v>12</v>
      </c>
      <c r="M129" s="8" t="str">
        <f>IF(Titanic[[#This Row],[Sobrevive]]=1, "SOBREVIVE", "NO SOBREVIVE")</f>
        <v>SOBREVIVE</v>
      </c>
      <c r="N129" s="8" t="str">
        <f>LOOKUP(Titanic[[#This Row],[Clase]],{1,2,3}, {"PRIMERA","SEGUNDA","TERCERA"})</f>
        <v>SEGUNDA</v>
      </c>
      <c r="O129" s="8" t="str">
        <f>IF(Titanic[[#This Row],[Sexo]]="Hombre", "HOMBRE", "MUJER")</f>
        <v>MUJER</v>
      </c>
      <c r="P129" s="8">
        <f>IF(Titanic[[#This Row],[Edad]]="", "", IF(Titanic[[#This Row],[Edad]]&gt;=100, Titanic[[#This Row],[Edad]] / 10, Titanic[[#This Row],[Edad]]))</f>
        <v>32.5</v>
      </c>
      <c r="Q129" s="8" t="str">
        <f>IFERROR(LOOKUP(Titanic[[#This Row],[Edad Corrigida]],'Práctica 1'!$K$231:$K$240,'Práctica 1'!$L$231:$L$240), "DESCONOCIDO")</f>
        <v>6. ADULTO 1</v>
      </c>
      <c r="R129" s="8">
        <f>Titanic[[#This Row],[Familia Horizontal]]+Titanic[[#This Row],[Familia Vertical]]</f>
        <v>0</v>
      </c>
      <c r="S129" s="8"/>
      <c r="T129" s="8"/>
      <c r="U129" s="8"/>
      <c r="V129" s="8"/>
    </row>
    <row r="130" spans="2:22" x14ac:dyDescent="0.2">
      <c r="B130" s="6">
        <v>125</v>
      </c>
      <c r="C130" s="7">
        <v>0</v>
      </c>
      <c r="D130" s="8">
        <v>1</v>
      </c>
      <c r="E130" s="8" t="s">
        <v>139</v>
      </c>
      <c r="F130" s="8" t="s">
        <v>11</v>
      </c>
      <c r="G130" s="8">
        <v>54</v>
      </c>
      <c r="H130" s="8">
        <v>0</v>
      </c>
      <c r="I130" s="8">
        <v>1</v>
      </c>
      <c r="J130" s="8">
        <v>772875</v>
      </c>
      <c r="K130" s="8">
        <v>1</v>
      </c>
      <c r="L130" s="8" t="s">
        <v>12</v>
      </c>
      <c r="M130" s="8" t="str">
        <f>IF(Titanic[[#This Row],[Sobrevive]]=1, "SOBREVIVE", "NO SOBREVIVE")</f>
        <v>NO SOBREVIVE</v>
      </c>
      <c r="N130" s="8" t="str">
        <f>LOOKUP(Titanic[[#This Row],[Clase]],{1,2,3}, {"PRIMERA","SEGUNDA","TERCERA"})</f>
        <v>PRIMERA</v>
      </c>
      <c r="O130" s="8" t="str">
        <f>IF(Titanic[[#This Row],[Sexo]]="Hombre", "HOMBRE", "MUJER")</f>
        <v>HOMBRE</v>
      </c>
      <c r="P130" s="8">
        <f>IF(Titanic[[#This Row],[Edad]]="", "", IF(Titanic[[#This Row],[Edad]]&gt;=100, Titanic[[#This Row],[Edad]] / 10, Titanic[[#This Row],[Edad]]))</f>
        <v>54</v>
      </c>
      <c r="Q130" s="8" t="str">
        <f>IFERROR(LOOKUP(Titanic[[#This Row],[Edad Corrigida]],'Práctica 1'!$K$231:$K$240,'Práctica 1'!$L$231:$L$240), "DESCONOCIDO")</f>
        <v>9. ADULTO 4</v>
      </c>
      <c r="R130" s="8">
        <f>Titanic[[#This Row],[Familia Horizontal]]+Titanic[[#This Row],[Familia Vertical]]</f>
        <v>1</v>
      </c>
      <c r="S130" s="8"/>
      <c r="T130" s="8"/>
      <c r="U130" s="8"/>
      <c r="V130" s="8"/>
    </row>
    <row r="131" spans="2:22" x14ac:dyDescent="0.2">
      <c r="B131" s="6">
        <v>126</v>
      </c>
      <c r="C131" s="7">
        <v>1</v>
      </c>
      <c r="D131" s="8">
        <v>3</v>
      </c>
      <c r="E131" s="8" t="s">
        <v>140</v>
      </c>
      <c r="F131" s="8" t="s">
        <v>11</v>
      </c>
      <c r="G131" s="8">
        <v>12</v>
      </c>
      <c r="H131" s="8">
        <v>1</v>
      </c>
      <c r="I131" s="8">
        <v>0</v>
      </c>
      <c r="J131" s="8">
        <v>112417</v>
      </c>
      <c r="K131" s="8">
        <v>0</v>
      </c>
      <c r="L131" s="8" t="s">
        <v>15</v>
      </c>
      <c r="M131" s="8" t="str">
        <f>IF(Titanic[[#This Row],[Sobrevive]]=1, "SOBREVIVE", "NO SOBREVIVE")</f>
        <v>SOBREVIVE</v>
      </c>
      <c r="N131" s="8" t="str">
        <f>LOOKUP(Titanic[[#This Row],[Clase]],{1,2,3}, {"PRIMERA","SEGUNDA","TERCERA"})</f>
        <v>TERCERA</v>
      </c>
      <c r="O131" s="8" t="str">
        <f>IF(Titanic[[#This Row],[Sexo]]="Hombre", "HOMBRE", "MUJER")</f>
        <v>HOMBRE</v>
      </c>
      <c r="P131" s="8">
        <f>IF(Titanic[[#This Row],[Edad]]="", "", IF(Titanic[[#This Row],[Edad]]&gt;=100, Titanic[[#This Row],[Edad]] / 10, Titanic[[#This Row],[Edad]]))</f>
        <v>12</v>
      </c>
      <c r="Q131" s="8" t="str">
        <f>IFERROR(LOOKUP(Titanic[[#This Row],[Edad Corrigida]],'Práctica 1'!$K$231:$K$240,'Práctica 1'!$L$231:$L$240), "DESCONOCIDO")</f>
        <v>DESCONOCIDO</v>
      </c>
      <c r="R131" s="8">
        <f>Titanic[[#This Row],[Familia Horizontal]]+Titanic[[#This Row],[Familia Vertical]]</f>
        <v>1</v>
      </c>
      <c r="S131" s="8"/>
      <c r="T131" s="8"/>
      <c r="U131" s="8"/>
      <c r="V131" s="8"/>
    </row>
    <row r="132" spans="2:22" x14ac:dyDescent="0.2">
      <c r="B132" s="6">
        <v>127</v>
      </c>
      <c r="C132" s="7">
        <v>0</v>
      </c>
      <c r="D132" s="8">
        <v>3</v>
      </c>
      <c r="E132" s="8" t="s">
        <v>141</v>
      </c>
      <c r="F132" s="8" t="s">
        <v>11</v>
      </c>
      <c r="G132" s="9"/>
      <c r="H132" s="8">
        <v>0</v>
      </c>
      <c r="I132" s="8">
        <v>0</v>
      </c>
      <c r="J132" s="8">
        <v>775</v>
      </c>
      <c r="K132" s="8">
        <v>0</v>
      </c>
      <c r="L132" s="8" t="s">
        <v>20</v>
      </c>
      <c r="M132" s="8" t="str">
        <f>IF(Titanic[[#This Row],[Sobrevive]]=1, "SOBREVIVE", "NO SOBREVIVE")</f>
        <v>NO SOBREVIVE</v>
      </c>
      <c r="N132" s="8" t="str">
        <f>LOOKUP(Titanic[[#This Row],[Clase]],{1,2,3}, {"PRIMERA","SEGUNDA","TERCERA"})</f>
        <v>TERCERA</v>
      </c>
      <c r="O132" s="8" t="str">
        <f>IF(Titanic[[#This Row],[Sexo]]="Hombre", "HOMBRE", "MUJER")</f>
        <v>HOMBRE</v>
      </c>
      <c r="P132" s="8" t="str">
        <f>IF(Titanic[[#This Row],[Edad]]="", "", IF(Titanic[[#This Row],[Edad]]&gt;=100, Titanic[[#This Row],[Edad]] / 10, Titanic[[#This Row],[Edad]]))</f>
        <v/>
      </c>
      <c r="Q132" s="8" t="str">
        <f>IFERROR(LOOKUP(Titanic[[#This Row],[Edad Corrigida]],'Práctica 1'!$K$231:$K$240,'Práctica 1'!$L$231:$L$240), "DESCONOCIDO")</f>
        <v>DESCONOCIDO</v>
      </c>
      <c r="R132" s="8">
        <f>Titanic[[#This Row],[Familia Horizontal]]+Titanic[[#This Row],[Familia Vertical]]</f>
        <v>0</v>
      </c>
      <c r="S132" s="8"/>
      <c r="T132" s="8"/>
      <c r="U132" s="8"/>
      <c r="V132" s="8"/>
    </row>
    <row r="133" spans="2:22" x14ac:dyDescent="0.2">
      <c r="B133" s="6">
        <v>128</v>
      </c>
      <c r="C133" s="7">
        <v>1</v>
      </c>
      <c r="D133" s="8">
        <v>3</v>
      </c>
      <c r="E133" s="8" t="s">
        <v>142</v>
      </c>
      <c r="F133" s="8" t="s">
        <v>11</v>
      </c>
      <c r="G133" s="8">
        <v>24</v>
      </c>
      <c r="H133" s="8">
        <v>0</v>
      </c>
      <c r="I133" s="8">
        <v>0</v>
      </c>
      <c r="J133" s="8">
        <v>71417</v>
      </c>
      <c r="K133" s="8">
        <v>0</v>
      </c>
      <c r="L133" s="8" t="s">
        <v>12</v>
      </c>
      <c r="M133" s="8" t="str">
        <f>IF(Titanic[[#This Row],[Sobrevive]]=1, "SOBREVIVE", "NO SOBREVIVE")</f>
        <v>SOBREVIVE</v>
      </c>
      <c r="N133" s="8" t="str">
        <f>LOOKUP(Titanic[[#This Row],[Clase]],{1,2,3}, {"PRIMERA","SEGUNDA","TERCERA"})</f>
        <v>TERCERA</v>
      </c>
      <c r="O133" s="8" t="str">
        <f>IF(Titanic[[#This Row],[Sexo]]="Hombre", "HOMBRE", "MUJER")</f>
        <v>HOMBRE</v>
      </c>
      <c r="P133" s="8">
        <f>IF(Titanic[[#This Row],[Edad]]="", "", IF(Titanic[[#This Row],[Edad]]&gt;=100, Titanic[[#This Row],[Edad]] / 10, Titanic[[#This Row],[Edad]]))</f>
        <v>24</v>
      </c>
      <c r="Q133" s="8" t="str">
        <f>IFERROR(LOOKUP(Titanic[[#This Row],[Edad Corrigida]],'Práctica 1'!$K$231:$K$240,'Práctica 1'!$L$231:$L$240), "DESCONOCIDO")</f>
        <v>3. JOVEN</v>
      </c>
      <c r="R133" s="8">
        <f>Titanic[[#This Row],[Familia Horizontal]]+Titanic[[#This Row],[Familia Vertical]]</f>
        <v>0</v>
      </c>
      <c r="S133" s="8"/>
      <c r="T133" s="8"/>
      <c r="U133" s="8"/>
      <c r="V133" s="8"/>
    </row>
    <row r="134" spans="2:22" x14ac:dyDescent="0.2">
      <c r="B134" s="6">
        <v>129</v>
      </c>
      <c r="C134" s="7">
        <v>1</v>
      </c>
      <c r="D134" s="8">
        <v>3</v>
      </c>
      <c r="E134" s="8" t="s">
        <v>143</v>
      </c>
      <c r="F134" s="8" t="s">
        <v>14</v>
      </c>
      <c r="G134" s="9"/>
      <c r="H134" s="8">
        <v>1</v>
      </c>
      <c r="I134" s="8">
        <v>1</v>
      </c>
      <c r="J134" s="8">
        <v>223583</v>
      </c>
      <c r="K134" s="8">
        <v>1</v>
      </c>
      <c r="L134" s="8" t="s">
        <v>15</v>
      </c>
      <c r="M134" s="8" t="str">
        <f>IF(Titanic[[#This Row],[Sobrevive]]=1, "SOBREVIVE", "NO SOBREVIVE")</f>
        <v>SOBREVIVE</v>
      </c>
      <c r="N134" s="8" t="str">
        <f>LOOKUP(Titanic[[#This Row],[Clase]],{1,2,3}, {"PRIMERA","SEGUNDA","TERCERA"})</f>
        <v>TERCERA</v>
      </c>
      <c r="O134" s="8" t="str">
        <f>IF(Titanic[[#This Row],[Sexo]]="Hombre", "HOMBRE", "MUJER")</f>
        <v>MUJER</v>
      </c>
      <c r="P134" s="8" t="str">
        <f>IF(Titanic[[#This Row],[Edad]]="", "", IF(Titanic[[#This Row],[Edad]]&gt;=100, Titanic[[#This Row],[Edad]] / 10, Titanic[[#This Row],[Edad]]))</f>
        <v/>
      </c>
      <c r="Q134" s="8" t="str">
        <f>IFERROR(LOOKUP(Titanic[[#This Row],[Edad Corrigida]],'Práctica 1'!$K$231:$K$240,'Práctica 1'!$L$231:$L$240), "DESCONOCIDO")</f>
        <v>DESCONOCIDO</v>
      </c>
      <c r="R134" s="8">
        <f>Titanic[[#This Row],[Familia Horizontal]]+Titanic[[#This Row],[Familia Vertical]]</f>
        <v>2</v>
      </c>
      <c r="S134" s="8"/>
      <c r="T134" s="8"/>
      <c r="U134" s="8"/>
      <c r="V134" s="8"/>
    </row>
    <row r="135" spans="2:22" x14ac:dyDescent="0.2">
      <c r="B135" s="6">
        <v>130</v>
      </c>
      <c r="C135" s="7">
        <v>0</v>
      </c>
      <c r="D135" s="8">
        <v>3</v>
      </c>
      <c r="E135" s="8" t="s">
        <v>144</v>
      </c>
      <c r="F135" s="8" t="s">
        <v>11</v>
      </c>
      <c r="G135" s="8">
        <v>45</v>
      </c>
      <c r="H135" s="8">
        <v>0</v>
      </c>
      <c r="I135" s="8">
        <v>0</v>
      </c>
      <c r="J135" s="8">
        <v>6975</v>
      </c>
      <c r="K135" s="8">
        <v>0</v>
      </c>
      <c r="L135" s="8" t="s">
        <v>12</v>
      </c>
      <c r="M135" s="8" t="str">
        <f>IF(Titanic[[#This Row],[Sobrevive]]=1, "SOBREVIVE", "NO SOBREVIVE")</f>
        <v>NO SOBREVIVE</v>
      </c>
      <c r="N135" s="8" t="str">
        <f>LOOKUP(Titanic[[#This Row],[Clase]],{1,2,3}, {"PRIMERA","SEGUNDA","TERCERA"})</f>
        <v>TERCERA</v>
      </c>
      <c r="O135" s="8" t="str">
        <f>IF(Titanic[[#This Row],[Sexo]]="Hombre", "HOMBRE", "MUJER")</f>
        <v>HOMBRE</v>
      </c>
      <c r="P135" s="8">
        <f>IF(Titanic[[#This Row],[Edad]]="", "", IF(Titanic[[#This Row],[Edad]]&gt;=100, Titanic[[#This Row],[Edad]] / 10, Titanic[[#This Row],[Edad]]))</f>
        <v>45</v>
      </c>
      <c r="Q135" s="8" t="str">
        <f>IFERROR(LOOKUP(Titanic[[#This Row],[Edad Corrigida]],'Práctica 1'!$K$231:$K$240,'Práctica 1'!$L$231:$L$240), "DESCONOCIDO")</f>
        <v>8. ADULTO 3</v>
      </c>
      <c r="R135" s="8">
        <f>Titanic[[#This Row],[Familia Horizontal]]+Titanic[[#This Row],[Familia Vertical]]</f>
        <v>0</v>
      </c>
      <c r="S135" s="8"/>
      <c r="T135" s="8"/>
      <c r="U135" s="8"/>
      <c r="V135" s="8"/>
    </row>
    <row r="136" spans="2:22" x14ac:dyDescent="0.2">
      <c r="B136" s="6">
        <v>131</v>
      </c>
      <c r="C136" s="7">
        <v>0</v>
      </c>
      <c r="D136" s="8">
        <v>3</v>
      </c>
      <c r="E136" s="8" t="s">
        <v>145</v>
      </c>
      <c r="F136" s="8" t="s">
        <v>11</v>
      </c>
      <c r="G136" s="8">
        <v>33</v>
      </c>
      <c r="H136" s="8">
        <v>0</v>
      </c>
      <c r="I136" s="8">
        <v>0</v>
      </c>
      <c r="J136" s="8">
        <v>78958</v>
      </c>
      <c r="K136" s="8">
        <v>0</v>
      </c>
      <c r="L136" s="8" t="s">
        <v>15</v>
      </c>
      <c r="M136" s="8" t="str">
        <f>IF(Titanic[[#This Row],[Sobrevive]]=1, "SOBREVIVE", "NO SOBREVIVE")</f>
        <v>NO SOBREVIVE</v>
      </c>
      <c r="N136" s="8" t="str">
        <f>LOOKUP(Titanic[[#This Row],[Clase]],{1,2,3}, {"PRIMERA","SEGUNDA","TERCERA"})</f>
        <v>TERCERA</v>
      </c>
      <c r="O136" s="8" t="str">
        <f>IF(Titanic[[#This Row],[Sexo]]="Hombre", "HOMBRE", "MUJER")</f>
        <v>HOMBRE</v>
      </c>
      <c r="P136" s="8">
        <f>IF(Titanic[[#This Row],[Edad]]="", "", IF(Titanic[[#This Row],[Edad]]&gt;=100, Titanic[[#This Row],[Edad]] / 10, Titanic[[#This Row],[Edad]]))</f>
        <v>33</v>
      </c>
      <c r="Q136" s="8" t="str">
        <f>IFERROR(LOOKUP(Titanic[[#This Row],[Edad Corrigida]],'Práctica 1'!$K$231:$K$240,'Práctica 1'!$L$231:$L$240), "DESCONOCIDO")</f>
        <v>6. ADULTO 1</v>
      </c>
      <c r="R136" s="8">
        <f>Titanic[[#This Row],[Familia Horizontal]]+Titanic[[#This Row],[Familia Vertical]]</f>
        <v>0</v>
      </c>
      <c r="S136" s="8"/>
      <c r="T136" s="8"/>
      <c r="U136" s="8"/>
      <c r="V136" s="8"/>
    </row>
    <row r="137" spans="2:22" x14ac:dyDescent="0.2">
      <c r="B137" s="6">
        <v>132</v>
      </c>
      <c r="C137" s="7">
        <v>0</v>
      </c>
      <c r="D137" s="8">
        <v>3</v>
      </c>
      <c r="E137" s="8" t="s">
        <v>146</v>
      </c>
      <c r="F137" s="8" t="s">
        <v>11</v>
      </c>
      <c r="G137" s="8">
        <v>20</v>
      </c>
      <c r="H137" s="8">
        <v>0</v>
      </c>
      <c r="I137" s="8">
        <v>0</v>
      </c>
      <c r="J137" s="8">
        <v>705</v>
      </c>
      <c r="K137" s="8">
        <v>0</v>
      </c>
      <c r="L137" s="8" t="s">
        <v>12</v>
      </c>
      <c r="M137" s="8" t="str">
        <f>IF(Titanic[[#This Row],[Sobrevive]]=1, "SOBREVIVE", "NO SOBREVIVE")</f>
        <v>NO SOBREVIVE</v>
      </c>
      <c r="N137" s="8" t="str">
        <f>LOOKUP(Titanic[[#This Row],[Clase]],{1,2,3}, {"PRIMERA","SEGUNDA","TERCERA"})</f>
        <v>TERCERA</v>
      </c>
      <c r="O137" s="8" t="str">
        <f>IF(Titanic[[#This Row],[Sexo]]="Hombre", "HOMBRE", "MUJER")</f>
        <v>HOMBRE</v>
      </c>
      <c r="P137" s="8">
        <f>IF(Titanic[[#This Row],[Edad]]="", "", IF(Titanic[[#This Row],[Edad]]&gt;=100, Titanic[[#This Row],[Edad]] / 10, Titanic[[#This Row],[Edad]]))</f>
        <v>20</v>
      </c>
      <c r="Q137" s="8" t="str">
        <f>IFERROR(LOOKUP(Titanic[[#This Row],[Edad Corrigida]],'Práctica 1'!$K$231:$K$240,'Práctica 1'!$L$231:$L$240), "DESCONOCIDO")</f>
        <v>2. ADOLESCENTE</v>
      </c>
      <c r="R137" s="8">
        <f>Titanic[[#This Row],[Familia Horizontal]]+Titanic[[#This Row],[Familia Vertical]]</f>
        <v>0</v>
      </c>
      <c r="S137" s="8"/>
      <c r="T137" s="8"/>
      <c r="U137" s="8"/>
      <c r="V137" s="8"/>
    </row>
    <row r="138" spans="2:22" x14ac:dyDescent="0.2">
      <c r="B138" s="6">
        <v>133</v>
      </c>
      <c r="C138" s="7">
        <v>0</v>
      </c>
      <c r="D138" s="8">
        <v>3</v>
      </c>
      <c r="E138" s="8" t="s">
        <v>147</v>
      </c>
      <c r="F138" s="8" t="s">
        <v>14</v>
      </c>
      <c r="G138" s="8">
        <v>47</v>
      </c>
      <c r="H138" s="8">
        <v>1</v>
      </c>
      <c r="I138" s="8">
        <v>0</v>
      </c>
      <c r="J138" s="8">
        <v>145</v>
      </c>
      <c r="K138" s="8">
        <v>0</v>
      </c>
      <c r="L138" s="8" t="s">
        <v>12</v>
      </c>
      <c r="M138" s="8" t="str">
        <f>IF(Titanic[[#This Row],[Sobrevive]]=1, "SOBREVIVE", "NO SOBREVIVE")</f>
        <v>NO SOBREVIVE</v>
      </c>
      <c r="N138" s="8" t="str">
        <f>LOOKUP(Titanic[[#This Row],[Clase]],{1,2,3}, {"PRIMERA","SEGUNDA","TERCERA"})</f>
        <v>TERCERA</v>
      </c>
      <c r="O138" s="8" t="str">
        <f>IF(Titanic[[#This Row],[Sexo]]="Hombre", "HOMBRE", "MUJER")</f>
        <v>MUJER</v>
      </c>
      <c r="P138" s="8">
        <f>IF(Titanic[[#This Row],[Edad]]="", "", IF(Titanic[[#This Row],[Edad]]&gt;=100, Titanic[[#This Row],[Edad]] / 10, Titanic[[#This Row],[Edad]]))</f>
        <v>47</v>
      </c>
      <c r="Q138" s="8" t="str">
        <f>IFERROR(LOOKUP(Titanic[[#This Row],[Edad Corrigida]],'Práctica 1'!$K$231:$K$240,'Práctica 1'!$L$231:$L$240), "DESCONOCIDO")</f>
        <v>8. ADULTO 3</v>
      </c>
      <c r="R138" s="8">
        <f>Titanic[[#This Row],[Familia Horizontal]]+Titanic[[#This Row],[Familia Vertical]]</f>
        <v>1</v>
      </c>
      <c r="S138" s="8"/>
      <c r="T138" s="8"/>
      <c r="U138" s="8"/>
      <c r="V138" s="8"/>
    </row>
    <row r="139" spans="2:22" x14ac:dyDescent="0.2">
      <c r="B139" s="6">
        <v>134</v>
      </c>
      <c r="C139" s="7">
        <v>1</v>
      </c>
      <c r="D139" s="8">
        <v>2</v>
      </c>
      <c r="E139" s="8" t="s">
        <v>148</v>
      </c>
      <c r="F139" s="8" t="s">
        <v>14</v>
      </c>
      <c r="G139" s="8">
        <v>29</v>
      </c>
      <c r="H139" s="8">
        <v>1</v>
      </c>
      <c r="I139" s="8">
        <v>0</v>
      </c>
      <c r="J139" s="8">
        <v>26</v>
      </c>
      <c r="K139" s="8">
        <v>0</v>
      </c>
      <c r="L139" s="8" t="s">
        <v>12</v>
      </c>
      <c r="M139" s="8" t="str">
        <f>IF(Titanic[[#This Row],[Sobrevive]]=1, "SOBREVIVE", "NO SOBREVIVE")</f>
        <v>SOBREVIVE</v>
      </c>
      <c r="N139" s="8" t="str">
        <f>LOOKUP(Titanic[[#This Row],[Clase]],{1,2,3}, {"PRIMERA","SEGUNDA","TERCERA"})</f>
        <v>SEGUNDA</v>
      </c>
      <c r="O139" s="8" t="str">
        <f>IF(Titanic[[#This Row],[Sexo]]="Hombre", "HOMBRE", "MUJER")</f>
        <v>MUJER</v>
      </c>
      <c r="P139" s="8">
        <f>IF(Titanic[[#This Row],[Edad]]="", "", IF(Titanic[[#This Row],[Edad]]&gt;=100, Titanic[[#This Row],[Edad]] / 10, Titanic[[#This Row],[Edad]]))</f>
        <v>29</v>
      </c>
      <c r="Q139" s="8" t="str">
        <f>IFERROR(LOOKUP(Titanic[[#This Row],[Edad Corrigida]],'Práctica 1'!$K$231:$K$240,'Práctica 1'!$L$231:$L$240), "DESCONOCIDO")</f>
        <v>5. ADULTO</v>
      </c>
      <c r="R139" s="8">
        <f>Titanic[[#This Row],[Familia Horizontal]]+Titanic[[#This Row],[Familia Vertical]]</f>
        <v>1</v>
      </c>
      <c r="S139" s="8"/>
      <c r="T139" s="8"/>
      <c r="U139" s="8"/>
      <c r="V139" s="8"/>
    </row>
    <row r="140" spans="2:22" x14ac:dyDescent="0.2">
      <c r="B140" s="6">
        <v>135</v>
      </c>
      <c r="C140" s="7">
        <v>0</v>
      </c>
      <c r="D140" s="8">
        <v>2</v>
      </c>
      <c r="E140" s="8" t="s">
        <v>149</v>
      </c>
      <c r="F140" s="8" t="s">
        <v>11</v>
      </c>
      <c r="G140" s="8">
        <v>25</v>
      </c>
      <c r="H140" s="8">
        <v>0</v>
      </c>
      <c r="I140" s="8">
        <v>0</v>
      </c>
      <c r="J140" s="8">
        <v>13</v>
      </c>
      <c r="K140" s="8">
        <v>0</v>
      </c>
      <c r="L140" s="8" t="s">
        <v>12</v>
      </c>
      <c r="M140" s="8" t="str">
        <f>IF(Titanic[[#This Row],[Sobrevive]]=1, "SOBREVIVE", "NO SOBREVIVE")</f>
        <v>NO SOBREVIVE</v>
      </c>
      <c r="N140" s="8" t="str">
        <f>LOOKUP(Titanic[[#This Row],[Clase]],{1,2,3}, {"PRIMERA","SEGUNDA","TERCERA"})</f>
        <v>SEGUNDA</v>
      </c>
      <c r="O140" s="8" t="str">
        <f>IF(Titanic[[#This Row],[Sexo]]="Hombre", "HOMBRE", "MUJER")</f>
        <v>HOMBRE</v>
      </c>
      <c r="P140" s="8">
        <f>IF(Titanic[[#This Row],[Edad]]="", "", IF(Titanic[[#This Row],[Edad]]&gt;=100, Titanic[[#This Row],[Edad]] / 10, Titanic[[#This Row],[Edad]]))</f>
        <v>25</v>
      </c>
      <c r="Q140" s="8" t="str">
        <f>IFERROR(LOOKUP(Titanic[[#This Row],[Edad Corrigida]],'Práctica 1'!$K$231:$K$240,'Práctica 1'!$L$231:$L$240), "DESCONOCIDO")</f>
        <v>4. ADULTO JOVEN</v>
      </c>
      <c r="R140" s="8">
        <f>Titanic[[#This Row],[Familia Horizontal]]+Titanic[[#This Row],[Familia Vertical]]</f>
        <v>0</v>
      </c>
      <c r="S140" s="8"/>
      <c r="T140" s="8"/>
      <c r="U140" s="8"/>
      <c r="V140" s="8"/>
    </row>
    <row r="141" spans="2:22" x14ac:dyDescent="0.2">
      <c r="B141" s="6">
        <v>136</v>
      </c>
      <c r="C141" s="7">
        <v>0</v>
      </c>
      <c r="D141" s="8">
        <v>2</v>
      </c>
      <c r="E141" s="8" t="s">
        <v>150</v>
      </c>
      <c r="F141" s="8" t="s">
        <v>11</v>
      </c>
      <c r="G141" s="8">
        <v>23</v>
      </c>
      <c r="H141" s="8">
        <v>0</v>
      </c>
      <c r="I141" s="8">
        <v>0</v>
      </c>
      <c r="J141" s="8">
        <v>150458</v>
      </c>
      <c r="K141" s="8">
        <v>0</v>
      </c>
      <c r="L141" s="8" t="s">
        <v>15</v>
      </c>
      <c r="M141" s="8" t="str">
        <f>IF(Titanic[[#This Row],[Sobrevive]]=1, "SOBREVIVE", "NO SOBREVIVE")</f>
        <v>NO SOBREVIVE</v>
      </c>
      <c r="N141" s="8" t="str">
        <f>LOOKUP(Titanic[[#This Row],[Clase]],{1,2,3}, {"PRIMERA","SEGUNDA","TERCERA"})</f>
        <v>SEGUNDA</v>
      </c>
      <c r="O141" s="8" t="str">
        <f>IF(Titanic[[#This Row],[Sexo]]="Hombre", "HOMBRE", "MUJER")</f>
        <v>HOMBRE</v>
      </c>
      <c r="P141" s="8">
        <f>IF(Titanic[[#This Row],[Edad]]="", "", IF(Titanic[[#This Row],[Edad]]&gt;=100, Titanic[[#This Row],[Edad]] / 10, Titanic[[#This Row],[Edad]]))</f>
        <v>23</v>
      </c>
      <c r="Q141" s="8" t="str">
        <f>IFERROR(LOOKUP(Titanic[[#This Row],[Edad Corrigida]],'Práctica 1'!$K$231:$K$240,'Práctica 1'!$L$231:$L$240), "DESCONOCIDO")</f>
        <v>3. JOVEN</v>
      </c>
      <c r="R141" s="8">
        <f>Titanic[[#This Row],[Familia Horizontal]]+Titanic[[#This Row],[Familia Vertical]]</f>
        <v>0</v>
      </c>
      <c r="S141" s="8"/>
      <c r="T141" s="8"/>
      <c r="U141" s="8"/>
      <c r="V141" s="8"/>
    </row>
    <row r="142" spans="2:22" x14ac:dyDescent="0.2">
      <c r="B142" s="6">
        <v>137</v>
      </c>
      <c r="C142" s="7">
        <v>1</v>
      </c>
      <c r="D142" s="8">
        <v>1</v>
      </c>
      <c r="E142" s="8" t="s">
        <v>151</v>
      </c>
      <c r="F142" s="8" t="s">
        <v>14</v>
      </c>
      <c r="G142" s="8">
        <v>19</v>
      </c>
      <c r="H142" s="8">
        <v>0</v>
      </c>
      <c r="I142" s="8">
        <v>2</v>
      </c>
      <c r="J142" s="8">
        <v>262833</v>
      </c>
      <c r="K142" s="8">
        <v>1</v>
      </c>
      <c r="L142" s="8" t="s">
        <v>12</v>
      </c>
      <c r="M142" s="8" t="str">
        <f>IF(Titanic[[#This Row],[Sobrevive]]=1, "SOBREVIVE", "NO SOBREVIVE")</f>
        <v>SOBREVIVE</v>
      </c>
      <c r="N142" s="8" t="str">
        <f>LOOKUP(Titanic[[#This Row],[Clase]],{1,2,3}, {"PRIMERA","SEGUNDA","TERCERA"})</f>
        <v>PRIMERA</v>
      </c>
      <c r="O142" s="8" t="str">
        <f>IF(Titanic[[#This Row],[Sexo]]="Hombre", "HOMBRE", "MUJER")</f>
        <v>MUJER</v>
      </c>
      <c r="P142" s="8">
        <f>IF(Titanic[[#This Row],[Edad]]="", "", IF(Titanic[[#This Row],[Edad]]&gt;=100, Titanic[[#This Row],[Edad]] / 10, Titanic[[#This Row],[Edad]]))</f>
        <v>19</v>
      </c>
      <c r="Q142" s="8" t="str">
        <f>IFERROR(LOOKUP(Titanic[[#This Row],[Edad Corrigida]],'Práctica 1'!$K$231:$K$240,'Práctica 1'!$L$231:$L$240), "DESCONOCIDO")</f>
        <v>2. ADOLESCENTE</v>
      </c>
      <c r="R142" s="8">
        <f>Titanic[[#This Row],[Familia Horizontal]]+Titanic[[#This Row],[Familia Vertical]]</f>
        <v>2</v>
      </c>
      <c r="S142" s="8"/>
      <c r="T142" s="8"/>
      <c r="U142" s="8"/>
      <c r="V142" s="8"/>
    </row>
    <row r="143" spans="2:22" x14ac:dyDescent="0.2">
      <c r="B143" s="6">
        <v>138</v>
      </c>
      <c r="C143" s="7">
        <v>0</v>
      </c>
      <c r="D143" s="8">
        <v>1</v>
      </c>
      <c r="E143" s="8" t="s">
        <v>152</v>
      </c>
      <c r="F143" s="8" t="s">
        <v>11</v>
      </c>
      <c r="G143" s="8">
        <v>37</v>
      </c>
      <c r="H143" s="8">
        <v>1</v>
      </c>
      <c r="I143" s="8">
        <v>0</v>
      </c>
      <c r="J143" s="8">
        <v>531</v>
      </c>
      <c r="K143" s="8">
        <v>1</v>
      </c>
      <c r="L143" s="8" t="s">
        <v>12</v>
      </c>
      <c r="M143" s="8" t="str">
        <f>IF(Titanic[[#This Row],[Sobrevive]]=1, "SOBREVIVE", "NO SOBREVIVE")</f>
        <v>NO SOBREVIVE</v>
      </c>
      <c r="N143" s="8" t="str">
        <f>LOOKUP(Titanic[[#This Row],[Clase]],{1,2,3}, {"PRIMERA","SEGUNDA","TERCERA"})</f>
        <v>PRIMERA</v>
      </c>
      <c r="O143" s="8" t="str">
        <f>IF(Titanic[[#This Row],[Sexo]]="Hombre", "HOMBRE", "MUJER")</f>
        <v>HOMBRE</v>
      </c>
      <c r="P143" s="8">
        <f>IF(Titanic[[#This Row],[Edad]]="", "", IF(Titanic[[#This Row],[Edad]]&gt;=100, Titanic[[#This Row],[Edad]] / 10, Titanic[[#This Row],[Edad]]))</f>
        <v>37</v>
      </c>
      <c r="Q143" s="8" t="str">
        <f>IFERROR(LOOKUP(Titanic[[#This Row],[Edad Corrigida]],'Práctica 1'!$K$231:$K$240,'Práctica 1'!$L$231:$L$240), "DESCONOCIDO")</f>
        <v>7. ADULTO 2</v>
      </c>
      <c r="R143" s="8">
        <f>Titanic[[#This Row],[Familia Horizontal]]+Titanic[[#This Row],[Familia Vertical]]</f>
        <v>1</v>
      </c>
      <c r="S143" s="8"/>
      <c r="T143" s="8"/>
      <c r="U143" s="8"/>
      <c r="V143" s="8"/>
    </row>
    <row r="144" spans="2:22" x14ac:dyDescent="0.2">
      <c r="B144" s="6">
        <v>139</v>
      </c>
      <c r="C144" s="7">
        <v>0</v>
      </c>
      <c r="D144" s="8">
        <v>3</v>
      </c>
      <c r="E144" s="8" t="s">
        <v>153</v>
      </c>
      <c r="F144" s="8" t="s">
        <v>11</v>
      </c>
      <c r="G144" s="8">
        <v>16</v>
      </c>
      <c r="H144" s="8">
        <v>0</v>
      </c>
      <c r="I144" s="8">
        <v>0</v>
      </c>
      <c r="J144" s="8">
        <v>92167</v>
      </c>
      <c r="K144" s="8">
        <v>0</v>
      </c>
      <c r="L144" s="8" t="s">
        <v>12</v>
      </c>
      <c r="M144" s="8" t="str">
        <f>IF(Titanic[[#This Row],[Sobrevive]]=1, "SOBREVIVE", "NO SOBREVIVE")</f>
        <v>NO SOBREVIVE</v>
      </c>
      <c r="N144" s="8" t="str">
        <f>LOOKUP(Titanic[[#This Row],[Clase]],{1,2,3}, {"PRIMERA","SEGUNDA","TERCERA"})</f>
        <v>TERCERA</v>
      </c>
      <c r="O144" s="8" t="str">
        <f>IF(Titanic[[#This Row],[Sexo]]="Hombre", "HOMBRE", "MUJER")</f>
        <v>HOMBRE</v>
      </c>
      <c r="P144" s="8">
        <f>IF(Titanic[[#This Row],[Edad]]="", "", IF(Titanic[[#This Row],[Edad]]&gt;=100, Titanic[[#This Row],[Edad]] / 10, Titanic[[#This Row],[Edad]]))</f>
        <v>16</v>
      </c>
      <c r="Q144" s="8" t="str">
        <f>IFERROR(LOOKUP(Titanic[[#This Row],[Edad Corrigida]],'Práctica 1'!$K$231:$K$240,'Práctica 1'!$L$231:$L$240), "DESCONOCIDO")</f>
        <v>1. INFANTE</v>
      </c>
      <c r="R144" s="8">
        <f>Titanic[[#This Row],[Familia Horizontal]]+Titanic[[#This Row],[Familia Vertical]]</f>
        <v>0</v>
      </c>
      <c r="S144" s="8"/>
      <c r="T144" s="8"/>
      <c r="U144" s="8"/>
      <c r="V144" s="8"/>
    </row>
    <row r="145" spans="2:22" x14ac:dyDescent="0.2">
      <c r="B145" s="6">
        <v>140</v>
      </c>
      <c r="C145" s="7">
        <v>0</v>
      </c>
      <c r="D145" s="8">
        <v>1</v>
      </c>
      <c r="E145" s="8" t="s">
        <v>154</v>
      </c>
      <c r="F145" s="8" t="s">
        <v>11</v>
      </c>
      <c r="G145" s="8">
        <v>24</v>
      </c>
      <c r="H145" s="8">
        <v>0</v>
      </c>
      <c r="I145" s="8">
        <v>0</v>
      </c>
      <c r="J145" s="8">
        <v>792</v>
      </c>
      <c r="K145" s="8">
        <v>1</v>
      </c>
      <c r="L145" s="8" t="s">
        <v>15</v>
      </c>
      <c r="M145" s="8" t="str">
        <f>IF(Titanic[[#This Row],[Sobrevive]]=1, "SOBREVIVE", "NO SOBREVIVE")</f>
        <v>NO SOBREVIVE</v>
      </c>
      <c r="N145" s="8" t="str">
        <f>LOOKUP(Titanic[[#This Row],[Clase]],{1,2,3}, {"PRIMERA","SEGUNDA","TERCERA"})</f>
        <v>PRIMERA</v>
      </c>
      <c r="O145" s="8" t="str">
        <f>IF(Titanic[[#This Row],[Sexo]]="Hombre", "HOMBRE", "MUJER")</f>
        <v>HOMBRE</v>
      </c>
      <c r="P145" s="8">
        <f>IF(Titanic[[#This Row],[Edad]]="", "", IF(Titanic[[#This Row],[Edad]]&gt;=100, Titanic[[#This Row],[Edad]] / 10, Titanic[[#This Row],[Edad]]))</f>
        <v>24</v>
      </c>
      <c r="Q145" s="8" t="str">
        <f>IFERROR(LOOKUP(Titanic[[#This Row],[Edad Corrigida]],'Práctica 1'!$K$231:$K$240,'Práctica 1'!$L$231:$L$240), "DESCONOCIDO")</f>
        <v>3. JOVEN</v>
      </c>
      <c r="R145" s="8">
        <f>Titanic[[#This Row],[Familia Horizontal]]+Titanic[[#This Row],[Familia Vertical]]</f>
        <v>0</v>
      </c>
      <c r="S145" s="8"/>
      <c r="T145" s="8"/>
      <c r="U145" s="8"/>
      <c r="V145" s="8"/>
    </row>
    <row r="146" spans="2:22" x14ac:dyDescent="0.2">
      <c r="B146" s="6">
        <v>141</v>
      </c>
      <c r="C146" s="7">
        <v>0</v>
      </c>
      <c r="D146" s="8">
        <v>3</v>
      </c>
      <c r="E146" s="8" t="s">
        <v>155</v>
      </c>
      <c r="F146" s="8" t="s">
        <v>14</v>
      </c>
      <c r="G146" s="9"/>
      <c r="H146" s="8">
        <v>0</v>
      </c>
      <c r="I146" s="8">
        <v>2</v>
      </c>
      <c r="J146" s="8">
        <v>152458</v>
      </c>
      <c r="K146" s="8">
        <v>0</v>
      </c>
      <c r="L146" s="8" t="s">
        <v>15</v>
      </c>
      <c r="M146" s="8" t="str">
        <f>IF(Titanic[[#This Row],[Sobrevive]]=1, "SOBREVIVE", "NO SOBREVIVE")</f>
        <v>NO SOBREVIVE</v>
      </c>
      <c r="N146" s="8" t="str">
        <f>LOOKUP(Titanic[[#This Row],[Clase]],{1,2,3}, {"PRIMERA","SEGUNDA","TERCERA"})</f>
        <v>TERCERA</v>
      </c>
      <c r="O146" s="8" t="str">
        <f>IF(Titanic[[#This Row],[Sexo]]="Hombre", "HOMBRE", "MUJER")</f>
        <v>MUJER</v>
      </c>
      <c r="P146" s="8" t="str">
        <f>IF(Titanic[[#This Row],[Edad]]="", "", IF(Titanic[[#This Row],[Edad]]&gt;=100, Titanic[[#This Row],[Edad]] / 10, Titanic[[#This Row],[Edad]]))</f>
        <v/>
      </c>
      <c r="Q146" s="8" t="str">
        <f>IFERROR(LOOKUP(Titanic[[#This Row],[Edad Corrigida]],'Práctica 1'!$K$231:$K$240,'Práctica 1'!$L$231:$L$240), "DESCONOCIDO")</f>
        <v>DESCONOCIDO</v>
      </c>
      <c r="R146" s="8">
        <f>Titanic[[#This Row],[Familia Horizontal]]+Titanic[[#This Row],[Familia Vertical]]</f>
        <v>2</v>
      </c>
      <c r="S146" s="8"/>
      <c r="T146" s="8"/>
      <c r="U146" s="8"/>
      <c r="V146" s="8"/>
    </row>
    <row r="147" spans="2:22" x14ac:dyDescent="0.2">
      <c r="B147" s="6">
        <v>142</v>
      </c>
      <c r="C147" s="7">
        <v>1</v>
      </c>
      <c r="D147" s="8">
        <v>3</v>
      </c>
      <c r="E147" s="8" t="s">
        <v>156</v>
      </c>
      <c r="F147" s="8" t="s">
        <v>14</v>
      </c>
      <c r="G147" s="8">
        <v>22</v>
      </c>
      <c r="H147" s="8">
        <v>0</v>
      </c>
      <c r="I147" s="8">
        <v>0</v>
      </c>
      <c r="J147" s="8">
        <v>775</v>
      </c>
      <c r="K147" s="8">
        <v>0</v>
      </c>
      <c r="L147" s="8" t="s">
        <v>12</v>
      </c>
      <c r="M147" s="8" t="str">
        <f>IF(Titanic[[#This Row],[Sobrevive]]=1, "SOBREVIVE", "NO SOBREVIVE")</f>
        <v>SOBREVIVE</v>
      </c>
      <c r="N147" s="8" t="str">
        <f>LOOKUP(Titanic[[#This Row],[Clase]],{1,2,3}, {"PRIMERA","SEGUNDA","TERCERA"})</f>
        <v>TERCERA</v>
      </c>
      <c r="O147" s="8" t="str">
        <f>IF(Titanic[[#This Row],[Sexo]]="Hombre", "HOMBRE", "MUJER")</f>
        <v>MUJER</v>
      </c>
      <c r="P147" s="8">
        <f>IF(Titanic[[#This Row],[Edad]]="", "", IF(Titanic[[#This Row],[Edad]]&gt;=100, Titanic[[#This Row],[Edad]] / 10, Titanic[[#This Row],[Edad]]))</f>
        <v>22</v>
      </c>
      <c r="Q147" s="8" t="str">
        <f>IFERROR(LOOKUP(Titanic[[#This Row],[Edad Corrigida]],'Práctica 1'!$K$231:$K$240,'Práctica 1'!$L$231:$L$240), "DESCONOCIDO")</f>
        <v>3. JOVEN</v>
      </c>
      <c r="R147" s="8">
        <f>Titanic[[#This Row],[Familia Horizontal]]+Titanic[[#This Row],[Familia Vertical]]</f>
        <v>0</v>
      </c>
      <c r="S147" s="8"/>
      <c r="T147" s="8"/>
      <c r="U147" s="8"/>
      <c r="V147" s="8"/>
    </row>
    <row r="148" spans="2:22" x14ac:dyDescent="0.2">
      <c r="B148" s="6">
        <v>143</v>
      </c>
      <c r="C148" s="7">
        <v>1</v>
      </c>
      <c r="D148" s="8">
        <v>3</v>
      </c>
      <c r="E148" s="8" t="s">
        <v>157</v>
      </c>
      <c r="F148" s="8" t="s">
        <v>14</v>
      </c>
      <c r="G148" s="8">
        <v>24</v>
      </c>
      <c r="H148" s="8">
        <v>1</v>
      </c>
      <c r="I148" s="8">
        <v>0</v>
      </c>
      <c r="J148" s="8">
        <v>1585</v>
      </c>
      <c r="K148" s="8">
        <v>0</v>
      </c>
      <c r="L148" s="8" t="s">
        <v>12</v>
      </c>
      <c r="M148" s="8" t="str">
        <f>IF(Titanic[[#This Row],[Sobrevive]]=1, "SOBREVIVE", "NO SOBREVIVE")</f>
        <v>SOBREVIVE</v>
      </c>
      <c r="N148" s="8" t="str">
        <f>LOOKUP(Titanic[[#This Row],[Clase]],{1,2,3}, {"PRIMERA","SEGUNDA","TERCERA"})</f>
        <v>TERCERA</v>
      </c>
      <c r="O148" s="8" t="str">
        <f>IF(Titanic[[#This Row],[Sexo]]="Hombre", "HOMBRE", "MUJER")</f>
        <v>MUJER</v>
      </c>
      <c r="P148" s="8">
        <f>IF(Titanic[[#This Row],[Edad]]="", "", IF(Titanic[[#This Row],[Edad]]&gt;=100, Titanic[[#This Row],[Edad]] / 10, Titanic[[#This Row],[Edad]]))</f>
        <v>24</v>
      </c>
      <c r="Q148" s="8" t="str">
        <f>IFERROR(LOOKUP(Titanic[[#This Row],[Edad Corrigida]],'Práctica 1'!$K$231:$K$240,'Práctica 1'!$L$231:$L$240), "DESCONOCIDO")</f>
        <v>3. JOVEN</v>
      </c>
      <c r="R148" s="8">
        <f>Titanic[[#This Row],[Familia Horizontal]]+Titanic[[#This Row],[Familia Vertical]]</f>
        <v>1</v>
      </c>
      <c r="S148" s="8"/>
      <c r="T148" s="8"/>
      <c r="U148" s="8"/>
      <c r="V148" s="8"/>
    </row>
    <row r="149" spans="2:22" x14ac:dyDescent="0.2">
      <c r="B149" s="6">
        <v>144</v>
      </c>
      <c r="C149" s="7">
        <v>0</v>
      </c>
      <c r="D149" s="8">
        <v>3</v>
      </c>
      <c r="E149" s="8" t="s">
        <v>158</v>
      </c>
      <c r="F149" s="8" t="s">
        <v>11</v>
      </c>
      <c r="G149" s="8">
        <v>19</v>
      </c>
      <c r="H149" s="8">
        <v>0</v>
      </c>
      <c r="I149" s="8">
        <v>0</v>
      </c>
      <c r="J149" s="8">
        <v>675</v>
      </c>
      <c r="K149" s="8">
        <v>0</v>
      </c>
      <c r="L149" s="8" t="s">
        <v>20</v>
      </c>
      <c r="M149" s="8" t="str">
        <f>IF(Titanic[[#This Row],[Sobrevive]]=1, "SOBREVIVE", "NO SOBREVIVE")</f>
        <v>NO SOBREVIVE</v>
      </c>
      <c r="N149" s="8" t="str">
        <f>LOOKUP(Titanic[[#This Row],[Clase]],{1,2,3}, {"PRIMERA","SEGUNDA","TERCERA"})</f>
        <v>TERCERA</v>
      </c>
      <c r="O149" s="8" t="str">
        <f>IF(Titanic[[#This Row],[Sexo]]="Hombre", "HOMBRE", "MUJER")</f>
        <v>HOMBRE</v>
      </c>
      <c r="P149" s="8">
        <f>IF(Titanic[[#This Row],[Edad]]="", "", IF(Titanic[[#This Row],[Edad]]&gt;=100, Titanic[[#This Row],[Edad]] / 10, Titanic[[#This Row],[Edad]]))</f>
        <v>19</v>
      </c>
      <c r="Q149" s="8" t="str">
        <f>IFERROR(LOOKUP(Titanic[[#This Row],[Edad Corrigida]],'Práctica 1'!$K$231:$K$240,'Práctica 1'!$L$231:$L$240), "DESCONOCIDO")</f>
        <v>2. ADOLESCENTE</v>
      </c>
      <c r="R149" s="8">
        <f>Titanic[[#This Row],[Familia Horizontal]]+Titanic[[#This Row],[Familia Vertical]]</f>
        <v>0</v>
      </c>
      <c r="S149" s="8"/>
      <c r="T149" s="8"/>
      <c r="U149" s="8"/>
      <c r="V149" s="8"/>
    </row>
    <row r="150" spans="2:22" x14ac:dyDescent="0.2">
      <c r="B150" s="6">
        <v>145</v>
      </c>
      <c r="C150" s="7">
        <v>0</v>
      </c>
      <c r="D150" s="8">
        <v>2</v>
      </c>
      <c r="E150" s="8" t="s">
        <v>159</v>
      </c>
      <c r="F150" s="8" t="s">
        <v>11</v>
      </c>
      <c r="G150" s="8">
        <v>18</v>
      </c>
      <c r="H150" s="8">
        <v>0</v>
      </c>
      <c r="I150" s="8">
        <v>0</v>
      </c>
      <c r="J150" s="8">
        <v>115</v>
      </c>
      <c r="K150" s="8">
        <v>0</v>
      </c>
      <c r="L150" s="8" t="s">
        <v>12</v>
      </c>
      <c r="M150" s="8" t="str">
        <f>IF(Titanic[[#This Row],[Sobrevive]]=1, "SOBREVIVE", "NO SOBREVIVE")</f>
        <v>NO SOBREVIVE</v>
      </c>
      <c r="N150" s="8" t="str">
        <f>LOOKUP(Titanic[[#This Row],[Clase]],{1,2,3}, {"PRIMERA","SEGUNDA","TERCERA"})</f>
        <v>SEGUNDA</v>
      </c>
      <c r="O150" s="8" t="str">
        <f>IF(Titanic[[#This Row],[Sexo]]="Hombre", "HOMBRE", "MUJER")</f>
        <v>HOMBRE</v>
      </c>
      <c r="P150" s="8">
        <f>IF(Titanic[[#This Row],[Edad]]="", "", IF(Titanic[[#This Row],[Edad]]&gt;=100, Titanic[[#This Row],[Edad]] / 10, Titanic[[#This Row],[Edad]]))</f>
        <v>18</v>
      </c>
      <c r="Q150" s="8" t="str">
        <f>IFERROR(LOOKUP(Titanic[[#This Row],[Edad Corrigida]],'Práctica 1'!$K$231:$K$240,'Práctica 1'!$L$231:$L$240), "DESCONOCIDO")</f>
        <v>1. INFANTE</v>
      </c>
      <c r="R150" s="8">
        <f>Titanic[[#This Row],[Familia Horizontal]]+Titanic[[#This Row],[Familia Vertical]]</f>
        <v>0</v>
      </c>
      <c r="S150" s="8"/>
      <c r="T150" s="8"/>
      <c r="U150" s="8"/>
      <c r="V150" s="8"/>
    </row>
    <row r="151" spans="2:22" x14ac:dyDescent="0.2">
      <c r="B151" s="6">
        <v>146</v>
      </c>
      <c r="C151" s="7">
        <v>0</v>
      </c>
      <c r="D151" s="8">
        <v>2</v>
      </c>
      <c r="E151" s="8" t="s">
        <v>160</v>
      </c>
      <c r="F151" s="8" t="s">
        <v>11</v>
      </c>
      <c r="G151" s="8">
        <v>19</v>
      </c>
      <c r="H151" s="8">
        <v>1</v>
      </c>
      <c r="I151" s="8">
        <v>1</v>
      </c>
      <c r="J151" s="8">
        <v>3675</v>
      </c>
      <c r="K151" s="8">
        <v>0</v>
      </c>
      <c r="L151" s="8" t="s">
        <v>12</v>
      </c>
      <c r="M151" s="8" t="str">
        <f>IF(Titanic[[#This Row],[Sobrevive]]=1, "SOBREVIVE", "NO SOBREVIVE")</f>
        <v>NO SOBREVIVE</v>
      </c>
      <c r="N151" s="8" t="str">
        <f>LOOKUP(Titanic[[#This Row],[Clase]],{1,2,3}, {"PRIMERA","SEGUNDA","TERCERA"})</f>
        <v>SEGUNDA</v>
      </c>
      <c r="O151" s="8" t="str">
        <f>IF(Titanic[[#This Row],[Sexo]]="Hombre", "HOMBRE", "MUJER")</f>
        <v>HOMBRE</v>
      </c>
      <c r="P151" s="8">
        <f>IF(Titanic[[#This Row],[Edad]]="", "", IF(Titanic[[#This Row],[Edad]]&gt;=100, Titanic[[#This Row],[Edad]] / 10, Titanic[[#This Row],[Edad]]))</f>
        <v>19</v>
      </c>
      <c r="Q151" s="8" t="str">
        <f>IFERROR(LOOKUP(Titanic[[#This Row],[Edad Corrigida]],'Práctica 1'!$K$231:$K$240,'Práctica 1'!$L$231:$L$240), "DESCONOCIDO")</f>
        <v>2. ADOLESCENTE</v>
      </c>
      <c r="R151" s="8">
        <f>Titanic[[#This Row],[Familia Horizontal]]+Titanic[[#This Row],[Familia Vertical]]</f>
        <v>2</v>
      </c>
      <c r="S151" s="8"/>
      <c r="T151" s="8"/>
      <c r="U151" s="8"/>
      <c r="V151" s="8"/>
    </row>
    <row r="152" spans="2:22" x14ac:dyDescent="0.2">
      <c r="B152" s="6">
        <v>147</v>
      </c>
      <c r="C152" s="7">
        <v>1</v>
      </c>
      <c r="D152" s="8">
        <v>3</v>
      </c>
      <c r="E152" s="8" t="s">
        <v>161</v>
      </c>
      <c r="F152" s="8" t="s">
        <v>11</v>
      </c>
      <c r="G152" s="8">
        <v>27</v>
      </c>
      <c r="H152" s="8">
        <v>0</v>
      </c>
      <c r="I152" s="8">
        <v>0</v>
      </c>
      <c r="J152" s="8">
        <v>77958</v>
      </c>
      <c r="K152" s="8">
        <v>0</v>
      </c>
      <c r="L152" s="8" t="s">
        <v>12</v>
      </c>
      <c r="M152" s="8" t="str">
        <f>IF(Titanic[[#This Row],[Sobrevive]]=1, "SOBREVIVE", "NO SOBREVIVE")</f>
        <v>SOBREVIVE</v>
      </c>
      <c r="N152" s="8" t="str">
        <f>LOOKUP(Titanic[[#This Row],[Clase]],{1,2,3}, {"PRIMERA","SEGUNDA","TERCERA"})</f>
        <v>TERCERA</v>
      </c>
      <c r="O152" s="8" t="str">
        <f>IF(Titanic[[#This Row],[Sexo]]="Hombre", "HOMBRE", "MUJER")</f>
        <v>HOMBRE</v>
      </c>
      <c r="P152" s="8">
        <f>IF(Titanic[[#This Row],[Edad]]="", "", IF(Titanic[[#This Row],[Edad]]&gt;=100, Titanic[[#This Row],[Edad]] / 10, Titanic[[#This Row],[Edad]]))</f>
        <v>27</v>
      </c>
      <c r="Q152" s="8" t="str">
        <f>IFERROR(LOOKUP(Titanic[[#This Row],[Edad Corrigida]],'Práctica 1'!$K$231:$K$240,'Práctica 1'!$L$231:$L$240), "DESCONOCIDO")</f>
        <v>4. ADULTO JOVEN</v>
      </c>
      <c r="R152" s="8">
        <f>Titanic[[#This Row],[Familia Horizontal]]+Titanic[[#This Row],[Familia Vertical]]</f>
        <v>0</v>
      </c>
      <c r="S152" s="8"/>
      <c r="T152" s="8"/>
      <c r="U152" s="8"/>
      <c r="V152" s="8"/>
    </row>
    <row r="153" spans="2:22" x14ac:dyDescent="0.2">
      <c r="B153" s="6">
        <v>148</v>
      </c>
      <c r="C153" s="7">
        <v>0</v>
      </c>
      <c r="D153" s="8">
        <v>3</v>
      </c>
      <c r="E153" s="8" t="s">
        <v>162</v>
      </c>
      <c r="F153" s="8" t="s">
        <v>14</v>
      </c>
      <c r="G153" s="8">
        <v>9</v>
      </c>
      <c r="H153" s="8">
        <v>2</v>
      </c>
      <c r="I153" s="8">
        <v>2</v>
      </c>
      <c r="J153" s="8">
        <v>34375</v>
      </c>
      <c r="K153" s="8">
        <v>0</v>
      </c>
      <c r="L153" s="8" t="s">
        <v>12</v>
      </c>
      <c r="M153" s="8" t="str">
        <f>IF(Titanic[[#This Row],[Sobrevive]]=1, "SOBREVIVE", "NO SOBREVIVE")</f>
        <v>NO SOBREVIVE</v>
      </c>
      <c r="N153" s="8" t="str">
        <f>LOOKUP(Titanic[[#This Row],[Clase]],{1,2,3}, {"PRIMERA","SEGUNDA","TERCERA"})</f>
        <v>TERCERA</v>
      </c>
      <c r="O153" s="8" t="str">
        <f>IF(Titanic[[#This Row],[Sexo]]="Hombre", "HOMBRE", "MUJER")</f>
        <v>MUJER</v>
      </c>
      <c r="P153" s="8">
        <f>IF(Titanic[[#This Row],[Edad]]="", "", IF(Titanic[[#This Row],[Edad]]&gt;=100, Titanic[[#This Row],[Edad]] / 10, Titanic[[#This Row],[Edad]]))</f>
        <v>9</v>
      </c>
      <c r="Q153" s="8" t="str">
        <f>IFERROR(LOOKUP(Titanic[[#This Row],[Edad Corrigida]],'Práctica 1'!$K$231:$K$240,'Práctica 1'!$L$231:$L$240), "DESCONOCIDO")</f>
        <v>DESCONOCIDO</v>
      </c>
      <c r="R153" s="8">
        <f>Titanic[[#This Row],[Familia Horizontal]]+Titanic[[#This Row],[Familia Vertical]]</f>
        <v>4</v>
      </c>
      <c r="S153" s="8"/>
      <c r="T153" s="8"/>
      <c r="U153" s="8"/>
      <c r="V153" s="8"/>
    </row>
    <row r="154" spans="2:22" x14ac:dyDescent="0.2">
      <c r="B154" s="6">
        <v>149</v>
      </c>
      <c r="C154" s="7">
        <v>0</v>
      </c>
      <c r="D154" s="8">
        <v>2</v>
      </c>
      <c r="E154" s="8" t="s">
        <v>163</v>
      </c>
      <c r="F154" s="8" t="s">
        <v>11</v>
      </c>
      <c r="G154" s="8">
        <v>365</v>
      </c>
      <c r="H154" s="8">
        <v>0</v>
      </c>
      <c r="I154" s="8">
        <v>2</v>
      </c>
      <c r="J154" s="8">
        <v>26</v>
      </c>
      <c r="K154" s="8">
        <v>1</v>
      </c>
      <c r="L154" s="8" t="s">
        <v>12</v>
      </c>
      <c r="M154" s="8" t="str">
        <f>IF(Titanic[[#This Row],[Sobrevive]]=1, "SOBREVIVE", "NO SOBREVIVE")</f>
        <v>NO SOBREVIVE</v>
      </c>
      <c r="N154" s="8" t="str">
        <f>LOOKUP(Titanic[[#This Row],[Clase]],{1,2,3}, {"PRIMERA","SEGUNDA","TERCERA"})</f>
        <v>SEGUNDA</v>
      </c>
      <c r="O154" s="8" t="str">
        <f>IF(Titanic[[#This Row],[Sexo]]="Hombre", "HOMBRE", "MUJER")</f>
        <v>HOMBRE</v>
      </c>
      <c r="P154" s="8">
        <f>IF(Titanic[[#This Row],[Edad]]="", "", IF(Titanic[[#This Row],[Edad]]&gt;=100, Titanic[[#This Row],[Edad]] / 10, Titanic[[#This Row],[Edad]]))</f>
        <v>36.5</v>
      </c>
      <c r="Q154" s="8" t="str">
        <f>IFERROR(LOOKUP(Titanic[[#This Row],[Edad Corrigida]],'Práctica 1'!$K$231:$K$240,'Práctica 1'!$L$231:$L$240), "DESCONOCIDO")</f>
        <v>7. ADULTO 2</v>
      </c>
      <c r="R154" s="8">
        <f>Titanic[[#This Row],[Familia Horizontal]]+Titanic[[#This Row],[Familia Vertical]]</f>
        <v>2</v>
      </c>
      <c r="S154" s="8"/>
      <c r="T154" s="8"/>
      <c r="U154" s="8"/>
      <c r="V154" s="8"/>
    </row>
    <row r="155" spans="2:22" x14ac:dyDescent="0.2">
      <c r="B155" s="6">
        <v>150</v>
      </c>
      <c r="C155" s="7">
        <v>0</v>
      </c>
      <c r="D155" s="8">
        <v>2</v>
      </c>
      <c r="E155" s="8" t="s">
        <v>164</v>
      </c>
      <c r="F155" s="8" t="s">
        <v>11</v>
      </c>
      <c r="G155" s="8">
        <v>42</v>
      </c>
      <c r="H155" s="8">
        <v>0</v>
      </c>
      <c r="I155" s="8">
        <v>0</v>
      </c>
      <c r="J155" s="8">
        <v>13</v>
      </c>
      <c r="K155" s="8">
        <v>0</v>
      </c>
      <c r="L155" s="8" t="s">
        <v>12</v>
      </c>
      <c r="M155" s="8" t="str">
        <f>IF(Titanic[[#This Row],[Sobrevive]]=1, "SOBREVIVE", "NO SOBREVIVE")</f>
        <v>NO SOBREVIVE</v>
      </c>
      <c r="N155" s="8" t="str">
        <f>LOOKUP(Titanic[[#This Row],[Clase]],{1,2,3}, {"PRIMERA","SEGUNDA","TERCERA"})</f>
        <v>SEGUNDA</v>
      </c>
      <c r="O155" s="8" t="str">
        <f>IF(Titanic[[#This Row],[Sexo]]="Hombre", "HOMBRE", "MUJER")</f>
        <v>HOMBRE</v>
      </c>
      <c r="P155" s="8">
        <f>IF(Titanic[[#This Row],[Edad]]="", "", IF(Titanic[[#This Row],[Edad]]&gt;=100, Titanic[[#This Row],[Edad]] / 10, Titanic[[#This Row],[Edad]]))</f>
        <v>42</v>
      </c>
      <c r="Q155" s="8" t="str">
        <f>IFERROR(LOOKUP(Titanic[[#This Row],[Edad Corrigida]],'Práctica 1'!$K$231:$K$240,'Práctica 1'!$L$231:$L$240), "DESCONOCIDO")</f>
        <v>8. ADULTO 3</v>
      </c>
      <c r="R155" s="8">
        <f>Titanic[[#This Row],[Familia Horizontal]]+Titanic[[#This Row],[Familia Vertical]]</f>
        <v>0</v>
      </c>
      <c r="S155" s="8"/>
      <c r="T155" s="8"/>
      <c r="U155" s="8"/>
      <c r="V155" s="8"/>
    </row>
    <row r="156" spans="2:22" x14ac:dyDescent="0.2">
      <c r="B156" s="6">
        <v>151</v>
      </c>
      <c r="C156" s="7">
        <v>0</v>
      </c>
      <c r="D156" s="8">
        <v>2</v>
      </c>
      <c r="E156" s="8" t="s">
        <v>165</v>
      </c>
      <c r="F156" s="8" t="s">
        <v>11</v>
      </c>
      <c r="G156" s="8">
        <v>51</v>
      </c>
      <c r="H156" s="8">
        <v>0</v>
      </c>
      <c r="I156" s="8">
        <v>0</v>
      </c>
      <c r="J156" s="8">
        <v>12525</v>
      </c>
      <c r="K156" s="8">
        <v>0</v>
      </c>
      <c r="L156" s="8" t="s">
        <v>12</v>
      </c>
      <c r="M156" s="8" t="str">
        <f>IF(Titanic[[#This Row],[Sobrevive]]=1, "SOBREVIVE", "NO SOBREVIVE")</f>
        <v>NO SOBREVIVE</v>
      </c>
      <c r="N156" s="8" t="str">
        <f>LOOKUP(Titanic[[#This Row],[Clase]],{1,2,3}, {"PRIMERA","SEGUNDA","TERCERA"})</f>
        <v>SEGUNDA</v>
      </c>
      <c r="O156" s="8" t="str">
        <f>IF(Titanic[[#This Row],[Sexo]]="Hombre", "HOMBRE", "MUJER")</f>
        <v>HOMBRE</v>
      </c>
      <c r="P156" s="8">
        <f>IF(Titanic[[#This Row],[Edad]]="", "", IF(Titanic[[#This Row],[Edad]]&gt;=100, Titanic[[#This Row],[Edad]] / 10, Titanic[[#This Row],[Edad]]))</f>
        <v>51</v>
      </c>
      <c r="Q156" s="8" t="str">
        <f>IFERROR(LOOKUP(Titanic[[#This Row],[Edad Corrigida]],'Práctica 1'!$K$231:$K$240,'Práctica 1'!$L$231:$L$240), "DESCONOCIDO")</f>
        <v>9. ADULTO 4</v>
      </c>
      <c r="R156" s="8">
        <f>Titanic[[#This Row],[Familia Horizontal]]+Titanic[[#This Row],[Familia Vertical]]</f>
        <v>0</v>
      </c>
      <c r="S156" s="8"/>
      <c r="T156" s="8"/>
      <c r="U156" s="8"/>
      <c r="V156" s="8"/>
    </row>
    <row r="157" spans="2:22" x14ac:dyDescent="0.2">
      <c r="B157" s="6">
        <v>152</v>
      </c>
      <c r="C157" s="7">
        <v>1</v>
      </c>
      <c r="D157" s="8">
        <v>1</v>
      </c>
      <c r="E157" s="8" t="s">
        <v>166</v>
      </c>
      <c r="F157" s="8" t="s">
        <v>14</v>
      </c>
      <c r="G157" s="8">
        <v>22</v>
      </c>
      <c r="H157" s="8">
        <v>1</v>
      </c>
      <c r="I157" s="8">
        <v>0</v>
      </c>
      <c r="J157" s="8">
        <v>666</v>
      </c>
      <c r="K157" s="8">
        <v>1</v>
      </c>
      <c r="L157" s="8" t="s">
        <v>12</v>
      </c>
      <c r="M157" s="8" t="str">
        <f>IF(Titanic[[#This Row],[Sobrevive]]=1, "SOBREVIVE", "NO SOBREVIVE")</f>
        <v>SOBREVIVE</v>
      </c>
      <c r="N157" s="8" t="str">
        <f>LOOKUP(Titanic[[#This Row],[Clase]],{1,2,3}, {"PRIMERA","SEGUNDA","TERCERA"})</f>
        <v>PRIMERA</v>
      </c>
      <c r="O157" s="8" t="str">
        <f>IF(Titanic[[#This Row],[Sexo]]="Hombre", "HOMBRE", "MUJER")</f>
        <v>MUJER</v>
      </c>
      <c r="P157" s="8">
        <f>IF(Titanic[[#This Row],[Edad]]="", "", IF(Titanic[[#This Row],[Edad]]&gt;=100, Titanic[[#This Row],[Edad]] / 10, Titanic[[#This Row],[Edad]]))</f>
        <v>22</v>
      </c>
      <c r="Q157" s="8" t="str">
        <f>IFERROR(LOOKUP(Titanic[[#This Row],[Edad Corrigida]],'Práctica 1'!$K$231:$K$240,'Práctica 1'!$L$231:$L$240), "DESCONOCIDO")</f>
        <v>3. JOVEN</v>
      </c>
      <c r="R157" s="8">
        <f>Titanic[[#This Row],[Familia Horizontal]]+Titanic[[#This Row],[Familia Vertical]]</f>
        <v>1</v>
      </c>
      <c r="S157" s="8"/>
      <c r="T157" s="8"/>
      <c r="U157" s="8"/>
      <c r="V157" s="8"/>
    </row>
    <row r="158" spans="2:22" x14ac:dyDescent="0.2">
      <c r="B158" s="6">
        <v>153</v>
      </c>
      <c r="C158" s="7">
        <v>0</v>
      </c>
      <c r="D158" s="8">
        <v>3</v>
      </c>
      <c r="E158" s="8" t="s">
        <v>167</v>
      </c>
      <c r="F158" s="8" t="s">
        <v>11</v>
      </c>
      <c r="G158" s="8">
        <v>555</v>
      </c>
      <c r="H158" s="8">
        <v>0</v>
      </c>
      <c r="I158" s="8">
        <v>0</v>
      </c>
      <c r="J158" s="8">
        <v>805</v>
      </c>
      <c r="K158" s="8">
        <v>0</v>
      </c>
      <c r="L158" s="8" t="s">
        <v>12</v>
      </c>
      <c r="M158" s="8" t="str">
        <f>IF(Titanic[[#This Row],[Sobrevive]]=1, "SOBREVIVE", "NO SOBREVIVE")</f>
        <v>NO SOBREVIVE</v>
      </c>
      <c r="N158" s="8" t="str">
        <f>LOOKUP(Titanic[[#This Row],[Clase]],{1,2,3}, {"PRIMERA","SEGUNDA","TERCERA"})</f>
        <v>TERCERA</v>
      </c>
      <c r="O158" s="8" t="str">
        <f>IF(Titanic[[#This Row],[Sexo]]="Hombre", "HOMBRE", "MUJER")</f>
        <v>HOMBRE</v>
      </c>
      <c r="P158" s="8">
        <f>IF(Titanic[[#This Row],[Edad]]="", "", IF(Titanic[[#This Row],[Edad]]&gt;=100, Titanic[[#This Row],[Edad]] / 10, Titanic[[#This Row],[Edad]]))</f>
        <v>55.5</v>
      </c>
      <c r="Q158" s="8" t="str">
        <f>IFERROR(LOOKUP(Titanic[[#This Row],[Edad Corrigida]],'Práctica 1'!$K$231:$K$240,'Práctica 1'!$L$231:$L$240), "DESCONOCIDO")</f>
        <v>9. ADULTO 4</v>
      </c>
      <c r="R158" s="8">
        <f>Titanic[[#This Row],[Familia Horizontal]]+Titanic[[#This Row],[Familia Vertical]]</f>
        <v>0</v>
      </c>
      <c r="S158" s="8"/>
      <c r="T158" s="8"/>
      <c r="U158" s="8"/>
      <c r="V158" s="8"/>
    </row>
    <row r="159" spans="2:22" x14ac:dyDescent="0.2">
      <c r="B159" s="6">
        <v>154</v>
      </c>
      <c r="C159" s="7">
        <v>0</v>
      </c>
      <c r="D159" s="8">
        <v>3</v>
      </c>
      <c r="E159" s="8" t="s">
        <v>168</v>
      </c>
      <c r="F159" s="8" t="s">
        <v>11</v>
      </c>
      <c r="G159" s="8">
        <v>405</v>
      </c>
      <c r="H159" s="8">
        <v>0</v>
      </c>
      <c r="I159" s="8">
        <v>2</v>
      </c>
      <c r="J159" s="8">
        <v>145</v>
      </c>
      <c r="K159" s="8">
        <v>0</v>
      </c>
      <c r="L159" s="8" t="s">
        <v>12</v>
      </c>
      <c r="M159" s="8" t="str">
        <f>IF(Titanic[[#This Row],[Sobrevive]]=1, "SOBREVIVE", "NO SOBREVIVE")</f>
        <v>NO SOBREVIVE</v>
      </c>
      <c r="N159" s="8" t="str">
        <f>LOOKUP(Titanic[[#This Row],[Clase]],{1,2,3}, {"PRIMERA","SEGUNDA","TERCERA"})</f>
        <v>TERCERA</v>
      </c>
      <c r="O159" s="8" t="str">
        <f>IF(Titanic[[#This Row],[Sexo]]="Hombre", "HOMBRE", "MUJER")</f>
        <v>HOMBRE</v>
      </c>
      <c r="P159" s="8">
        <f>IF(Titanic[[#This Row],[Edad]]="", "", IF(Titanic[[#This Row],[Edad]]&gt;=100, Titanic[[#This Row],[Edad]] / 10, Titanic[[#This Row],[Edad]]))</f>
        <v>40.5</v>
      </c>
      <c r="Q159" s="8" t="str">
        <f>IFERROR(LOOKUP(Titanic[[#This Row],[Edad Corrigida]],'Práctica 1'!$K$231:$K$240,'Práctica 1'!$L$231:$L$240), "DESCONOCIDO")</f>
        <v>7. ADULTO 2</v>
      </c>
      <c r="R159" s="8">
        <f>Titanic[[#This Row],[Familia Horizontal]]+Titanic[[#This Row],[Familia Vertical]]</f>
        <v>2</v>
      </c>
      <c r="S159" s="8"/>
      <c r="T159" s="8"/>
      <c r="U159" s="8"/>
      <c r="V159" s="8"/>
    </row>
    <row r="160" spans="2:22" x14ac:dyDescent="0.2">
      <c r="B160" s="6">
        <v>155</v>
      </c>
      <c r="C160" s="7">
        <v>0</v>
      </c>
      <c r="D160" s="8">
        <v>3</v>
      </c>
      <c r="E160" s="8" t="s">
        <v>169</v>
      </c>
      <c r="F160" s="8" t="s">
        <v>11</v>
      </c>
      <c r="G160" s="9"/>
      <c r="H160" s="8">
        <v>0</v>
      </c>
      <c r="I160" s="8">
        <v>0</v>
      </c>
      <c r="J160" s="8">
        <v>73125</v>
      </c>
      <c r="K160" s="8">
        <v>0</v>
      </c>
      <c r="L160" s="8" t="s">
        <v>12</v>
      </c>
      <c r="M160" s="8" t="str">
        <f>IF(Titanic[[#This Row],[Sobrevive]]=1, "SOBREVIVE", "NO SOBREVIVE")</f>
        <v>NO SOBREVIVE</v>
      </c>
      <c r="N160" s="8" t="str">
        <f>LOOKUP(Titanic[[#This Row],[Clase]],{1,2,3}, {"PRIMERA","SEGUNDA","TERCERA"})</f>
        <v>TERCERA</v>
      </c>
      <c r="O160" s="8" t="str">
        <f>IF(Titanic[[#This Row],[Sexo]]="Hombre", "HOMBRE", "MUJER")</f>
        <v>HOMBRE</v>
      </c>
      <c r="P160" s="8" t="str">
        <f>IF(Titanic[[#This Row],[Edad]]="", "", IF(Titanic[[#This Row],[Edad]]&gt;=100, Titanic[[#This Row],[Edad]] / 10, Titanic[[#This Row],[Edad]]))</f>
        <v/>
      </c>
      <c r="Q160" s="8" t="str">
        <f>IFERROR(LOOKUP(Titanic[[#This Row],[Edad Corrigida]],'Práctica 1'!$K$231:$K$240,'Práctica 1'!$L$231:$L$240), "DESCONOCIDO")</f>
        <v>DESCONOCIDO</v>
      </c>
      <c r="R160" s="8">
        <f>Titanic[[#This Row],[Familia Horizontal]]+Titanic[[#This Row],[Familia Vertical]]</f>
        <v>0</v>
      </c>
      <c r="S160" s="8"/>
      <c r="T160" s="8"/>
      <c r="U160" s="8"/>
      <c r="V160" s="8"/>
    </row>
    <row r="161" spans="2:22" x14ac:dyDescent="0.2">
      <c r="B161" s="6">
        <v>156</v>
      </c>
      <c r="C161" s="7">
        <v>0</v>
      </c>
      <c r="D161" s="8">
        <v>1</v>
      </c>
      <c r="E161" s="8" t="s">
        <v>170</v>
      </c>
      <c r="F161" s="8" t="s">
        <v>11</v>
      </c>
      <c r="G161" s="8">
        <v>51</v>
      </c>
      <c r="H161" s="8">
        <v>0</v>
      </c>
      <c r="I161" s="8">
        <v>1</v>
      </c>
      <c r="J161" s="8">
        <v>613792</v>
      </c>
      <c r="K161" s="8">
        <v>0</v>
      </c>
      <c r="L161" s="8" t="s">
        <v>15</v>
      </c>
      <c r="M161" s="8" t="str">
        <f>IF(Titanic[[#This Row],[Sobrevive]]=1, "SOBREVIVE", "NO SOBREVIVE")</f>
        <v>NO SOBREVIVE</v>
      </c>
      <c r="N161" s="8" t="str">
        <f>LOOKUP(Titanic[[#This Row],[Clase]],{1,2,3}, {"PRIMERA","SEGUNDA","TERCERA"})</f>
        <v>PRIMERA</v>
      </c>
      <c r="O161" s="8" t="str">
        <f>IF(Titanic[[#This Row],[Sexo]]="Hombre", "HOMBRE", "MUJER")</f>
        <v>HOMBRE</v>
      </c>
      <c r="P161" s="8">
        <f>IF(Titanic[[#This Row],[Edad]]="", "", IF(Titanic[[#This Row],[Edad]]&gt;=100, Titanic[[#This Row],[Edad]] / 10, Titanic[[#This Row],[Edad]]))</f>
        <v>51</v>
      </c>
      <c r="Q161" s="8" t="str">
        <f>IFERROR(LOOKUP(Titanic[[#This Row],[Edad Corrigida]],'Práctica 1'!$K$231:$K$240,'Práctica 1'!$L$231:$L$240), "DESCONOCIDO")</f>
        <v>9. ADULTO 4</v>
      </c>
      <c r="R161" s="8">
        <f>Titanic[[#This Row],[Familia Horizontal]]+Titanic[[#This Row],[Familia Vertical]]</f>
        <v>1</v>
      </c>
      <c r="S161" s="8"/>
      <c r="T161" s="8"/>
      <c r="U161" s="8"/>
      <c r="V161" s="8"/>
    </row>
    <row r="162" spans="2:22" x14ac:dyDescent="0.2">
      <c r="B162" s="6">
        <v>157</v>
      </c>
      <c r="C162" s="7">
        <v>1</v>
      </c>
      <c r="D162" s="8">
        <v>3</v>
      </c>
      <c r="E162" s="8" t="s">
        <v>171</v>
      </c>
      <c r="F162" s="8" t="s">
        <v>14</v>
      </c>
      <c r="G162" s="8">
        <v>16</v>
      </c>
      <c r="H162" s="8">
        <v>0</v>
      </c>
      <c r="I162" s="8">
        <v>0</v>
      </c>
      <c r="J162" s="8">
        <v>77333</v>
      </c>
      <c r="K162" s="8">
        <v>0</v>
      </c>
      <c r="L162" s="8" t="s">
        <v>20</v>
      </c>
      <c r="M162" s="8" t="str">
        <f>IF(Titanic[[#This Row],[Sobrevive]]=1, "SOBREVIVE", "NO SOBREVIVE")</f>
        <v>SOBREVIVE</v>
      </c>
      <c r="N162" s="8" t="str">
        <f>LOOKUP(Titanic[[#This Row],[Clase]],{1,2,3}, {"PRIMERA","SEGUNDA","TERCERA"})</f>
        <v>TERCERA</v>
      </c>
      <c r="O162" s="8" t="str">
        <f>IF(Titanic[[#This Row],[Sexo]]="Hombre", "HOMBRE", "MUJER")</f>
        <v>MUJER</v>
      </c>
      <c r="P162" s="8">
        <f>IF(Titanic[[#This Row],[Edad]]="", "", IF(Titanic[[#This Row],[Edad]]&gt;=100, Titanic[[#This Row],[Edad]] / 10, Titanic[[#This Row],[Edad]]))</f>
        <v>16</v>
      </c>
      <c r="Q162" s="8" t="str">
        <f>IFERROR(LOOKUP(Titanic[[#This Row],[Edad Corrigida]],'Práctica 1'!$K$231:$K$240,'Práctica 1'!$L$231:$L$240), "DESCONOCIDO")</f>
        <v>1. INFANTE</v>
      </c>
      <c r="R162" s="8">
        <f>Titanic[[#This Row],[Familia Horizontal]]+Titanic[[#This Row],[Familia Vertical]]</f>
        <v>0</v>
      </c>
      <c r="S162" s="8"/>
      <c r="T162" s="8"/>
      <c r="U162" s="8"/>
      <c r="V162" s="8"/>
    </row>
    <row r="163" spans="2:22" x14ac:dyDescent="0.2">
      <c r="B163" s="6">
        <v>158</v>
      </c>
      <c r="C163" s="7">
        <v>0</v>
      </c>
      <c r="D163" s="8">
        <v>3</v>
      </c>
      <c r="E163" s="8" t="s">
        <v>172</v>
      </c>
      <c r="F163" s="8" t="s">
        <v>11</v>
      </c>
      <c r="G163" s="8">
        <v>30</v>
      </c>
      <c r="H163" s="8">
        <v>0</v>
      </c>
      <c r="I163" s="8">
        <v>0</v>
      </c>
      <c r="J163" s="8">
        <v>805</v>
      </c>
      <c r="K163" s="8">
        <v>0</v>
      </c>
      <c r="L163" s="8" t="s">
        <v>12</v>
      </c>
      <c r="M163" s="8" t="str">
        <f>IF(Titanic[[#This Row],[Sobrevive]]=1, "SOBREVIVE", "NO SOBREVIVE")</f>
        <v>NO SOBREVIVE</v>
      </c>
      <c r="N163" s="8" t="str">
        <f>LOOKUP(Titanic[[#This Row],[Clase]],{1,2,3}, {"PRIMERA","SEGUNDA","TERCERA"})</f>
        <v>TERCERA</v>
      </c>
      <c r="O163" s="8" t="str">
        <f>IF(Titanic[[#This Row],[Sexo]]="Hombre", "HOMBRE", "MUJER")</f>
        <v>HOMBRE</v>
      </c>
      <c r="P163" s="8">
        <f>IF(Titanic[[#This Row],[Edad]]="", "", IF(Titanic[[#This Row],[Edad]]&gt;=100, Titanic[[#This Row],[Edad]] / 10, Titanic[[#This Row],[Edad]]))</f>
        <v>30</v>
      </c>
      <c r="Q163" s="8" t="str">
        <f>IFERROR(LOOKUP(Titanic[[#This Row],[Edad Corrigida]],'Práctica 1'!$K$231:$K$240,'Práctica 1'!$L$231:$L$240), "DESCONOCIDO")</f>
        <v>5. ADULTO</v>
      </c>
      <c r="R163" s="8">
        <f>Titanic[[#This Row],[Familia Horizontal]]+Titanic[[#This Row],[Familia Vertical]]</f>
        <v>0</v>
      </c>
      <c r="S163" s="8"/>
      <c r="T163" s="8"/>
      <c r="U163" s="8"/>
      <c r="V163" s="8"/>
    </row>
    <row r="164" spans="2:22" x14ac:dyDescent="0.2">
      <c r="B164" s="6">
        <v>159</v>
      </c>
      <c r="C164" s="7">
        <v>0</v>
      </c>
      <c r="D164" s="8">
        <v>3</v>
      </c>
      <c r="E164" s="8" t="s">
        <v>173</v>
      </c>
      <c r="F164" s="8" t="s">
        <v>11</v>
      </c>
      <c r="G164" s="9"/>
      <c r="H164" s="8">
        <v>0</v>
      </c>
      <c r="I164" s="8">
        <v>0</v>
      </c>
      <c r="J164" s="8">
        <v>86625</v>
      </c>
      <c r="K164" s="8">
        <v>0</v>
      </c>
      <c r="L164" s="8" t="s">
        <v>12</v>
      </c>
      <c r="M164" s="8" t="str">
        <f>IF(Titanic[[#This Row],[Sobrevive]]=1, "SOBREVIVE", "NO SOBREVIVE")</f>
        <v>NO SOBREVIVE</v>
      </c>
      <c r="N164" s="8" t="str">
        <f>LOOKUP(Titanic[[#This Row],[Clase]],{1,2,3}, {"PRIMERA","SEGUNDA","TERCERA"})</f>
        <v>TERCERA</v>
      </c>
      <c r="O164" s="8" t="str">
        <f>IF(Titanic[[#This Row],[Sexo]]="Hombre", "HOMBRE", "MUJER")</f>
        <v>HOMBRE</v>
      </c>
      <c r="P164" s="8" t="str">
        <f>IF(Titanic[[#This Row],[Edad]]="", "", IF(Titanic[[#This Row],[Edad]]&gt;=100, Titanic[[#This Row],[Edad]] / 10, Titanic[[#This Row],[Edad]]))</f>
        <v/>
      </c>
      <c r="Q164" s="8" t="str">
        <f>IFERROR(LOOKUP(Titanic[[#This Row],[Edad Corrigida]],'Práctica 1'!$K$231:$K$240,'Práctica 1'!$L$231:$L$240), "DESCONOCIDO")</f>
        <v>DESCONOCIDO</v>
      </c>
      <c r="R164" s="8">
        <f>Titanic[[#This Row],[Familia Horizontal]]+Titanic[[#This Row],[Familia Vertical]]</f>
        <v>0</v>
      </c>
      <c r="S164" s="8"/>
      <c r="T164" s="8"/>
      <c r="U164" s="8"/>
      <c r="V164" s="8"/>
    </row>
    <row r="165" spans="2:22" x14ac:dyDescent="0.2">
      <c r="B165" s="6">
        <v>160</v>
      </c>
      <c r="C165" s="7">
        <v>0</v>
      </c>
      <c r="D165" s="8">
        <v>3</v>
      </c>
      <c r="E165" s="8" t="s">
        <v>174</v>
      </c>
      <c r="F165" s="8" t="s">
        <v>11</v>
      </c>
      <c r="G165" s="9"/>
      <c r="H165" s="8">
        <v>8</v>
      </c>
      <c r="I165" s="8">
        <v>2</v>
      </c>
      <c r="J165" s="8">
        <v>6955</v>
      </c>
      <c r="K165" s="8">
        <v>0</v>
      </c>
      <c r="L165" s="8" t="s">
        <v>12</v>
      </c>
      <c r="M165" s="8" t="str">
        <f>IF(Titanic[[#This Row],[Sobrevive]]=1, "SOBREVIVE", "NO SOBREVIVE")</f>
        <v>NO SOBREVIVE</v>
      </c>
      <c r="N165" s="8" t="str">
        <f>LOOKUP(Titanic[[#This Row],[Clase]],{1,2,3}, {"PRIMERA","SEGUNDA","TERCERA"})</f>
        <v>TERCERA</v>
      </c>
      <c r="O165" s="8" t="str">
        <f>IF(Titanic[[#This Row],[Sexo]]="Hombre", "HOMBRE", "MUJER")</f>
        <v>HOMBRE</v>
      </c>
      <c r="P165" s="8" t="str">
        <f>IF(Titanic[[#This Row],[Edad]]="", "", IF(Titanic[[#This Row],[Edad]]&gt;=100, Titanic[[#This Row],[Edad]] / 10, Titanic[[#This Row],[Edad]]))</f>
        <v/>
      </c>
      <c r="Q165" s="8" t="str">
        <f>IFERROR(LOOKUP(Titanic[[#This Row],[Edad Corrigida]],'Práctica 1'!$K$231:$K$240,'Práctica 1'!$L$231:$L$240), "DESCONOCIDO")</f>
        <v>DESCONOCIDO</v>
      </c>
      <c r="R165" s="8">
        <f>Titanic[[#This Row],[Familia Horizontal]]+Titanic[[#This Row],[Familia Vertical]]</f>
        <v>10</v>
      </c>
      <c r="S165" s="8"/>
      <c r="T165" s="8"/>
      <c r="U165" s="8"/>
      <c r="V165" s="8"/>
    </row>
    <row r="166" spans="2:22" x14ac:dyDescent="0.2">
      <c r="B166" s="6">
        <v>161</v>
      </c>
      <c r="C166" s="7">
        <v>0</v>
      </c>
      <c r="D166" s="8">
        <v>3</v>
      </c>
      <c r="E166" s="8" t="s">
        <v>175</v>
      </c>
      <c r="F166" s="8" t="s">
        <v>11</v>
      </c>
      <c r="G166" s="8">
        <v>44</v>
      </c>
      <c r="H166" s="8">
        <v>0</v>
      </c>
      <c r="I166" s="8">
        <v>1</v>
      </c>
      <c r="J166" s="8">
        <v>161</v>
      </c>
      <c r="K166" s="8">
        <v>0</v>
      </c>
      <c r="L166" s="8" t="s">
        <v>12</v>
      </c>
      <c r="M166" s="8" t="str">
        <f>IF(Titanic[[#This Row],[Sobrevive]]=1, "SOBREVIVE", "NO SOBREVIVE")</f>
        <v>NO SOBREVIVE</v>
      </c>
      <c r="N166" s="8" t="str">
        <f>LOOKUP(Titanic[[#This Row],[Clase]],{1,2,3}, {"PRIMERA","SEGUNDA","TERCERA"})</f>
        <v>TERCERA</v>
      </c>
      <c r="O166" s="8" t="str">
        <f>IF(Titanic[[#This Row],[Sexo]]="Hombre", "HOMBRE", "MUJER")</f>
        <v>HOMBRE</v>
      </c>
      <c r="P166" s="8">
        <f>IF(Titanic[[#This Row],[Edad]]="", "", IF(Titanic[[#This Row],[Edad]]&gt;=100, Titanic[[#This Row],[Edad]] / 10, Titanic[[#This Row],[Edad]]))</f>
        <v>44</v>
      </c>
      <c r="Q166" s="8" t="str">
        <f>IFERROR(LOOKUP(Titanic[[#This Row],[Edad Corrigida]],'Práctica 1'!$K$231:$K$240,'Práctica 1'!$L$231:$L$240), "DESCONOCIDO")</f>
        <v>8. ADULTO 3</v>
      </c>
      <c r="R166" s="8">
        <f>Titanic[[#This Row],[Familia Horizontal]]+Titanic[[#This Row],[Familia Vertical]]</f>
        <v>1</v>
      </c>
      <c r="S166" s="8"/>
      <c r="T166" s="8"/>
      <c r="U166" s="8"/>
      <c r="V166" s="8"/>
    </row>
    <row r="167" spans="2:22" x14ac:dyDescent="0.2">
      <c r="B167" s="6">
        <v>162</v>
      </c>
      <c r="C167" s="7">
        <v>1</v>
      </c>
      <c r="D167" s="8">
        <v>2</v>
      </c>
      <c r="E167" s="8" t="s">
        <v>176</v>
      </c>
      <c r="F167" s="8" t="s">
        <v>14</v>
      </c>
      <c r="G167" s="8">
        <v>40</v>
      </c>
      <c r="H167" s="8">
        <v>0</v>
      </c>
      <c r="I167" s="8">
        <v>0</v>
      </c>
      <c r="J167" s="8">
        <v>1575</v>
      </c>
      <c r="K167" s="8">
        <v>0</v>
      </c>
      <c r="L167" s="8" t="s">
        <v>12</v>
      </c>
      <c r="M167" s="8" t="str">
        <f>IF(Titanic[[#This Row],[Sobrevive]]=1, "SOBREVIVE", "NO SOBREVIVE")</f>
        <v>SOBREVIVE</v>
      </c>
      <c r="N167" s="8" t="str">
        <f>LOOKUP(Titanic[[#This Row],[Clase]],{1,2,3}, {"PRIMERA","SEGUNDA","TERCERA"})</f>
        <v>SEGUNDA</v>
      </c>
      <c r="O167" s="8" t="str">
        <f>IF(Titanic[[#This Row],[Sexo]]="Hombre", "HOMBRE", "MUJER")</f>
        <v>MUJER</v>
      </c>
      <c r="P167" s="8">
        <f>IF(Titanic[[#This Row],[Edad]]="", "", IF(Titanic[[#This Row],[Edad]]&gt;=100, Titanic[[#This Row],[Edad]] / 10, Titanic[[#This Row],[Edad]]))</f>
        <v>40</v>
      </c>
      <c r="Q167" s="8" t="str">
        <f>IFERROR(LOOKUP(Titanic[[#This Row],[Edad Corrigida]],'Práctica 1'!$K$231:$K$240,'Práctica 1'!$L$231:$L$240), "DESCONOCIDO")</f>
        <v>7. ADULTO 2</v>
      </c>
      <c r="R167" s="8">
        <f>Titanic[[#This Row],[Familia Horizontal]]+Titanic[[#This Row],[Familia Vertical]]</f>
        <v>0</v>
      </c>
      <c r="S167" s="8"/>
      <c r="T167" s="8"/>
      <c r="U167" s="8"/>
      <c r="V167" s="8"/>
    </row>
    <row r="168" spans="2:22" x14ac:dyDescent="0.2">
      <c r="B168" s="6">
        <v>163</v>
      </c>
      <c r="C168" s="7">
        <v>0</v>
      </c>
      <c r="D168" s="8">
        <v>3</v>
      </c>
      <c r="E168" s="8" t="s">
        <v>177</v>
      </c>
      <c r="F168" s="8" t="s">
        <v>11</v>
      </c>
      <c r="G168" s="8">
        <v>26</v>
      </c>
      <c r="H168" s="8">
        <v>0</v>
      </c>
      <c r="I168" s="8">
        <v>0</v>
      </c>
      <c r="J168" s="8">
        <v>7775</v>
      </c>
      <c r="K168" s="8">
        <v>0</v>
      </c>
      <c r="L168" s="8" t="s">
        <v>12</v>
      </c>
      <c r="M168" s="8" t="str">
        <f>IF(Titanic[[#This Row],[Sobrevive]]=1, "SOBREVIVE", "NO SOBREVIVE")</f>
        <v>NO SOBREVIVE</v>
      </c>
      <c r="N168" s="8" t="str">
        <f>LOOKUP(Titanic[[#This Row],[Clase]],{1,2,3}, {"PRIMERA","SEGUNDA","TERCERA"})</f>
        <v>TERCERA</v>
      </c>
      <c r="O168" s="8" t="str">
        <f>IF(Titanic[[#This Row],[Sexo]]="Hombre", "HOMBRE", "MUJER")</f>
        <v>HOMBRE</v>
      </c>
      <c r="P168" s="8">
        <f>IF(Titanic[[#This Row],[Edad]]="", "", IF(Titanic[[#This Row],[Edad]]&gt;=100, Titanic[[#This Row],[Edad]] / 10, Titanic[[#This Row],[Edad]]))</f>
        <v>26</v>
      </c>
      <c r="Q168" s="8" t="str">
        <f>IFERROR(LOOKUP(Titanic[[#This Row],[Edad Corrigida]],'Práctica 1'!$K$231:$K$240,'Práctica 1'!$L$231:$L$240), "DESCONOCIDO")</f>
        <v>4. ADULTO JOVEN</v>
      </c>
      <c r="R168" s="8">
        <f>Titanic[[#This Row],[Familia Horizontal]]+Titanic[[#This Row],[Familia Vertical]]</f>
        <v>0</v>
      </c>
      <c r="S168" s="8"/>
      <c r="T168" s="8"/>
      <c r="U168" s="8"/>
      <c r="V168" s="8"/>
    </row>
    <row r="169" spans="2:22" x14ac:dyDescent="0.2">
      <c r="B169" s="6">
        <v>164</v>
      </c>
      <c r="C169" s="7">
        <v>0</v>
      </c>
      <c r="D169" s="8">
        <v>3</v>
      </c>
      <c r="E169" s="8" t="s">
        <v>178</v>
      </c>
      <c r="F169" s="8" t="s">
        <v>11</v>
      </c>
      <c r="G169" s="8">
        <v>17</v>
      </c>
      <c r="H169" s="8">
        <v>0</v>
      </c>
      <c r="I169" s="8">
        <v>0</v>
      </c>
      <c r="J169" s="8">
        <v>86625</v>
      </c>
      <c r="K169" s="8">
        <v>0</v>
      </c>
      <c r="L169" s="8" t="s">
        <v>12</v>
      </c>
      <c r="M169" s="8" t="str">
        <f>IF(Titanic[[#This Row],[Sobrevive]]=1, "SOBREVIVE", "NO SOBREVIVE")</f>
        <v>NO SOBREVIVE</v>
      </c>
      <c r="N169" s="8" t="str">
        <f>LOOKUP(Titanic[[#This Row],[Clase]],{1,2,3}, {"PRIMERA","SEGUNDA","TERCERA"})</f>
        <v>TERCERA</v>
      </c>
      <c r="O169" s="8" t="str">
        <f>IF(Titanic[[#This Row],[Sexo]]="Hombre", "HOMBRE", "MUJER")</f>
        <v>HOMBRE</v>
      </c>
      <c r="P169" s="8">
        <f>IF(Titanic[[#This Row],[Edad]]="", "", IF(Titanic[[#This Row],[Edad]]&gt;=100, Titanic[[#This Row],[Edad]] / 10, Titanic[[#This Row],[Edad]]))</f>
        <v>17</v>
      </c>
      <c r="Q169" s="8" t="str">
        <f>IFERROR(LOOKUP(Titanic[[#This Row],[Edad Corrigida]],'Práctica 1'!$K$231:$K$240,'Práctica 1'!$L$231:$L$240), "DESCONOCIDO")</f>
        <v>1. INFANTE</v>
      </c>
      <c r="R169" s="8">
        <f>Titanic[[#This Row],[Familia Horizontal]]+Titanic[[#This Row],[Familia Vertical]]</f>
        <v>0</v>
      </c>
      <c r="S169" s="8"/>
      <c r="T169" s="8"/>
      <c r="U169" s="8"/>
      <c r="V169" s="8"/>
    </row>
    <row r="170" spans="2:22" x14ac:dyDescent="0.2">
      <c r="B170" s="6">
        <v>165</v>
      </c>
      <c r="C170" s="7">
        <v>0</v>
      </c>
      <c r="D170" s="8">
        <v>3</v>
      </c>
      <c r="E170" s="8" t="s">
        <v>179</v>
      </c>
      <c r="F170" s="8" t="s">
        <v>11</v>
      </c>
      <c r="G170" s="8">
        <v>1</v>
      </c>
      <c r="H170" s="8">
        <v>4</v>
      </c>
      <c r="I170" s="8">
        <v>1</v>
      </c>
      <c r="J170" s="8">
        <v>396875</v>
      </c>
      <c r="K170" s="8">
        <v>0</v>
      </c>
      <c r="L170" s="8" t="s">
        <v>12</v>
      </c>
      <c r="M170" s="8" t="str">
        <f>IF(Titanic[[#This Row],[Sobrevive]]=1, "SOBREVIVE", "NO SOBREVIVE")</f>
        <v>NO SOBREVIVE</v>
      </c>
      <c r="N170" s="8" t="str">
        <f>LOOKUP(Titanic[[#This Row],[Clase]],{1,2,3}, {"PRIMERA","SEGUNDA","TERCERA"})</f>
        <v>TERCERA</v>
      </c>
      <c r="O170" s="8" t="str">
        <f>IF(Titanic[[#This Row],[Sexo]]="Hombre", "HOMBRE", "MUJER")</f>
        <v>HOMBRE</v>
      </c>
      <c r="P170" s="8">
        <f>IF(Titanic[[#This Row],[Edad]]="", "", IF(Titanic[[#This Row],[Edad]]&gt;=100, Titanic[[#This Row],[Edad]] / 10, Titanic[[#This Row],[Edad]]))</f>
        <v>1</v>
      </c>
      <c r="Q170" s="8" t="str">
        <f>IFERROR(LOOKUP(Titanic[[#This Row],[Edad Corrigida]],'Práctica 1'!$K$231:$K$240,'Práctica 1'!$L$231:$L$240), "DESCONOCIDO")</f>
        <v>DESCONOCIDO</v>
      </c>
      <c r="R170" s="8">
        <f>Titanic[[#This Row],[Familia Horizontal]]+Titanic[[#This Row],[Familia Vertical]]</f>
        <v>5</v>
      </c>
      <c r="S170" s="8"/>
      <c r="T170" s="8"/>
      <c r="U170" s="8"/>
      <c r="V170" s="8"/>
    </row>
    <row r="171" spans="2:22" x14ac:dyDescent="0.2">
      <c r="B171" s="6">
        <v>166</v>
      </c>
      <c r="C171" s="7">
        <v>1</v>
      </c>
      <c r="D171" s="8">
        <v>3</v>
      </c>
      <c r="E171" s="8" t="s">
        <v>180</v>
      </c>
      <c r="F171" s="8" t="s">
        <v>11</v>
      </c>
      <c r="G171" s="8">
        <v>9</v>
      </c>
      <c r="H171" s="8">
        <v>0</v>
      </c>
      <c r="I171" s="8">
        <v>2</v>
      </c>
      <c r="J171" s="8">
        <v>20525</v>
      </c>
      <c r="K171" s="8">
        <v>0</v>
      </c>
      <c r="L171" s="8" t="s">
        <v>12</v>
      </c>
      <c r="M171" s="8" t="str">
        <f>IF(Titanic[[#This Row],[Sobrevive]]=1, "SOBREVIVE", "NO SOBREVIVE")</f>
        <v>SOBREVIVE</v>
      </c>
      <c r="N171" s="8" t="str">
        <f>LOOKUP(Titanic[[#This Row],[Clase]],{1,2,3}, {"PRIMERA","SEGUNDA","TERCERA"})</f>
        <v>TERCERA</v>
      </c>
      <c r="O171" s="8" t="str">
        <f>IF(Titanic[[#This Row],[Sexo]]="Hombre", "HOMBRE", "MUJER")</f>
        <v>HOMBRE</v>
      </c>
      <c r="P171" s="8">
        <f>IF(Titanic[[#This Row],[Edad]]="", "", IF(Titanic[[#This Row],[Edad]]&gt;=100, Titanic[[#This Row],[Edad]] / 10, Titanic[[#This Row],[Edad]]))</f>
        <v>9</v>
      </c>
      <c r="Q171" s="8" t="str">
        <f>IFERROR(LOOKUP(Titanic[[#This Row],[Edad Corrigida]],'Práctica 1'!$K$231:$K$240,'Práctica 1'!$L$231:$L$240), "DESCONOCIDO")</f>
        <v>DESCONOCIDO</v>
      </c>
      <c r="R171" s="8">
        <f>Titanic[[#This Row],[Familia Horizontal]]+Titanic[[#This Row],[Familia Vertical]]</f>
        <v>2</v>
      </c>
      <c r="S171" s="8"/>
      <c r="T171" s="8"/>
      <c r="U171" s="8"/>
      <c r="V171" s="8"/>
    </row>
    <row r="172" spans="2:22" x14ac:dyDescent="0.2">
      <c r="B172" s="6">
        <v>167</v>
      </c>
      <c r="C172" s="7">
        <v>1</v>
      </c>
      <c r="D172" s="8">
        <v>1</v>
      </c>
      <c r="E172" s="8" t="s">
        <v>181</v>
      </c>
      <c r="F172" s="8" t="s">
        <v>14</v>
      </c>
      <c r="G172" s="9"/>
      <c r="H172" s="8">
        <v>0</v>
      </c>
      <c r="I172" s="8">
        <v>1</v>
      </c>
      <c r="J172" s="8">
        <v>55</v>
      </c>
      <c r="K172" s="8">
        <v>1</v>
      </c>
      <c r="L172" s="8" t="s">
        <v>12</v>
      </c>
      <c r="M172" s="8" t="str">
        <f>IF(Titanic[[#This Row],[Sobrevive]]=1, "SOBREVIVE", "NO SOBREVIVE")</f>
        <v>SOBREVIVE</v>
      </c>
      <c r="N172" s="8" t="str">
        <f>LOOKUP(Titanic[[#This Row],[Clase]],{1,2,3}, {"PRIMERA","SEGUNDA","TERCERA"})</f>
        <v>PRIMERA</v>
      </c>
      <c r="O172" s="8" t="str">
        <f>IF(Titanic[[#This Row],[Sexo]]="Hombre", "HOMBRE", "MUJER")</f>
        <v>MUJER</v>
      </c>
      <c r="P172" s="8" t="str">
        <f>IF(Titanic[[#This Row],[Edad]]="", "", IF(Titanic[[#This Row],[Edad]]&gt;=100, Titanic[[#This Row],[Edad]] / 10, Titanic[[#This Row],[Edad]]))</f>
        <v/>
      </c>
      <c r="Q172" s="8" t="str">
        <f>IFERROR(LOOKUP(Titanic[[#This Row],[Edad Corrigida]],'Práctica 1'!$K$231:$K$240,'Práctica 1'!$L$231:$L$240), "DESCONOCIDO")</f>
        <v>DESCONOCIDO</v>
      </c>
      <c r="R172" s="8">
        <f>Titanic[[#This Row],[Familia Horizontal]]+Titanic[[#This Row],[Familia Vertical]]</f>
        <v>1</v>
      </c>
      <c r="S172" s="8"/>
      <c r="T172" s="8"/>
      <c r="U172" s="8"/>
      <c r="V172" s="8"/>
    </row>
    <row r="173" spans="2:22" x14ac:dyDescent="0.2">
      <c r="B173" s="6">
        <v>168</v>
      </c>
      <c r="C173" s="7">
        <v>0</v>
      </c>
      <c r="D173" s="8">
        <v>3</v>
      </c>
      <c r="E173" s="8" t="s">
        <v>182</v>
      </c>
      <c r="F173" s="8" t="s">
        <v>14</v>
      </c>
      <c r="G173" s="8">
        <v>45</v>
      </c>
      <c r="H173" s="8">
        <v>1</v>
      </c>
      <c r="I173" s="8">
        <v>4</v>
      </c>
      <c r="J173" s="8">
        <v>279</v>
      </c>
      <c r="K173" s="8">
        <v>0</v>
      </c>
      <c r="L173" s="8" t="s">
        <v>12</v>
      </c>
      <c r="M173" s="8" t="str">
        <f>IF(Titanic[[#This Row],[Sobrevive]]=1, "SOBREVIVE", "NO SOBREVIVE")</f>
        <v>NO SOBREVIVE</v>
      </c>
      <c r="N173" s="8" t="str">
        <f>LOOKUP(Titanic[[#This Row],[Clase]],{1,2,3}, {"PRIMERA","SEGUNDA","TERCERA"})</f>
        <v>TERCERA</v>
      </c>
      <c r="O173" s="8" t="str">
        <f>IF(Titanic[[#This Row],[Sexo]]="Hombre", "HOMBRE", "MUJER")</f>
        <v>MUJER</v>
      </c>
      <c r="P173" s="8">
        <f>IF(Titanic[[#This Row],[Edad]]="", "", IF(Titanic[[#This Row],[Edad]]&gt;=100, Titanic[[#This Row],[Edad]] / 10, Titanic[[#This Row],[Edad]]))</f>
        <v>45</v>
      </c>
      <c r="Q173" s="8" t="str">
        <f>IFERROR(LOOKUP(Titanic[[#This Row],[Edad Corrigida]],'Práctica 1'!$K$231:$K$240,'Práctica 1'!$L$231:$L$240), "DESCONOCIDO")</f>
        <v>8. ADULTO 3</v>
      </c>
      <c r="R173" s="8">
        <f>Titanic[[#This Row],[Familia Horizontal]]+Titanic[[#This Row],[Familia Vertical]]</f>
        <v>5</v>
      </c>
      <c r="S173" s="8"/>
      <c r="T173" s="8"/>
      <c r="U173" s="8"/>
      <c r="V173" s="8"/>
    </row>
    <row r="174" spans="2:22" x14ac:dyDescent="0.2">
      <c r="B174" s="6">
        <v>169</v>
      </c>
      <c r="C174" s="7">
        <v>0</v>
      </c>
      <c r="D174" s="8">
        <v>1</v>
      </c>
      <c r="E174" s="8" t="s">
        <v>183</v>
      </c>
      <c r="F174" s="8" t="s">
        <v>11</v>
      </c>
      <c r="G174" s="9"/>
      <c r="H174" s="8">
        <v>0</v>
      </c>
      <c r="I174" s="8">
        <v>0</v>
      </c>
      <c r="J174" s="8">
        <v>25925</v>
      </c>
      <c r="K174" s="8">
        <v>0</v>
      </c>
      <c r="L174" s="8" t="s">
        <v>12</v>
      </c>
      <c r="M174" s="8" t="str">
        <f>IF(Titanic[[#This Row],[Sobrevive]]=1, "SOBREVIVE", "NO SOBREVIVE")</f>
        <v>NO SOBREVIVE</v>
      </c>
      <c r="N174" s="8" t="str">
        <f>LOOKUP(Titanic[[#This Row],[Clase]],{1,2,3}, {"PRIMERA","SEGUNDA","TERCERA"})</f>
        <v>PRIMERA</v>
      </c>
      <c r="O174" s="8" t="str">
        <f>IF(Titanic[[#This Row],[Sexo]]="Hombre", "HOMBRE", "MUJER")</f>
        <v>HOMBRE</v>
      </c>
      <c r="P174" s="8" t="str">
        <f>IF(Titanic[[#This Row],[Edad]]="", "", IF(Titanic[[#This Row],[Edad]]&gt;=100, Titanic[[#This Row],[Edad]] / 10, Titanic[[#This Row],[Edad]]))</f>
        <v/>
      </c>
      <c r="Q174" s="8" t="str">
        <f>IFERROR(LOOKUP(Titanic[[#This Row],[Edad Corrigida]],'Práctica 1'!$K$231:$K$240,'Práctica 1'!$L$231:$L$240), "DESCONOCIDO")</f>
        <v>DESCONOCIDO</v>
      </c>
      <c r="R174" s="8">
        <f>Titanic[[#This Row],[Familia Horizontal]]+Titanic[[#This Row],[Familia Vertical]]</f>
        <v>0</v>
      </c>
      <c r="S174" s="8"/>
      <c r="T174" s="8"/>
      <c r="U174" s="8"/>
      <c r="V174" s="8"/>
    </row>
    <row r="175" spans="2:22" x14ac:dyDescent="0.2">
      <c r="B175" s="6">
        <v>170</v>
      </c>
      <c r="C175" s="7">
        <v>0</v>
      </c>
      <c r="D175" s="8">
        <v>3</v>
      </c>
      <c r="E175" s="8" t="s">
        <v>184</v>
      </c>
      <c r="F175" s="8" t="s">
        <v>11</v>
      </c>
      <c r="G175" s="8">
        <v>28</v>
      </c>
      <c r="H175" s="8">
        <v>0</v>
      </c>
      <c r="I175" s="8">
        <v>0</v>
      </c>
      <c r="J175" s="8">
        <v>564958</v>
      </c>
      <c r="K175" s="8">
        <v>0</v>
      </c>
      <c r="L175" s="8" t="s">
        <v>12</v>
      </c>
      <c r="M175" s="8" t="str">
        <f>IF(Titanic[[#This Row],[Sobrevive]]=1, "SOBREVIVE", "NO SOBREVIVE")</f>
        <v>NO SOBREVIVE</v>
      </c>
      <c r="N175" s="8" t="str">
        <f>LOOKUP(Titanic[[#This Row],[Clase]],{1,2,3}, {"PRIMERA","SEGUNDA","TERCERA"})</f>
        <v>TERCERA</v>
      </c>
      <c r="O175" s="8" t="str">
        <f>IF(Titanic[[#This Row],[Sexo]]="Hombre", "HOMBRE", "MUJER")</f>
        <v>HOMBRE</v>
      </c>
      <c r="P175" s="8">
        <f>IF(Titanic[[#This Row],[Edad]]="", "", IF(Titanic[[#This Row],[Edad]]&gt;=100, Titanic[[#This Row],[Edad]] / 10, Titanic[[#This Row],[Edad]]))</f>
        <v>28</v>
      </c>
      <c r="Q175" s="8" t="str">
        <f>IFERROR(LOOKUP(Titanic[[#This Row],[Edad Corrigida]],'Práctica 1'!$K$231:$K$240,'Práctica 1'!$L$231:$L$240), "DESCONOCIDO")</f>
        <v>4. ADULTO JOVEN</v>
      </c>
      <c r="R175" s="8">
        <f>Titanic[[#This Row],[Familia Horizontal]]+Titanic[[#This Row],[Familia Vertical]]</f>
        <v>0</v>
      </c>
      <c r="S175" s="8"/>
      <c r="T175" s="8"/>
      <c r="U175" s="8"/>
      <c r="V175" s="8"/>
    </row>
    <row r="176" spans="2:22" x14ac:dyDescent="0.2">
      <c r="B176" s="6">
        <v>171</v>
      </c>
      <c r="C176" s="7">
        <v>0</v>
      </c>
      <c r="D176" s="8">
        <v>1</v>
      </c>
      <c r="E176" s="8" t="s">
        <v>185</v>
      </c>
      <c r="F176" s="8" t="s">
        <v>11</v>
      </c>
      <c r="G176" s="8">
        <v>61</v>
      </c>
      <c r="H176" s="8">
        <v>0</v>
      </c>
      <c r="I176" s="8">
        <v>0</v>
      </c>
      <c r="J176" s="8">
        <v>335</v>
      </c>
      <c r="K176" s="8">
        <v>1</v>
      </c>
      <c r="L176" s="8" t="s">
        <v>12</v>
      </c>
      <c r="M176" s="8" t="str">
        <f>IF(Titanic[[#This Row],[Sobrevive]]=1, "SOBREVIVE", "NO SOBREVIVE")</f>
        <v>NO SOBREVIVE</v>
      </c>
      <c r="N176" s="8" t="str">
        <f>LOOKUP(Titanic[[#This Row],[Clase]],{1,2,3}, {"PRIMERA","SEGUNDA","TERCERA"})</f>
        <v>PRIMERA</v>
      </c>
      <c r="O176" s="8" t="str">
        <f>IF(Titanic[[#This Row],[Sexo]]="Hombre", "HOMBRE", "MUJER")</f>
        <v>HOMBRE</v>
      </c>
      <c r="P176" s="8">
        <f>IF(Titanic[[#This Row],[Edad]]="", "", IF(Titanic[[#This Row],[Edad]]&gt;=100, Titanic[[#This Row],[Edad]] / 10, Titanic[[#This Row],[Edad]]))</f>
        <v>61</v>
      </c>
      <c r="Q176" s="8" t="str">
        <f>IFERROR(LOOKUP(Titanic[[#This Row],[Edad Corrigida]],'Práctica 1'!$K$231:$K$240,'Práctica 1'!$L$231:$L$240), "DESCONOCIDO")</f>
        <v>9. ADULTO 4</v>
      </c>
      <c r="R176" s="8">
        <f>Titanic[[#This Row],[Familia Horizontal]]+Titanic[[#This Row],[Familia Vertical]]</f>
        <v>0</v>
      </c>
      <c r="S176" s="8"/>
      <c r="T176" s="8"/>
      <c r="U176" s="8"/>
      <c r="V176" s="8"/>
    </row>
    <row r="177" spans="2:22" x14ac:dyDescent="0.2">
      <c r="B177" s="6">
        <v>172</v>
      </c>
      <c r="C177" s="7">
        <v>0</v>
      </c>
      <c r="D177" s="8">
        <v>3</v>
      </c>
      <c r="E177" s="8" t="s">
        <v>186</v>
      </c>
      <c r="F177" s="8" t="s">
        <v>11</v>
      </c>
      <c r="G177" s="8">
        <v>4</v>
      </c>
      <c r="H177" s="8">
        <v>4</v>
      </c>
      <c r="I177" s="8">
        <v>1</v>
      </c>
      <c r="J177" s="8">
        <v>29125</v>
      </c>
      <c r="K177" s="8">
        <v>0</v>
      </c>
      <c r="L177" s="8" t="s">
        <v>20</v>
      </c>
      <c r="M177" s="8" t="str">
        <f>IF(Titanic[[#This Row],[Sobrevive]]=1, "SOBREVIVE", "NO SOBREVIVE")</f>
        <v>NO SOBREVIVE</v>
      </c>
      <c r="N177" s="8" t="str">
        <f>LOOKUP(Titanic[[#This Row],[Clase]],{1,2,3}, {"PRIMERA","SEGUNDA","TERCERA"})</f>
        <v>TERCERA</v>
      </c>
      <c r="O177" s="8" t="str">
        <f>IF(Titanic[[#This Row],[Sexo]]="Hombre", "HOMBRE", "MUJER")</f>
        <v>HOMBRE</v>
      </c>
      <c r="P177" s="8">
        <f>IF(Titanic[[#This Row],[Edad]]="", "", IF(Titanic[[#This Row],[Edad]]&gt;=100, Titanic[[#This Row],[Edad]] / 10, Titanic[[#This Row],[Edad]]))</f>
        <v>4</v>
      </c>
      <c r="Q177" s="8" t="str">
        <f>IFERROR(LOOKUP(Titanic[[#This Row],[Edad Corrigida]],'Práctica 1'!$K$231:$K$240,'Práctica 1'!$L$231:$L$240), "DESCONOCIDO")</f>
        <v>DESCONOCIDO</v>
      </c>
      <c r="R177" s="8">
        <f>Titanic[[#This Row],[Familia Horizontal]]+Titanic[[#This Row],[Familia Vertical]]</f>
        <v>5</v>
      </c>
      <c r="S177" s="8"/>
      <c r="T177" s="8"/>
      <c r="U177" s="8"/>
      <c r="V177" s="8"/>
    </row>
    <row r="178" spans="2:22" x14ac:dyDescent="0.2">
      <c r="B178" s="6">
        <v>173</v>
      </c>
      <c r="C178" s="7">
        <v>1</v>
      </c>
      <c r="D178" s="8">
        <v>3</v>
      </c>
      <c r="E178" s="8" t="s">
        <v>187</v>
      </c>
      <c r="F178" s="8" t="s">
        <v>14</v>
      </c>
      <c r="G178" s="8">
        <v>1</v>
      </c>
      <c r="H178" s="8">
        <v>1</v>
      </c>
      <c r="I178" s="8">
        <v>1</v>
      </c>
      <c r="J178" s="8">
        <v>111333</v>
      </c>
      <c r="K178" s="8">
        <v>0</v>
      </c>
      <c r="L178" s="8" t="s">
        <v>12</v>
      </c>
      <c r="M178" s="8" t="str">
        <f>IF(Titanic[[#This Row],[Sobrevive]]=1, "SOBREVIVE", "NO SOBREVIVE")</f>
        <v>SOBREVIVE</v>
      </c>
      <c r="N178" s="8" t="str">
        <f>LOOKUP(Titanic[[#This Row],[Clase]],{1,2,3}, {"PRIMERA","SEGUNDA","TERCERA"})</f>
        <v>TERCERA</v>
      </c>
      <c r="O178" s="8" t="str">
        <f>IF(Titanic[[#This Row],[Sexo]]="Hombre", "HOMBRE", "MUJER")</f>
        <v>MUJER</v>
      </c>
      <c r="P178" s="8">
        <f>IF(Titanic[[#This Row],[Edad]]="", "", IF(Titanic[[#This Row],[Edad]]&gt;=100, Titanic[[#This Row],[Edad]] / 10, Titanic[[#This Row],[Edad]]))</f>
        <v>1</v>
      </c>
      <c r="Q178" s="8" t="str">
        <f>IFERROR(LOOKUP(Titanic[[#This Row],[Edad Corrigida]],'Práctica 1'!$K$231:$K$240,'Práctica 1'!$L$231:$L$240), "DESCONOCIDO")</f>
        <v>DESCONOCIDO</v>
      </c>
      <c r="R178" s="8">
        <f>Titanic[[#This Row],[Familia Horizontal]]+Titanic[[#This Row],[Familia Vertical]]</f>
        <v>2</v>
      </c>
      <c r="S178" s="8"/>
      <c r="T178" s="8"/>
      <c r="U178" s="8"/>
      <c r="V178" s="8"/>
    </row>
    <row r="179" spans="2:22" x14ac:dyDescent="0.2">
      <c r="B179" s="6">
        <v>174</v>
      </c>
      <c r="C179" s="7">
        <v>0</v>
      </c>
      <c r="D179" s="8">
        <v>3</v>
      </c>
      <c r="E179" s="8" t="s">
        <v>188</v>
      </c>
      <c r="F179" s="8" t="s">
        <v>11</v>
      </c>
      <c r="G179" s="8">
        <v>21</v>
      </c>
      <c r="H179" s="8">
        <v>0</v>
      </c>
      <c r="I179" s="8">
        <v>0</v>
      </c>
      <c r="J179" s="8">
        <v>7925</v>
      </c>
      <c r="K179" s="8">
        <v>0</v>
      </c>
      <c r="L179" s="8" t="s">
        <v>12</v>
      </c>
      <c r="M179" s="8" t="str">
        <f>IF(Titanic[[#This Row],[Sobrevive]]=1, "SOBREVIVE", "NO SOBREVIVE")</f>
        <v>NO SOBREVIVE</v>
      </c>
      <c r="N179" s="8" t="str">
        <f>LOOKUP(Titanic[[#This Row],[Clase]],{1,2,3}, {"PRIMERA","SEGUNDA","TERCERA"})</f>
        <v>TERCERA</v>
      </c>
      <c r="O179" s="8" t="str">
        <f>IF(Titanic[[#This Row],[Sexo]]="Hombre", "HOMBRE", "MUJER")</f>
        <v>HOMBRE</v>
      </c>
      <c r="P179" s="8">
        <f>IF(Titanic[[#This Row],[Edad]]="", "", IF(Titanic[[#This Row],[Edad]]&gt;=100, Titanic[[#This Row],[Edad]] / 10, Titanic[[#This Row],[Edad]]))</f>
        <v>21</v>
      </c>
      <c r="Q179" s="8" t="str">
        <f>IFERROR(LOOKUP(Titanic[[#This Row],[Edad Corrigida]],'Práctica 1'!$K$231:$K$240,'Práctica 1'!$L$231:$L$240), "DESCONOCIDO")</f>
        <v>2. ADOLESCENTE</v>
      </c>
      <c r="R179" s="8">
        <f>Titanic[[#This Row],[Familia Horizontal]]+Titanic[[#This Row],[Familia Vertical]]</f>
        <v>0</v>
      </c>
      <c r="S179" s="8"/>
      <c r="T179" s="8"/>
      <c r="U179" s="8"/>
      <c r="V179" s="8"/>
    </row>
    <row r="180" spans="2:22" x14ac:dyDescent="0.2">
      <c r="B180" s="6">
        <v>175</v>
      </c>
      <c r="C180" s="7">
        <v>0</v>
      </c>
      <c r="D180" s="8">
        <v>1</v>
      </c>
      <c r="E180" s="8" t="s">
        <v>189</v>
      </c>
      <c r="F180" s="8" t="s">
        <v>11</v>
      </c>
      <c r="G180" s="8">
        <v>56</v>
      </c>
      <c r="H180" s="8">
        <v>0</v>
      </c>
      <c r="I180" s="8">
        <v>0</v>
      </c>
      <c r="J180" s="8">
        <v>306958</v>
      </c>
      <c r="K180" s="8">
        <v>1</v>
      </c>
      <c r="L180" s="8" t="s">
        <v>15</v>
      </c>
      <c r="M180" s="8" t="str">
        <f>IF(Titanic[[#This Row],[Sobrevive]]=1, "SOBREVIVE", "NO SOBREVIVE")</f>
        <v>NO SOBREVIVE</v>
      </c>
      <c r="N180" s="8" t="str">
        <f>LOOKUP(Titanic[[#This Row],[Clase]],{1,2,3}, {"PRIMERA","SEGUNDA","TERCERA"})</f>
        <v>PRIMERA</v>
      </c>
      <c r="O180" s="8" t="str">
        <f>IF(Titanic[[#This Row],[Sexo]]="Hombre", "HOMBRE", "MUJER")</f>
        <v>HOMBRE</v>
      </c>
      <c r="P180" s="8">
        <f>IF(Titanic[[#This Row],[Edad]]="", "", IF(Titanic[[#This Row],[Edad]]&gt;=100, Titanic[[#This Row],[Edad]] / 10, Titanic[[#This Row],[Edad]]))</f>
        <v>56</v>
      </c>
      <c r="Q180" s="8" t="str">
        <f>IFERROR(LOOKUP(Titanic[[#This Row],[Edad Corrigida]],'Práctica 1'!$K$231:$K$240,'Práctica 1'!$L$231:$L$240), "DESCONOCIDO")</f>
        <v>9. ADULTO 4</v>
      </c>
      <c r="R180" s="8">
        <f>Titanic[[#This Row],[Familia Horizontal]]+Titanic[[#This Row],[Familia Vertical]]</f>
        <v>0</v>
      </c>
      <c r="S180" s="8"/>
      <c r="T180" s="8"/>
      <c r="U180" s="8"/>
      <c r="V180" s="8"/>
    </row>
    <row r="181" spans="2:22" x14ac:dyDescent="0.2">
      <c r="B181" s="6">
        <v>176</v>
      </c>
      <c r="C181" s="7">
        <v>0</v>
      </c>
      <c r="D181" s="8">
        <v>3</v>
      </c>
      <c r="E181" s="8" t="s">
        <v>190</v>
      </c>
      <c r="F181" s="8" t="s">
        <v>11</v>
      </c>
      <c r="G181" s="8">
        <v>18</v>
      </c>
      <c r="H181" s="8">
        <v>1</v>
      </c>
      <c r="I181" s="8">
        <v>1</v>
      </c>
      <c r="J181" s="8">
        <v>78542</v>
      </c>
      <c r="K181" s="8">
        <v>0</v>
      </c>
      <c r="L181" s="8" t="s">
        <v>12</v>
      </c>
      <c r="M181" s="8" t="str">
        <f>IF(Titanic[[#This Row],[Sobrevive]]=1, "SOBREVIVE", "NO SOBREVIVE")</f>
        <v>NO SOBREVIVE</v>
      </c>
      <c r="N181" s="8" t="str">
        <f>LOOKUP(Titanic[[#This Row],[Clase]],{1,2,3}, {"PRIMERA","SEGUNDA","TERCERA"})</f>
        <v>TERCERA</v>
      </c>
      <c r="O181" s="8" t="str">
        <f>IF(Titanic[[#This Row],[Sexo]]="Hombre", "HOMBRE", "MUJER")</f>
        <v>HOMBRE</v>
      </c>
      <c r="P181" s="8">
        <f>IF(Titanic[[#This Row],[Edad]]="", "", IF(Titanic[[#This Row],[Edad]]&gt;=100, Titanic[[#This Row],[Edad]] / 10, Titanic[[#This Row],[Edad]]))</f>
        <v>18</v>
      </c>
      <c r="Q181" s="8" t="str">
        <f>IFERROR(LOOKUP(Titanic[[#This Row],[Edad Corrigida]],'Práctica 1'!$K$231:$K$240,'Práctica 1'!$L$231:$L$240), "DESCONOCIDO")</f>
        <v>1. INFANTE</v>
      </c>
      <c r="R181" s="8">
        <f>Titanic[[#This Row],[Familia Horizontal]]+Titanic[[#This Row],[Familia Vertical]]</f>
        <v>2</v>
      </c>
      <c r="S181" s="8"/>
      <c r="T181" s="8"/>
      <c r="U181" s="8"/>
      <c r="V181" s="8"/>
    </row>
    <row r="182" spans="2:22" x14ac:dyDescent="0.2">
      <c r="B182" s="6">
        <v>177</v>
      </c>
      <c r="C182" s="7">
        <v>0</v>
      </c>
      <c r="D182" s="8">
        <v>3</v>
      </c>
      <c r="E182" s="8" t="s">
        <v>191</v>
      </c>
      <c r="F182" s="8" t="s">
        <v>11</v>
      </c>
      <c r="G182" s="9"/>
      <c r="H182" s="8">
        <v>3</v>
      </c>
      <c r="I182" s="8">
        <v>1</v>
      </c>
      <c r="J182" s="8">
        <v>254667</v>
      </c>
      <c r="K182" s="8">
        <v>0</v>
      </c>
      <c r="L182" s="8" t="s">
        <v>12</v>
      </c>
      <c r="M182" s="8" t="str">
        <f>IF(Titanic[[#This Row],[Sobrevive]]=1, "SOBREVIVE", "NO SOBREVIVE")</f>
        <v>NO SOBREVIVE</v>
      </c>
      <c r="N182" s="8" t="str">
        <f>LOOKUP(Titanic[[#This Row],[Clase]],{1,2,3}, {"PRIMERA","SEGUNDA","TERCERA"})</f>
        <v>TERCERA</v>
      </c>
      <c r="O182" s="8" t="str">
        <f>IF(Titanic[[#This Row],[Sexo]]="Hombre", "HOMBRE", "MUJER")</f>
        <v>HOMBRE</v>
      </c>
      <c r="P182" s="8" t="str">
        <f>IF(Titanic[[#This Row],[Edad]]="", "", IF(Titanic[[#This Row],[Edad]]&gt;=100, Titanic[[#This Row],[Edad]] / 10, Titanic[[#This Row],[Edad]]))</f>
        <v/>
      </c>
      <c r="Q182" s="8" t="str">
        <f>IFERROR(LOOKUP(Titanic[[#This Row],[Edad Corrigida]],'Práctica 1'!$K$231:$K$240,'Práctica 1'!$L$231:$L$240), "DESCONOCIDO")</f>
        <v>DESCONOCIDO</v>
      </c>
      <c r="R182" s="8">
        <f>Titanic[[#This Row],[Familia Horizontal]]+Titanic[[#This Row],[Familia Vertical]]</f>
        <v>4</v>
      </c>
      <c r="S182" s="8"/>
      <c r="T182" s="8"/>
      <c r="U182" s="8"/>
      <c r="V182" s="8"/>
    </row>
    <row r="183" spans="2:22" x14ac:dyDescent="0.2">
      <c r="B183" s="6">
        <v>178</v>
      </c>
      <c r="C183" s="7">
        <v>0</v>
      </c>
      <c r="D183" s="8">
        <v>1</v>
      </c>
      <c r="E183" s="8" t="s">
        <v>192</v>
      </c>
      <c r="F183" s="8" t="s">
        <v>14</v>
      </c>
      <c r="G183" s="8">
        <v>50</v>
      </c>
      <c r="H183" s="8">
        <v>0</v>
      </c>
      <c r="I183" s="8">
        <v>0</v>
      </c>
      <c r="J183" s="8">
        <v>287125</v>
      </c>
      <c r="K183" s="8">
        <v>1</v>
      </c>
      <c r="L183" s="8" t="s">
        <v>15</v>
      </c>
      <c r="M183" s="8" t="str">
        <f>IF(Titanic[[#This Row],[Sobrevive]]=1, "SOBREVIVE", "NO SOBREVIVE")</f>
        <v>NO SOBREVIVE</v>
      </c>
      <c r="N183" s="8" t="str">
        <f>LOOKUP(Titanic[[#This Row],[Clase]],{1,2,3}, {"PRIMERA","SEGUNDA","TERCERA"})</f>
        <v>PRIMERA</v>
      </c>
      <c r="O183" s="8" t="str">
        <f>IF(Titanic[[#This Row],[Sexo]]="Hombre", "HOMBRE", "MUJER")</f>
        <v>MUJER</v>
      </c>
      <c r="P183" s="8">
        <f>IF(Titanic[[#This Row],[Edad]]="", "", IF(Titanic[[#This Row],[Edad]]&gt;=100, Titanic[[#This Row],[Edad]] / 10, Titanic[[#This Row],[Edad]]))</f>
        <v>50</v>
      </c>
      <c r="Q183" s="8" t="str">
        <f>IFERROR(LOOKUP(Titanic[[#This Row],[Edad Corrigida]],'Práctica 1'!$K$231:$K$240,'Práctica 1'!$L$231:$L$240), "DESCONOCIDO")</f>
        <v>9. ADULTO 4</v>
      </c>
      <c r="R183" s="8">
        <f>Titanic[[#This Row],[Familia Horizontal]]+Titanic[[#This Row],[Familia Vertical]]</f>
        <v>0</v>
      </c>
      <c r="S183" s="8"/>
      <c r="T183" s="8"/>
      <c r="U183" s="8"/>
      <c r="V183" s="8"/>
    </row>
    <row r="184" spans="2:22" x14ac:dyDescent="0.2">
      <c r="B184" s="6">
        <v>179</v>
      </c>
      <c r="C184" s="7">
        <v>0</v>
      </c>
      <c r="D184" s="8">
        <v>2</v>
      </c>
      <c r="E184" s="8" t="s">
        <v>193</v>
      </c>
      <c r="F184" s="8" t="s">
        <v>11</v>
      </c>
      <c r="G184" s="8">
        <v>30</v>
      </c>
      <c r="H184" s="8">
        <v>0</v>
      </c>
      <c r="I184" s="8">
        <v>0</v>
      </c>
      <c r="J184" s="8">
        <v>13</v>
      </c>
      <c r="K184" s="8">
        <v>0</v>
      </c>
      <c r="L184" s="8" t="s">
        <v>12</v>
      </c>
      <c r="M184" s="8" t="str">
        <f>IF(Titanic[[#This Row],[Sobrevive]]=1, "SOBREVIVE", "NO SOBREVIVE")</f>
        <v>NO SOBREVIVE</v>
      </c>
      <c r="N184" s="8" t="str">
        <f>LOOKUP(Titanic[[#This Row],[Clase]],{1,2,3}, {"PRIMERA","SEGUNDA","TERCERA"})</f>
        <v>SEGUNDA</v>
      </c>
      <c r="O184" s="8" t="str">
        <f>IF(Titanic[[#This Row],[Sexo]]="Hombre", "HOMBRE", "MUJER")</f>
        <v>HOMBRE</v>
      </c>
      <c r="P184" s="8">
        <f>IF(Titanic[[#This Row],[Edad]]="", "", IF(Titanic[[#This Row],[Edad]]&gt;=100, Titanic[[#This Row],[Edad]] / 10, Titanic[[#This Row],[Edad]]))</f>
        <v>30</v>
      </c>
      <c r="Q184" s="8" t="str">
        <f>IFERROR(LOOKUP(Titanic[[#This Row],[Edad Corrigida]],'Práctica 1'!$K$231:$K$240,'Práctica 1'!$L$231:$L$240), "DESCONOCIDO")</f>
        <v>5. ADULTO</v>
      </c>
      <c r="R184" s="8">
        <f>Titanic[[#This Row],[Familia Horizontal]]+Titanic[[#This Row],[Familia Vertical]]</f>
        <v>0</v>
      </c>
      <c r="S184" s="8"/>
      <c r="T184" s="8"/>
      <c r="U184" s="8"/>
      <c r="V184" s="8"/>
    </row>
    <row r="185" spans="2:22" x14ac:dyDescent="0.2">
      <c r="B185" s="6">
        <v>180</v>
      </c>
      <c r="C185" s="7">
        <v>0</v>
      </c>
      <c r="D185" s="8">
        <v>3</v>
      </c>
      <c r="E185" s="8" t="s">
        <v>194</v>
      </c>
      <c r="F185" s="8" t="s">
        <v>11</v>
      </c>
      <c r="G185" s="8">
        <v>36</v>
      </c>
      <c r="H185" s="8">
        <v>0</v>
      </c>
      <c r="I185" s="8">
        <v>0</v>
      </c>
      <c r="J185" s="8">
        <v>0</v>
      </c>
      <c r="K185" s="8">
        <v>0</v>
      </c>
      <c r="L185" s="8" t="s">
        <v>12</v>
      </c>
      <c r="M185" s="8" t="str">
        <f>IF(Titanic[[#This Row],[Sobrevive]]=1, "SOBREVIVE", "NO SOBREVIVE")</f>
        <v>NO SOBREVIVE</v>
      </c>
      <c r="N185" s="8" t="str">
        <f>LOOKUP(Titanic[[#This Row],[Clase]],{1,2,3}, {"PRIMERA","SEGUNDA","TERCERA"})</f>
        <v>TERCERA</v>
      </c>
      <c r="O185" s="8" t="str">
        <f>IF(Titanic[[#This Row],[Sexo]]="Hombre", "HOMBRE", "MUJER")</f>
        <v>HOMBRE</v>
      </c>
      <c r="P185" s="8">
        <f>IF(Titanic[[#This Row],[Edad]]="", "", IF(Titanic[[#This Row],[Edad]]&gt;=100, Titanic[[#This Row],[Edad]] / 10, Titanic[[#This Row],[Edad]]))</f>
        <v>36</v>
      </c>
      <c r="Q185" s="8" t="str">
        <f>IFERROR(LOOKUP(Titanic[[#This Row],[Edad Corrigida]],'Práctica 1'!$K$231:$K$240,'Práctica 1'!$L$231:$L$240), "DESCONOCIDO")</f>
        <v>7. ADULTO 2</v>
      </c>
      <c r="R185" s="8">
        <f>Titanic[[#This Row],[Familia Horizontal]]+Titanic[[#This Row],[Familia Vertical]]</f>
        <v>0</v>
      </c>
      <c r="S185" s="8"/>
      <c r="T185" s="8"/>
      <c r="U185" s="8"/>
      <c r="V185" s="8"/>
    </row>
    <row r="186" spans="2:22" x14ac:dyDescent="0.2">
      <c r="B186" s="6">
        <v>181</v>
      </c>
      <c r="C186" s="7">
        <v>0</v>
      </c>
      <c r="D186" s="8">
        <v>3</v>
      </c>
      <c r="E186" s="8" t="s">
        <v>195</v>
      </c>
      <c r="F186" s="8" t="s">
        <v>14</v>
      </c>
      <c r="G186" s="9"/>
      <c r="H186" s="8">
        <v>8</v>
      </c>
      <c r="I186" s="8">
        <v>2</v>
      </c>
      <c r="J186" s="8">
        <v>6955</v>
      </c>
      <c r="K186" s="8">
        <v>0</v>
      </c>
      <c r="L186" s="8" t="s">
        <v>12</v>
      </c>
      <c r="M186" s="8" t="str">
        <f>IF(Titanic[[#This Row],[Sobrevive]]=1, "SOBREVIVE", "NO SOBREVIVE")</f>
        <v>NO SOBREVIVE</v>
      </c>
      <c r="N186" s="8" t="str">
        <f>LOOKUP(Titanic[[#This Row],[Clase]],{1,2,3}, {"PRIMERA","SEGUNDA","TERCERA"})</f>
        <v>TERCERA</v>
      </c>
      <c r="O186" s="8" t="str">
        <f>IF(Titanic[[#This Row],[Sexo]]="Hombre", "HOMBRE", "MUJER")</f>
        <v>MUJER</v>
      </c>
      <c r="P186" s="8" t="str">
        <f>IF(Titanic[[#This Row],[Edad]]="", "", IF(Titanic[[#This Row],[Edad]]&gt;=100, Titanic[[#This Row],[Edad]] / 10, Titanic[[#This Row],[Edad]]))</f>
        <v/>
      </c>
      <c r="Q186" s="8" t="str">
        <f>IFERROR(LOOKUP(Titanic[[#This Row],[Edad Corrigida]],'Práctica 1'!$K$231:$K$240,'Práctica 1'!$L$231:$L$240), "DESCONOCIDO")</f>
        <v>DESCONOCIDO</v>
      </c>
      <c r="R186" s="8">
        <f>Titanic[[#This Row],[Familia Horizontal]]+Titanic[[#This Row],[Familia Vertical]]</f>
        <v>10</v>
      </c>
      <c r="S186" s="8"/>
      <c r="T186" s="8"/>
      <c r="U186" s="8"/>
      <c r="V186" s="8"/>
    </row>
    <row r="187" spans="2:22" x14ac:dyDescent="0.2">
      <c r="B187" s="6">
        <v>182</v>
      </c>
      <c r="C187" s="7">
        <v>0</v>
      </c>
      <c r="D187" s="8">
        <v>2</v>
      </c>
      <c r="E187" s="8" t="s">
        <v>196</v>
      </c>
      <c r="F187" s="8" t="s">
        <v>11</v>
      </c>
      <c r="G187" s="9"/>
      <c r="H187" s="8">
        <v>0</v>
      </c>
      <c r="I187" s="8">
        <v>0</v>
      </c>
      <c r="J187" s="8">
        <v>1505</v>
      </c>
      <c r="K187" s="8">
        <v>0</v>
      </c>
      <c r="L187" s="8" t="s">
        <v>15</v>
      </c>
      <c r="M187" s="8" t="str">
        <f>IF(Titanic[[#This Row],[Sobrevive]]=1, "SOBREVIVE", "NO SOBREVIVE")</f>
        <v>NO SOBREVIVE</v>
      </c>
      <c r="N187" s="8" t="str">
        <f>LOOKUP(Titanic[[#This Row],[Clase]],{1,2,3}, {"PRIMERA","SEGUNDA","TERCERA"})</f>
        <v>SEGUNDA</v>
      </c>
      <c r="O187" s="8" t="str">
        <f>IF(Titanic[[#This Row],[Sexo]]="Hombre", "HOMBRE", "MUJER")</f>
        <v>HOMBRE</v>
      </c>
      <c r="P187" s="8" t="str">
        <f>IF(Titanic[[#This Row],[Edad]]="", "", IF(Titanic[[#This Row],[Edad]]&gt;=100, Titanic[[#This Row],[Edad]] / 10, Titanic[[#This Row],[Edad]]))</f>
        <v/>
      </c>
      <c r="Q187" s="8" t="str">
        <f>IFERROR(LOOKUP(Titanic[[#This Row],[Edad Corrigida]],'Práctica 1'!$K$231:$K$240,'Práctica 1'!$L$231:$L$240), "DESCONOCIDO")</f>
        <v>DESCONOCIDO</v>
      </c>
      <c r="R187" s="8">
        <f>Titanic[[#This Row],[Familia Horizontal]]+Titanic[[#This Row],[Familia Vertical]]</f>
        <v>0</v>
      </c>
      <c r="S187" s="8"/>
      <c r="T187" s="8"/>
      <c r="U187" s="8"/>
      <c r="V187" s="8"/>
    </row>
    <row r="188" spans="2:22" x14ac:dyDescent="0.2">
      <c r="B188" s="6">
        <v>183</v>
      </c>
      <c r="C188" s="7">
        <v>0</v>
      </c>
      <c r="D188" s="8">
        <v>3</v>
      </c>
      <c r="E188" s="8" t="s">
        <v>197</v>
      </c>
      <c r="F188" s="8" t="s">
        <v>11</v>
      </c>
      <c r="G188" s="8">
        <v>9</v>
      </c>
      <c r="H188" s="8">
        <v>4</v>
      </c>
      <c r="I188" s="8">
        <v>2</v>
      </c>
      <c r="J188" s="8">
        <v>313875</v>
      </c>
      <c r="K188" s="8">
        <v>0</v>
      </c>
      <c r="L188" s="8" t="s">
        <v>12</v>
      </c>
      <c r="M188" s="8" t="str">
        <f>IF(Titanic[[#This Row],[Sobrevive]]=1, "SOBREVIVE", "NO SOBREVIVE")</f>
        <v>NO SOBREVIVE</v>
      </c>
      <c r="N188" s="8" t="str">
        <f>LOOKUP(Titanic[[#This Row],[Clase]],{1,2,3}, {"PRIMERA","SEGUNDA","TERCERA"})</f>
        <v>TERCERA</v>
      </c>
      <c r="O188" s="8" t="str">
        <f>IF(Titanic[[#This Row],[Sexo]]="Hombre", "HOMBRE", "MUJER")</f>
        <v>HOMBRE</v>
      </c>
      <c r="P188" s="8">
        <f>IF(Titanic[[#This Row],[Edad]]="", "", IF(Titanic[[#This Row],[Edad]]&gt;=100, Titanic[[#This Row],[Edad]] / 10, Titanic[[#This Row],[Edad]]))</f>
        <v>9</v>
      </c>
      <c r="Q188" s="8" t="str">
        <f>IFERROR(LOOKUP(Titanic[[#This Row],[Edad Corrigida]],'Práctica 1'!$K$231:$K$240,'Práctica 1'!$L$231:$L$240), "DESCONOCIDO")</f>
        <v>DESCONOCIDO</v>
      </c>
      <c r="R188" s="8">
        <f>Titanic[[#This Row],[Familia Horizontal]]+Titanic[[#This Row],[Familia Vertical]]</f>
        <v>6</v>
      </c>
      <c r="S188" s="8"/>
      <c r="T188" s="8"/>
      <c r="U188" s="8"/>
      <c r="V188" s="8"/>
    </row>
    <row r="189" spans="2:22" x14ac:dyDescent="0.2">
      <c r="B189" s="6">
        <v>184</v>
      </c>
      <c r="C189" s="7">
        <v>1</v>
      </c>
      <c r="D189" s="8">
        <v>2</v>
      </c>
      <c r="E189" s="8" t="s">
        <v>198</v>
      </c>
      <c r="F189" s="8" t="s">
        <v>11</v>
      </c>
      <c r="G189" s="8">
        <v>1</v>
      </c>
      <c r="H189" s="8">
        <v>2</v>
      </c>
      <c r="I189" s="8">
        <v>1</v>
      </c>
      <c r="J189" s="8">
        <v>39</v>
      </c>
      <c r="K189" s="8">
        <v>1</v>
      </c>
      <c r="L189" s="8" t="s">
        <v>12</v>
      </c>
      <c r="M189" s="8" t="str">
        <f>IF(Titanic[[#This Row],[Sobrevive]]=1, "SOBREVIVE", "NO SOBREVIVE")</f>
        <v>SOBREVIVE</v>
      </c>
      <c r="N189" s="8" t="str">
        <f>LOOKUP(Titanic[[#This Row],[Clase]],{1,2,3}, {"PRIMERA","SEGUNDA","TERCERA"})</f>
        <v>SEGUNDA</v>
      </c>
      <c r="O189" s="8" t="str">
        <f>IF(Titanic[[#This Row],[Sexo]]="Hombre", "HOMBRE", "MUJER")</f>
        <v>HOMBRE</v>
      </c>
      <c r="P189" s="8">
        <f>IF(Titanic[[#This Row],[Edad]]="", "", IF(Titanic[[#This Row],[Edad]]&gt;=100, Titanic[[#This Row],[Edad]] / 10, Titanic[[#This Row],[Edad]]))</f>
        <v>1</v>
      </c>
      <c r="Q189" s="8" t="str">
        <f>IFERROR(LOOKUP(Titanic[[#This Row],[Edad Corrigida]],'Práctica 1'!$K$231:$K$240,'Práctica 1'!$L$231:$L$240), "DESCONOCIDO")</f>
        <v>DESCONOCIDO</v>
      </c>
      <c r="R189" s="8">
        <f>Titanic[[#This Row],[Familia Horizontal]]+Titanic[[#This Row],[Familia Vertical]]</f>
        <v>3</v>
      </c>
      <c r="S189" s="8"/>
      <c r="T189" s="8"/>
      <c r="U189" s="8"/>
      <c r="V189" s="8"/>
    </row>
    <row r="190" spans="2:22" x14ac:dyDescent="0.2">
      <c r="B190" s="6">
        <v>185</v>
      </c>
      <c r="C190" s="7">
        <v>1</v>
      </c>
      <c r="D190" s="8">
        <v>3</v>
      </c>
      <c r="E190" s="8" t="s">
        <v>199</v>
      </c>
      <c r="F190" s="8" t="s">
        <v>14</v>
      </c>
      <c r="G190" s="8">
        <v>4</v>
      </c>
      <c r="H190" s="8">
        <v>0</v>
      </c>
      <c r="I190" s="8">
        <v>2</v>
      </c>
      <c r="J190" s="8">
        <v>22025</v>
      </c>
      <c r="K190" s="8">
        <v>0</v>
      </c>
      <c r="L190" s="8" t="s">
        <v>12</v>
      </c>
      <c r="M190" s="8" t="str">
        <f>IF(Titanic[[#This Row],[Sobrevive]]=1, "SOBREVIVE", "NO SOBREVIVE")</f>
        <v>SOBREVIVE</v>
      </c>
      <c r="N190" s="8" t="str">
        <f>LOOKUP(Titanic[[#This Row],[Clase]],{1,2,3}, {"PRIMERA","SEGUNDA","TERCERA"})</f>
        <v>TERCERA</v>
      </c>
      <c r="O190" s="8" t="str">
        <f>IF(Titanic[[#This Row],[Sexo]]="Hombre", "HOMBRE", "MUJER")</f>
        <v>MUJER</v>
      </c>
      <c r="P190" s="8">
        <f>IF(Titanic[[#This Row],[Edad]]="", "", IF(Titanic[[#This Row],[Edad]]&gt;=100, Titanic[[#This Row],[Edad]] / 10, Titanic[[#This Row],[Edad]]))</f>
        <v>4</v>
      </c>
      <c r="Q190" s="8" t="str">
        <f>IFERROR(LOOKUP(Titanic[[#This Row],[Edad Corrigida]],'Práctica 1'!$K$231:$K$240,'Práctica 1'!$L$231:$L$240), "DESCONOCIDO")</f>
        <v>DESCONOCIDO</v>
      </c>
      <c r="R190" s="8">
        <f>Titanic[[#This Row],[Familia Horizontal]]+Titanic[[#This Row],[Familia Vertical]]</f>
        <v>2</v>
      </c>
      <c r="S190" s="8"/>
      <c r="T190" s="8"/>
      <c r="U190" s="8"/>
      <c r="V190" s="8"/>
    </row>
    <row r="191" spans="2:22" x14ac:dyDescent="0.2">
      <c r="B191" s="6">
        <v>186</v>
      </c>
      <c r="C191" s="7">
        <v>0</v>
      </c>
      <c r="D191" s="8">
        <v>1</v>
      </c>
      <c r="E191" s="8" t="s">
        <v>200</v>
      </c>
      <c r="F191" s="8" t="s">
        <v>11</v>
      </c>
      <c r="G191" s="9"/>
      <c r="H191" s="8">
        <v>0</v>
      </c>
      <c r="I191" s="8">
        <v>0</v>
      </c>
      <c r="J191" s="8">
        <v>50</v>
      </c>
      <c r="K191" s="8">
        <v>1</v>
      </c>
      <c r="L191" s="8" t="s">
        <v>12</v>
      </c>
      <c r="M191" s="8" t="str">
        <f>IF(Titanic[[#This Row],[Sobrevive]]=1, "SOBREVIVE", "NO SOBREVIVE")</f>
        <v>NO SOBREVIVE</v>
      </c>
      <c r="N191" s="8" t="str">
        <f>LOOKUP(Titanic[[#This Row],[Clase]],{1,2,3}, {"PRIMERA","SEGUNDA","TERCERA"})</f>
        <v>PRIMERA</v>
      </c>
      <c r="O191" s="8" t="str">
        <f>IF(Titanic[[#This Row],[Sexo]]="Hombre", "HOMBRE", "MUJER")</f>
        <v>HOMBRE</v>
      </c>
      <c r="P191" s="8" t="str">
        <f>IF(Titanic[[#This Row],[Edad]]="", "", IF(Titanic[[#This Row],[Edad]]&gt;=100, Titanic[[#This Row],[Edad]] / 10, Titanic[[#This Row],[Edad]]))</f>
        <v/>
      </c>
      <c r="Q191" s="8" t="str">
        <f>IFERROR(LOOKUP(Titanic[[#This Row],[Edad Corrigida]],'Práctica 1'!$K$231:$K$240,'Práctica 1'!$L$231:$L$240), "DESCONOCIDO")</f>
        <v>DESCONOCIDO</v>
      </c>
      <c r="R191" s="8">
        <f>Titanic[[#This Row],[Familia Horizontal]]+Titanic[[#This Row],[Familia Vertical]]</f>
        <v>0</v>
      </c>
      <c r="S191" s="8"/>
      <c r="T191" s="8"/>
      <c r="U191" s="8"/>
      <c r="V191" s="8"/>
    </row>
    <row r="192" spans="2:22" x14ac:dyDescent="0.2">
      <c r="B192" s="6">
        <v>187</v>
      </c>
      <c r="C192" s="7">
        <v>1</v>
      </c>
      <c r="D192" s="8">
        <v>3</v>
      </c>
      <c r="E192" s="8" t="s">
        <v>201</v>
      </c>
      <c r="F192" s="8" t="s">
        <v>14</v>
      </c>
      <c r="G192" s="9"/>
      <c r="H192" s="8">
        <v>1</v>
      </c>
      <c r="I192" s="8">
        <v>0</v>
      </c>
      <c r="J192" s="8">
        <v>155</v>
      </c>
      <c r="K192" s="8">
        <v>0</v>
      </c>
      <c r="L192" s="8" t="s">
        <v>20</v>
      </c>
      <c r="M192" s="8" t="str">
        <f>IF(Titanic[[#This Row],[Sobrevive]]=1, "SOBREVIVE", "NO SOBREVIVE")</f>
        <v>SOBREVIVE</v>
      </c>
      <c r="N192" s="8" t="str">
        <f>LOOKUP(Titanic[[#This Row],[Clase]],{1,2,3}, {"PRIMERA","SEGUNDA","TERCERA"})</f>
        <v>TERCERA</v>
      </c>
      <c r="O192" s="8" t="str">
        <f>IF(Titanic[[#This Row],[Sexo]]="Hombre", "HOMBRE", "MUJER")</f>
        <v>MUJER</v>
      </c>
      <c r="P192" s="8" t="str">
        <f>IF(Titanic[[#This Row],[Edad]]="", "", IF(Titanic[[#This Row],[Edad]]&gt;=100, Titanic[[#This Row],[Edad]] / 10, Titanic[[#This Row],[Edad]]))</f>
        <v/>
      </c>
      <c r="Q192" s="8" t="str">
        <f>IFERROR(LOOKUP(Titanic[[#This Row],[Edad Corrigida]],'Práctica 1'!$K$231:$K$240,'Práctica 1'!$L$231:$L$240), "DESCONOCIDO")</f>
        <v>DESCONOCIDO</v>
      </c>
      <c r="R192" s="8">
        <f>Titanic[[#This Row],[Familia Horizontal]]+Titanic[[#This Row],[Familia Vertical]]</f>
        <v>1</v>
      </c>
      <c r="S192" s="8"/>
      <c r="T192" s="8"/>
      <c r="U192" s="8"/>
      <c r="V192" s="8"/>
    </row>
    <row r="193" spans="2:22" x14ac:dyDescent="0.2">
      <c r="B193" s="6">
        <v>188</v>
      </c>
      <c r="C193" s="7">
        <v>1</v>
      </c>
      <c r="D193" s="8">
        <v>1</v>
      </c>
      <c r="E193" s="8" t="s">
        <v>202</v>
      </c>
      <c r="F193" s="8" t="s">
        <v>11</v>
      </c>
      <c r="G193" s="8">
        <v>45</v>
      </c>
      <c r="H193" s="8">
        <v>0</v>
      </c>
      <c r="I193" s="8">
        <v>0</v>
      </c>
      <c r="J193" s="8">
        <v>2655</v>
      </c>
      <c r="K193" s="8">
        <v>0</v>
      </c>
      <c r="L193" s="8" t="s">
        <v>12</v>
      </c>
      <c r="M193" s="8" t="str">
        <f>IF(Titanic[[#This Row],[Sobrevive]]=1, "SOBREVIVE", "NO SOBREVIVE")</f>
        <v>SOBREVIVE</v>
      </c>
      <c r="N193" s="8" t="str">
        <f>LOOKUP(Titanic[[#This Row],[Clase]],{1,2,3}, {"PRIMERA","SEGUNDA","TERCERA"})</f>
        <v>PRIMERA</v>
      </c>
      <c r="O193" s="8" t="str">
        <f>IF(Titanic[[#This Row],[Sexo]]="Hombre", "HOMBRE", "MUJER")</f>
        <v>HOMBRE</v>
      </c>
      <c r="P193" s="8">
        <f>IF(Titanic[[#This Row],[Edad]]="", "", IF(Titanic[[#This Row],[Edad]]&gt;=100, Titanic[[#This Row],[Edad]] / 10, Titanic[[#This Row],[Edad]]))</f>
        <v>45</v>
      </c>
      <c r="Q193" s="8" t="str">
        <f>IFERROR(LOOKUP(Titanic[[#This Row],[Edad Corrigida]],'Práctica 1'!$K$231:$K$240,'Práctica 1'!$L$231:$L$240), "DESCONOCIDO")</f>
        <v>8. ADULTO 3</v>
      </c>
      <c r="R193" s="8">
        <f>Titanic[[#This Row],[Familia Horizontal]]+Titanic[[#This Row],[Familia Vertical]]</f>
        <v>0</v>
      </c>
      <c r="S193" s="8"/>
      <c r="T193" s="8"/>
      <c r="U193" s="8"/>
      <c r="V193" s="8"/>
    </row>
    <row r="194" spans="2:22" x14ac:dyDescent="0.2">
      <c r="B194" s="6">
        <v>189</v>
      </c>
      <c r="C194" s="7">
        <v>0</v>
      </c>
      <c r="D194" s="8">
        <v>3</v>
      </c>
      <c r="E194" s="8" t="s">
        <v>203</v>
      </c>
      <c r="F194" s="8" t="s">
        <v>11</v>
      </c>
      <c r="G194" s="8">
        <v>40</v>
      </c>
      <c r="H194" s="8">
        <v>1</v>
      </c>
      <c r="I194" s="8">
        <v>1</v>
      </c>
      <c r="J194" s="8">
        <v>155</v>
      </c>
      <c r="K194" s="8">
        <v>0</v>
      </c>
      <c r="L194" s="8" t="s">
        <v>20</v>
      </c>
      <c r="M194" s="8" t="str">
        <f>IF(Titanic[[#This Row],[Sobrevive]]=1, "SOBREVIVE", "NO SOBREVIVE")</f>
        <v>NO SOBREVIVE</v>
      </c>
      <c r="N194" s="8" t="str">
        <f>LOOKUP(Titanic[[#This Row],[Clase]],{1,2,3}, {"PRIMERA","SEGUNDA","TERCERA"})</f>
        <v>TERCERA</v>
      </c>
      <c r="O194" s="8" t="str">
        <f>IF(Titanic[[#This Row],[Sexo]]="Hombre", "HOMBRE", "MUJER")</f>
        <v>HOMBRE</v>
      </c>
      <c r="P194" s="8">
        <f>IF(Titanic[[#This Row],[Edad]]="", "", IF(Titanic[[#This Row],[Edad]]&gt;=100, Titanic[[#This Row],[Edad]] / 10, Titanic[[#This Row],[Edad]]))</f>
        <v>40</v>
      </c>
      <c r="Q194" s="8" t="str">
        <f>IFERROR(LOOKUP(Titanic[[#This Row],[Edad Corrigida]],'Práctica 1'!$K$231:$K$240,'Práctica 1'!$L$231:$L$240), "DESCONOCIDO")</f>
        <v>7. ADULTO 2</v>
      </c>
      <c r="R194" s="8">
        <f>Titanic[[#This Row],[Familia Horizontal]]+Titanic[[#This Row],[Familia Vertical]]</f>
        <v>2</v>
      </c>
      <c r="S194" s="8"/>
      <c r="T194" s="8"/>
      <c r="U194" s="8"/>
      <c r="V194" s="8"/>
    </row>
    <row r="195" spans="2:22" x14ac:dyDescent="0.2">
      <c r="B195" s="6">
        <v>190</v>
      </c>
      <c r="C195" s="7">
        <v>0</v>
      </c>
      <c r="D195" s="8">
        <v>3</v>
      </c>
      <c r="E195" s="8" t="s">
        <v>204</v>
      </c>
      <c r="F195" s="8" t="s">
        <v>11</v>
      </c>
      <c r="G195" s="8">
        <v>36</v>
      </c>
      <c r="H195" s="8">
        <v>0</v>
      </c>
      <c r="I195" s="8">
        <v>0</v>
      </c>
      <c r="J195" s="8">
        <v>78958</v>
      </c>
      <c r="K195" s="8">
        <v>0</v>
      </c>
      <c r="L195" s="8" t="s">
        <v>12</v>
      </c>
      <c r="M195" s="8" t="str">
        <f>IF(Titanic[[#This Row],[Sobrevive]]=1, "SOBREVIVE", "NO SOBREVIVE")</f>
        <v>NO SOBREVIVE</v>
      </c>
      <c r="N195" s="8" t="str">
        <f>LOOKUP(Titanic[[#This Row],[Clase]],{1,2,3}, {"PRIMERA","SEGUNDA","TERCERA"})</f>
        <v>TERCERA</v>
      </c>
      <c r="O195" s="8" t="str">
        <f>IF(Titanic[[#This Row],[Sexo]]="Hombre", "HOMBRE", "MUJER")</f>
        <v>HOMBRE</v>
      </c>
      <c r="P195" s="8">
        <f>IF(Titanic[[#This Row],[Edad]]="", "", IF(Titanic[[#This Row],[Edad]]&gt;=100, Titanic[[#This Row],[Edad]] / 10, Titanic[[#This Row],[Edad]]))</f>
        <v>36</v>
      </c>
      <c r="Q195" s="8" t="str">
        <f>IFERROR(LOOKUP(Titanic[[#This Row],[Edad Corrigida]],'Práctica 1'!$K$231:$K$240,'Práctica 1'!$L$231:$L$240), "DESCONOCIDO")</f>
        <v>7. ADULTO 2</v>
      </c>
      <c r="R195" s="8">
        <f>Titanic[[#This Row],[Familia Horizontal]]+Titanic[[#This Row],[Familia Vertical]]</f>
        <v>0</v>
      </c>
      <c r="S195" s="8"/>
      <c r="T195" s="8"/>
      <c r="U195" s="8"/>
      <c r="V195" s="8"/>
    </row>
    <row r="196" spans="2:22" x14ac:dyDescent="0.2">
      <c r="B196" s="6">
        <v>191</v>
      </c>
      <c r="C196" s="7">
        <v>1</v>
      </c>
      <c r="D196" s="8">
        <v>2</v>
      </c>
      <c r="E196" s="8" t="s">
        <v>205</v>
      </c>
      <c r="F196" s="8" t="s">
        <v>14</v>
      </c>
      <c r="G196" s="8">
        <v>32</v>
      </c>
      <c r="H196" s="8">
        <v>0</v>
      </c>
      <c r="I196" s="8">
        <v>0</v>
      </c>
      <c r="J196" s="8">
        <v>13</v>
      </c>
      <c r="K196" s="8">
        <v>0</v>
      </c>
      <c r="L196" s="8" t="s">
        <v>12</v>
      </c>
      <c r="M196" s="8" t="str">
        <f>IF(Titanic[[#This Row],[Sobrevive]]=1, "SOBREVIVE", "NO SOBREVIVE")</f>
        <v>SOBREVIVE</v>
      </c>
      <c r="N196" s="8" t="str">
        <f>LOOKUP(Titanic[[#This Row],[Clase]],{1,2,3}, {"PRIMERA","SEGUNDA","TERCERA"})</f>
        <v>SEGUNDA</v>
      </c>
      <c r="O196" s="8" t="str">
        <f>IF(Titanic[[#This Row],[Sexo]]="Hombre", "HOMBRE", "MUJER")</f>
        <v>MUJER</v>
      </c>
      <c r="P196" s="8">
        <f>IF(Titanic[[#This Row],[Edad]]="", "", IF(Titanic[[#This Row],[Edad]]&gt;=100, Titanic[[#This Row],[Edad]] / 10, Titanic[[#This Row],[Edad]]))</f>
        <v>32</v>
      </c>
      <c r="Q196" s="8" t="str">
        <f>IFERROR(LOOKUP(Titanic[[#This Row],[Edad Corrigida]],'Práctica 1'!$K$231:$K$240,'Práctica 1'!$L$231:$L$240), "DESCONOCIDO")</f>
        <v>6. ADULTO 1</v>
      </c>
      <c r="R196" s="8">
        <f>Titanic[[#This Row],[Familia Horizontal]]+Titanic[[#This Row],[Familia Vertical]]</f>
        <v>0</v>
      </c>
      <c r="S196" s="8"/>
      <c r="T196" s="8"/>
      <c r="U196" s="8"/>
      <c r="V196" s="8"/>
    </row>
    <row r="197" spans="2:22" x14ac:dyDescent="0.2">
      <c r="B197" s="6">
        <v>192</v>
      </c>
      <c r="C197" s="7">
        <v>0</v>
      </c>
      <c r="D197" s="8">
        <v>2</v>
      </c>
      <c r="E197" s="8" t="s">
        <v>206</v>
      </c>
      <c r="F197" s="8" t="s">
        <v>11</v>
      </c>
      <c r="G197" s="8">
        <v>19</v>
      </c>
      <c r="H197" s="8">
        <v>0</v>
      </c>
      <c r="I197" s="8">
        <v>0</v>
      </c>
      <c r="J197" s="8">
        <v>13</v>
      </c>
      <c r="K197" s="8">
        <v>0</v>
      </c>
      <c r="L197" s="8" t="s">
        <v>12</v>
      </c>
      <c r="M197" s="8" t="str">
        <f>IF(Titanic[[#This Row],[Sobrevive]]=1, "SOBREVIVE", "NO SOBREVIVE")</f>
        <v>NO SOBREVIVE</v>
      </c>
      <c r="N197" s="8" t="str">
        <f>LOOKUP(Titanic[[#This Row],[Clase]],{1,2,3}, {"PRIMERA","SEGUNDA","TERCERA"})</f>
        <v>SEGUNDA</v>
      </c>
      <c r="O197" s="8" t="str">
        <f>IF(Titanic[[#This Row],[Sexo]]="Hombre", "HOMBRE", "MUJER")</f>
        <v>HOMBRE</v>
      </c>
      <c r="P197" s="8">
        <f>IF(Titanic[[#This Row],[Edad]]="", "", IF(Titanic[[#This Row],[Edad]]&gt;=100, Titanic[[#This Row],[Edad]] / 10, Titanic[[#This Row],[Edad]]))</f>
        <v>19</v>
      </c>
      <c r="Q197" s="8" t="str">
        <f>IFERROR(LOOKUP(Titanic[[#This Row],[Edad Corrigida]],'Práctica 1'!$K$231:$K$240,'Práctica 1'!$L$231:$L$240), "DESCONOCIDO")</f>
        <v>2. ADOLESCENTE</v>
      </c>
      <c r="R197" s="8">
        <f>Titanic[[#This Row],[Familia Horizontal]]+Titanic[[#This Row],[Familia Vertical]]</f>
        <v>0</v>
      </c>
      <c r="S197" s="8"/>
      <c r="T197" s="8"/>
      <c r="U197" s="8"/>
      <c r="V197" s="8"/>
    </row>
    <row r="198" spans="2:22" x14ac:dyDescent="0.2">
      <c r="B198" s="6">
        <v>193</v>
      </c>
      <c r="C198" s="7">
        <v>1</v>
      </c>
      <c r="D198" s="8">
        <v>3</v>
      </c>
      <c r="E198" s="8" t="s">
        <v>207</v>
      </c>
      <c r="F198" s="8" t="s">
        <v>14</v>
      </c>
      <c r="G198" s="8">
        <v>19</v>
      </c>
      <c r="H198" s="8">
        <v>1</v>
      </c>
      <c r="I198" s="8">
        <v>0</v>
      </c>
      <c r="J198" s="8">
        <v>78542</v>
      </c>
      <c r="K198" s="8">
        <v>0</v>
      </c>
      <c r="L198" s="8" t="s">
        <v>12</v>
      </c>
      <c r="M198" s="8" t="str">
        <f>IF(Titanic[[#This Row],[Sobrevive]]=1, "SOBREVIVE", "NO SOBREVIVE")</f>
        <v>SOBREVIVE</v>
      </c>
      <c r="N198" s="8" t="str">
        <f>LOOKUP(Titanic[[#This Row],[Clase]],{1,2,3}, {"PRIMERA","SEGUNDA","TERCERA"})</f>
        <v>TERCERA</v>
      </c>
      <c r="O198" s="8" t="str">
        <f>IF(Titanic[[#This Row],[Sexo]]="Hombre", "HOMBRE", "MUJER")</f>
        <v>MUJER</v>
      </c>
      <c r="P198" s="8">
        <f>IF(Titanic[[#This Row],[Edad]]="", "", IF(Titanic[[#This Row],[Edad]]&gt;=100, Titanic[[#This Row],[Edad]] / 10, Titanic[[#This Row],[Edad]]))</f>
        <v>19</v>
      </c>
      <c r="Q198" s="8" t="str">
        <f>IFERROR(LOOKUP(Titanic[[#This Row],[Edad Corrigida]],'Práctica 1'!$K$231:$K$240,'Práctica 1'!$L$231:$L$240), "DESCONOCIDO")</f>
        <v>2. ADOLESCENTE</v>
      </c>
      <c r="R198" s="8">
        <f>Titanic[[#This Row],[Familia Horizontal]]+Titanic[[#This Row],[Familia Vertical]]</f>
        <v>1</v>
      </c>
      <c r="S198" s="8"/>
      <c r="T198" s="8"/>
      <c r="U198" s="8"/>
      <c r="V198" s="8"/>
    </row>
    <row r="199" spans="2:22" x14ac:dyDescent="0.2">
      <c r="B199" s="6">
        <v>194</v>
      </c>
      <c r="C199" s="7">
        <v>1</v>
      </c>
      <c r="D199" s="8">
        <v>2</v>
      </c>
      <c r="E199" s="8" t="s">
        <v>208</v>
      </c>
      <c r="F199" s="8" t="s">
        <v>11</v>
      </c>
      <c r="G199" s="8">
        <v>3</v>
      </c>
      <c r="H199" s="8">
        <v>1</v>
      </c>
      <c r="I199" s="8">
        <v>1</v>
      </c>
      <c r="J199" s="8">
        <v>26</v>
      </c>
      <c r="K199" s="8">
        <v>1</v>
      </c>
      <c r="L199" s="8" t="s">
        <v>12</v>
      </c>
      <c r="M199" s="8" t="str">
        <f>IF(Titanic[[#This Row],[Sobrevive]]=1, "SOBREVIVE", "NO SOBREVIVE")</f>
        <v>SOBREVIVE</v>
      </c>
      <c r="N199" s="8" t="str">
        <f>LOOKUP(Titanic[[#This Row],[Clase]],{1,2,3}, {"PRIMERA","SEGUNDA","TERCERA"})</f>
        <v>SEGUNDA</v>
      </c>
      <c r="O199" s="8" t="str">
        <f>IF(Titanic[[#This Row],[Sexo]]="Hombre", "HOMBRE", "MUJER")</f>
        <v>HOMBRE</v>
      </c>
      <c r="P199" s="8">
        <f>IF(Titanic[[#This Row],[Edad]]="", "", IF(Titanic[[#This Row],[Edad]]&gt;=100, Titanic[[#This Row],[Edad]] / 10, Titanic[[#This Row],[Edad]]))</f>
        <v>3</v>
      </c>
      <c r="Q199" s="8" t="str">
        <f>IFERROR(LOOKUP(Titanic[[#This Row],[Edad Corrigida]],'Práctica 1'!$K$231:$K$240,'Práctica 1'!$L$231:$L$240), "DESCONOCIDO")</f>
        <v>DESCONOCIDO</v>
      </c>
      <c r="R199" s="8">
        <f>Titanic[[#This Row],[Familia Horizontal]]+Titanic[[#This Row],[Familia Vertical]]</f>
        <v>2</v>
      </c>
      <c r="S199" s="8"/>
      <c r="T199" s="8"/>
      <c r="U199" s="8"/>
      <c r="V199" s="8"/>
    </row>
    <row r="200" spans="2:22" x14ac:dyDescent="0.2">
      <c r="B200" s="6">
        <v>195</v>
      </c>
      <c r="C200" s="7">
        <v>1</v>
      </c>
      <c r="D200" s="8">
        <v>1</v>
      </c>
      <c r="E200" s="8" t="s">
        <v>209</v>
      </c>
      <c r="F200" s="8" t="s">
        <v>14</v>
      </c>
      <c r="G200" s="8">
        <v>44</v>
      </c>
      <c r="H200" s="8">
        <v>0</v>
      </c>
      <c r="I200" s="8">
        <v>0</v>
      </c>
      <c r="J200" s="8">
        <v>277208</v>
      </c>
      <c r="K200" s="8">
        <v>1</v>
      </c>
      <c r="L200" s="8" t="s">
        <v>15</v>
      </c>
      <c r="M200" s="8" t="str">
        <f>IF(Titanic[[#This Row],[Sobrevive]]=1, "SOBREVIVE", "NO SOBREVIVE")</f>
        <v>SOBREVIVE</v>
      </c>
      <c r="N200" s="8" t="str">
        <f>LOOKUP(Titanic[[#This Row],[Clase]],{1,2,3}, {"PRIMERA","SEGUNDA","TERCERA"})</f>
        <v>PRIMERA</v>
      </c>
      <c r="O200" s="8" t="str">
        <f>IF(Titanic[[#This Row],[Sexo]]="Hombre", "HOMBRE", "MUJER")</f>
        <v>MUJER</v>
      </c>
      <c r="P200" s="8">
        <f>IF(Titanic[[#This Row],[Edad]]="", "", IF(Titanic[[#This Row],[Edad]]&gt;=100, Titanic[[#This Row],[Edad]] / 10, Titanic[[#This Row],[Edad]]))</f>
        <v>44</v>
      </c>
      <c r="Q200" s="8" t="str">
        <f>IFERROR(LOOKUP(Titanic[[#This Row],[Edad Corrigida]],'Práctica 1'!$K$231:$K$240,'Práctica 1'!$L$231:$L$240), "DESCONOCIDO")</f>
        <v>8. ADULTO 3</v>
      </c>
      <c r="R200" s="8">
        <f>Titanic[[#This Row],[Familia Horizontal]]+Titanic[[#This Row],[Familia Vertical]]</f>
        <v>0</v>
      </c>
      <c r="S200" s="8"/>
      <c r="T200" s="8"/>
      <c r="U200" s="8"/>
      <c r="V200" s="8"/>
    </row>
    <row r="201" spans="2:22" x14ac:dyDescent="0.2">
      <c r="B201" s="6">
        <v>196</v>
      </c>
      <c r="C201" s="7">
        <v>1</v>
      </c>
      <c r="D201" s="8">
        <v>1</v>
      </c>
      <c r="E201" s="8" t="s">
        <v>210</v>
      </c>
      <c r="F201" s="8" t="s">
        <v>14</v>
      </c>
      <c r="G201" s="8">
        <v>58</v>
      </c>
      <c r="H201" s="8">
        <v>0</v>
      </c>
      <c r="I201" s="8">
        <v>0</v>
      </c>
      <c r="J201" s="8">
        <v>1465208</v>
      </c>
      <c r="K201" s="8">
        <v>1</v>
      </c>
      <c r="L201" s="8" t="s">
        <v>15</v>
      </c>
      <c r="M201" s="8" t="str">
        <f>IF(Titanic[[#This Row],[Sobrevive]]=1, "SOBREVIVE", "NO SOBREVIVE")</f>
        <v>SOBREVIVE</v>
      </c>
      <c r="N201" s="8" t="str">
        <f>LOOKUP(Titanic[[#This Row],[Clase]],{1,2,3}, {"PRIMERA","SEGUNDA","TERCERA"})</f>
        <v>PRIMERA</v>
      </c>
      <c r="O201" s="8" t="str">
        <f>IF(Titanic[[#This Row],[Sexo]]="Hombre", "HOMBRE", "MUJER")</f>
        <v>MUJER</v>
      </c>
      <c r="P201" s="8">
        <f>IF(Titanic[[#This Row],[Edad]]="", "", IF(Titanic[[#This Row],[Edad]]&gt;=100, Titanic[[#This Row],[Edad]] / 10, Titanic[[#This Row],[Edad]]))</f>
        <v>58</v>
      </c>
      <c r="Q201" s="8" t="str">
        <f>IFERROR(LOOKUP(Titanic[[#This Row],[Edad Corrigida]],'Práctica 1'!$K$231:$K$240,'Práctica 1'!$L$231:$L$240), "DESCONOCIDO")</f>
        <v>9. ADULTO 4</v>
      </c>
      <c r="R201" s="8">
        <f>Titanic[[#This Row],[Familia Horizontal]]+Titanic[[#This Row],[Familia Vertical]]</f>
        <v>0</v>
      </c>
      <c r="S201" s="8"/>
      <c r="T201" s="8"/>
      <c r="U201" s="8"/>
      <c r="V201" s="8"/>
    </row>
    <row r="202" spans="2:22" x14ac:dyDescent="0.2">
      <c r="B202" s="6">
        <v>197</v>
      </c>
      <c r="C202" s="7">
        <v>0</v>
      </c>
      <c r="D202" s="8">
        <v>3</v>
      </c>
      <c r="E202" s="8" t="s">
        <v>211</v>
      </c>
      <c r="F202" s="8" t="s">
        <v>11</v>
      </c>
      <c r="G202" s="9"/>
      <c r="H202" s="8">
        <v>0</v>
      </c>
      <c r="I202" s="8">
        <v>0</v>
      </c>
      <c r="J202" s="8">
        <v>775</v>
      </c>
      <c r="K202" s="8">
        <v>0</v>
      </c>
      <c r="L202" s="8" t="s">
        <v>20</v>
      </c>
      <c r="M202" s="8" t="str">
        <f>IF(Titanic[[#This Row],[Sobrevive]]=1, "SOBREVIVE", "NO SOBREVIVE")</f>
        <v>NO SOBREVIVE</v>
      </c>
      <c r="N202" s="8" t="str">
        <f>LOOKUP(Titanic[[#This Row],[Clase]],{1,2,3}, {"PRIMERA","SEGUNDA","TERCERA"})</f>
        <v>TERCERA</v>
      </c>
      <c r="O202" s="8" t="str">
        <f>IF(Titanic[[#This Row],[Sexo]]="Hombre", "HOMBRE", "MUJER")</f>
        <v>HOMBRE</v>
      </c>
      <c r="P202" s="8" t="str">
        <f>IF(Titanic[[#This Row],[Edad]]="", "", IF(Titanic[[#This Row],[Edad]]&gt;=100, Titanic[[#This Row],[Edad]] / 10, Titanic[[#This Row],[Edad]]))</f>
        <v/>
      </c>
      <c r="Q202" s="8" t="str">
        <f>IFERROR(LOOKUP(Titanic[[#This Row],[Edad Corrigida]],'Práctica 1'!$K$231:$K$240,'Práctica 1'!$L$231:$L$240), "DESCONOCIDO")</f>
        <v>DESCONOCIDO</v>
      </c>
      <c r="R202" s="8">
        <f>Titanic[[#This Row],[Familia Horizontal]]+Titanic[[#This Row],[Familia Vertical]]</f>
        <v>0</v>
      </c>
      <c r="S202" s="8"/>
      <c r="T202" s="8"/>
      <c r="U202" s="8"/>
      <c r="V202" s="8"/>
    </row>
    <row r="203" spans="2:22" x14ac:dyDescent="0.2">
      <c r="B203" s="6">
        <v>198</v>
      </c>
      <c r="C203" s="7">
        <v>0</v>
      </c>
      <c r="D203" s="8">
        <v>3</v>
      </c>
      <c r="E203" s="8" t="s">
        <v>212</v>
      </c>
      <c r="F203" s="8" t="s">
        <v>11</v>
      </c>
      <c r="G203" s="8">
        <v>42</v>
      </c>
      <c r="H203" s="8">
        <v>0</v>
      </c>
      <c r="I203" s="8">
        <v>1</v>
      </c>
      <c r="J203" s="8">
        <v>84042</v>
      </c>
      <c r="K203" s="8">
        <v>0</v>
      </c>
      <c r="L203" s="8" t="s">
        <v>12</v>
      </c>
      <c r="M203" s="8" t="str">
        <f>IF(Titanic[[#This Row],[Sobrevive]]=1, "SOBREVIVE", "NO SOBREVIVE")</f>
        <v>NO SOBREVIVE</v>
      </c>
      <c r="N203" s="8" t="str">
        <f>LOOKUP(Titanic[[#This Row],[Clase]],{1,2,3}, {"PRIMERA","SEGUNDA","TERCERA"})</f>
        <v>TERCERA</v>
      </c>
      <c r="O203" s="8" t="str">
        <f>IF(Titanic[[#This Row],[Sexo]]="Hombre", "HOMBRE", "MUJER")</f>
        <v>HOMBRE</v>
      </c>
      <c r="P203" s="8">
        <f>IF(Titanic[[#This Row],[Edad]]="", "", IF(Titanic[[#This Row],[Edad]]&gt;=100, Titanic[[#This Row],[Edad]] / 10, Titanic[[#This Row],[Edad]]))</f>
        <v>42</v>
      </c>
      <c r="Q203" s="8" t="str">
        <f>IFERROR(LOOKUP(Titanic[[#This Row],[Edad Corrigida]],'Práctica 1'!$K$231:$K$240,'Práctica 1'!$L$231:$L$240), "DESCONOCIDO")</f>
        <v>8. ADULTO 3</v>
      </c>
      <c r="R203" s="8">
        <f>Titanic[[#This Row],[Familia Horizontal]]+Titanic[[#This Row],[Familia Vertical]]</f>
        <v>1</v>
      </c>
      <c r="S203" s="8"/>
      <c r="T203" s="8"/>
      <c r="U203" s="8"/>
      <c r="V203" s="8"/>
    </row>
    <row r="204" spans="2:22" x14ac:dyDescent="0.2">
      <c r="B204" s="6">
        <v>199</v>
      </c>
      <c r="C204" s="7">
        <v>1</v>
      </c>
      <c r="D204" s="8">
        <v>3</v>
      </c>
      <c r="E204" s="8" t="s">
        <v>213</v>
      </c>
      <c r="F204" s="8" t="s">
        <v>14</v>
      </c>
      <c r="G204" s="9"/>
      <c r="H204" s="8">
        <v>0</v>
      </c>
      <c r="I204" s="8">
        <v>0</v>
      </c>
      <c r="J204" s="8">
        <v>775</v>
      </c>
      <c r="K204" s="8">
        <v>0</v>
      </c>
      <c r="L204" s="8" t="s">
        <v>20</v>
      </c>
      <c r="M204" s="8" t="str">
        <f>IF(Titanic[[#This Row],[Sobrevive]]=1, "SOBREVIVE", "NO SOBREVIVE")</f>
        <v>SOBREVIVE</v>
      </c>
      <c r="N204" s="8" t="str">
        <f>LOOKUP(Titanic[[#This Row],[Clase]],{1,2,3}, {"PRIMERA","SEGUNDA","TERCERA"})</f>
        <v>TERCERA</v>
      </c>
      <c r="O204" s="8" t="str">
        <f>IF(Titanic[[#This Row],[Sexo]]="Hombre", "HOMBRE", "MUJER")</f>
        <v>MUJER</v>
      </c>
      <c r="P204" s="8" t="str">
        <f>IF(Titanic[[#This Row],[Edad]]="", "", IF(Titanic[[#This Row],[Edad]]&gt;=100, Titanic[[#This Row],[Edad]] / 10, Titanic[[#This Row],[Edad]]))</f>
        <v/>
      </c>
      <c r="Q204" s="8" t="str">
        <f>IFERROR(LOOKUP(Titanic[[#This Row],[Edad Corrigida]],'Práctica 1'!$K$231:$K$240,'Práctica 1'!$L$231:$L$240), "DESCONOCIDO")</f>
        <v>DESCONOCIDO</v>
      </c>
      <c r="R204" s="8">
        <f>Titanic[[#This Row],[Familia Horizontal]]+Titanic[[#This Row],[Familia Vertical]]</f>
        <v>0</v>
      </c>
      <c r="S204" s="8"/>
      <c r="T204" s="8"/>
      <c r="U204" s="8"/>
      <c r="V204" s="8"/>
    </row>
    <row r="205" spans="2:22" x14ac:dyDescent="0.2">
      <c r="B205" s="6">
        <v>200</v>
      </c>
      <c r="C205" s="7">
        <v>0</v>
      </c>
      <c r="D205" s="8">
        <v>2</v>
      </c>
      <c r="E205" s="8" t="s">
        <v>214</v>
      </c>
      <c r="F205" s="8" t="s">
        <v>14</v>
      </c>
      <c r="G205" s="8">
        <v>24</v>
      </c>
      <c r="H205" s="8">
        <v>0</v>
      </c>
      <c r="I205" s="8">
        <v>0</v>
      </c>
      <c r="J205" s="8">
        <v>13</v>
      </c>
      <c r="K205" s="8">
        <v>0</v>
      </c>
      <c r="L205" s="8" t="s">
        <v>12</v>
      </c>
      <c r="M205" s="8" t="str">
        <f>IF(Titanic[[#This Row],[Sobrevive]]=1, "SOBREVIVE", "NO SOBREVIVE")</f>
        <v>NO SOBREVIVE</v>
      </c>
      <c r="N205" s="8" t="str">
        <f>LOOKUP(Titanic[[#This Row],[Clase]],{1,2,3}, {"PRIMERA","SEGUNDA","TERCERA"})</f>
        <v>SEGUNDA</v>
      </c>
      <c r="O205" s="8" t="str">
        <f>IF(Titanic[[#This Row],[Sexo]]="Hombre", "HOMBRE", "MUJER")</f>
        <v>MUJER</v>
      </c>
      <c r="P205" s="8">
        <f>IF(Titanic[[#This Row],[Edad]]="", "", IF(Titanic[[#This Row],[Edad]]&gt;=100, Titanic[[#This Row],[Edad]] / 10, Titanic[[#This Row],[Edad]]))</f>
        <v>24</v>
      </c>
      <c r="Q205" s="8" t="str">
        <f>IFERROR(LOOKUP(Titanic[[#This Row],[Edad Corrigida]],'Práctica 1'!$K$231:$K$240,'Práctica 1'!$L$231:$L$240), "DESCONOCIDO")</f>
        <v>3. JOVEN</v>
      </c>
      <c r="R205" s="8">
        <f>Titanic[[#This Row],[Familia Horizontal]]+Titanic[[#This Row],[Familia Vertical]]</f>
        <v>0</v>
      </c>
      <c r="S205" s="8"/>
      <c r="T205" s="8"/>
      <c r="U205" s="8"/>
      <c r="V205" s="8"/>
    </row>
    <row r="206" spans="2:22" x14ac:dyDescent="0.2">
      <c r="B206" s="6">
        <v>201</v>
      </c>
      <c r="C206" s="7">
        <v>0</v>
      </c>
      <c r="D206" s="8">
        <v>3</v>
      </c>
      <c r="E206" s="8" t="s">
        <v>215</v>
      </c>
      <c r="F206" s="8" t="s">
        <v>11</v>
      </c>
      <c r="G206" s="8">
        <v>28</v>
      </c>
      <c r="H206" s="8">
        <v>0</v>
      </c>
      <c r="I206" s="8">
        <v>0</v>
      </c>
      <c r="J206" s="8">
        <v>95</v>
      </c>
      <c r="K206" s="8">
        <v>0</v>
      </c>
      <c r="L206" s="8" t="s">
        <v>12</v>
      </c>
      <c r="M206" s="8" t="str">
        <f>IF(Titanic[[#This Row],[Sobrevive]]=1, "SOBREVIVE", "NO SOBREVIVE")</f>
        <v>NO SOBREVIVE</v>
      </c>
      <c r="N206" s="8" t="str">
        <f>LOOKUP(Titanic[[#This Row],[Clase]],{1,2,3}, {"PRIMERA","SEGUNDA","TERCERA"})</f>
        <v>TERCERA</v>
      </c>
      <c r="O206" s="8" t="str">
        <f>IF(Titanic[[#This Row],[Sexo]]="Hombre", "HOMBRE", "MUJER")</f>
        <v>HOMBRE</v>
      </c>
      <c r="P206" s="8">
        <f>IF(Titanic[[#This Row],[Edad]]="", "", IF(Titanic[[#This Row],[Edad]]&gt;=100, Titanic[[#This Row],[Edad]] / 10, Titanic[[#This Row],[Edad]]))</f>
        <v>28</v>
      </c>
      <c r="Q206" s="8" t="str">
        <f>IFERROR(LOOKUP(Titanic[[#This Row],[Edad Corrigida]],'Práctica 1'!$K$231:$K$240,'Práctica 1'!$L$231:$L$240), "DESCONOCIDO")</f>
        <v>4. ADULTO JOVEN</v>
      </c>
      <c r="R206" s="8">
        <f>Titanic[[#This Row],[Familia Horizontal]]+Titanic[[#This Row],[Familia Vertical]]</f>
        <v>0</v>
      </c>
      <c r="S206" s="8"/>
      <c r="T206" s="8"/>
      <c r="U206" s="8"/>
      <c r="V206" s="8"/>
    </row>
    <row r="207" spans="2:22" x14ac:dyDescent="0.2">
      <c r="B207" s="6">
        <v>202</v>
      </c>
      <c r="C207" s="7">
        <v>0</v>
      </c>
      <c r="D207" s="8">
        <v>3</v>
      </c>
      <c r="E207" s="8" t="s">
        <v>216</v>
      </c>
      <c r="F207" s="8" t="s">
        <v>11</v>
      </c>
      <c r="G207" s="9"/>
      <c r="H207" s="8">
        <v>8</v>
      </c>
      <c r="I207" s="8">
        <v>2</v>
      </c>
      <c r="J207" s="8">
        <v>6955</v>
      </c>
      <c r="K207" s="8">
        <v>0</v>
      </c>
      <c r="L207" s="8" t="s">
        <v>12</v>
      </c>
      <c r="M207" s="8" t="str">
        <f>IF(Titanic[[#This Row],[Sobrevive]]=1, "SOBREVIVE", "NO SOBREVIVE")</f>
        <v>NO SOBREVIVE</v>
      </c>
      <c r="N207" s="8" t="str">
        <f>LOOKUP(Titanic[[#This Row],[Clase]],{1,2,3}, {"PRIMERA","SEGUNDA","TERCERA"})</f>
        <v>TERCERA</v>
      </c>
      <c r="O207" s="8" t="str">
        <f>IF(Titanic[[#This Row],[Sexo]]="Hombre", "HOMBRE", "MUJER")</f>
        <v>HOMBRE</v>
      </c>
      <c r="P207" s="8" t="str">
        <f>IF(Titanic[[#This Row],[Edad]]="", "", IF(Titanic[[#This Row],[Edad]]&gt;=100, Titanic[[#This Row],[Edad]] / 10, Titanic[[#This Row],[Edad]]))</f>
        <v/>
      </c>
      <c r="Q207" s="8" t="str">
        <f>IFERROR(LOOKUP(Titanic[[#This Row],[Edad Corrigida]],'Práctica 1'!$K$231:$K$240,'Práctica 1'!$L$231:$L$240), "DESCONOCIDO")</f>
        <v>DESCONOCIDO</v>
      </c>
      <c r="R207" s="8">
        <f>Titanic[[#This Row],[Familia Horizontal]]+Titanic[[#This Row],[Familia Vertical]]</f>
        <v>10</v>
      </c>
      <c r="S207" s="8"/>
      <c r="T207" s="8"/>
      <c r="U207" s="8"/>
      <c r="V207" s="8"/>
    </row>
    <row r="208" spans="2:22" x14ac:dyDescent="0.2">
      <c r="B208" s="6">
        <v>203</v>
      </c>
      <c r="C208" s="7">
        <v>0</v>
      </c>
      <c r="D208" s="8">
        <v>3</v>
      </c>
      <c r="E208" s="8" t="s">
        <v>217</v>
      </c>
      <c r="F208" s="8" t="s">
        <v>11</v>
      </c>
      <c r="G208" s="8">
        <v>34</v>
      </c>
      <c r="H208" s="8">
        <v>0</v>
      </c>
      <c r="I208" s="8">
        <v>0</v>
      </c>
      <c r="J208" s="8">
        <v>64958</v>
      </c>
      <c r="K208" s="8">
        <v>0</v>
      </c>
      <c r="L208" s="8" t="s">
        <v>12</v>
      </c>
      <c r="M208" s="8" t="str">
        <f>IF(Titanic[[#This Row],[Sobrevive]]=1, "SOBREVIVE", "NO SOBREVIVE")</f>
        <v>NO SOBREVIVE</v>
      </c>
      <c r="N208" s="8" t="str">
        <f>LOOKUP(Titanic[[#This Row],[Clase]],{1,2,3}, {"PRIMERA","SEGUNDA","TERCERA"})</f>
        <v>TERCERA</v>
      </c>
      <c r="O208" s="8" t="str">
        <f>IF(Titanic[[#This Row],[Sexo]]="Hombre", "HOMBRE", "MUJER")</f>
        <v>HOMBRE</v>
      </c>
      <c r="P208" s="8">
        <f>IF(Titanic[[#This Row],[Edad]]="", "", IF(Titanic[[#This Row],[Edad]]&gt;=100, Titanic[[#This Row],[Edad]] / 10, Titanic[[#This Row],[Edad]]))</f>
        <v>34</v>
      </c>
      <c r="Q208" s="8" t="str">
        <f>IFERROR(LOOKUP(Titanic[[#This Row],[Edad Corrigida]],'Práctica 1'!$K$231:$K$240,'Práctica 1'!$L$231:$L$240), "DESCONOCIDO")</f>
        <v>6. ADULTO 1</v>
      </c>
      <c r="R208" s="8">
        <f>Titanic[[#This Row],[Familia Horizontal]]+Titanic[[#This Row],[Familia Vertical]]</f>
        <v>0</v>
      </c>
      <c r="S208" s="8"/>
      <c r="T208" s="8"/>
      <c r="U208" s="8"/>
      <c r="V208" s="8"/>
    </row>
    <row r="209" spans="2:22" x14ac:dyDescent="0.2">
      <c r="B209" s="6">
        <v>204</v>
      </c>
      <c r="C209" s="7">
        <v>0</v>
      </c>
      <c r="D209" s="8">
        <v>3</v>
      </c>
      <c r="E209" s="8" t="s">
        <v>218</v>
      </c>
      <c r="F209" s="8" t="s">
        <v>11</v>
      </c>
      <c r="G209" s="8">
        <v>455</v>
      </c>
      <c r="H209" s="8">
        <v>0</v>
      </c>
      <c r="I209" s="8">
        <v>0</v>
      </c>
      <c r="J209" s="8">
        <v>7225</v>
      </c>
      <c r="K209" s="8">
        <v>0</v>
      </c>
      <c r="L209" s="8" t="s">
        <v>15</v>
      </c>
      <c r="M209" s="8" t="str">
        <f>IF(Titanic[[#This Row],[Sobrevive]]=1, "SOBREVIVE", "NO SOBREVIVE")</f>
        <v>NO SOBREVIVE</v>
      </c>
      <c r="N209" s="8" t="str">
        <f>LOOKUP(Titanic[[#This Row],[Clase]],{1,2,3}, {"PRIMERA","SEGUNDA","TERCERA"})</f>
        <v>TERCERA</v>
      </c>
      <c r="O209" s="8" t="str">
        <f>IF(Titanic[[#This Row],[Sexo]]="Hombre", "HOMBRE", "MUJER")</f>
        <v>HOMBRE</v>
      </c>
      <c r="P209" s="8">
        <f>IF(Titanic[[#This Row],[Edad]]="", "", IF(Titanic[[#This Row],[Edad]]&gt;=100, Titanic[[#This Row],[Edad]] / 10, Titanic[[#This Row],[Edad]]))</f>
        <v>45.5</v>
      </c>
      <c r="Q209" s="8" t="str">
        <f>IFERROR(LOOKUP(Titanic[[#This Row],[Edad Corrigida]],'Práctica 1'!$K$231:$K$240,'Práctica 1'!$L$231:$L$240), "DESCONOCIDO")</f>
        <v>8. ADULTO 3</v>
      </c>
      <c r="R209" s="8">
        <f>Titanic[[#This Row],[Familia Horizontal]]+Titanic[[#This Row],[Familia Vertical]]</f>
        <v>0</v>
      </c>
      <c r="S209" s="8"/>
      <c r="T209" s="8"/>
      <c r="U209" s="8"/>
      <c r="V209" s="8"/>
    </row>
    <row r="210" spans="2:22" x14ac:dyDescent="0.2">
      <c r="B210" s="6">
        <v>205</v>
      </c>
      <c r="C210" s="7">
        <v>1</v>
      </c>
      <c r="D210" s="8">
        <v>3</v>
      </c>
      <c r="E210" s="8" t="s">
        <v>219</v>
      </c>
      <c r="F210" s="8" t="s">
        <v>11</v>
      </c>
      <c r="G210" s="8">
        <v>18</v>
      </c>
      <c r="H210" s="8">
        <v>0</v>
      </c>
      <c r="I210" s="8">
        <v>0</v>
      </c>
      <c r="J210" s="8">
        <v>805</v>
      </c>
      <c r="K210" s="8">
        <v>0</v>
      </c>
      <c r="L210" s="8" t="s">
        <v>12</v>
      </c>
      <c r="M210" s="8" t="str">
        <f>IF(Titanic[[#This Row],[Sobrevive]]=1, "SOBREVIVE", "NO SOBREVIVE")</f>
        <v>SOBREVIVE</v>
      </c>
      <c r="N210" s="8" t="str">
        <f>LOOKUP(Titanic[[#This Row],[Clase]],{1,2,3}, {"PRIMERA","SEGUNDA","TERCERA"})</f>
        <v>TERCERA</v>
      </c>
      <c r="O210" s="8" t="str">
        <f>IF(Titanic[[#This Row],[Sexo]]="Hombre", "HOMBRE", "MUJER")</f>
        <v>HOMBRE</v>
      </c>
      <c r="P210" s="8">
        <f>IF(Titanic[[#This Row],[Edad]]="", "", IF(Titanic[[#This Row],[Edad]]&gt;=100, Titanic[[#This Row],[Edad]] / 10, Titanic[[#This Row],[Edad]]))</f>
        <v>18</v>
      </c>
      <c r="Q210" s="8" t="str">
        <f>IFERROR(LOOKUP(Titanic[[#This Row],[Edad Corrigida]],'Práctica 1'!$K$231:$K$240,'Práctica 1'!$L$231:$L$240), "DESCONOCIDO")</f>
        <v>1. INFANTE</v>
      </c>
      <c r="R210" s="8">
        <f>Titanic[[#This Row],[Familia Horizontal]]+Titanic[[#This Row],[Familia Vertical]]</f>
        <v>0</v>
      </c>
      <c r="S210" s="8"/>
      <c r="T210" s="8"/>
      <c r="U210" s="8"/>
      <c r="V210" s="8"/>
    </row>
    <row r="211" spans="2:22" x14ac:dyDescent="0.2">
      <c r="B211" s="6">
        <v>206</v>
      </c>
      <c r="C211" s="7">
        <v>0</v>
      </c>
      <c r="D211" s="8">
        <v>3</v>
      </c>
      <c r="E211" s="8" t="s">
        <v>220</v>
      </c>
      <c r="F211" s="8" t="s">
        <v>14</v>
      </c>
      <c r="G211" s="8">
        <v>2</v>
      </c>
      <c r="H211" s="8">
        <v>0</v>
      </c>
      <c r="I211" s="8">
        <v>1</v>
      </c>
      <c r="J211" s="8">
        <v>104625</v>
      </c>
      <c r="K211" s="8">
        <v>1</v>
      </c>
      <c r="L211" s="8" t="s">
        <v>12</v>
      </c>
      <c r="M211" s="8" t="str">
        <f>IF(Titanic[[#This Row],[Sobrevive]]=1, "SOBREVIVE", "NO SOBREVIVE")</f>
        <v>NO SOBREVIVE</v>
      </c>
      <c r="N211" s="8" t="str">
        <f>LOOKUP(Titanic[[#This Row],[Clase]],{1,2,3}, {"PRIMERA","SEGUNDA","TERCERA"})</f>
        <v>TERCERA</v>
      </c>
      <c r="O211" s="8" t="str">
        <f>IF(Titanic[[#This Row],[Sexo]]="Hombre", "HOMBRE", "MUJER")</f>
        <v>MUJER</v>
      </c>
      <c r="P211" s="8">
        <f>IF(Titanic[[#This Row],[Edad]]="", "", IF(Titanic[[#This Row],[Edad]]&gt;=100, Titanic[[#This Row],[Edad]] / 10, Titanic[[#This Row],[Edad]]))</f>
        <v>2</v>
      </c>
      <c r="Q211" s="8" t="str">
        <f>IFERROR(LOOKUP(Titanic[[#This Row],[Edad Corrigida]],'Práctica 1'!$K$231:$K$240,'Práctica 1'!$L$231:$L$240), "DESCONOCIDO")</f>
        <v>DESCONOCIDO</v>
      </c>
      <c r="R211" s="8">
        <f>Titanic[[#This Row],[Familia Horizontal]]+Titanic[[#This Row],[Familia Vertical]]</f>
        <v>1</v>
      </c>
      <c r="S211" s="8"/>
      <c r="T211" s="8"/>
      <c r="U211" s="8"/>
      <c r="V211" s="8"/>
    </row>
    <row r="212" spans="2:22" x14ac:dyDescent="0.2">
      <c r="B212" s="6">
        <v>207</v>
      </c>
      <c r="C212" s="7">
        <v>0</v>
      </c>
      <c r="D212" s="8">
        <v>3</v>
      </c>
      <c r="E212" s="8" t="s">
        <v>221</v>
      </c>
      <c r="F212" s="8" t="s">
        <v>11</v>
      </c>
      <c r="G212" s="8">
        <v>32</v>
      </c>
      <c r="H212" s="8">
        <v>1</v>
      </c>
      <c r="I212" s="8">
        <v>0</v>
      </c>
      <c r="J212" s="8">
        <v>1585</v>
      </c>
      <c r="K212" s="8">
        <v>0</v>
      </c>
      <c r="L212" s="8" t="s">
        <v>12</v>
      </c>
      <c r="M212" s="8" t="str">
        <f>IF(Titanic[[#This Row],[Sobrevive]]=1, "SOBREVIVE", "NO SOBREVIVE")</f>
        <v>NO SOBREVIVE</v>
      </c>
      <c r="N212" s="8" t="str">
        <f>LOOKUP(Titanic[[#This Row],[Clase]],{1,2,3}, {"PRIMERA","SEGUNDA","TERCERA"})</f>
        <v>TERCERA</v>
      </c>
      <c r="O212" s="8" t="str">
        <f>IF(Titanic[[#This Row],[Sexo]]="Hombre", "HOMBRE", "MUJER")</f>
        <v>HOMBRE</v>
      </c>
      <c r="P212" s="8">
        <f>IF(Titanic[[#This Row],[Edad]]="", "", IF(Titanic[[#This Row],[Edad]]&gt;=100, Titanic[[#This Row],[Edad]] / 10, Titanic[[#This Row],[Edad]]))</f>
        <v>32</v>
      </c>
      <c r="Q212" s="8" t="str">
        <f>IFERROR(LOOKUP(Titanic[[#This Row],[Edad Corrigida]],'Práctica 1'!$K$231:$K$240,'Práctica 1'!$L$231:$L$240), "DESCONOCIDO")</f>
        <v>6. ADULTO 1</v>
      </c>
      <c r="R212" s="8">
        <f>Titanic[[#This Row],[Familia Horizontal]]+Titanic[[#This Row],[Familia Vertical]]</f>
        <v>1</v>
      </c>
      <c r="S212" s="8"/>
      <c r="T212" s="8"/>
      <c r="U212" s="8"/>
      <c r="V212" s="8"/>
    </row>
    <row r="213" spans="2:22" x14ac:dyDescent="0.2">
      <c r="B213" s="6">
        <v>208</v>
      </c>
      <c r="C213" s="7">
        <v>1</v>
      </c>
      <c r="D213" s="8">
        <v>3</v>
      </c>
      <c r="E213" s="8" t="s">
        <v>222</v>
      </c>
      <c r="F213" s="8" t="s">
        <v>11</v>
      </c>
      <c r="G213" s="8">
        <v>26</v>
      </c>
      <c r="H213" s="8">
        <v>0</v>
      </c>
      <c r="I213" s="8">
        <v>0</v>
      </c>
      <c r="J213" s="8">
        <v>187875</v>
      </c>
      <c r="K213" s="8">
        <v>0</v>
      </c>
      <c r="L213" s="8" t="s">
        <v>15</v>
      </c>
      <c r="M213" s="8" t="str">
        <f>IF(Titanic[[#This Row],[Sobrevive]]=1, "SOBREVIVE", "NO SOBREVIVE")</f>
        <v>SOBREVIVE</v>
      </c>
      <c r="N213" s="8" t="str">
        <f>LOOKUP(Titanic[[#This Row],[Clase]],{1,2,3}, {"PRIMERA","SEGUNDA","TERCERA"})</f>
        <v>TERCERA</v>
      </c>
      <c r="O213" s="8" t="str">
        <f>IF(Titanic[[#This Row],[Sexo]]="Hombre", "HOMBRE", "MUJER")</f>
        <v>HOMBRE</v>
      </c>
      <c r="P213" s="8">
        <f>IF(Titanic[[#This Row],[Edad]]="", "", IF(Titanic[[#This Row],[Edad]]&gt;=100, Titanic[[#This Row],[Edad]] / 10, Titanic[[#This Row],[Edad]]))</f>
        <v>26</v>
      </c>
      <c r="Q213" s="8" t="str">
        <f>IFERROR(LOOKUP(Titanic[[#This Row],[Edad Corrigida]],'Práctica 1'!$K$231:$K$240,'Práctica 1'!$L$231:$L$240), "DESCONOCIDO")</f>
        <v>4. ADULTO JOVEN</v>
      </c>
      <c r="R213" s="8">
        <f>Titanic[[#This Row],[Familia Horizontal]]+Titanic[[#This Row],[Familia Vertical]]</f>
        <v>0</v>
      </c>
      <c r="S213" s="8"/>
      <c r="T213" s="8"/>
      <c r="U213" s="8"/>
      <c r="V213" s="8"/>
    </row>
    <row r="214" spans="2:22" x14ac:dyDescent="0.2">
      <c r="B214" s="6">
        <v>209</v>
      </c>
      <c r="C214" s="7">
        <v>1</v>
      </c>
      <c r="D214" s="8">
        <v>3</v>
      </c>
      <c r="E214" s="8" t="s">
        <v>223</v>
      </c>
      <c r="F214" s="8" t="s">
        <v>14</v>
      </c>
      <c r="G214" s="8">
        <v>16</v>
      </c>
      <c r="H214" s="8">
        <v>0</v>
      </c>
      <c r="I214" s="8">
        <v>0</v>
      </c>
      <c r="J214" s="8">
        <v>775</v>
      </c>
      <c r="K214" s="8">
        <v>0</v>
      </c>
      <c r="L214" s="8" t="s">
        <v>20</v>
      </c>
      <c r="M214" s="8" t="str">
        <f>IF(Titanic[[#This Row],[Sobrevive]]=1, "SOBREVIVE", "NO SOBREVIVE")</f>
        <v>SOBREVIVE</v>
      </c>
      <c r="N214" s="8" t="str">
        <f>LOOKUP(Titanic[[#This Row],[Clase]],{1,2,3}, {"PRIMERA","SEGUNDA","TERCERA"})</f>
        <v>TERCERA</v>
      </c>
      <c r="O214" s="8" t="str">
        <f>IF(Titanic[[#This Row],[Sexo]]="Hombre", "HOMBRE", "MUJER")</f>
        <v>MUJER</v>
      </c>
      <c r="P214" s="8">
        <f>IF(Titanic[[#This Row],[Edad]]="", "", IF(Titanic[[#This Row],[Edad]]&gt;=100, Titanic[[#This Row],[Edad]] / 10, Titanic[[#This Row],[Edad]]))</f>
        <v>16</v>
      </c>
      <c r="Q214" s="8" t="str">
        <f>IFERROR(LOOKUP(Titanic[[#This Row],[Edad Corrigida]],'Práctica 1'!$K$231:$K$240,'Práctica 1'!$L$231:$L$240), "DESCONOCIDO")</f>
        <v>1. INFANTE</v>
      </c>
      <c r="R214" s="8">
        <f>Titanic[[#This Row],[Familia Horizontal]]+Titanic[[#This Row],[Familia Vertical]]</f>
        <v>0</v>
      </c>
      <c r="S214" s="8"/>
      <c r="T214" s="8"/>
      <c r="U214" s="8"/>
      <c r="V214" s="8"/>
    </row>
    <row r="215" spans="2:22" x14ac:dyDescent="0.2">
      <c r="B215" s="6">
        <v>210</v>
      </c>
      <c r="C215" s="7">
        <v>1</v>
      </c>
      <c r="D215" s="8">
        <v>1</v>
      </c>
      <c r="E215" s="8" t="s">
        <v>224</v>
      </c>
      <c r="F215" s="8" t="s">
        <v>11</v>
      </c>
      <c r="G215" s="8">
        <v>40</v>
      </c>
      <c r="H215" s="8">
        <v>0</v>
      </c>
      <c r="I215" s="8">
        <v>0</v>
      </c>
      <c r="J215" s="8">
        <v>31</v>
      </c>
      <c r="K215" s="8">
        <v>1</v>
      </c>
      <c r="L215" s="8" t="s">
        <v>15</v>
      </c>
      <c r="M215" s="8" t="str">
        <f>IF(Titanic[[#This Row],[Sobrevive]]=1, "SOBREVIVE", "NO SOBREVIVE")</f>
        <v>SOBREVIVE</v>
      </c>
      <c r="N215" s="8" t="str">
        <f>LOOKUP(Titanic[[#This Row],[Clase]],{1,2,3}, {"PRIMERA","SEGUNDA","TERCERA"})</f>
        <v>PRIMERA</v>
      </c>
      <c r="O215" s="8" t="str">
        <f>IF(Titanic[[#This Row],[Sexo]]="Hombre", "HOMBRE", "MUJER")</f>
        <v>HOMBRE</v>
      </c>
      <c r="P215" s="8">
        <f>IF(Titanic[[#This Row],[Edad]]="", "", IF(Titanic[[#This Row],[Edad]]&gt;=100, Titanic[[#This Row],[Edad]] / 10, Titanic[[#This Row],[Edad]]))</f>
        <v>40</v>
      </c>
      <c r="Q215" s="8" t="str">
        <f>IFERROR(LOOKUP(Titanic[[#This Row],[Edad Corrigida]],'Práctica 1'!$K$231:$K$240,'Práctica 1'!$L$231:$L$240), "DESCONOCIDO")</f>
        <v>7. ADULTO 2</v>
      </c>
      <c r="R215" s="8">
        <f>Titanic[[#This Row],[Familia Horizontal]]+Titanic[[#This Row],[Familia Vertical]]</f>
        <v>0</v>
      </c>
      <c r="S215" s="8"/>
      <c r="T215" s="8"/>
      <c r="U215" s="8"/>
      <c r="V215" s="8"/>
    </row>
    <row r="216" spans="2:22" x14ac:dyDescent="0.2">
      <c r="B216" s="6">
        <v>211</v>
      </c>
      <c r="C216" s="7">
        <v>0</v>
      </c>
      <c r="D216" s="8">
        <v>3</v>
      </c>
      <c r="E216" s="8" t="s">
        <v>225</v>
      </c>
      <c r="F216" s="8" t="s">
        <v>11</v>
      </c>
      <c r="G216" s="8">
        <v>24</v>
      </c>
      <c r="H216" s="8">
        <v>0</v>
      </c>
      <c r="I216" s="8">
        <v>0</v>
      </c>
      <c r="J216" s="8">
        <v>705</v>
      </c>
      <c r="K216" s="8">
        <v>0</v>
      </c>
      <c r="L216" s="8" t="s">
        <v>12</v>
      </c>
      <c r="M216" s="8" t="str">
        <f>IF(Titanic[[#This Row],[Sobrevive]]=1, "SOBREVIVE", "NO SOBREVIVE")</f>
        <v>NO SOBREVIVE</v>
      </c>
      <c r="N216" s="8" t="str">
        <f>LOOKUP(Titanic[[#This Row],[Clase]],{1,2,3}, {"PRIMERA","SEGUNDA","TERCERA"})</f>
        <v>TERCERA</v>
      </c>
      <c r="O216" s="8" t="str">
        <f>IF(Titanic[[#This Row],[Sexo]]="Hombre", "HOMBRE", "MUJER")</f>
        <v>HOMBRE</v>
      </c>
      <c r="P216" s="8">
        <f>IF(Titanic[[#This Row],[Edad]]="", "", IF(Titanic[[#This Row],[Edad]]&gt;=100, Titanic[[#This Row],[Edad]] / 10, Titanic[[#This Row],[Edad]]))</f>
        <v>24</v>
      </c>
      <c r="Q216" s="8" t="str">
        <f>IFERROR(LOOKUP(Titanic[[#This Row],[Edad Corrigida]],'Práctica 1'!$K$231:$K$240,'Práctica 1'!$L$231:$L$240), "DESCONOCIDO")</f>
        <v>3. JOVEN</v>
      </c>
      <c r="R216" s="8">
        <f>Titanic[[#This Row],[Familia Horizontal]]+Titanic[[#This Row],[Familia Vertical]]</f>
        <v>0</v>
      </c>
      <c r="S216" s="8"/>
      <c r="T216" s="8"/>
      <c r="U216" s="8"/>
      <c r="V216" s="8"/>
    </row>
    <row r="217" spans="2:22" x14ac:dyDescent="0.2">
      <c r="B217" s="6">
        <v>212</v>
      </c>
      <c r="C217" s="7">
        <v>1</v>
      </c>
      <c r="D217" s="8">
        <v>2</v>
      </c>
      <c r="E217" s="8" t="s">
        <v>226</v>
      </c>
      <c r="F217" s="8" t="s">
        <v>14</v>
      </c>
      <c r="G217" s="8">
        <v>35</v>
      </c>
      <c r="H217" s="8">
        <v>0</v>
      </c>
      <c r="I217" s="8">
        <v>0</v>
      </c>
      <c r="J217" s="8">
        <v>21</v>
      </c>
      <c r="K217" s="8">
        <v>0</v>
      </c>
      <c r="L217" s="8" t="s">
        <v>12</v>
      </c>
      <c r="M217" s="8" t="str">
        <f>IF(Titanic[[#This Row],[Sobrevive]]=1, "SOBREVIVE", "NO SOBREVIVE")</f>
        <v>SOBREVIVE</v>
      </c>
      <c r="N217" s="8" t="str">
        <f>LOOKUP(Titanic[[#This Row],[Clase]],{1,2,3}, {"PRIMERA","SEGUNDA","TERCERA"})</f>
        <v>SEGUNDA</v>
      </c>
      <c r="O217" s="8" t="str">
        <f>IF(Titanic[[#This Row],[Sexo]]="Hombre", "HOMBRE", "MUJER")</f>
        <v>MUJER</v>
      </c>
      <c r="P217" s="8">
        <f>IF(Titanic[[#This Row],[Edad]]="", "", IF(Titanic[[#This Row],[Edad]]&gt;=100, Titanic[[#This Row],[Edad]] / 10, Titanic[[#This Row],[Edad]]))</f>
        <v>35</v>
      </c>
      <c r="Q217" s="8" t="str">
        <f>IFERROR(LOOKUP(Titanic[[#This Row],[Edad Corrigida]],'Práctica 1'!$K$231:$K$240,'Práctica 1'!$L$231:$L$240), "DESCONOCIDO")</f>
        <v>6. ADULTO 1</v>
      </c>
      <c r="R217" s="8">
        <f>Titanic[[#This Row],[Familia Horizontal]]+Titanic[[#This Row],[Familia Vertical]]</f>
        <v>0</v>
      </c>
      <c r="S217" s="8"/>
      <c r="T217" s="8"/>
      <c r="U217" s="8"/>
      <c r="V217" s="8"/>
    </row>
    <row r="218" spans="2:22" x14ac:dyDescent="0.2">
      <c r="B218" s="6">
        <v>213</v>
      </c>
      <c r="C218" s="7">
        <v>0</v>
      </c>
      <c r="D218" s="8">
        <v>3</v>
      </c>
      <c r="E218" s="8" t="s">
        <v>227</v>
      </c>
      <c r="F218" s="8" t="s">
        <v>11</v>
      </c>
      <c r="G218" s="8">
        <v>22</v>
      </c>
      <c r="H218" s="8">
        <v>0</v>
      </c>
      <c r="I218" s="8">
        <v>0</v>
      </c>
      <c r="J218" s="8">
        <v>725</v>
      </c>
      <c r="K218" s="8">
        <v>0</v>
      </c>
      <c r="L218" s="8" t="s">
        <v>12</v>
      </c>
      <c r="M218" s="8" t="str">
        <f>IF(Titanic[[#This Row],[Sobrevive]]=1, "SOBREVIVE", "NO SOBREVIVE")</f>
        <v>NO SOBREVIVE</v>
      </c>
      <c r="N218" s="8" t="str">
        <f>LOOKUP(Titanic[[#This Row],[Clase]],{1,2,3}, {"PRIMERA","SEGUNDA","TERCERA"})</f>
        <v>TERCERA</v>
      </c>
      <c r="O218" s="8" t="str">
        <f>IF(Titanic[[#This Row],[Sexo]]="Hombre", "HOMBRE", "MUJER")</f>
        <v>HOMBRE</v>
      </c>
      <c r="P218" s="8">
        <f>IF(Titanic[[#This Row],[Edad]]="", "", IF(Titanic[[#This Row],[Edad]]&gt;=100, Titanic[[#This Row],[Edad]] / 10, Titanic[[#This Row],[Edad]]))</f>
        <v>22</v>
      </c>
      <c r="Q218" s="8" t="str">
        <f>IFERROR(LOOKUP(Titanic[[#This Row],[Edad Corrigida]],'Práctica 1'!$K$231:$K$240,'Práctica 1'!$L$231:$L$240), "DESCONOCIDO")</f>
        <v>3. JOVEN</v>
      </c>
      <c r="R218" s="8">
        <f>Titanic[[#This Row],[Familia Horizontal]]+Titanic[[#This Row],[Familia Vertical]]</f>
        <v>0</v>
      </c>
      <c r="S218" s="8"/>
      <c r="T218" s="8"/>
      <c r="U218" s="8"/>
      <c r="V218" s="8"/>
    </row>
    <row r="219" spans="2:22" x14ac:dyDescent="0.2">
      <c r="B219" s="6">
        <v>214</v>
      </c>
      <c r="C219" s="7">
        <v>0</v>
      </c>
      <c r="D219" s="8">
        <v>2</v>
      </c>
      <c r="E219" s="8" t="s">
        <v>228</v>
      </c>
      <c r="F219" s="8" t="s">
        <v>11</v>
      </c>
      <c r="G219" s="8">
        <v>30</v>
      </c>
      <c r="H219" s="8">
        <v>0</v>
      </c>
      <c r="I219" s="8">
        <v>0</v>
      </c>
      <c r="J219" s="8">
        <v>13</v>
      </c>
      <c r="K219" s="8">
        <v>0</v>
      </c>
      <c r="L219" s="8" t="s">
        <v>12</v>
      </c>
      <c r="M219" s="8" t="str">
        <f>IF(Titanic[[#This Row],[Sobrevive]]=1, "SOBREVIVE", "NO SOBREVIVE")</f>
        <v>NO SOBREVIVE</v>
      </c>
      <c r="N219" s="8" t="str">
        <f>LOOKUP(Titanic[[#This Row],[Clase]],{1,2,3}, {"PRIMERA","SEGUNDA","TERCERA"})</f>
        <v>SEGUNDA</v>
      </c>
      <c r="O219" s="8" t="str">
        <f>IF(Titanic[[#This Row],[Sexo]]="Hombre", "HOMBRE", "MUJER")</f>
        <v>HOMBRE</v>
      </c>
      <c r="P219" s="8">
        <f>IF(Titanic[[#This Row],[Edad]]="", "", IF(Titanic[[#This Row],[Edad]]&gt;=100, Titanic[[#This Row],[Edad]] / 10, Titanic[[#This Row],[Edad]]))</f>
        <v>30</v>
      </c>
      <c r="Q219" s="8" t="str">
        <f>IFERROR(LOOKUP(Titanic[[#This Row],[Edad Corrigida]],'Práctica 1'!$K$231:$K$240,'Práctica 1'!$L$231:$L$240), "DESCONOCIDO")</f>
        <v>5. ADULTO</v>
      </c>
      <c r="R219" s="8">
        <f>Titanic[[#This Row],[Familia Horizontal]]+Titanic[[#This Row],[Familia Vertical]]</f>
        <v>0</v>
      </c>
      <c r="S219" s="8"/>
      <c r="T219" s="8"/>
      <c r="U219" s="8"/>
      <c r="V219" s="8"/>
    </row>
    <row r="220" spans="2:22" x14ac:dyDescent="0.2">
      <c r="B220" s="6">
        <v>215</v>
      </c>
      <c r="C220" s="7">
        <v>0</v>
      </c>
      <c r="D220" s="8">
        <v>3</v>
      </c>
      <c r="E220" s="8" t="s">
        <v>229</v>
      </c>
      <c r="F220" s="8" t="s">
        <v>11</v>
      </c>
      <c r="G220" s="9"/>
      <c r="H220" s="8">
        <v>1</v>
      </c>
      <c r="I220" s="8">
        <v>0</v>
      </c>
      <c r="J220" s="8">
        <v>775</v>
      </c>
      <c r="K220" s="8">
        <v>0</v>
      </c>
      <c r="L220" s="8" t="s">
        <v>20</v>
      </c>
      <c r="M220" s="8" t="str">
        <f>IF(Titanic[[#This Row],[Sobrevive]]=1, "SOBREVIVE", "NO SOBREVIVE")</f>
        <v>NO SOBREVIVE</v>
      </c>
      <c r="N220" s="8" t="str">
        <f>LOOKUP(Titanic[[#This Row],[Clase]],{1,2,3}, {"PRIMERA","SEGUNDA","TERCERA"})</f>
        <v>TERCERA</v>
      </c>
      <c r="O220" s="8" t="str">
        <f>IF(Titanic[[#This Row],[Sexo]]="Hombre", "HOMBRE", "MUJER")</f>
        <v>HOMBRE</v>
      </c>
      <c r="P220" s="8" t="str">
        <f>IF(Titanic[[#This Row],[Edad]]="", "", IF(Titanic[[#This Row],[Edad]]&gt;=100, Titanic[[#This Row],[Edad]] / 10, Titanic[[#This Row],[Edad]]))</f>
        <v/>
      </c>
      <c r="Q220" s="8" t="str">
        <f>IFERROR(LOOKUP(Titanic[[#This Row],[Edad Corrigida]],'Práctica 1'!$K$231:$K$240,'Práctica 1'!$L$231:$L$240), "DESCONOCIDO")</f>
        <v>DESCONOCIDO</v>
      </c>
      <c r="R220" s="8">
        <f>Titanic[[#This Row],[Familia Horizontal]]+Titanic[[#This Row],[Familia Vertical]]</f>
        <v>1</v>
      </c>
      <c r="S220" s="8"/>
      <c r="T220" s="8"/>
      <c r="U220" s="8"/>
      <c r="V220" s="8"/>
    </row>
    <row r="221" spans="2:22" x14ac:dyDescent="0.2">
      <c r="B221" s="6">
        <v>216</v>
      </c>
      <c r="C221" s="7">
        <v>1</v>
      </c>
      <c r="D221" s="8">
        <v>1</v>
      </c>
      <c r="E221" s="8" t="s">
        <v>230</v>
      </c>
      <c r="F221" s="8" t="s">
        <v>14</v>
      </c>
      <c r="G221" s="8">
        <v>31</v>
      </c>
      <c r="H221" s="8">
        <v>1</v>
      </c>
      <c r="I221" s="8">
        <v>0</v>
      </c>
      <c r="J221" s="8">
        <v>113275</v>
      </c>
      <c r="K221" s="8">
        <v>1</v>
      </c>
      <c r="L221" s="8" t="s">
        <v>15</v>
      </c>
      <c r="M221" s="8" t="str">
        <f>IF(Titanic[[#This Row],[Sobrevive]]=1, "SOBREVIVE", "NO SOBREVIVE")</f>
        <v>SOBREVIVE</v>
      </c>
      <c r="N221" s="8" t="str">
        <f>LOOKUP(Titanic[[#This Row],[Clase]],{1,2,3}, {"PRIMERA","SEGUNDA","TERCERA"})</f>
        <v>PRIMERA</v>
      </c>
      <c r="O221" s="8" t="str">
        <f>IF(Titanic[[#This Row],[Sexo]]="Hombre", "HOMBRE", "MUJER")</f>
        <v>MUJER</v>
      </c>
      <c r="P221" s="8">
        <f>IF(Titanic[[#This Row],[Edad]]="", "", IF(Titanic[[#This Row],[Edad]]&gt;=100, Titanic[[#This Row],[Edad]] / 10, Titanic[[#This Row],[Edad]]))</f>
        <v>31</v>
      </c>
      <c r="Q221" s="8" t="str">
        <f>IFERROR(LOOKUP(Titanic[[#This Row],[Edad Corrigida]],'Práctica 1'!$K$231:$K$240,'Práctica 1'!$L$231:$L$240), "DESCONOCIDO")</f>
        <v>5. ADULTO</v>
      </c>
      <c r="R221" s="8">
        <f>Titanic[[#This Row],[Familia Horizontal]]+Titanic[[#This Row],[Familia Vertical]]</f>
        <v>1</v>
      </c>
      <c r="S221" s="8"/>
      <c r="T221" s="8"/>
      <c r="U221" s="8"/>
      <c r="V221" s="8"/>
    </row>
    <row r="222" spans="2:22" x14ac:dyDescent="0.2">
      <c r="B222" s="6">
        <v>217</v>
      </c>
      <c r="C222" s="7">
        <v>1</v>
      </c>
      <c r="D222" s="8">
        <v>3</v>
      </c>
      <c r="E222" s="8" t="s">
        <v>231</v>
      </c>
      <c r="F222" s="8" t="s">
        <v>14</v>
      </c>
      <c r="G222" s="8">
        <v>27</v>
      </c>
      <c r="H222" s="8">
        <v>0</v>
      </c>
      <c r="I222" s="8">
        <v>0</v>
      </c>
      <c r="J222" s="8">
        <v>7925</v>
      </c>
      <c r="K222" s="8">
        <v>0</v>
      </c>
      <c r="L222" s="8" t="s">
        <v>12</v>
      </c>
      <c r="M222" s="8" t="str">
        <f>IF(Titanic[[#This Row],[Sobrevive]]=1, "SOBREVIVE", "NO SOBREVIVE")</f>
        <v>SOBREVIVE</v>
      </c>
      <c r="N222" s="8" t="str">
        <f>LOOKUP(Titanic[[#This Row],[Clase]],{1,2,3}, {"PRIMERA","SEGUNDA","TERCERA"})</f>
        <v>TERCERA</v>
      </c>
      <c r="O222" s="8" t="str">
        <f>IF(Titanic[[#This Row],[Sexo]]="Hombre", "HOMBRE", "MUJER")</f>
        <v>MUJER</v>
      </c>
      <c r="P222" s="8">
        <f>IF(Titanic[[#This Row],[Edad]]="", "", IF(Titanic[[#This Row],[Edad]]&gt;=100, Titanic[[#This Row],[Edad]] / 10, Titanic[[#This Row],[Edad]]))</f>
        <v>27</v>
      </c>
      <c r="Q222" s="8" t="str">
        <f>IFERROR(LOOKUP(Titanic[[#This Row],[Edad Corrigida]],'Práctica 1'!$K$231:$K$240,'Práctica 1'!$L$231:$L$240), "DESCONOCIDO")</f>
        <v>4. ADULTO JOVEN</v>
      </c>
      <c r="R222" s="8">
        <f>Titanic[[#This Row],[Familia Horizontal]]+Titanic[[#This Row],[Familia Vertical]]</f>
        <v>0</v>
      </c>
      <c r="S222" s="8"/>
      <c r="T222" s="8"/>
      <c r="U222" s="8"/>
      <c r="V222" s="8"/>
    </row>
    <row r="223" spans="2:22" x14ac:dyDescent="0.2">
      <c r="B223" s="6">
        <v>218</v>
      </c>
      <c r="C223" s="7">
        <v>0</v>
      </c>
      <c r="D223" s="8">
        <v>2</v>
      </c>
      <c r="E223" s="8" t="s">
        <v>232</v>
      </c>
      <c r="F223" s="8" t="s">
        <v>11</v>
      </c>
      <c r="G223" s="8">
        <v>42</v>
      </c>
      <c r="H223" s="8">
        <v>1</v>
      </c>
      <c r="I223" s="8">
        <v>0</v>
      </c>
      <c r="J223" s="8">
        <v>27</v>
      </c>
      <c r="K223" s="8">
        <v>0</v>
      </c>
      <c r="L223" s="8" t="s">
        <v>12</v>
      </c>
      <c r="M223" s="8" t="str">
        <f>IF(Titanic[[#This Row],[Sobrevive]]=1, "SOBREVIVE", "NO SOBREVIVE")</f>
        <v>NO SOBREVIVE</v>
      </c>
      <c r="N223" s="8" t="str">
        <f>LOOKUP(Titanic[[#This Row],[Clase]],{1,2,3}, {"PRIMERA","SEGUNDA","TERCERA"})</f>
        <v>SEGUNDA</v>
      </c>
      <c r="O223" s="8" t="str">
        <f>IF(Titanic[[#This Row],[Sexo]]="Hombre", "HOMBRE", "MUJER")</f>
        <v>HOMBRE</v>
      </c>
      <c r="P223" s="8">
        <f>IF(Titanic[[#This Row],[Edad]]="", "", IF(Titanic[[#This Row],[Edad]]&gt;=100, Titanic[[#This Row],[Edad]] / 10, Titanic[[#This Row],[Edad]]))</f>
        <v>42</v>
      </c>
      <c r="Q223" s="8" t="str">
        <f>IFERROR(LOOKUP(Titanic[[#This Row],[Edad Corrigida]],'Práctica 1'!$K$231:$K$240,'Práctica 1'!$L$231:$L$240), "DESCONOCIDO")</f>
        <v>8. ADULTO 3</v>
      </c>
      <c r="R223" s="8">
        <f>Titanic[[#This Row],[Familia Horizontal]]+Titanic[[#This Row],[Familia Vertical]]</f>
        <v>1</v>
      </c>
      <c r="S223" s="8"/>
      <c r="T223" s="8"/>
      <c r="U223" s="8"/>
      <c r="V223" s="8"/>
    </row>
    <row r="224" spans="2:22" x14ac:dyDescent="0.2">
      <c r="B224" s="6">
        <v>219</v>
      </c>
      <c r="C224" s="7">
        <v>1</v>
      </c>
      <c r="D224" s="8">
        <v>1</v>
      </c>
      <c r="E224" s="8" t="s">
        <v>233</v>
      </c>
      <c r="F224" s="8" t="s">
        <v>14</v>
      </c>
      <c r="G224" s="8">
        <v>32</v>
      </c>
      <c r="H224" s="8">
        <v>0</v>
      </c>
      <c r="I224" s="8">
        <v>0</v>
      </c>
      <c r="J224" s="8">
        <v>762917</v>
      </c>
      <c r="K224" s="8">
        <v>1</v>
      </c>
      <c r="L224" s="8" t="s">
        <v>15</v>
      </c>
      <c r="M224" s="8" t="str">
        <f>IF(Titanic[[#This Row],[Sobrevive]]=1, "SOBREVIVE", "NO SOBREVIVE")</f>
        <v>SOBREVIVE</v>
      </c>
      <c r="N224" s="8" t="str">
        <f>LOOKUP(Titanic[[#This Row],[Clase]],{1,2,3}, {"PRIMERA","SEGUNDA","TERCERA"})</f>
        <v>PRIMERA</v>
      </c>
      <c r="O224" s="8" t="str">
        <f>IF(Titanic[[#This Row],[Sexo]]="Hombre", "HOMBRE", "MUJER")</f>
        <v>MUJER</v>
      </c>
      <c r="P224" s="8">
        <f>IF(Titanic[[#This Row],[Edad]]="", "", IF(Titanic[[#This Row],[Edad]]&gt;=100, Titanic[[#This Row],[Edad]] / 10, Titanic[[#This Row],[Edad]]))</f>
        <v>32</v>
      </c>
      <c r="Q224" s="8" t="str">
        <f>IFERROR(LOOKUP(Titanic[[#This Row],[Edad Corrigida]],'Práctica 1'!$K$231:$K$240,'Práctica 1'!$L$231:$L$240), "DESCONOCIDO")</f>
        <v>6. ADULTO 1</v>
      </c>
      <c r="R224" s="8">
        <f>Titanic[[#This Row],[Familia Horizontal]]+Titanic[[#This Row],[Familia Vertical]]</f>
        <v>0</v>
      </c>
      <c r="S224" s="8"/>
      <c r="T224" s="8"/>
      <c r="U224" s="8"/>
      <c r="V224" s="8"/>
    </row>
    <row r="225" spans="2:22" x14ac:dyDescent="0.2">
      <c r="B225" s="6">
        <v>220</v>
      </c>
      <c r="C225" s="7">
        <v>0</v>
      </c>
      <c r="D225" s="8">
        <v>2</v>
      </c>
      <c r="E225" s="8" t="s">
        <v>234</v>
      </c>
      <c r="F225" s="8" t="s">
        <v>11</v>
      </c>
      <c r="G225" s="8">
        <v>30</v>
      </c>
      <c r="H225" s="8">
        <v>0</v>
      </c>
      <c r="I225" s="8">
        <v>0</v>
      </c>
      <c r="J225" s="8">
        <v>105</v>
      </c>
      <c r="K225" s="8">
        <v>0</v>
      </c>
      <c r="L225" s="8" t="s">
        <v>12</v>
      </c>
      <c r="M225" s="8" t="str">
        <f>IF(Titanic[[#This Row],[Sobrevive]]=1, "SOBREVIVE", "NO SOBREVIVE")</f>
        <v>NO SOBREVIVE</v>
      </c>
      <c r="N225" s="8" t="str">
        <f>LOOKUP(Titanic[[#This Row],[Clase]],{1,2,3}, {"PRIMERA","SEGUNDA","TERCERA"})</f>
        <v>SEGUNDA</v>
      </c>
      <c r="O225" s="8" t="str">
        <f>IF(Titanic[[#This Row],[Sexo]]="Hombre", "HOMBRE", "MUJER")</f>
        <v>HOMBRE</v>
      </c>
      <c r="P225" s="8">
        <f>IF(Titanic[[#This Row],[Edad]]="", "", IF(Titanic[[#This Row],[Edad]]&gt;=100, Titanic[[#This Row],[Edad]] / 10, Titanic[[#This Row],[Edad]]))</f>
        <v>30</v>
      </c>
      <c r="Q225" s="8" t="str">
        <f>IFERROR(LOOKUP(Titanic[[#This Row],[Edad Corrigida]],'Práctica 1'!$K$231:$K$240,'Práctica 1'!$L$231:$L$240), "DESCONOCIDO")</f>
        <v>5. ADULTO</v>
      </c>
      <c r="R225" s="8">
        <f>Titanic[[#This Row],[Familia Horizontal]]+Titanic[[#This Row],[Familia Vertical]]</f>
        <v>0</v>
      </c>
      <c r="S225" s="8"/>
      <c r="T225" s="8"/>
      <c r="U225" s="8"/>
      <c r="V225" s="8"/>
    </row>
    <row r="226" spans="2:22" x14ac:dyDescent="0.2">
      <c r="B226" s="6">
        <v>221</v>
      </c>
      <c r="C226" s="7">
        <v>1</v>
      </c>
      <c r="D226" s="8">
        <v>3</v>
      </c>
      <c r="E226" s="8" t="s">
        <v>235</v>
      </c>
      <c r="F226" s="8" t="s">
        <v>11</v>
      </c>
      <c r="G226" s="8">
        <v>16</v>
      </c>
      <c r="H226" s="8">
        <v>0</v>
      </c>
      <c r="I226" s="8">
        <v>0</v>
      </c>
      <c r="J226" s="8">
        <v>805</v>
      </c>
      <c r="K226" s="8">
        <v>0</v>
      </c>
      <c r="L226" s="8" t="s">
        <v>12</v>
      </c>
      <c r="M226" s="8" t="str">
        <f>IF(Titanic[[#This Row],[Sobrevive]]=1, "SOBREVIVE", "NO SOBREVIVE")</f>
        <v>SOBREVIVE</v>
      </c>
      <c r="N226" s="8" t="str">
        <f>LOOKUP(Titanic[[#This Row],[Clase]],{1,2,3}, {"PRIMERA","SEGUNDA","TERCERA"})</f>
        <v>TERCERA</v>
      </c>
      <c r="O226" s="8" t="str">
        <f>IF(Titanic[[#This Row],[Sexo]]="Hombre", "HOMBRE", "MUJER")</f>
        <v>HOMBRE</v>
      </c>
      <c r="P226" s="8">
        <f>IF(Titanic[[#This Row],[Edad]]="", "", IF(Titanic[[#This Row],[Edad]]&gt;=100, Titanic[[#This Row],[Edad]] / 10, Titanic[[#This Row],[Edad]]))</f>
        <v>16</v>
      </c>
      <c r="Q226" s="8" t="str">
        <f>IFERROR(LOOKUP(Titanic[[#This Row],[Edad Corrigida]],'Práctica 1'!$K$231:$K$240,'Práctica 1'!$L$231:$L$240), "DESCONOCIDO")</f>
        <v>1. INFANTE</v>
      </c>
      <c r="R226" s="8">
        <f>Titanic[[#This Row],[Familia Horizontal]]+Titanic[[#This Row],[Familia Vertical]]</f>
        <v>0</v>
      </c>
      <c r="S226" s="8"/>
      <c r="T226" s="8"/>
      <c r="U226" s="8"/>
      <c r="V226" s="8"/>
    </row>
    <row r="227" spans="2:22" x14ac:dyDescent="0.2">
      <c r="B227" s="6">
        <v>222</v>
      </c>
      <c r="C227" s="7">
        <v>0</v>
      </c>
      <c r="D227" s="8">
        <v>2</v>
      </c>
      <c r="E227" s="8" t="s">
        <v>236</v>
      </c>
      <c r="F227" s="8" t="s">
        <v>11</v>
      </c>
      <c r="G227" s="8">
        <v>27</v>
      </c>
      <c r="H227" s="8">
        <v>0</v>
      </c>
      <c r="I227" s="8">
        <v>0</v>
      </c>
      <c r="J227" s="8">
        <v>13</v>
      </c>
      <c r="K227" s="8">
        <v>0</v>
      </c>
      <c r="L227" s="8" t="s">
        <v>12</v>
      </c>
      <c r="M227" s="8" t="str">
        <f>IF(Titanic[[#This Row],[Sobrevive]]=1, "SOBREVIVE", "NO SOBREVIVE")</f>
        <v>NO SOBREVIVE</v>
      </c>
      <c r="N227" s="8" t="str">
        <f>LOOKUP(Titanic[[#This Row],[Clase]],{1,2,3}, {"PRIMERA","SEGUNDA","TERCERA"})</f>
        <v>SEGUNDA</v>
      </c>
      <c r="O227" s="8" t="str">
        <f>IF(Titanic[[#This Row],[Sexo]]="Hombre", "HOMBRE", "MUJER")</f>
        <v>HOMBRE</v>
      </c>
      <c r="P227" s="8">
        <f>IF(Titanic[[#This Row],[Edad]]="", "", IF(Titanic[[#This Row],[Edad]]&gt;=100, Titanic[[#This Row],[Edad]] / 10, Titanic[[#This Row],[Edad]]))</f>
        <v>27</v>
      </c>
      <c r="Q227" s="8" t="str">
        <f>IFERROR(LOOKUP(Titanic[[#This Row],[Edad Corrigida]],'Práctica 1'!$K$231:$K$240,'Práctica 1'!$L$231:$L$240), "DESCONOCIDO")</f>
        <v>4. ADULTO JOVEN</v>
      </c>
      <c r="R227" s="8">
        <f>Titanic[[#This Row],[Familia Horizontal]]+Titanic[[#This Row],[Familia Vertical]]</f>
        <v>0</v>
      </c>
      <c r="S227" s="8"/>
      <c r="T227" s="8"/>
      <c r="U227" s="8"/>
      <c r="V227" s="8"/>
    </row>
    <row r="228" spans="2:22" x14ac:dyDescent="0.2">
      <c r="B228" s="6">
        <v>223</v>
      </c>
      <c r="C228" s="7">
        <v>0</v>
      </c>
      <c r="D228" s="8">
        <v>3</v>
      </c>
      <c r="E228" s="8" t="s">
        <v>237</v>
      </c>
      <c r="F228" s="8" t="s">
        <v>11</v>
      </c>
      <c r="G228" s="8">
        <v>51</v>
      </c>
      <c r="H228" s="8">
        <v>0</v>
      </c>
      <c r="I228" s="8">
        <v>0</v>
      </c>
      <c r="J228" s="8">
        <v>805</v>
      </c>
      <c r="K228" s="8">
        <v>0</v>
      </c>
      <c r="L228" s="8" t="s">
        <v>12</v>
      </c>
      <c r="M228" s="8" t="str">
        <f>IF(Titanic[[#This Row],[Sobrevive]]=1, "SOBREVIVE", "NO SOBREVIVE")</f>
        <v>NO SOBREVIVE</v>
      </c>
      <c r="N228" s="8" t="str">
        <f>LOOKUP(Titanic[[#This Row],[Clase]],{1,2,3}, {"PRIMERA","SEGUNDA","TERCERA"})</f>
        <v>TERCERA</v>
      </c>
      <c r="O228" s="8" t="str">
        <f>IF(Titanic[[#This Row],[Sexo]]="Hombre", "HOMBRE", "MUJER")</f>
        <v>HOMBRE</v>
      </c>
      <c r="P228" s="8">
        <f>IF(Titanic[[#This Row],[Edad]]="", "", IF(Titanic[[#This Row],[Edad]]&gt;=100, Titanic[[#This Row],[Edad]] / 10, Titanic[[#This Row],[Edad]]))</f>
        <v>51</v>
      </c>
      <c r="Q228" s="8" t="str">
        <f>IFERROR(LOOKUP(Titanic[[#This Row],[Edad Corrigida]],'Práctica 1'!$K$231:$K$240,'Práctica 1'!$L$231:$L$240), "DESCONOCIDO")</f>
        <v>9. ADULTO 4</v>
      </c>
      <c r="R228" s="8">
        <f>Titanic[[#This Row],[Familia Horizontal]]+Titanic[[#This Row],[Familia Vertical]]</f>
        <v>0</v>
      </c>
      <c r="S228" s="8"/>
      <c r="T228" s="8"/>
      <c r="U228" s="8"/>
      <c r="V228" s="8"/>
    </row>
    <row r="229" spans="2:22" x14ac:dyDescent="0.2">
      <c r="B229" s="6">
        <v>224</v>
      </c>
      <c r="C229" s="7">
        <v>0</v>
      </c>
      <c r="D229" s="8">
        <v>3</v>
      </c>
      <c r="E229" s="8" t="s">
        <v>238</v>
      </c>
      <c r="F229" s="8" t="s">
        <v>11</v>
      </c>
      <c r="G229" s="9"/>
      <c r="H229" s="8">
        <v>0</v>
      </c>
      <c r="I229" s="8">
        <v>0</v>
      </c>
      <c r="J229" s="8">
        <v>78958</v>
      </c>
      <c r="K229" s="8">
        <v>0</v>
      </c>
      <c r="L229" s="8" t="s">
        <v>12</v>
      </c>
      <c r="M229" s="8" t="str">
        <f>IF(Titanic[[#This Row],[Sobrevive]]=1, "SOBREVIVE", "NO SOBREVIVE")</f>
        <v>NO SOBREVIVE</v>
      </c>
      <c r="N229" s="8" t="str">
        <f>LOOKUP(Titanic[[#This Row],[Clase]],{1,2,3}, {"PRIMERA","SEGUNDA","TERCERA"})</f>
        <v>TERCERA</v>
      </c>
      <c r="O229" s="8" t="str">
        <f>IF(Titanic[[#This Row],[Sexo]]="Hombre", "HOMBRE", "MUJER")</f>
        <v>HOMBRE</v>
      </c>
      <c r="P229" s="8" t="str">
        <f>IF(Titanic[[#This Row],[Edad]]="", "", IF(Titanic[[#This Row],[Edad]]&gt;=100, Titanic[[#This Row],[Edad]] / 10, Titanic[[#This Row],[Edad]]))</f>
        <v/>
      </c>
      <c r="Q229" s="8" t="str">
        <f>IFERROR(LOOKUP(Titanic[[#This Row],[Edad Corrigida]],'Práctica 1'!$K$231:$K$240,'Práctica 1'!$L$231:$L$240), "DESCONOCIDO")</f>
        <v>DESCONOCIDO</v>
      </c>
      <c r="R229" s="8">
        <f>Titanic[[#This Row],[Familia Horizontal]]+Titanic[[#This Row],[Familia Vertical]]</f>
        <v>0</v>
      </c>
      <c r="S229" s="8"/>
      <c r="T229" s="8"/>
      <c r="U229" s="8"/>
      <c r="V229" s="8"/>
    </row>
    <row r="230" spans="2:22" x14ac:dyDescent="0.2">
      <c r="B230" s="6">
        <v>225</v>
      </c>
      <c r="C230" s="7">
        <v>1</v>
      </c>
      <c r="D230" s="8">
        <v>1</v>
      </c>
      <c r="E230" s="8" t="s">
        <v>239</v>
      </c>
      <c r="F230" s="8" t="s">
        <v>11</v>
      </c>
      <c r="G230" s="8">
        <v>38</v>
      </c>
      <c r="H230" s="8">
        <v>1</v>
      </c>
      <c r="I230" s="8">
        <v>0</v>
      </c>
      <c r="J230" s="8">
        <v>90</v>
      </c>
      <c r="K230" s="8">
        <v>1</v>
      </c>
      <c r="L230" s="8" t="s">
        <v>12</v>
      </c>
      <c r="M230" s="8" t="str">
        <f>IF(Titanic[[#This Row],[Sobrevive]]=1, "SOBREVIVE", "NO SOBREVIVE")</f>
        <v>SOBREVIVE</v>
      </c>
      <c r="N230" s="8" t="str">
        <f>LOOKUP(Titanic[[#This Row],[Clase]],{1,2,3}, {"PRIMERA","SEGUNDA","TERCERA"})</f>
        <v>PRIMERA</v>
      </c>
      <c r="O230" s="8" t="str">
        <f>IF(Titanic[[#This Row],[Sexo]]="Hombre", "HOMBRE", "MUJER")</f>
        <v>HOMBRE</v>
      </c>
      <c r="P230" s="8">
        <f>IF(Titanic[[#This Row],[Edad]]="", "", IF(Titanic[[#This Row],[Edad]]&gt;=100, Titanic[[#This Row],[Edad]] / 10, Titanic[[#This Row],[Edad]]))</f>
        <v>38</v>
      </c>
      <c r="Q230" s="8" t="str">
        <f>IFERROR(LOOKUP(Titanic[[#This Row],[Edad Corrigida]],'Práctica 1'!$K$231:$K$240,'Práctica 1'!$L$231:$L$240), "DESCONOCIDO")</f>
        <v>7. ADULTO 2</v>
      </c>
      <c r="R230" s="8">
        <f>Titanic[[#This Row],[Familia Horizontal]]+Titanic[[#This Row],[Familia Vertical]]</f>
        <v>1</v>
      </c>
      <c r="S230" s="8"/>
      <c r="T230" s="8"/>
      <c r="U230" s="8"/>
      <c r="V230" s="8"/>
    </row>
    <row r="231" spans="2:22" x14ac:dyDescent="0.2">
      <c r="B231" s="6">
        <v>226</v>
      </c>
      <c r="C231" s="7">
        <v>0</v>
      </c>
      <c r="D231" s="8">
        <v>3</v>
      </c>
      <c r="E231" s="8" t="s">
        <v>240</v>
      </c>
      <c r="F231" s="8" t="s">
        <v>11</v>
      </c>
      <c r="G231" s="8">
        <v>22</v>
      </c>
      <c r="H231" s="8">
        <v>0</v>
      </c>
      <c r="I231" s="8">
        <v>0</v>
      </c>
      <c r="J231" s="8">
        <v>935</v>
      </c>
      <c r="K231" s="8">
        <v>0</v>
      </c>
      <c r="L231" s="8" t="s">
        <v>12</v>
      </c>
      <c r="M231" s="8" t="str">
        <f>IF(Titanic[[#This Row],[Sobrevive]]=1, "SOBREVIVE", "NO SOBREVIVE")</f>
        <v>NO SOBREVIVE</v>
      </c>
      <c r="N231" s="8" t="str">
        <f>LOOKUP(Titanic[[#This Row],[Clase]],{1,2,3}, {"PRIMERA","SEGUNDA","TERCERA"})</f>
        <v>TERCERA</v>
      </c>
      <c r="O231" s="8" t="str">
        <f>IF(Titanic[[#This Row],[Sexo]]="Hombre", "HOMBRE", "MUJER")</f>
        <v>HOMBRE</v>
      </c>
      <c r="P231" s="8">
        <f>IF(Titanic[[#This Row],[Edad]]="", "", IF(Titanic[[#This Row],[Edad]]&gt;=100, Titanic[[#This Row],[Edad]] / 10, Titanic[[#This Row],[Edad]]))</f>
        <v>22</v>
      </c>
      <c r="Q231" s="8" t="str">
        <f>IFERROR(LOOKUP(Titanic[[#This Row],[Edad Corrigida]],'Práctica 1'!$K$231:$K$240,'Práctica 1'!$L$231:$L$240), "DESCONOCIDO")</f>
        <v>3. JOVEN</v>
      </c>
      <c r="R231" s="8">
        <f>Titanic[[#This Row],[Familia Horizontal]]+Titanic[[#This Row],[Familia Vertical]]</f>
        <v>0</v>
      </c>
      <c r="S231" s="8"/>
      <c r="T231" s="8"/>
      <c r="U231" s="8"/>
      <c r="V231" s="8"/>
    </row>
    <row r="232" spans="2:22" x14ac:dyDescent="0.2">
      <c r="B232" s="6">
        <v>227</v>
      </c>
      <c r="C232" s="7">
        <v>1</v>
      </c>
      <c r="D232" s="8">
        <v>2</v>
      </c>
      <c r="E232" s="8" t="s">
        <v>241</v>
      </c>
      <c r="F232" s="8" t="s">
        <v>11</v>
      </c>
      <c r="G232" s="8">
        <v>19</v>
      </c>
      <c r="H232" s="8">
        <v>0</v>
      </c>
      <c r="I232" s="8">
        <v>0</v>
      </c>
      <c r="J232" s="8">
        <v>105</v>
      </c>
      <c r="K232" s="8">
        <v>0</v>
      </c>
      <c r="L232" s="8" t="s">
        <v>12</v>
      </c>
      <c r="M232" s="8" t="str">
        <f>IF(Titanic[[#This Row],[Sobrevive]]=1, "SOBREVIVE", "NO SOBREVIVE")</f>
        <v>SOBREVIVE</v>
      </c>
      <c r="N232" s="8" t="str">
        <f>LOOKUP(Titanic[[#This Row],[Clase]],{1,2,3}, {"PRIMERA","SEGUNDA","TERCERA"})</f>
        <v>SEGUNDA</v>
      </c>
      <c r="O232" s="8" t="str">
        <f>IF(Titanic[[#This Row],[Sexo]]="Hombre", "HOMBRE", "MUJER")</f>
        <v>HOMBRE</v>
      </c>
      <c r="P232" s="8">
        <f>IF(Titanic[[#This Row],[Edad]]="", "", IF(Titanic[[#This Row],[Edad]]&gt;=100, Titanic[[#This Row],[Edad]] / 10, Titanic[[#This Row],[Edad]]))</f>
        <v>19</v>
      </c>
      <c r="Q232" s="8" t="str">
        <f>IFERROR(LOOKUP(Titanic[[#This Row],[Edad Corrigida]],'Práctica 1'!$K$231:$K$240,'Práctica 1'!$L$231:$L$240), "DESCONOCIDO")</f>
        <v>2. ADOLESCENTE</v>
      </c>
      <c r="R232" s="8">
        <f>Titanic[[#This Row],[Familia Horizontal]]+Titanic[[#This Row],[Familia Vertical]]</f>
        <v>0</v>
      </c>
      <c r="S232" s="8"/>
      <c r="T232" s="8"/>
      <c r="U232" s="8"/>
      <c r="V232" s="8"/>
    </row>
    <row r="233" spans="2:22" x14ac:dyDescent="0.2">
      <c r="B233" s="6">
        <v>228</v>
      </c>
      <c r="C233" s="7">
        <v>0</v>
      </c>
      <c r="D233" s="8">
        <v>3</v>
      </c>
      <c r="E233" s="8" t="s">
        <v>242</v>
      </c>
      <c r="F233" s="8" t="s">
        <v>11</v>
      </c>
      <c r="G233" s="8">
        <v>205</v>
      </c>
      <c r="H233" s="8">
        <v>0</v>
      </c>
      <c r="I233" s="8">
        <v>0</v>
      </c>
      <c r="J233" s="8">
        <v>725</v>
      </c>
      <c r="K233" s="8">
        <v>0</v>
      </c>
      <c r="L233" s="8" t="s">
        <v>12</v>
      </c>
      <c r="M233" s="8" t="str">
        <f>IF(Titanic[[#This Row],[Sobrevive]]=1, "SOBREVIVE", "NO SOBREVIVE")</f>
        <v>NO SOBREVIVE</v>
      </c>
      <c r="N233" s="8" t="str">
        <f>LOOKUP(Titanic[[#This Row],[Clase]],{1,2,3}, {"PRIMERA","SEGUNDA","TERCERA"})</f>
        <v>TERCERA</v>
      </c>
      <c r="O233" s="8" t="str">
        <f>IF(Titanic[[#This Row],[Sexo]]="Hombre", "HOMBRE", "MUJER")</f>
        <v>HOMBRE</v>
      </c>
      <c r="P233" s="8">
        <f>IF(Titanic[[#This Row],[Edad]]="", "", IF(Titanic[[#This Row],[Edad]]&gt;=100, Titanic[[#This Row],[Edad]] / 10, Titanic[[#This Row],[Edad]]))</f>
        <v>20.5</v>
      </c>
      <c r="Q233" s="8" t="str">
        <f>IFERROR(LOOKUP(Titanic[[#This Row],[Edad Corrigida]],'Práctica 1'!$K$231:$K$240,'Práctica 1'!$L$231:$L$240), "DESCONOCIDO")</f>
        <v>2. ADOLESCENTE</v>
      </c>
      <c r="R233" s="8">
        <f>Titanic[[#This Row],[Familia Horizontal]]+Titanic[[#This Row],[Familia Vertical]]</f>
        <v>0</v>
      </c>
      <c r="S233" s="8"/>
      <c r="T233" s="8"/>
      <c r="U233" s="8"/>
      <c r="V233" s="8"/>
    </row>
    <row r="234" spans="2:22" x14ac:dyDescent="0.2">
      <c r="B234" s="6">
        <v>229</v>
      </c>
      <c r="C234" s="7">
        <v>0</v>
      </c>
      <c r="D234" s="8">
        <v>2</v>
      </c>
      <c r="E234" s="8" t="s">
        <v>243</v>
      </c>
      <c r="F234" s="8" t="s">
        <v>11</v>
      </c>
      <c r="G234" s="8">
        <v>18</v>
      </c>
      <c r="H234" s="8">
        <v>0</v>
      </c>
      <c r="I234" s="8">
        <v>0</v>
      </c>
      <c r="J234" s="8">
        <v>13</v>
      </c>
      <c r="K234" s="8">
        <v>0</v>
      </c>
      <c r="L234" s="8" t="s">
        <v>12</v>
      </c>
      <c r="M234" s="8" t="str">
        <f>IF(Titanic[[#This Row],[Sobrevive]]=1, "SOBREVIVE", "NO SOBREVIVE")</f>
        <v>NO SOBREVIVE</v>
      </c>
      <c r="N234" s="8" t="str">
        <f>LOOKUP(Titanic[[#This Row],[Clase]],{1,2,3}, {"PRIMERA","SEGUNDA","TERCERA"})</f>
        <v>SEGUNDA</v>
      </c>
      <c r="O234" s="8" t="str">
        <f>IF(Titanic[[#This Row],[Sexo]]="Hombre", "HOMBRE", "MUJER")</f>
        <v>HOMBRE</v>
      </c>
      <c r="P234" s="8">
        <f>IF(Titanic[[#This Row],[Edad]]="", "", IF(Titanic[[#This Row],[Edad]]&gt;=100, Titanic[[#This Row],[Edad]] / 10, Titanic[[#This Row],[Edad]]))</f>
        <v>18</v>
      </c>
      <c r="Q234" s="8" t="str">
        <f>IFERROR(LOOKUP(Titanic[[#This Row],[Edad Corrigida]],'Práctica 1'!$K$231:$K$240,'Práctica 1'!$L$231:$L$240), "DESCONOCIDO")</f>
        <v>1. INFANTE</v>
      </c>
      <c r="R234" s="8">
        <f>Titanic[[#This Row],[Familia Horizontal]]+Titanic[[#This Row],[Familia Vertical]]</f>
        <v>0</v>
      </c>
      <c r="S234" s="8"/>
      <c r="T234" s="8"/>
      <c r="U234" s="8"/>
      <c r="V234" s="8"/>
    </row>
    <row r="235" spans="2:22" x14ac:dyDescent="0.2">
      <c r="B235" s="6">
        <v>230</v>
      </c>
      <c r="C235" s="7">
        <v>0</v>
      </c>
      <c r="D235" s="8">
        <v>3</v>
      </c>
      <c r="E235" s="8" t="s">
        <v>244</v>
      </c>
      <c r="F235" s="8" t="s">
        <v>14</v>
      </c>
      <c r="G235" s="9"/>
      <c r="H235" s="8">
        <v>3</v>
      </c>
      <c r="I235" s="8">
        <v>1</v>
      </c>
      <c r="J235" s="8">
        <v>254667</v>
      </c>
      <c r="K235" s="8">
        <v>0</v>
      </c>
      <c r="L235" s="8" t="s">
        <v>12</v>
      </c>
      <c r="M235" s="8" t="str">
        <f>IF(Titanic[[#This Row],[Sobrevive]]=1, "SOBREVIVE", "NO SOBREVIVE")</f>
        <v>NO SOBREVIVE</v>
      </c>
      <c r="N235" s="8" t="str">
        <f>LOOKUP(Titanic[[#This Row],[Clase]],{1,2,3}, {"PRIMERA","SEGUNDA","TERCERA"})</f>
        <v>TERCERA</v>
      </c>
      <c r="O235" s="8" t="str">
        <f>IF(Titanic[[#This Row],[Sexo]]="Hombre", "HOMBRE", "MUJER")</f>
        <v>MUJER</v>
      </c>
      <c r="P235" s="8" t="str">
        <f>IF(Titanic[[#This Row],[Edad]]="", "", IF(Titanic[[#This Row],[Edad]]&gt;=100, Titanic[[#This Row],[Edad]] / 10, Titanic[[#This Row],[Edad]]))</f>
        <v/>
      </c>
      <c r="Q235" s="8" t="str">
        <f>IFERROR(LOOKUP(Titanic[[#This Row],[Edad Corrigida]],'Práctica 1'!$K$231:$K$240,'Práctica 1'!$L$231:$L$240), "DESCONOCIDO")</f>
        <v>DESCONOCIDO</v>
      </c>
      <c r="R235" s="8">
        <f>Titanic[[#This Row],[Familia Horizontal]]+Titanic[[#This Row],[Familia Vertical]]</f>
        <v>4</v>
      </c>
      <c r="S235" s="8"/>
      <c r="T235" s="8"/>
      <c r="U235" s="8"/>
      <c r="V235" s="8"/>
    </row>
    <row r="236" spans="2:22" x14ac:dyDescent="0.2">
      <c r="B236" s="6">
        <v>231</v>
      </c>
      <c r="C236" s="7">
        <v>1</v>
      </c>
      <c r="D236" s="8">
        <v>1</v>
      </c>
      <c r="E236" s="8" t="s">
        <v>245</v>
      </c>
      <c r="F236" s="8" t="s">
        <v>14</v>
      </c>
      <c r="G236" s="8">
        <v>35</v>
      </c>
      <c r="H236" s="8">
        <v>1</v>
      </c>
      <c r="I236" s="8">
        <v>0</v>
      </c>
      <c r="J236" s="8">
        <v>83475</v>
      </c>
      <c r="K236" s="8">
        <v>1</v>
      </c>
      <c r="L236" s="8" t="s">
        <v>12</v>
      </c>
      <c r="M236" s="8" t="str">
        <f>IF(Titanic[[#This Row],[Sobrevive]]=1, "SOBREVIVE", "NO SOBREVIVE")</f>
        <v>SOBREVIVE</v>
      </c>
      <c r="N236" s="8" t="str">
        <f>LOOKUP(Titanic[[#This Row],[Clase]],{1,2,3}, {"PRIMERA","SEGUNDA","TERCERA"})</f>
        <v>PRIMERA</v>
      </c>
      <c r="O236" s="8" t="str">
        <f>IF(Titanic[[#This Row],[Sexo]]="Hombre", "HOMBRE", "MUJER")</f>
        <v>MUJER</v>
      </c>
      <c r="P236" s="8">
        <f>IF(Titanic[[#This Row],[Edad]]="", "", IF(Titanic[[#This Row],[Edad]]&gt;=100, Titanic[[#This Row],[Edad]] / 10, Titanic[[#This Row],[Edad]]))</f>
        <v>35</v>
      </c>
      <c r="Q236" s="8" t="str">
        <f>IFERROR(LOOKUP(Titanic[[#This Row],[Edad Corrigida]],'Práctica 1'!$K$231:$K$240,'Práctica 1'!$L$231:$L$240), "DESCONOCIDO")</f>
        <v>6. ADULTO 1</v>
      </c>
      <c r="R236" s="8">
        <f>Titanic[[#This Row],[Familia Horizontal]]+Titanic[[#This Row],[Familia Vertical]]</f>
        <v>1</v>
      </c>
      <c r="S236" s="8"/>
      <c r="T236" s="8"/>
      <c r="U236" s="8"/>
      <c r="V236" s="8"/>
    </row>
    <row r="237" spans="2:22" x14ac:dyDescent="0.2">
      <c r="B237" s="6">
        <v>232</v>
      </c>
      <c r="C237" s="7">
        <v>0</v>
      </c>
      <c r="D237" s="8">
        <v>3</v>
      </c>
      <c r="E237" s="8" t="s">
        <v>246</v>
      </c>
      <c r="F237" s="8" t="s">
        <v>11</v>
      </c>
      <c r="G237" s="8">
        <v>29</v>
      </c>
      <c r="H237" s="8">
        <v>0</v>
      </c>
      <c r="I237" s="8">
        <v>0</v>
      </c>
      <c r="J237" s="8">
        <v>7775</v>
      </c>
      <c r="K237" s="8">
        <v>0</v>
      </c>
      <c r="L237" s="8" t="s">
        <v>12</v>
      </c>
      <c r="M237" s="8" t="str">
        <f>IF(Titanic[[#This Row],[Sobrevive]]=1, "SOBREVIVE", "NO SOBREVIVE")</f>
        <v>NO SOBREVIVE</v>
      </c>
      <c r="N237" s="8" t="str">
        <f>LOOKUP(Titanic[[#This Row],[Clase]],{1,2,3}, {"PRIMERA","SEGUNDA","TERCERA"})</f>
        <v>TERCERA</v>
      </c>
      <c r="O237" s="8" t="str">
        <f>IF(Titanic[[#This Row],[Sexo]]="Hombre", "HOMBRE", "MUJER")</f>
        <v>HOMBRE</v>
      </c>
      <c r="P237" s="8">
        <f>IF(Titanic[[#This Row],[Edad]]="", "", IF(Titanic[[#This Row],[Edad]]&gt;=100, Titanic[[#This Row],[Edad]] / 10, Titanic[[#This Row],[Edad]]))</f>
        <v>29</v>
      </c>
      <c r="Q237" s="8" t="str">
        <f>IFERROR(LOOKUP(Titanic[[#This Row],[Edad Corrigida]],'Práctica 1'!$K$231:$K$240,'Práctica 1'!$L$231:$L$240), "DESCONOCIDO")</f>
        <v>5. ADULTO</v>
      </c>
      <c r="R237" s="8">
        <f>Titanic[[#This Row],[Familia Horizontal]]+Titanic[[#This Row],[Familia Vertical]]</f>
        <v>0</v>
      </c>
      <c r="S237" s="8"/>
      <c r="T237" s="8"/>
      <c r="U237" s="8"/>
      <c r="V237" s="8"/>
    </row>
    <row r="238" spans="2:22" x14ac:dyDescent="0.2">
      <c r="B238" s="6">
        <v>233</v>
      </c>
      <c r="C238" s="7">
        <v>0</v>
      </c>
      <c r="D238" s="8">
        <v>2</v>
      </c>
      <c r="E238" s="8" t="s">
        <v>247</v>
      </c>
      <c r="F238" s="8" t="s">
        <v>11</v>
      </c>
      <c r="G238" s="8">
        <v>59</v>
      </c>
      <c r="H238" s="8">
        <v>0</v>
      </c>
      <c r="I238" s="8">
        <v>0</v>
      </c>
      <c r="J238" s="8">
        <v>135</v>
      </c>
      <c r="K238" s="8">
        <v>0</v>
      </c>
      <c r="L238" s="8" t="s">
        <v>12</v>
      </c>
      <c r="M238" s="8" t="str">
        <f>IF(Titanic[[#This Row],[Sobrevive]]=1, "SOBREVIVE", "NO SOBREVIVE")</f>
        <v>NO SOBREVIVE</v>
      </c>
      <c r="N238" s="8" t="str">
        <f>LOOKUP(Titanic[[#This Row],[Clase]],{1,2,3}, {"PRIMERA","SEGUNDA","TERCERA"})</f>
        <v>SEGUNDA</v>
      </c>
      <c r="O238" s="8" t="str">
        <f>IF(Titanic[[#This Row],[Sexo]]="Hombre", "HOMBRE", "MUJER")</f>
        <v>HOMBRE</v>
      </c>
      <c r="P238" s="8">
        <f>IF(Titanic[[#This Row],[Edad]]="", "", IF(Titanic[[#This Row],[Edad]]&gt;=100, Titanic[[#This Row],[Edad]] / 10, Titanic[[#This Row],[Edad]]))</f>
        <v>59</v>
      </c>
      <c r="Q238" s="8" t="str">
        <f>IFERROR(LOOKUP(Titanic[[#This Row],[Edad Corrigida]],'Práctica 1'!$K$231:$K$240,'Práctica 1'!$L$231:$L$240), "DESCONOCIDO")</f>
        <v>9. ADULTO 4</v>
      </c>
      <c r="R238" s="8">
        <f>Titanic[[#This Row],[Familia Horizontal]]+Titanic[[#This Row],[Familia Vertical]]</f>
        <v>0</v>
      </c>
      <c r="S238" s="8"/>
      <c r="T238" s="8"/>
      <c r="U238" s="8"/>
      <c r="V238" s="8"/>
    </row>
    <row r="239" spans="2:22" x14ac:dyDescent="0.2">
      <c r="B239" s="6">
        <v>234</v>
      </c>
      <c r="C239" s="7">
        <v>1</v>
      </c>
      <c r="D239" s="8">
        <v>3</v>
      </c>
      <c r="E239" s="8" t="s">
        <v>248</v>
      </c>
      <c r="F239" s="8" t="s">
        <v>14</v>
      </c>
      <c r="G239" s="8">
        <v>5</v>
      </c>
      <c r="H239" s="8">
        <v>4</v>
      </c>
      <c r="I239" s="8">
        <v>2</v>
      </c>
      <c r="J239" s="8">
        <v>313875</v>
      </c>
      <c r="K239" s="8">
        <v>0</v>
      </c>
      <c r="L239" s="8" t="s">
        <v>12</v>
      </c>
      <c r="M239" s="8" t="str">
        <f>IF(Titanic[[#This Row],[Sobrevive]]=1, "SOBREVIVE", "NO SOBREVIVE")</f>
        <v>SOBREVIVE</v>
      </c>
      <c r="N239" s="8" t="str">
        <f>LOOKUP(Titanic[[#This Row],[Clase]],{1,2,3}, {"PRIMERA","SEGUNDA","TERCERA"})</f>
        <v>TERCERA</v>
      </c>
      <c r="O239" s="8" t="str">
        <f>IF(Titanic[[#This Row],[Sexo]]="Hombre", "HOMBRE", "MUJER")</f>
        <v>MUJER</v>
      </c>
      <c r="P239" s="8">
        <f>IF(Titanic[[#This Row],[Edad]]="", "", IF(Titanic[[#This Row],[Edad]]&gt;=100, Titanic[[#This Row],[Edad]] / 10, Titanic[[#This Row],[Edad]]))</f>
        <v>5</v>
      </c>
      <c r="Q239" s="8" t="str">
        <f>IFERROR(LOOKUP(Titanic[[#This Row],[Edad Corrigida]],'Práctica 1'!$K$231:$K$240,'Práctica 1'!$L$231:$L$240), "DESCONOCIDO")</f>
        <v>DESCONOCIDO</v>
      </c>
      <c r="R239" s="8">
        <f>Titanic[[#This Row],[Familia Horizontal]]+Titanic[[#This Row],[Familia Vertical]]</f>
        <v>6</v>
      </c>
      <c r="S239" s="8"/>
      <c r="T239" s="8"/>
      <c r="U239" s="8"/>
      <c r="V239" s="8"/>
    </row>
    <row r="240" spans="2:22" x14ac:dyDescent="0.2">
      <c r="B240" s="6">
        <v>235</v>
      </c>
      <c r="C240" s="7">
        <v>0</v>
      </c>
      <c r="D240" s="8">
        <v>2</v>
      </c>
      <c r="E240" s="8" t="s">
        <v>249</v>
      </c>
      <c r="F240" s="8" t="s">
        <v>11</v>
      </c>
      <c r="G240" s="8">
        <v>24</v>
      </c>
      <c r="H240" s="8">
        <v>0</v>
      </c>
      <c r="I240" s="8">
        <v>0</v>
      </c>
      <c r="J240" s="8">
        <v>105</v>
      </c>
      <c r="K240" s="8">
        <v>0</v>
      </c>
      <c r="L240" s="8" t="s">
        <v>12</v>
      </c>
      <c r="M240" s="8" t="str">
        <f>IF(Titanic[[#This Row],[Sobrevive]]=1, "SOBREVIVE", "NO SOBREVIVE")</f>
        <v>NO SOBREVIVE</v>
      </c>
      <c r="N240" s="8" t="str">
        <f>LOOKUP(Titanic[[#This Row],[Clase]],{1,2,3}, {"PRIMERA","SEGUNDA","TERCERA"})</f>
        <v>SEGUNDA</v>
      </c>
      <c r="O240" s="8" t="str">
        <f>IF(Titanic[[#This Row],[Sexo]]="Hombre", "HOMBRE", "MUJER")</f>
        <v>HOMBRE</v>
      </c>
      <c r="P240" s="8">
        <f>IF(Titanic[[#This Row],[Edad]]="", "", IF(Titanic[[#This Row],[Edad]]&gt;=100, Titanic[[#This Row],[Edad]] / 10, Titanic[[#This Row],[Edad]]))</f>
        <v>24</v>
      </c>
      <c r="Q240" s="8" t="str">
        <f>IFERROR(LOOKUP(Titanic[[#This Row],[Edad Corrigida]],'Práctica 1'!$K$231:$K$240,'Práctica 1'!$L$231:$L$240), "DESCONOCIDO")</f>
        <v>3. JOVEN</v>
      </c>
      <c r="R240" s="8">
        <f>Titanic[[#This Row],[Familia Horizontal]]+Titanic[[#This Row],[Familia Vertical]]</f>
        <v>0</v>
      </c>
      <c r="S240" s="8"/>
      <c r="T240" s="8"/>
      <c r="U240" s="8"/>
      <c r="V240" s="8"/>
    </row>
    <row r="241" spans="2:22" x14ac:dyDescent="0.2">
      <c r="B241" s="6">
        <v>236</v>
      </c>
      <c r="C241" s="7">
        <v>0</v>
      </c>
      <c r="D241" s="8">
        <v>3</v>
      </c>
      <c r="E241" s="8" t="s">
        <v>250</v>
      </c>
      <c r="F241" s="8" t="s">
        <v>14</v>
      </c>
      <c r="G241" s="9"/>
      <c r="H241" s="8">
        <v>0</v>
      </c>
      <c r="I241" s="8">
        <v>0</v>
      </c>
      <c r="J241" s="8">
        <v>755</v>
      </c>
      <c r="K241" s="8">
        <v>0</v>
      </c>
      <c r="L241" s="8" t="s">
        <v>12</v>
      </c>
      <c r="M241" s="8" t="str">
        <f>IF(Titanic[[#This Row],[Sobrevive]]=1, "SOBREVIVE", "NO SOBREVIVE")</f>
        <v>NO SOBREVIVE</v>
      </c>
      <c r="N241" s="8" t="str">
        <f>LOOKUP(Titanic[[#This Row],[Clase]],{1,2,3}, {"PRIMERA","SEGUNDA","TERCERA"})</f>
        <v>TERCERA</v>
      </c>
      <c r="O241" s="8" t="str">
        <f>IF(Titanic[[#This Row],[Sexo]]="Hombre", "HOMBRE", "MUJER")</f>
        <v>MUJER</v>
      </c>
      <c r="P241" s="8" t="str">
        <f>IF(Titanic[[#This Row],[Edad]]="", "", IF(Titanic[[#This Row],[Edad]]&gt;=100, Titanic[[#This Row],[Edad]] / 10, Titanic[[#This Row],[Edad]]))</f>
        <v/>
      </c>
      <c r="Q241" s="8" t="str">
        <f>IFERROR(LOOKUP(Titanic[[#This Row],[Edad Corrigida]],'Práctica 1'!$K$231:$K$240,'Práctica 1'!$L$231:$L$240), "DESCONOCIDO")</f>
        <v>DESCONOCIDO</v>
      </c>
      <c r="R241" s="8">
        <f>Titanic[[#This Row],[Familia Horizontal]]+Titanic[[#This Row],[Familia Vertical]]</f>
        <v>0</v>
      </c>
      <c r="S241" s="8"/>
      <c r="T241" s="8"/>
      <c r="U241" s="8"/>
      <c r="V241" s="8"/>
    </row>
    <row r="242" spans="2:22" x14ac:dyDescent="0.2">
      <c r="B242" s="6">
        <v>237</v>
      </c>
      <c r="C242" s="7">
        <v>0</v>
      </c>
      <c r="D242" s="8">
        <v>2</v>
      </c>
      <c r="E242" s="8" t="s">
        <v>251</v>
      </c>
      <c r="F242" s="8" t="s">
        <v>11</v>
      </c>
      <c r="G242" s="8">
        <v>44</v>
      </c>
      <c r="H242" s="8">
        <v>1</v>
      </c>
      <c r="I242" s="8">
        <v>0</v>
      </c>
      <c r="J242" s="8">
        <v>26</v>
      </c>
      <c r="K242" s="8">
        <v>0</v>
      </c>
      <c r="L242" s="8" t="s">
        <v>12</v>
      </c>
      <c r="M242" s="8" t="str">
        <f>IF(Titanic[[#This Row],[Sobrevive]]=1, "SOBREVIVE", "NO SOBREVIVE")</f>
        <v>NO SOBREVIVE</v>
      </c>
      <c r="N242" s="8" t="str">
        <f>LOOKUP(Titanic[[#This Row],[Clase]],{1,2,3}, {"PRIMERA","SEGUNDA","TERCERA"})</f>
        <v>SEGUNDA</v>
      </c>
      <c r="O242" s="8" t="str">
        <f>IF(Titanic[[#This Row],[Sexo]]="Hombre", "HOMBRE", "MUJER")</f>
        <v>HOMBRE</v>
      </c>
      <c r="P242" s="8">
        <f>IF(Titanic[[#This Row],[Edad]]="", "", IF(Titanic[[#This Row],[Edad]]&gt;=100, Titanic[[#This Row],[Edad]] / 10, Titanic[[#This Row],[Edad]]))</f>
        <v>44</v>
      </c>
      <c r="Q242" s="8" t="str">
        <f>IFERROR(LOOKUP(Titanic[[#This Row],[Edad Corrigida]],'Práctica 1'!$K$231:$K$240,'Práctica 1'!$L$231:$L$240), "DESCONOCIDO")</f>
        <v>8. ADULTO 3</v>
      </c>
      <c r="R242" s="8">
        <f>Titanic[[#This Row],[Familia Horizontal]]+Titanic[[#This Row],[Familia Vertical]]</f>
        <v>1</v>
      </c>
      <c r="S242" s="8"/>
      <c r="T242" s="8"/>
      <c r="U242" s="8"/>
      <c r="V242" s="8"/>
    </row>
    <row r="243" spans="2:22" x14ac:dyDescent="0.2">
      <c r="B243" s="6">
        <v>238</v>
      </c>
      <c r="C243" s="7">
        <v>1</v>
      </c>
      <c r="D243" s="8">
        <v>2</v>
      </c>
      <c r="E243" s="8" t="s">
        <v>252</v>
      </c>
      <c r="F243" s="8" t="s">
        <v>14</v>
      </c>
      <c r="G243" s="8">
        <v>8</v>
      </c>
      <c r="H243" s="8">
        <v>0</v>
      </c>
      <c r="I243" s="8">
        <v>2</v>
      </c>
      <c r="J243" s="8">
        <v>2625</v>
      </c>
      <c r="K243" s="8">
        <v>0</v>
      </c>
      <c r="L243" s="8" t="s">
        <v>12</v>
      </c>
      <c r="M243" s="8" t="str">
        <f>IF(Titanic[[#This Row],[Sobrevive]]=1, "SOBREVIVE", "NO SOBREVIVE")</f>
        <v>SOBREVIVE</v>
      </c>
      <c r="N243" s="8" t="str">
        <f>LOOKUP(Titanic[[#This Row],[Clase]],{1,2,3}, {"PRIMERA","SEGUNDA","TERCERA"})</f>
        <v>SEGUNDA</v>
      </c>
      <c r="O243" s="8" t="str">
        <f>IF(Titanic[[#This Row],[Sexo]]="Hombre", "HOMBRE", "MUJER")</f>
        <v>MUJER</v>
      </c>
      <c r="P243" s="8">
        <f>IF(Titanic[[#This Row],[Edad]]="", "", IF(Titanic[[#This Row],[Edad]]&gt;=100, Titanic[[#This Row],[Edad]] / 10, Titanic[[#This Row],[Edad]]))</f>
        <v>8</v>
      </c>
      <c r="Q243" s="8" t="str">
        <f>IFERROR(LOOKUP(Titanic[[#This Row],[Edad Corrigida]],'Práctica 1'!$K$231:$K$240,'Práctica 1'!$L$231:$L$240), "DESCONOCIDO")</f>
        <v>DESCONOCIDO</v>
      </c>
      <c r="R243" s="8">
        <f>Titanic[[#This Row],[Familia Horizontal]]+Titanic[[#This Row],[Familia Vertical]]</f>
        <v>2</v>
      </c>
      <c r="S243" s="8"/>
      <c r="T243" s="8"/>
      <c r="U243" s="8"/>
      <c r="V243" s="8"/>
    </row>
    <row r="244" spans="2:22" x14ac:dyDescent="0.2">
      <c r="B244" s="6">
        <v>239</v>
      </c>
      <c r="C244" s="7">
        <v>0</v>
      </c>
      <c r="D244" s="8">
        <v>2</v>
      </c>
      <c r="E244" s="8" t="s">
        <v>253</v>
      </c>
      <c r="F244" s="8" t="s">
        <v>11</v>
      </c>
      <c r="G244" s="8">
        <v>19</v>
      </c>
      <c r="H244" s="8">
        <v>0</v>
      </c>
      <c r="I244" s="8">
        <v>0</v>
      </c>
      <c r="J244" s="8">
        <v>105</v>
      </c>
      <c r="K244" s="8">
        <v>0</v>
      </c>
      <c r="L244" s="8" t="s">
        <v>12</v>
      </c>
      <c r="M244" s="8" t="str">
        <f>IF(Titanic[[#This Row],[Sobrevive]]=1, "SOBREVIVE", "NO SOBREVIVE")</f>
        <v>NO SOBREVIVE</v>
      </c>
      <c r="N244" s="8" t="str">
        <f>LOOKUP(Titanic[[#This Row],[Clase]],{1,2,3}, {"PRIMERA","SEGUNDA","TERCERA"})</f>
        <v>SEGUNDA</v>
      </c>
      <c r="O244" s="8" t="str">
        <f>IF(Titanic[[#This Row],[Sexo]]="Hombre", "HOMBRE", "MUJER")</f>
        <v>HOMBRE</v>
      </c>
      <c r="P244" s="8">
        <f>IF(Titanic[[#This Row],[Edad]]="", "", IF(Titanic[[#This Row],[Edad]]&gt;=100, Titanic[[#This Row],[Edad]] / 10, Titanic[[#This Row],[Edad]]))</f>
        <v>19</v>
      </c>
      <c r="Q244" s="8" t="str">
        <f>IFERROR(LOOKUP(Titanic[[#This Row],[Edad Corrigida]],'Práctica 1'!$K$231:$K$240,'Práctica 1'!$L$231:$L$240), "DESCONOCIDO")</f>
        <v>2. ADOLESCENTE</v>
      </c>
      <c r="R244" s="8">
        <f>Titanic[[#This Row],[Familia Horizontal]]+Titanic[[#This Row],[Familia Vertical]]</f>
        <v>0</v>
      </c>
      <c r="S244" s="8"/>
      <c r="T244" s="8"/>
      <c r="U244" s="8"/>
      <c r="V244" s="8"/>
    </row>
    <row r="245" spans="2:22" x14ac:dyDescent="0.2">
      <c r="B245" s="6">
        <v>240</v>
      </c>
      <c r="C245" s="7">
        <v>0</v>
      </c>
      <c r="D245" s="8">
        <v>2</v>
      </c>
      <c r="E245" s="8" t="s">
        <v>254</v>
      </c>
      <c r="F245" s="8" t="s">
        <v>11</v>
      </c>
      <c r="G245" s="8">
        <v>33</v>
      </c>
      <c r="H245" s="8">
        <v>0</v>
      </c>
      <c r="I245" s="8">
        <v>0</v>
      </c>
      <c r="J245" s="8">
        <v>12275</v>
      </c>
      <c r="K245" s="8">
        <v>0</v>
      </c>
      <c r="L245" s="8" t="s">
        <v>12</v>
      </c>
      <c r="M245" s="8" t="str">
        <f>IF(Titanic[[#This Row],[Sobrevive]]=1, "SOBREVIVE", "NO SOBREVIVE")</f>
        <v>NO SOBREVIVE</v>
      </c>
      <c r="N245" s="8" t="str">
        <f>LOOKUP(Titanic[[#This Row],[Clase]],{1,2,3}, {"PRIMERA","SEGUNDA","TERCERA"})</f>
        <v>SEGUNDA</v>
      </c>
      <c r="O245" s="8" t="str">
        <f>IF(Titanic[[#This Row],[Sexo]]="Hombre", "HOMBRE", "MUJER")</f>
        <v>HOMBRE</v>
      </c>
      <c r="P245" s="8">
        <f>IF(Titanic[[#This Row],[Edad]]="", "", IF(Titanic[[#This Row],[Edad]]&gt;=100, Titanic[[#This Row],[Edad]] / 10, Titanic[[#This Row],[Edad]]))</f>
        <v>33</v>
      </c>
      <c r="Q245" s="8" t="str">
        <f>IFERROR(LOOKUP(Titanic[[#This Row],[Edad Corrigida]],'Práctica 1'!$K$231:$K$240,'Práctica 1'!$L$231:$L$240), "DESCONOCIDO")</f>
        <v>6. ADULTO 1</v>
      </c>
      <c r="R245" s="8">
        <f>Titanic[[#This Row],[Familia Horizontal]]+Titanic[[#This Row],[Familia Vertical]]</f>
        <v>0</v>
      </c>
      <c r="S245" s="8"/>
      <c r="T245" s="8"/>
      <c r="U245" s="8"/>
      <c r="V245" s="8"/>
    </row>
    <row r="246" spans="2:22" x14ac:dyDescent="0.2">
      <c r="B246" s="6">
        <v>241</v>
      </c>
      <c r="C246" s="7">
        <v>0</v>
      </c>
      <c r="D246" s="8">
        <v>3</v>
      </c>
      <c r="E246" s="8" t="s">
        <v>255</v>
      </c>
      <c r="F246" s="8" t="s">
        <v>14</v>
      </c>
      <c r="G246" s="9"/>
      <c r="H246" s="8">
        <v>1</v>
      </c>
      <c r="I246" s="8">
        <v>0</v>
      </c>
      <c r="J246" s="8">
        <v>144542</v>
      </c>
      <c r="K246" s="8">
        <v>0</v>
      </c>
      <c r="L246" s="8" t="s">
        <v>15</v>
      </c>
      <c r="M246" s="8" t="str">
        <f>IF(Titanic[[#This Row],[Sobrevive]]=1, "SOBREVIVE", "NO SOBREVIVE")</f>
        <v>NO SOBREVIVE</v>
      </c>
      <c r="N246" s="8" t="str">
        <f>LOOKUP(Titanic[[#This Row],[Clase]],{1,2,3}, {"PRIMERA","SEGUNDA","TERCERA"})</f>
        <v>TERCERA</v>
      </c>
      <c r="O246" s="8" t="str">
        <f>IF(Titanic[[#This Row],[Sexo]]="Hombre", "HOMBRE", "MUJER")</f>
        <v>MUJER</v>
      </c>
      <c r="P246" s="8" t="str">
        <f>IF(Titanic[[#This Row],[Edad]]="", "", IF(Titanic[[#This Row],[Edad]]&gt;=100, Titanic[[#This Row],[Edad]] / 10, Titanic[[#This Row],[Edad]]))</f>
        <v/>
      </c>
      <c r="Q246" s="8" t="str">
        <f>IFERROR(LOOKUP(Titanic[[#This Row],[Edad Corrigida]],'Práctica 1'!$K$231:$K$240,'Práctica 1'!$L$231:$L$240), "DESCONOCIDO")</f>
        <v>DESCONOCIDO</v>
      </c>
      <c r="R246" s="8">
        <f>Titanic[[#This Row],[Familia Horizontal]]+Titanic[[#This Row],[Familia Vertical]]</f>
        <v>1</v>
      </c>
      <c r="S246" s="8"/>
      <c r="T246" s="8"/>
      <c r="U246" s="8"/>
      <c r="V246" s="8"/>
    </row>
    <row r="247" spans="2:22" x14ac:dyDescent="0.2">
      <c r="B247" s="6">
        <v>242</v>
      </c>
      <c r="C247" s="7">
        <v>1</v>
      </c>
      <c r="D247" s="8">
        <v>3</v>
      </c>
      <c r="E247" s="8" t="s">
        <v>256</v>
      </c>
      <c r="F247" s="8" t="s">
        <v>14</v>
      </c>
      <c r="G247" s="9"/>
      <c r="H247" s="8">
        <v>1</v>
      </c>
      <c r="I247" s="8">
        <v>0</v>
      </c>
      <c r="J247" s="8">
        <v>155</v>
      </c>
      <c r="K247" s="8">
        <v>0</v>
      </c>
      <c r="L247" s="8" t="s">
        <v>20</v>
      </c>
      <c r="M247" s="8" t="str">
        <f>IF(Titanic[[#This Row],[Sobrevive]]=1, "SOBREVIVE", "NO SOBREVIVE")</f>
        <v>SOBREVIVE</v>
      </c>
      <c r="N247" s="8" t="str">
        <f>LOOKUP(Titanic[[#This Row],[Clase]],{1,2,3}, {"PRIMERA","SEGUNDA","TERCERA"})</f>
        <v>TERCERA</v>
      </c>
      <c r="O247" s="8" t="str">
        <f>IF(Titanic[[#This Row],[Sexo]]="Hombre", "HOMBRE", "MUJER")</f>
        <v>MUJER</v>
      </c>
      <c r="P247" s="8" t="str">
        <f>IF(Titanic[[#This Row],[Edad]]="", "", IF(Titanic[[#This Row],[Edad]]&gt;=100, Titanic[[#This Row],[Edad]] / 10, Titanic[[#This Row],[Edad]]))</f>
        <v/>
      </c>
      <c r="Q247" s="8" t="str">
        <f>IFERROR(LOOKUP(Titanic[[#This Row],[Edad Corrigida]],'Práctica 1'!$K$231:$K$240,'Práctica 1'!$L$231:$L$240), "DESCONOCIDO")</f>
        <v>DESCONOCIDO</v>
      </c>
      <c r="R247" s="8">
        <f>Titanic[[#This Row],[Familia Horizontal]]+Titanic[[#This Row],[Familia Vertical]]</f>
        <v>1</v>
      </c>
      <c r="S247" s="8"/>
      <c r="T247" s="8"/>
      <c r="U247" s="8"/>
      <c r="V247" s="8"/>
    </row>
    <row r="248" spans="2:22" x14ac:dyDescent="0.2">
      <c r="B248" s="6">
        <v>243</v>
      </c>
      <c r="C248" s="7">
        <v>0</v>
      </c>
      <c r="D248" s="8">
        <v>2</v>
      </c>
      <c r="E248" s="8" t="s">
        <v>257</v>
      </c>
      <c r="F248" s="8" t="s">
        <v>11</v>
      </c>
      <c r="G248" s="8">
        <v>29</v>
      </c>
      <c r="H248" s="8">
        <v>0</v>
      </c>
      <c r="I248" s="8">
        <v>0</v>
      </c>
      <c r="J248" s="8">
        <v>105</v>
      </c>
      <c r="K248" s="8">
        <v>0</v>
      </c>
      <c r="L248" s="8" t="s">
        <v>12</v>
      </c>
      <c r="M248" s="8" t="str">
        <f>IF(Titanic[[#This Row],[Sobrevive]]=1, "SOBREVIVE", "NO SOBREVIVE")</f>
        <v>NO SOBREVIVE</v>
      </c>
      <c r="N248" s="8" t="str">
        <f>LOOKUP(Titanic[[#This Row],[Clase]],{1,2,3}, {"PRIMERA","SEGUNDA","TERCERA"})</f>
        <v>SEGUNDA</v>
      </c>
      <c r="O248" s="8" t="str">
        <f>IF(Titanic[[#This Row],[Sexo]]="Hombre", "HOMBRE", "MUJER")</f>
        <v>HOMBRE</v>
      </c>
      <c r="P248" s="8">
        <f>IF(Titanic[[#This Row],[Edad]]="", "", IF(Titanic[[#This Row],[Edad]]&gt;=100, Titanic[[#This Row],[Edad]] / 10, Titanic[[#This Row],[Edad]]))</f>
        <v>29</v>
      </c>
      <c r="Q248" s="8" t="str">
        <f>IFERROR(LOOKUP(Titanic[[#This Row],[Edad Corrigida]],'Práctica 1'!$K$231:$K$240,'Práctica 1'!$L$231:$L$240), "DESCONOCIDO")</f>
        <v>5. ADULTO</v>
      </c>
      <c r="R248" s="8">
        <f>Titanic[[#This Row],[Familia Horizontal]]+Titanic[[#This Row],[Familia Vertical]]</f>
        <v>0</v>
      </c>
      <c r="S248" s="8"/>
      <c r="T248" s="8"/>
      <c r="U248" s="8"/>
      <c r="V248" s="8"/>
    </row>
    <row r="249" spans="2:22" x14ac:dyDescent="0.2">
      <c r="B249" s="6">
        <v>244</v>
      </c>
      <c r="C249" s="7">
        <v>0</v>
      </c>
      <c r="D249" s="8">
        <v>3</v>
      </c>
      <c r="E249" s="8" t="s">
        <v>258</v>
      </c>
      <c r="F249" s="8" t="s">
        <v>11</v>
      </c>
      <c r="G249" s="8">
        <v>22</v>
      </c>
      <c r="H249" s="8">
        <v>0</v>
      </c>
      <c r="I249" s="8">
        <v>0</v>
      </c>
      <c r="J249" s="8">
        <v>7125</v>
      </c>
      <c r="K249" s="8">
        <v>0</v>
      </c>
      <c r="L249" s="8" t="s">
        <v>12</v>
      </c>
      <c r="M249" s="8" t="str">
        <f>IF(Titanic[[#This Row],[Sobrevive]]=1, "SOBREVIVE", "NO SOBREVIVE")</f>
        <v>NO SOBREVIVE</v>
      </c>
      <c r="N249" s="8" t="str">
        <f>LOOKUP(Titanic[[#This Row],[Clase]],{1,2,3}, {"PRIMERA","SEGUNDA","TERCERA"})</f>
        <v>TERCERA</v>
      </c>
      <c r="O249" s="8" t="str">
        <f>IF(Titanic[[#This Row],[Sexo]]="Hombre", "HOMBRE", "MUJER")</f>
        <v>HOMBRE</v>
      </c>
      <c r="P249" s="8">
        <f>IF(Titanic[[#This Row],[Edad]]="", "", IF(Titanic[[#This Row],[Edad]]&gt;=100, Titanic[[#This Row],[Edad]] / 10, Titanic[[#This Row],[Edad]]))</f>
        <v>22</v>
      </c>
      <c r="Q249" s="8" t="str">
        <f>IFERROR(LOOKUP(Titanic[[#This Row],[Edad Corrigida]],'Práctica 1'!$K$231:$K$240,'Práctica 1'!$L$231:$L$240), "DESCONOCIDO")</f>
        <v>3. JOVEN</v>
      </c>
      <c r="R249" s="8">
        <f>Titanic[[#This Row],[Familia Horizontal]]+Titanic[[#This Row],[Familia Vertical]]</f>
        <v>0</v>
      </c>
      <c r="S249" s="8"/>
      <c r="T249" s="8"/>
      <c r="U249" s="8"/>
      <c r="V249" s="8"/>
    </row>
    <row r="250" spans="2:22" x14ac:dyDescent="0.2">
      <c r="B250" s="6">
        <v>245</v>
      </c>
      <c r="C250" s="7">
        <v>0</v>
      </c>
      <c r="D250" s="8">
        <v>3</v>
      </c>
      <c r="E250" s="8" t="s">
        <v>259</v>
      </c>
      <c r="F250" s="8" t="s">
        <v>11</v>
      </c>
      <c r="G250" s="8">
        <v>30</v>
      </c>
      <c r="H250" s="8">
        <v>0</v>
      </c>
      <c r="I250" s="8">
        <v>0</v>
      </c>
      <c r="J250" s="8">
        <v>7225</v>
      </c>
      <c r="K250" s="8">
        <v>0</v>
      </c>
      <c r="L250" s="8" t="s">
        <v>15</v>
      </c>
      <c r="M250" s="8" t="str">
        <f>IF(Titanic[[#This Row],[Sobrevive]]=1, "SOBREVIVE", "NO SOBREVIVE")</f>
        <v>NO SOBREVIVE</v>
      </c>
      <c r="N250" s="8" t="str">
        <f>LOOKUP(Titanic[[#This Row],[Clase]],{1,2,3}, {"PRIMERA","SEGUNDA","TERCERA"})</f>
        <v>TERCERA</v>
      </c>
      <c r="O250" s="8" t="str">
        <f>IF(Titanic[[#This Row],[Sexo]]="Hombre", "HOMBRE", "MUJER")</f>
        <v>HOMBRE</v>
      </c>
      <c r="P250" s="8">
        <f>IF(Titanic[[#This Row],[Edad]]="", "", IF(Titanic[[#This Row],[Edad]]&gt;=100, Titanic[[#This Row],[Edad]] / 10, Titanic[[#This Row],[Edad]]))</f>
        <v>30</v>
      </c>
      <c r="Q250" s="8" t="str">
        <f>IFERROR(LOOKUP(Titanic[[#This Row],[Edad Corrigida]],'Práctica 1'!$K$231:$K$240,'Práctica 1'!$L$231:$L$240), "DESCONOCIDO")</f>
        <v>5. ADULTO</v>
      </c>
      <c r="R250" s="8">
        <f>Titanic[[#This Row],[Familia Horizontal]]+Titanic[[#This Row],[Familia Vertical]]</f>
        <v>0</v>
      </c>
      <c r="S250" s="8"/>
      <c r="T250" s="8"/>
      <c r="U250" s="8"/>
      <c r="V250" s="8"/>
    </row>
    <row r="251" spans="2:22" x14ac:dyDescent="0.2">
      <c r="B251" s="6">
        <v>246</v>
      </c>
      <c r="C251" s="7">
        <v>0</v>
      </c>
      <c r="D251" s="8">
        <v>1</v>
      </c>
      <c r="E251" s="8" t="s">
        <v>260</v>
      </c>
      <c r="F251" s="8" t="s">
        <v>11</v>
      </c>
      <c r="G251" s="8">
        <v>44</v>
      </c>
      <c r="H251" s="8">
        <v>2</v>
      </c>
      <c r="I251" s="8">
        <v>0</v>
      </c>
      <c r="J251" s="8">
        <v>90</v>
      </c>
      <c r="K251" s="8">
        <v>1</v>
      </c>
      <c r="L251" s="8" t="s">
        <v>20</v>
      </c>
      <c r="M251" s="8" t="str">
        <f>IF(Titanic[[#This Row],[Sobrevive]]=1, "SOBREVIVE", "NO SOBREVIVE")</f>
        <v>NO SOBREVIVE</v>
      </c>
      <c r="N251" s="8" t="str">
        <f>LOOKUP(Titanic[[#This Row],[Clase]],{1,2,3}, {"PRIMERA","SEGUNDA","TERCERA"})</f>
        <v>PRIMERA</v>
      </c>
      <c r="O251" s="8" t="str">
        <f>IF(Titanic[[#This Row],[Sexo]]="Hombre", "HOMBRE", "MUJER")</f>
        <v>HOMBRE</v>
      </c>
      <c r="P251" s="8">
        <f>IF(Titanic[[#This Row],[Edad]]="", "", IF(Titanic[[#This Row],[Edad]]&gt;=100, Titanic[[#This Row],[Edad]] / 10, Titanic[[#This Row],[Edad]]))</f>
        <v>44</v>
      </c>
      <c r="Q251" s="8" t="str">
        <f>IFERROR(LOOKUP(Titanic[[#This Row],[Edad Corrigida]],'Práctica 1'!$K$231:$K$240,'Práctica 1'!$L$231:$L$240), "DESCONOCIDO")</f>
        <v>8. ADULTO 3</v>
      </c>
      <c r="R251" s="8">
        <f>Titanic[[#This Row],[Familia Horizontal]]+Titanic[[#This Row],[Familia Vertical]]</f>
        <v>2</v>
      </c>
      <c r="S251" s="8"/>
      <c r="T251" s="8"/>
      <c r="U251" s="8"/>
      <c r="V251" s="8"/>
    </row>
    <row r="252" spans="2:22" x14ac:dyDescent="0.2">
      <c r="B252" s="6">
        <v>247</v>
      </c>
      <c r="C252" s="7">
        <v>0</v>
      </c>
      <c r="D252" s="8">
        <v>3</v>
      </c>
      <c r="E252" s="8" t="s">
        <v>261</v>
      </c>
      <c r="F252" s="8" t="s">
        <v>14</v>
      </c>
      <c r="G252" s="8">
        <v>25</v>
      </c>
      <c r="H252" s="8">
        <v>0</v>
      </c>
      <c r="I252" s="8">
        <v>0</v>
      </c>
      <c r="J252" s="8">
        <v>7775</v>
      </c>
      <c r="K252" s="8">
        <v>0</v>
      </c>
      <c r="L252" s="8" t="s">
        <v>12</v>
      </c>
      <c r="M252" s="8" t="str">
        <f>IF(Titanic[[#This Row],[Sobrevive]]=1, "SOBREVIVE", "NO SOBREVIVE")</f>
        <v>NO SOBREVIVE</v>
      </c>
      <c r="N252" s="8" t="str">
        <f>LOOKUP(Titanic[[#This Row],[Clase]],{1,2,3}, {"PRIMERA","SEGUNDA","TERCERA"})</f>
        <v>TERCERA</v>
      </c>
      <c r="O252" s="8" t="str">
        <f>IF(Titanic[[#This Row],[Sexo]]="Hombre", "HOMBRE", "MUJER")</f>
        <v>MUJER</v>
      </c>
      <c r="P252" s="8">
        <f>IF(Titanic[[#This Row],[Edad]]="", "", IF(Titanic[[#This Row],[Edad]]&gt;=100, Titanic[[#This Row],[Edad]] / 10, Titanic[[#This Row],[Edad]]))</f>
        <v>25</v>
      </c>
      <c r="Q252" s="8" t="str">
        <f>IFERROR(LOOKUP(Titanic[[#This Row],[Edad Corrigida]],'Práctica 1'!$K$231:$K$240,'Práctica 1'!$L$231:$L$240), "DESCONOCIDO")</f>
        <v>4. ADULTO JOVEN</v>
      </c>
      <c r="R252" s="8">
        <f>Titanic[[#This Row],[Familia Horizontal]]+Titanic[[#This Row],[Familia Vertical]]</f>
        <v>0</v>
      </c>
      <c r="S252" s="8"/>
      <c r="T252" s="8"/>
      <c r="U252" s="8"/>
      <c r="V252" s="8"/>
    </row>
    <row r="253" spans="2:22" x14ac:dyDescent="0.2">
      <c r="B253" s="6">
        <v>248</v>
      </c>
      <c r="C253" s="7">
        <v>1</v>
      </c>
      <c r="D253" s="8">
        <v>2</v>
      </c>
      <c r="E253" s="8" t="s">
        <v>262</v>
      </c>
      <c r="F253" s="8" t="s">
        <v>14</v>
      </c>
      <c r="G253" s="8">
        <v>24</v>
      </c>
      <c r="H253" s="8">
        <v>0</v>
      </c>
      <c r="I253" s="8">
        <v>2</v>
      </c>
      <c r="J253" s="8">
        <v>145</v>
      </c>
      <c r="K253" s="8">
        <v>0</v>
      </c>
      <c r="L253" s="8" t="s">
        <v>12</v>
      </c>
      <c r="M253" s="8" t="str">
        <f>IF(Titanic[[#This Row],[Sobrevive]]=1, "SOBREVIVE", "NO SOBREVIVE")</f>
        <v>SOBREVIVE</v>
      </c>
      <c r="N253" s="8" t="str">
        <f>LOOKUP(Titanic[[#This Row],[Clase]],{1,2,3}, {"PRIMERA","SEGUNDA","TERCERA"})</f>
        <v>SEGUNDA</v>
      </c>
      <c r="O253" s="8" t="str">
        <f>IF(Titanic[[#This Row],[Sexo]]="Hombre", "HOMBRE", "MUJER")</f>
        <v>MUJER</v>
      </c>
      <c r="P253" s="8">
        <f>IF(Titanic[[#This Row],[Edad]]="", "", IF(Titanic[[#This Row],[Edad]]&gt;=100, Titanic[[#This Row],[Edad]] / 10, Titanic[[#This Row],[Edad]]))</f>
        <v>24</v>
      </c>
      <c r="Q253" s="8" t="str">
        <f>IFERROR(LOOKUP(Titanic[[#This Row],[Edad Corrigida]],'Práctica 1'!$K$231:$K$240,'Práctica 1'!$L$231:$L$240), "DESCONOCIDO")</f>
        <v>3. JOVEN</v>
      </c>
      <c r="R253" s="8">
        <f>Titanic[[#This Row],[Familia Horizontal]]+Titanic[[#This Row],[Familia Vertical]]</f>
        <v>2</v>
      </c>
      <c r="S253" s="8"/>
      <c r="T253" s="8"/>
      <c r="U253" s="8"/>
      <c r="V253" s="8"/>
    </row>
    <row r="254" spans="2:22" x14ac:dyDescent="0.2">
      <c r="B254" s="6">
        <v>249</v>
      </c>
      <c r="C254" s="7">
        <v>1</v>
      </c>
      <c r="D254" s="8">
        <v>1</v>
      </c>
      <c r="E254" s="8" t="s">
        <v>263</v>
      </c>
      <c r="F254" s="8" t="s">
        <v>11</v>
      </c>
      <c r="G254" s="8">
        <v>37</v>
      </c>
      <c r="H254" s="8">
        <v>1</v>
      </c>
      <c r="I254" s="8">
        <v>1</v>
      </c>
      <c r="J254" s="8">
        <v>525542</v>
      </c>
      <c r="K254" s="8">
        <v>1</v>
      </c>
      <c r="L254" s="8" t="s">
        <v>12</v>
      </c>
      <c r="M254" s="8" t="str">
        <f>IF(Titanic[[#This Row],[Sobrevive]]=1, "SOBREVIVE", "NO SOBREVIVE")</f>
        <v>SOBREVIVE</v>
      </c>
      <c r="N254" s="8" t="str">
        <f>LOOKUP(Titanic[[#This Row],[Clase]],{1,2,3}, {"PRIMERA","SEGUNDA","TERCERA"})</f>
        <v>PRIMERA</v>
      </c>
      <c r="O254" s="8" t="str">
        <f>IF(Titanic[[#This Row],[Sexo]]="Hombre", "HOMBRE", "MUJER")</f>
        <v>HOMBRE</v>
      </c>
      <c r="P254" s="8">
        <f>IF(Titanic[[#This Row],[Edad]]="", "", IF(Titanic[[#This Row],[Edad]]&gt;=100, Titanic[[#This Row],[Edad]] / 10, Titanic[[#This Row],[Edad]]))</f>
        <v>37</v>
      </c>
      <c r="Q254" s="8" t="str">
        <f>IFERROR(LOOKUP(Titanic[[#This Row],[Edad Corrigida]],'Práctica 1'!$K$231:$K$240,'Práctica 1'!$L$231:$L$240), "DESCONOCIDO")</f>
        <v>7. ADULTO 2</v>
      </c>
      <c r="R254" s="8">
        <f>Titanic[[#This Row],[Familia Horizontal]]+Titanic[[#This Row],[Familia Vertical]]</f>
        <v>2</v>
      </c>
      <c r="S254" s="8"/>
      <c r="T254" s="8"/>
      <c r="U254" s="8"/>
      <c r="V254" s="8"/>
    </row>
    <row r="255" spans="2:22" x14ac:dyDescent="0.2">
      <c r="B255" s="6">
        <v>250</v>
      </c>
      <c r="C255" s="7">
        <v>0</v>
      </c>
      <c r="D255" s="8">
        <v>2</v>
      </c>
      <c r="E255" s="8" t="s">
        <v>264</v>
      </c>
      <c r="F255" s="8" t="s">
        <v>11</v>
      </c>
      <c r="G255" s="8">
        <v>54</v>
      </c>
      <c r="H255" s="8">
        <v>1</v>
      </c>
      <c r="I255" s="8">
        <v>0</v>
      </c>
      <c r="J255" s="8">
        <v>26</v>
      </c>
      <c r="K255" s="8">
        <v>0</v>
      </c>
      <c r="L255" s="8" t="s">
        <v>12</v>
      </c>
      <c r="M255" s="8" t="str">
        <f>IF(Titanic[[#This Row],[Sobrevive]]=1, "SOBREVIVE", "NO SOBREVIVE")</f>
        <v>NO SOBREVIVE</v>
      </c>
      <c r="N255" s="8" t="str">
        <f>LOOKUP(Titanic[[#This Row],[Clase]],{1,2,3}, {"PRIMERA","SEGUNDA","TERCERA"})</f>
        <v>SEGUNDA</v>
      </c>
      <c r="O255" s="8" t="str">
        <f>IF(Titanic[[#This Row],[Sexo]]="Hombre", "HOMBRE", "MUJER")</f>
        <v>HOMBRE</v>
      </c>
      <c r="P255" s="8">
        <f>IF(Titanic[[#This Row],[Edad]]="", "", IF(Titanic[[#This Row],[Edad]]&gt;=100, Titanic[[#This Row],[Edad]] / 10, Titanic[[#This Row],[Edad]]))</f>
        <v>54</v>
      </c>
      <c r="Q255" s="8" t="str">
        <f>IFERROR(LOOKUP(Titanic[[#This Row],[Edad Corrigida]],'Práctica 1'!$K$231:$K$240,'Práctica 1'!$L$231:$L$240), "DESCONOCIDO")</f>
        <v>9. ADULTO 4</v>
      </c>
      <c r="R255" s="8">
        <f>Titanic[[#This Row],[Familia Horizontal]]+Titanic[[#This Row],[Familia Vertical]]</f>
        <v>1</v>
      </c>
      <c r="S255" s="8"/>
      <c r="T255" s="8"/>
      <c r="U255" s="8"/>
      <c r="V255" s="8"/>
    </row>
    <row r="256" spans="2:22" x14ac:dyDescent="0.2">
      <c r="B256" s="6">
        <v>251</v>
      </c>
      <c r="C256" s="7">
        <v>0</v>
      </c>
      <c r="D256" s="8">
        <v>3</v>
      </c>
      <c r="E256" s="8" t="s">
        <v>265</v>
      </c>
      <c r="F256" s="8" t="s">
        <v>11</v>
      </c>
      <c r="G256" s="9"/>
      <c r="H256" s="8">
        <v>0</v>
      </c>
      <c r="I256" s="8">
        <v>0</v>
      </c>
      <c r="J256" s="8">
        <v>725</v>
      </c>
      <c r="K256" s="8">
        <v>0</v>
      </c>
      <c r="L256" s="8" t="s">
        <v>12</v>
      </c>
      <c r="M256" s="8" t="str">
        <f>IF(Titanic[[#This Row],[Sobrevive]]=1, "SOBREVIVE", "NO SOBREVIVE")</f>
        <v>NO SOBREVIVE</v>
      </c>
      <c r="N256" s="8" t="str">
        <f>LOOKUP(Titanic[[#This Row],[Clase]],{1,2,3}, {"PRIMERA","SEGUNDA","TERCERA"})</f>
        <v>TERCERA</v>
      </c>
      <c r="O256" s="8" t="str">
        <f>IF(Titanic[[#This Row],[Sexo]]="Hombre", "HOMBRE", "MUJER")</f>
        <v>HOMBRE</v>
      </c>
      <c r="P256" s="8" t="str">
        <f>IF(Titanic[[#This Row],[Edad]]="", "", IF(Titanic[[#This Row],[Edad]]&gt;=100, Titanic[[#This Row],[Edad]] / 10, Titanic[[#This Row],[Edad]]))</f>
        <v/>
      </c>
      <c r="Q256" s="8" t="str">
        <f>IFERROR(LOOKUP(Titanic[[#This Row],[Edad Corrigida]],'Práctica 1'!$K$231:$K$240,'Práctica 1'!$L$231:$L$240), "DESCONOCIDO")</f>
        <v>DESCONOCIDO</v>
      </c>
      <c r="R256" s="8">
        <f>Titanic[[#This Row],[Familia Horizontal]]+Titanic[[#This Row],[Familia Vertical]]</f>
        <v>0</v>
      </c>
      <c r="S256" s="8"/>
      <c r="T256" s="8"/>
      <c r="U256" s="8"/>
      <c r="V256" s="8"/>
    </row>
    <row r="257" spans="2:22" x14ac:dyDescent="0.2">
      <c r="B257" s="6">
        <v>252</v>
      </c>
      <c r="C257" s="7">
        <v>0</v>
      </c>
      <c r="D257" s="8">
        <v>3</v>
      </c>
      <c r="E257" s="8" t="s">
        <v>266</v>
      </c>
      <c r="F257" s="8" t="s">
        <v>14</v>
      </c>
      <c r="G257" s="8">
        <v>29</v>
      </c>
      <c r="H257" s="8">
        <v>1</v>
      </c>
      <c r="I257" s="8">
        <v>1</v>
      </c>
      <c r="J257" s="8">
        <v>104625</v>
      </c>
      <c r="K257" s="8">
        <v>1</v>
      </c>
      <c r="L257" s="8" t="s">
        <v>12</v>
      </c>
      <c r="M257" s="8" t="str">
        <f>IF(Titanic[[#This Row],[Sobrevive]]=1, "SOBREVIVE", "NO SOBREVIVE")</f>
        <v>NO SOBREVIVE</v>
      </c>
      <c r="N257" s="8" t="str">
        <f>LOOKUP(Titanic[[#This Row],[Clase]],{1,2,3}, {"PRIMERA","SEGUNDA","TERCERA"})</f>
        <v>TERCERA</v>
      </c>
      <c r="O257" s="8" t="str">
        <f>IF(Titanic[[#This Row],[Sexo]]="Hombre", "HOMBRE", "MUJER")</f>
        <v>MUJER</v>
      </c>
      <c r="P257" s="8">
        <f>IF(Titanic[[#This Row],[Edad]]="", "", IF(Titanic[[#This Row],[Edad]]&gt;=100, Titanic[[#This Row],[Edad]] / 10, Titanic[[#This Row],[Edad]]))</f>
        <v>29</v>
      </c>
      <c r="Q257" s="8" t="str">
        <f>IFERROR(LOOKUP(Titanic[[#This Row],[Edad Corrigida]],'Práctica 1'!$K$231:$K$240,'Práctica 1'!$L$231:$L$240), "DESCONOCIDO")</f>
        <v>5. ADULTO</v>
      </c>
      <c r="R257" s="8">
        <f>Titanic[[#This Row],[Familia Horizontal]]+Titanic[[#This Row],[Familia Vertical]]</f>
        <v>2</v>
      </c>
      <c r="S257" s="8"/>
      <c r="T257" s="8"/>
      <c r="U257" s="8"/>
      <c r="V257" s="8"/>
    </row>
    <row r="258" spans="2:22" x14ac:dyDescent="0.2">
      <c r="B258" s="6">
        <v>253</v>
      </c>
      <c r="C258" s="7">
        <v>0</v>
      </c>
      <c r="D258" s="8">
        <v>1</v>
      </c>
      <c r="E258" s="8" t="s">
        <v>267</v>
      </c>
      <c r="F258" s="8" t="s">
        <v>11</v>
      </c>
      <c r="G258" s="8">
        <v>62</v>
      </c>
      <c r="H258" s="8">
        <v>0</v>
      </c>
      <c r="I258" s="8">
        <v>0</v>
      </c>
      <c r="J258" s="8">
        <v>2655</v>
      </c>
      <c r="K258" s="8">
        <v>1</v>
      </c>
      <c r="L258" s="8" t="s">
        <v>12</v>
      </c>
      <c r="M258" s="8" t="str">
        <f>IF(Titanic[[#This Row],[Sobrevive]]=1, "SOBREVIVE", "NO SOBREVIVE")</f>
        <v>NO SOBREVIVE</v>
      </c>
      <c r="N258" s="8" t="str">
        <f>LOOKUP(Titanic[[#This Row],[Clase]],{1,2,3}, {"PRIMERA","SEGUNDA","TERCERA"})</f>
        <v>PRIMERA</v>
      </c>
      <c r="O258" s="8" t="str">
        <f>IF(Titanic[[#This Row],[Sexo]]="Hombre", "HOMBRE", "MUJER")</f>
        <v>HOMBRE</v>
      </c>
      <c r="P258" s="8">
        <f>IF(Titanic[[#This Row],[Edad]]="", "", IF(Titanic[[#This Row],[Edad]]&gt;=100, Titanic[[#This Row],[Edad]] / 10, Titanic[[#This Row],[Edad]]))</f>
        <v>62</v>
      </c>
      <c r="Q258" s="8" t="str">
        <f>IFERROR(LOOKUP(Titanic[[#This Row],[Edad Corrigida]],'Práctica 1'!$K$231:$K$240,'Práctica 1'!$L$231:$L$240), "DESCONOCIDO")</f>
        <v>9. ADULTO 4</v>
      </c>
      <c r="R258" s="8">
        <f>Titanic[[#This Row],[Familia Horizontal]]+Titanic[[#This Row],[Familia Vertical]]</f>
        <v>0</v>
      </c>
      <c r="S258" s="8"/>
      <c r="T258" s="8"/>
      <c r="U258" s="8"/>
      <c r="V258" s="8"/>
    </row>
    <row r="259" spans="2:22" x14ac:dyDescent="0.2">
      <c r="B259" s="6">
        <v>254</v>
      </c>
      <c r="C259" s="7">
        <v>0</v>
      </c>
      <c r="D259" s="8">
        <v>3</v>
      </c>
      <c r="E259" s="8" t="s">
        <v>268</v>
      </c>
      <c r="F259" s="8" t="s">
        <v>11</v>
      </c>
      <c r="G259" s="8">
        <v>30</v>
      </c>
      <c r="H259" s="8">
        <v>1</v>
      </c>
      <c r="I259" s="8">
        <v>0</v>
      </c>
      <c r="J259" s="8">
        <v>161</v>
      </c>
      <c r="K259" s="8">
        <v>0</v>
      </c>
      <c r="L259" s="8" t="s">
        <v>12</v>
      </c>
      <c r="M259" s="8" t="str">
        <f>IF(Titanic[[#This Row],[Sobrevive]]=1, "SOBREVIVE", "NO SOBREVIVE")</f>
        <v>NO SOBREVIVE</v>
      </c>
      <c r="N259" s="8" t="str">
        <f>LOOKUP(Titanic[[#This Row],[Clase]],{1,2,3}, {"PRIMERA","SEGUNDA","TERCERA"})</f>
        <v>TERCERA</v>
      </c>
      <c r="O259" s="8" t="str">
        <f>IF(Titanic[[#This Row],[Sexo]]="Hombre", "HOMBRE", "MUJER")</f>
        <v>HOMBRE</v>
      </c>
      <c r="P259" s="8">
        <f>IF(Titanic[[#This Row],[Edad]]="", "", IF(Titanic[[#This Row],[Edad]]&gt;=100, Titanic[[#This Row],[Edad]] / 10, Titanic[[#This Row],[Edad]]))</f>
        <v>30</v>
      </c>
      <c r="Q259" s="8" t="str">
        <f>IFERROR(LOOKUP(Titanic[[#This Row],[Edad Corrigida]],'Práctica 1'!$K$231:$K$240,'Práctica 1'!$L$231:$L$240), "DESCONOCIDO")</f>
        <v>5. ADULTO</v>
      </c>
      <c r="R259" s="8">
        <f>Titanic[[#This Row],[Familia Horizontal]]+Titanic[[#This Row],[Familia Vertical]]</f>
        <v>1</v>
      </c>
      <c r="S259" s="8"/>
      <c r="T259" s="8"/>
      <c r="U259" s="8"/>
      <c r="V259" s="8"/>
    </row>
    <row r="260" spans="2:22" x14ac:dyDescent="0.2">
      <c r="B260" s="6">
        <v>255</v>
      </c>
      <c r="C260" s="7">
        <v>0</v>
      </c>
      <c r="D260" s="8">
        <v>3</v>
      </c>
      <c r="E260" s="8" t="s">
        <v>269</v>
      </c>
      <c r="F260" s="8" t="s">
        <v>14</v>
      </c>
      <c r="G260" s="8">
        <v>41</v>
      </c>
      <c r="H260" s="8">
        <v>0</v>
      </c>
      <c r="I260" s="8">
        <v>2</v>
      </c>
      <c r="J260" s="8">
        <v>202125</v>
      </c>
      <c r="K260" s="8">
        <v>0</v>
      </c>
      <c r="L260" s="8" t="s">
        <v>12</v>
      </c>
      <c r="M260" s="8" t="str">
        <f>IF(Titanic[[#This Row],[Sobrevive]]=1, "SOBREVIVE", "NO SOBREVIVE")</f>
        <v>NO SOBREVIVE</v>
      </c>
      <c r="N260" s="8" t="str">
        <f>LOOKUP(Titanic[[#This Row],[Clase]],{1,2,3}, {"PRIMERA","SEGUNDA","TERCERA"})</f>
        <v>TERCERA</v>
      </c>
      <c r="O260" s="8" t="str">
        <f>IF(Titanic[[#This Row],[Sexo]]="Hombre", "HOMBRE", "MUJER")</f>
        <v>MUJER</v>
      </c>
      <c r="P260" s="8">
        <f>IF(Titanic[[#This Row],[Edad]]="", "", IF(Titanic[[#This Row],[Edad]]&gt;=100, Titanic[[#This Row],[Edad]] / 10, Titanic[[#This Row],[Edad]]))</f>
        <v>41</v>
      </c>
      <c r="Q260" s="8" t="str">
        <f>IFERROR(LOOKUP(Titanic[[#This Row],[Edad Corrigida]],'Práctica 1'!$K$231:$K$240,'Práctica 1'!$L$231:$L$240), "DESCONOCIDO")</f>
        <v>7. ADULTO 2</v>
      </c>
      <c r="R260" s="8">
        <f>Titanic[[#This Row],[Familia Horizontal]]+Titanic[[#This Row],[Familia Vertical]]</f>
        <v>2</v>
      </c>
      <c r="S260" s="8"/>
      <c r="T260" s="8"/>
      <c r="U260" s="8"/>
      <c r="V260" s="8"/>
    </row>
    <row r="261" spans="2:22" x14ac:dyDescent="0.2">
      <c r="B261" s="6">
        <v>256</v>
      </c>
      <c r="C261" s="7">
        <v>1</v>
      </c>
      <c r="D261" s="8">
        <v>3</v>
      </c>
      <c r="E261" s="8" t="s">
        <v>270</v>
      </c>
      <c r="F261" s="8" t="s">
        <v>14</v>
      </c>
      <c r="G261" s="8">
        <v>29</v>
      </c>
      <c r="H261" s="8">
        <v>0</v>
      </c>
      <c r="I261" s="8">
        <v>2</v>
      </c>
      <c r="J261" s="8">
        <v>152458</v>
      </c>
      <c r="K261" s="8">
        <v>0</v>
      </c>
      <c r="L261" s="8" t="s">
        <v>15</v>
      </c>
      <c r="M261" s="8" t="str">
        <f>IF(Titanic[[#This Row],[Sobrevive]]=1, "SOBREVIVE", "NO SOBREVIVE")</f>
        <v>SOBREVIVE</v>
      </c>
      <c r="N261" s="8" t="str">
        <f>LOOKUP(Titanic[[#This Row],[Clase]],{1,2,3}, {"PRIMERA","SEGUNDA","TERCERA"})</f>
        <v>TERCERA</v>
      </c>
      <c r="O261" s="8" t="str">
        <f>IF(Titanic[[#This Row],[Sexo]]="Hombre", "HOMBRE", "MUJER")</f>
        <v>MUJER</v>
      </c>
      <c r="P261" s="8">
        <f>IF(Titanic[[#This Row],[Edad]]="", "", IF(Titanic[[#This Row],[Edad]]&gt;=100, Titanic[[#This Row],[Edad]] / 10, Titanic[[#This Row],[Edad]]))</f>
        <v>29</v>
      </c>
      <c r="Q261" s="8" t="str">
        <f>IFERROR(LOOKUP(Titanic[[#This Row],[Edad Corrigida]],'Práctica 1'!$K$231:$K$240,'Práctica 1'!$L$231:$L$240), "DESCONOCIDO")</f>
        <v>5. ADULTO</v>
      </c>
      <c r="R261" s="8">
        <f>Titanic[[#This Row],[Familia Horizontal]]+Titanic[[#This Row],[Familia Vertical]]</f>
        <v>2</v>
      </c>
      <c r="S261" s="8"/>
      <c r="T261" s="8"/>
      <c r="U261" s="8"/>
      <c r="V261" s="8"/>
    </row>
    <row r="262" spans="2:22" x14ac:dyDescent="0.2">
      <c r="B262" s="6">
        <v>257</v>
      </c>
      <c r="C262" s="7">
        <v>1</v>
      </c>
      <c r="D262" s="8">
        <v>1</v>
      </c>
      <c r="E262" s="8" t="s">
        <v>271</v>
      </c>
      <c r="F262" s="8" t="s">
        <v>14</v>
      </c>
      <c r="G262" s="9"/>
      <c r="H262" s="8">
        <v>0</v>
      </c>
      <c r="I262" s="8">
        <v>0</v>
      </c>
      <c r="J262" s="8">
        <v>792</v>
      </c>
      <c r="K262" s="8">
        <v>0</v>
      </c>
      <c r="L262" s="8" t="s">
        <v>15</v>
      </c>
      <c r="M262" s="8" t="str">
        <f>IF(Titanic[[#This Row],[Sobrevive]]=1, "SOBREVIVE", "NO SOBREVIVE")</f>
        <v>SOBREVIVE</v>
      </c>
      <c r="N262" s="8" t="str">
        <f>LOOKUP(Titanic[[#This Row],[Clase]],{1,2,3}, {"PRIMERA","SEGUNDA","TERCERA"})</f>
        <v>PRIMERA</v>
      </c>
      <c r="O262" s="8" t="str">
        <f>IF(Titanic[[#This Row],[Sexo]]="Hombre", "HOMBRE", "MUJER")</f>
        <v>MUJER</v>
      </c>
      <c r="P262" s="8" t="str">
        <f>IF(Titanic[[#This Row],[Edad]]="", "", IF(Titanic[[#This Row],[Edad]]&gt;=100, Titanic[[#This Row],[Edad]] / 10, Titanic[[#This Row],[Edad]]))</f>
        <v/>
      </c>
      <c r="Q262" s="8" t="str">
        <f>IFERROR(LOOKUP(Titanic[[#This Row],[Edad Corrigida]],'Práctica 1'!$K$231:$K$240,'Práctica 1'!$L$231:$L$240), "DESCONOCIDO")</f>
        <v>DESCONOCIDO</v>
      </c>
      <c r="R262" s="8">
        <f>Titanic[[#This Row],[Familia Horizontal]]+Titanic[[#This Row],[Familia Vertical]]</f>
        <v>0</v>
      </c>
      <c r="S262" s="8"/>
      <c r="T262" s="8"/>
      <c r="U262" s="8"/>
      <c r="V262" s="8"/>
    </row>
    <row r="263" spans="2:22" x14ac:dyDescent="0.2">
      <c r="B263" s="6">
        <v>258</v>
      </c>
      <c r="C263" s="7">
        <v>1</v>
      </c>
      <c r="D263" s="8">
        <v>1</v>
      </c>
      <c r="E263" s="8" t="s">
        <v>272</v>
      </c>
      <c r="F263" s="8" t="s">
        <v>14</v>
      </c>
      <c r="G263" s="8">
        <v>30</v>
      </c>
      <c r="H263" s="8">
        <v>0</v>
      </c>
      <c r="I263" s="8">
        <v>0</v>
      </c>
      <c r="J263" s="8">
        <v>865</v>
      </c>
      <c r="K263" s="8">
        <v>1</v>
      </c>
      <c r="L263" s="8" t="s">
        <v>12</v>
      </c>
      <c r="M263" s="8" t="str">
        <f>IF(Titanic[[#This Row],[Sobrevive]]=1, "SOBREVIVE", "NO SOBREVIVE")</f>
        <v>SOBREVIVE</v>
      </c>
      <c r="N263" s="8" t="str">
        <f>LOOKUP(Titanic[[#This Row],[Clase]],{1,2,3}, {"PRIMERA","SEGUNDA","TERCERA"})</f>
        <v>PRIMERA</v>
      </c>
      <c r="O263" s="8" t="str">
        <f>IF(Titanic[[#This Row],[Sexo]]="Hombre", "HOMBRE", "MUJER")</f>
        <v>MUJER</v>
      </c>
      <c r="P263" s="8">
        <f>IF(Titanic[[#This Row],[Edad]]="", "", IF(Titanic[[#This Row],[Edad]]&gt;=100, Titanic[[#This Row],[Edad]] / 10, Titanic[[#This Row],[Edad]]))</f>
        <v>30</v>
      </c>
      <c r="Q263" s="8" t="str">
        <f>IFERROR(LOOKUP(Titanic[[#This Row],[Edad Corrigida]],'Práctica 1'!$K$231:$K$240,'Práctica 1'!$L$231:$L$240), "DESCONOCIDO")</f>
        <v>5. ADULTO</v>
      </c>
      <c r="R263" s="8">
        <f>Titanic[[#This Row],[Familia Horizontal]]+Titanic[[#This Row],[Familia Vertical]]</f>
        <v>0</v>
      </c>
      <c r="S263" s="8"/>
      <c r="T263" s="8"/>
      <c r="U263" s="8"/>
      <c r="V263" s="8"/>
    </row>
    <row r="264" spans="2:22" x14ac:dyDescent="0.2">
      <c r="B264" s="6">
        <v>259</v>
      </c>
      <c r="C264" s="7">
        <v>1</v>
      </c>
      <c r="D264" s="8">
        <v>1</v>
      </c>
      <c r="E264" s="8" t="s">
        <v>273</v>
      </c>
      <c r="F264" s="8" t="s">
        <v>14</v>
      </c>
      <c r="G264" s="8">
        <v>35</v>
      </c>
      <c r="H264" s="8">
        <v>0</v>
      </c>
      <c r="I264" s="8">
        <v>0</v>
      </c>
      <c r="J264" s="8">
        <v>5123292</v>
      </c>
      <c r="K264" s="8">
        <v>0</v>
      </c>
      <c r="L264" s="8" t="s">
        <v>15</v>
      </c>
      <c r="M264" s="8" t="str">
        <f>IF(Titanic[[#This Row],[Sobrevive]]=1, "SOBREVIVE", "NO SOBREVIVE")</f>
        <v>SOBREVIVE</v>
      </c>
      <c r="N264" s="8" t="str">
        <f>LOOKUP(Titanic[[#This Row],[Clase]],{1,2,3}, {"PRIMERA","SEGUNDA","TERCERA"})</f>
        <v>PRIMERA</v>
      </c>
      <c r="O264" s="8" t="str">
        <f>IF(Titanic[[#This Row],[Sexo]]="Hombre", "HOMBRE", "MUJER")</f>
        <v>MUJER</v>
      </c>
      <c r="P264" s="8">
        <f>IF(Titanic[[#This Row],[Edad]]="", "", IF(Titanic[[#This Row],[Edad]]&gt;=100, Titanic[[#This Row],[Edad]] / 10, Titanic[[#This Row],[Edad]]))</f>
        <v>35</v>
      </c>
      <c r="Q264" s="8" t="str">
        <f>IFERROR(LOOKUP(Titanic[[#This Row],[Edad Corrigida]],'Práctica 1'!$K$231:$K$240,'Práctica 1'!$L$231:$L$240), "DESCONOCIDO")</f>
        <v>6. ADULTO 1</v>
      </c>
      <c r="R264" s="8">
        <f>Titanic[[#This Row],[Familia Horizontal]]+Titanic[[#This Row],[Familia Vertical]]</f>
        <v>0</v>
      </c>
      <c r="S264" s="8"/>
      <c r="T264" s="8"/>
      <c r="U264" s="8"/>
      <c r="V264" s="8"/>
    </row>
    <row r="265" spans="2:22" x14ac:dyDescent="0.2">
      <c r="B265" s="6">
        <v>260</v>
      </c>
      <c r="C265" s="7">
        <v>1</v>
      </c>
      <c r="D265" s="8">
        <v>2</v>
      </c>
      <c r="E265" s="8" t="s">
        <v>274</v>
      </c>
      <c r="F265" s="8" t="s">
        <v>14</v>
      </c>
      <c r="G265" s="8">
        <v>50</v>
      </c>
      <c r="H265" s="8">
        <v>0</v>
      </c>
      <c r="I265" s="8">
        <v>1</v>
      </c>
      <c r="J265" s="8">
        <v>26</v>
      </c>
      <c r="K265" s="8">
        <v>0</v>
      </c>
      <c r="L265" s="8" t="s">
        <v>12</v>
      </c>
      <c r="M265" s="8" t="str">
        <f>IF(Titanic[[#This Row],[Sobrevive]]=1, "SOBREVIVE", "NO SOBREVIVE")</f>
        <v>SOBREVIVE</v>
      </c>
      <c r="N265" s="8" t="str">
        <f>LOOKUP(Titanic[[#This Row],[Clase]],{1,2,3}, {"PRIMERA","SEGUNDA","TERCERA"})</f>
        <v>SEGUNDA</v>
      </c>
      <c r="O265" s="8" t="str">
        <f>IF(Titanic[[#This Row],[Sexo]]="Hombre", "HOMBRE", "MUJER")</f>
        <v>MUJER</v>
      </c>
      <c r="P265" s="8">
        <f>IF(Titanic[[#This Row],[Edad]]="", "", IF(Titanic[[#This Row],[Edad]]&gt;=100, Titanic[[#This Row],[Edad]] / 10, Titanic[[#This Row],[Edad]]))</f>
        <v>50</v>
      </c>
      <c r="Q265" s="8" t="str">
        <f>IFERROR(LOOKUP(Titanic[[#This Row],[Edad Corrigida]],'Práctica 1'!$K$231:$K$240,'Práctica 1'!$L$231:$L$240), "DESCONOCIDO")</f>
        <v>9. ADULTO 4</v>
      </c>
      <c r="R265" s="8">
        <f>Titanic[[#This Row],[Familia Horizontal]]+Titanic[[#This Row],[Familia Vertical]]</f>
        <v>1</v>
      </c>
      <c r="S265" s="8"/>
      <c r="T265" s="8"/>
      <c r="U265" s="8"/>
      <c r="V265" s="8"/>
    </row>
    <row r="266" spans="2:22" x14ac:dyDescent="0.2">
      <c r="B266" s="6">
        <v>261</v>
      </c>
      <c r="C266" s="7">
        <v>0</v>
      </c>
      <c r="D266" s="8">
        <v>3</v>
      </c>
      <c r="E266" s="8" t="s">
        <v>275</v>
      </c>
      <c r="F266" s="8" t="s">
        <v>11</v>
      </c>
      <c r="G266" s="9"/>
      <c r="H266" s="8">
        <v>0</v>
      </c>
      <c r="I266" s="8">
        <v>0</v>
      </c>
      <c r="J266" s="8">
        <v>775</v>
      </c>
      <c r="K266" s="8">
        <v>0</v>
      </c>
      <c r="L266" s="8" t="s">
        <v>20</v>
      </c>
      <c r="M266" s="8" t="str">
        <f>IF(Titanic[[#This Row],[Sobrevive]]=1, "SOBREVIVE", "NO SOBREVIVE")</f>
        <v>NO SOBREVIVE</v>
      </c>
      <c r="N266" s="8" t="str">
        <f>LOOKUP(Titanic[[#This Row],[Clase]],{1,2,3}, {"PRIMERA","SEGUNDA","TERCERA"})</f>
        <v>TERCERA</v>
      </c>
      <c r="O266" s="8" t="str">
        <f>IF(Titanic[[#This Row],[Sexo]]="Hombre", "HOMBRE", "MUJER")</f>
        <v>HOMBRE</v>
      </c>
      <c r="P266" s="8" t="str">
        <f>IF(Titanic[[#This Row],[Edad]]="", "", IF(Titanic[[#This Row],[Edad]]&gt;=100, Titanic[[#This Row],[Edad]] / 10, Titanic[[#This Row],[Edad]]))</f>
        <v/>
      </c>
      <c r="Q266" s="8" t="str">
        <f>IFERROR(LOOKUP(Titanic[[#This Row],[Edad Corrigida]],'Práctica 1'!$K$231:$K$240,'Práctica 1'!$L$231:$L$240), "DESCONOCIDO")</f>
        <v>DESCONOCIDO</v>
      </c>
      <c r="R266" s="8">
        <f>Titanic[[#This Row],[Familia Horizontal]]+Titanic[[#This Row],[Familia Vertical]]</f>
        <v>0</v>
      </c>
      <c r="S266" s="8"/>
      <c r="T266" s="8"/>
      <c r="U266" s="8"/>
      <c r="V266" s="8"/>
    </row>
    <row r="267" spans="2:22" x14ac:dyDescent="0.2">
      <c r="B267" s="6">
        <v>262</v>
      </c>
      <c r="C267" s="7">
        <v>1</v>
      </c>
      <c r="D267" s="8">
        <v>3</v>
      </c>
      <c r="E267" s="8" t="s">
        <v>276</v>
      </c>
      <c r="F267" s="8" t="s">
        <v>11</v>
      </c>
      <c r="G267" s="8">
        <v>3</v>
      </c>
      <c r="H267" s="8">
        <v>4</v>
      </c>
      <c r="I267" s="8">
        <v>2</v>
      </c>
      <c r="J267" s="8">
        <v>313875</v>
      </c>
      <c r="K267" s="8">
        <v>0</v>
      </c>
      <c r="L267" s="8" t="s">
        <v>12</v>
      </c>
      <c r="M267" s="8" t="str">
        <f>IF(Titanic[[#This Row],[Sobrevive]]=1, "SOBREVIVE", "NO SOBREVIVE")</f>
        <v>SOBREVIVE</v>
      </c>
      <c r="N267" s="8" t="str">
        <f>LOOKUP(Titanic[[#This Row],[Clase]],{1,2,3}, {"PRIMERA","SEGUNDA","TERCERA"})</f>
        <v>TERCERA</v>
      </c>
      <c r="O267" s="8" t="str">
        <f>IF(Titanic[[#This Row],[Sexo]]="Hombre", "HOMBRE", "MUJER")</f>
        <v>HOMBRE</v>
      </c>
      <c r="P267" s="8">
        <f>IF(Titanic[[#This Row],[Edad]]="", "", IF(Titanic[[#This Row],[Edad]]&gt;=100, Titanic[[#This Row],[Edad]] / 10, Titanic[[#This Row],[Edad]]))</f>
        <v>3</v>
      </c>
      <c r="Q267" s="8" t="str">
        <f>IFERROR(LOOKUP(Titanic[[#This Row],[Edad Corrigida]],'Práctica 1'!$K$231:$K$240,'Práctica 1'!$L$231:$L$240), "DESCONOCIDO")</f>
        <v>DESCONOCIDO</v>
      </c>
      <c r="R267" s="8">
        <f>Titanic[[#This Row],[Familia Horizontal]]+Titanic[[#This Row],[Familia Vertical]]</f>
        <v>6</v>
      </c>
      <c r="S267" s="8"/>
      <c r="T267" s="8"/>
      <c r="U267" s="8"/>
      <c r="V267" s="8"/>
    </row>
    <row r="268" spans="2:22" x14ac:dyDescent="0.2">
      <c r="B268" s="6">
        <v>263</v>
      </c>
      <c r="C268" s="7">
        <v>0</v>
      </c>
      <c r="D268" s="8">
        <v>1</v>
      </c>
      <c r="E268" s="8" t="s">
        <v>277</v>
      </c>
      <c r="F268" s="8" t="s">
        <v>11</v>
      </c>
      <c r="G268" s="8">
        <v>52</v>
      </c>
      <c r="H268" s="8">
        <v>1</v>
      </c>
      <c r="I268" s="8">
        <v>1</v>
      </c>
      <c r="J268" s="8">
        <v>7965</v>
      </c>
      <c r="K268" s="8">
        <v>1</v>
      </c>
      <c r="L268" s="8" t="s">
        <v>12</v>
      </c>
      <c r="M268" s="8" t="str">
        <f>IF(Titanic[[#This Row],[Sobrevive]]=1, "SOBREVIVE", "NO SOBREVIVE")</f>
        <v>NO SOBREVIVE</v>
      </c>
      <c r="N268" s="8" t="str">
        <f>LOOKUP(Titanic[[#This Row],[Clase]],{1,2,3}, {"PRIMERA","SEGUNDA","TERCERA"})</f>
        <v>PRIMERA</v>
      </c>
      <c r="O268" s="8" t="str">
        <f>IF(Titanic[[#This Row],[Sexo]]="Hombre", "HOMBRE", "MUJER")</f>
        <v>HOMBRE</v>
      </c>
      <c r="P268" s="8">
        <f>IF(Titanic[[#This Row],[Edad]]="", "", IF(Titanic[[#This Row],[Edad]]&gt;=100, Titanic[[#This Row],[Edad]] / 10, Titanic[[#This Row],[Edad]]))</f>
        <v>52</v>
      </c>
      <c r="Q268" s="8" t="str">
        <f>IFERROR(LOOKUP(Titanic[[#This Row],[Edad Corrigida]],'Práctica 1'!$K$231:$K$240,'Práctica 1'!$L$231:$L$240), "DESCONOCIDO")</f>
        <v>9. ADULTO 4</v>
      </c>
      <c r="R268" s="8">
        <f>Titanic[[#This Row],[Familia Horizontal]]+Titanic[[#This Row],[Familia Vertical]]</f>
        <v>2</v>
      </c>
      <c r="S268" s="8"/>
      <c r="T268" s="8"/>
      <c r="U268" s="8"/>
      <c r="V268" s="8"/>
    </row>
    <row r="269" spans="2:22" x14ac:dyDescent="0.2">
      <c r="B269" s="6">
        <v>264</v>
      </c>
      <c r="C269" s="7">
        <v>0</v>
      </c>
      <c r="D269" s="8">
        <v>1</v>
      </c>
      <c r="E269" s="8" t="s">
        <v>278</v>
      </c>
      <c r="F269" s="8" t="s">
        <v>11</v>
      </c>
      <c r="G269" s="8">
        <v>40</v>
      </c>
      <c r="H269" s="8">
        <v>0</v>
      </c>
      <c r="I269" s="8">
        <v>0</v>
      </c>
      <c r="J269" s="8">
        <v>0</v>
      </c>
      <c r="K269" s="8">
        <v>1</v>
      </c>
      <c r="L269" s="8" t="s">
        <v>12</v>
      </c>
      <c r="M269" s="8" t="str">
        <f>IF(Titanic[[#This Row],[Sobrevive]]=1, "SOBREVIVE", "NO SOBREVIVE")</f>
        <v>NO SOBREVIVE</v>
      </c>
      <c r="N269" s="8" t="str">
        <f>LOOKUP(Titanic[[#This Row],[Clase]],{1,2,3}, {"PRIMERA","SEGUNDA","TERCERA"})</f>
        <v>PRIMERA</v>
      </c>
      <c r="O269" s="8" t="str">
        <f>IF(Titanic[[#This Row],[Sexo]]="Hombre", "HOMBRE", "MUJER")</f>
        <v>HOMBRE</v>
      </c>
      <c r="P269" s="8">
        <f>IF(Titanic[[#This Row],[Edad]]="", "", IF(Titanic[[#This Row],[Edad]]&gt;=100, Titanic[[#This Row],[Edad]] / 10, Titanic[[#This Row],[Edad]]))</f>
        <v>40</v>
      </c>
      <c r="Q269" s="8" t="str">
        <f>IFERROR(LOOKUP(Titanic[[#This Row],[Edad Corrigida]],'Práctica 1'!$K$231:$K$240,'Práctica 1'!$L$231:$L$240), "DESCONOCIDO")</f>
        <v>7. ADULTO 2</v>
      </c>
      <c r="R269" s="8">
        <f>Titanic[[#This Row],[Familia Horizontal]]+Titanic[[#This Row],[Familia Vertical]]</f>
        <v>0</v>
      </c>
      <c r="S269" s="8"/>
      <c r="T269" s="8"/>
      <c r="U269" s="8"/>
      <c r="V269" s="8"/>
    </row>
    <row r="270" spans="2:22" x14ac:dyDescent="0.2">
      <c r="B270" s="6">
        <v>265</v>
      </c>
      <c r="C270" s="7">
        <v>0</v>
      </c>
      <c r="D270" s="8">
        <v>3</v>
      </c>
      <c r="E270" s="8" t="s">
        <v>279</v>
      </c>
      <c r="F270" s="8" t="s">
        <v>14</v>
      </c>
      <c r="G270" s="9"/>
      <c r="H270" s="8">
        <v>0</v>
      </c>
      <c r="I270" s="8">
        <v>0</v>
      </c>
      <c r="J270" s="8">
        <v>775</v>
      </c>
      <c r="K270" s="8">
        <v>0</v>
      </c>
      <c r="L270" s="8" t="s">
        <v>20</v>
      </c>
      <c r="M270" s="8" t="str">
        <f>IF(Titanic[[#This Row],[Sobrevive]]=1, "SOBREVIVE", "NO SOBREVIVE")</f>
        <v>NO SOBREVIVE</v>
      </c>
      <c r="N270" s="8" t="str">
        <f>LOOKUP(Titanic[[#This Row],[Clase]],{1,2,3}, {"PRIMERA","SEGUNDA","TERCERA"})</f>
        <v>TERCERA</v>
      </c>
      <c r="O270" s="8" t="str">
        <f>IF(Titanic[[#This Row],[Sexo]]="Hombre", "HOMBRE", "MUJER")</f>
        <v>MUJER</v>
      </c>
      <c r="P270" s="8" t="str">
        <f>IF(Titanic[[#This Row],[Edad]]="", "", IF(Titanic[[#This Row],[Edad]]&gt;=100, Titanic[[#This Row],[Edad]] / 10, Titanic[[#This Row],[Edad]]))</f>
        <v/>
      </c>
      <c r="Q270" s="8" t="str">
        <f>IFERROR(LOOKUP(Titanic[[#This Row],[Edad Corrigida]],'Práctica 1'!$K$231:$K$240,'Práctica 1'!$L$231:$L$240), "DESCONOCIDO")</f>
        <v>DESCONOCIDO</v>
      </c>
      <c r="R270" s="8">
        <f>Titanic[[#This Row],[Familia Horizontal]]+Titanic[[#This Row],[Familia Vertical]]</f>
        <v>0</v>
      </c>
      <c r="S270" s="8"/>
      <c r="T270" s="8"/>
      <c r="U270" s="8"/>
      <c r="V270" s="8"/>
    </row>
    <row r="271" spans="2:22" x14ac:dyDescent="0.2">
      <c r="B271" s="6">
        <v>266</v>
      </c>
      <c r="C271" s="7">
        <v>0</v>
      </c>
      <c r="D271" s="8">
        <v>2</v>
      </c>
      <c r="E271" s="8" t="s">
        <v>280</v>
      </c>
      <c r="F271" s="8" t="s">
        <v>11</v>
      </c>
      <c r="G271" s="8">
        <v>36</v>
      </c>
      <c r="H271" s="8">
        <v>0</v>
      </c>
      <c r="I271" s="8">
        <v>0</v>
      </c>
      <c r="J271" s="8">
        <v>105</v>
      </c>
      <c r="K271" s="8">
        <v>0</v>
      </c>
      <c r="L271" s="8" t="s">
        <v>12</v>
      </c>
      <c r="M271" s="8" t="str">
        <f>IF(Titanic[[#This Row],[Sobrevive]]=1, "SOBREVIVE", "NO SOBREVIVE")</f>
        <v>NO SOBREVIVE</v>
      </c>
      <c r="N271" s="8" t="str">
        <f>LOOKUP(Titanic[[#This Row],[Clase]],{1,2,3}, {"PRIMERA","SEGUNDA","TERCERA"})</f>
        <v>SEGUNDA</v>
      </c>
      <c r="O271" s="8" t="str">
        <f>IF(Titanic[[#This Row],[Sexo]]="Hombre", "HOMBRE", "MUJER")</f>
        <v>HOMBRE</v>
      </c>
      <c r="P271" s="8">
        <f>IF(Titanic[[#This Row],[Edad]]="", "", IF(Titanic[[#This Row],[Edad]]&gt;=100, Titanic[[#This Row],[Edad]] / 10, Titanic[[#This Row],[Edad]]))</f>
        <v>36</v>
      </c>
      <c r="Q271" s="8" t="str">
        <f>IFERROR(LOOKUP(Titanic[[#This Row],[Edad Corrigida]],'Práctica 1'!$K$231:$K$240,'Práctica 1'!$L$231:$L$240), "DESCONOCIDO")</f>
        <v>7. ADULTO 2</v>
      </c>
      <c r="R271" s="8">
        <f>Titanic[[#This Row],[Familia Horizontal]]+Titanic[[#This Row],[Familia Vertical]]</f>
        <v>0</v>
      </c>
      <c r="S271" s="8"/>
      <c r="T271" s="8"/>
      <c r="U271" s="8"/>
      <c r="V271" s="8"/>
    </row>
    <row r="272" spans="2:22" x14ac:dyDescent="0.2">
      <c r="B272" s="6">
        <v>267</v>
      </c>
      <c r="C272" s="7">
        <v>0</v>
      </c>
      <c r="D272" s="8">
        <v>3</v>
      </c>
      <c r="E272" s="8" t="s">
        <v>281</v>
      </c>
      <c r="F272" s="8" t="s">
        <v>11</v>
      </c>
      <c r="G272" s="8">
        <v>16</v>
      </c>
      <c r="H272" s="8">
        <v>4</v>
      </c>
      <c r="I272" s="8">
        <v>1</v>
      </c>
      <c r="J272" s="8">
        <v>396875</v>
      </c>
      <c r="K272" s="8">
        <v>0</v>
      </c>
      <c r="L272" s="8" t="s">
        <v>12</v>
      </c>
      <c r="M272" s="8" t="str">
        <f>IF(Titanic[[#This Row],[Sobrevive]]=1, "SOBREVIVE", "NO SOBREVIVE")</f>
        <v>NO SOBREVIVE</v>
      </c>
      <c r="N272" s="8" t="str">
        <f>LOOKUP(Titanic[[#This Row],[Clase]],{1,2,3}, {"PRIMERA","SEGUNDA","TERCERA"})</f>
        <v>TERCERA</v>
      </c>
      <c r="O272" s="8" t="str">
        <f>IF(Titanic[[#This Row],[Sexo]]="Hombre", "HOMBRE", "MUJER")</f>
        <v>HOMBRE</v>
      </c>
      <c r="P272" s="8">
        <f>IF(Titanic[[#This Row],[Edad]]="", "", IF(Titanic[[#This Row],[Edad]]&gt;=100, Titanic[[#This Row],[Edad]] / 10, Titanic[[#This Row],[Edad]]))</f>
        <v>16</v>
      </c>
      <c r="Q272" s="8" t="str">
        <f>IFERROR(LOOKUP(Titanic[[#This Row],[Edad Corrigida]],'Práctica 1'!$K$231:$K$240,'Práctica 1'!$L$231:$L$240), "DESCONOCIDO")</f>
        <v>1. INFANTE</v>
      </c>
      <c r="R272" s="8">
        <f>Titanic[[#This Row],[Familia Horizontal]]+Titanic[[#This Row],[Familia Vertical]]</f>
        <v>5</v>
      </c>
      <c r="S272" s="8"/>
      <c r="T272" s="8"/>
      <c r="U272" s="8"/>
      <c r="V272" s="8"/>
    </row>
    <row r="273" spans="2:22" x14ac:dyDescent="0.2">
      <c r="B273" s="6">
        <v>268</v>
      </c>
      <c r="C273" s="7">
        <v>1</v>
      </c>
      <c r="D273" s="8">
        <v>3</v>
      </c>
      <c r="E273" s="8" t="s">
        <v>282</v>
      </c>
      <c r="F273" s="8" t="s">
        <v>11</v>
      </c>
      <c r="G273" s="8">
        <v>25</v>
      </c>
      <c r="H273" s="8">
        <v>1</v>
      </c>
      <c r="I273" s="8">
        <v>0</v>
      </c>
      <c r="J273" s="8">
        <v>7775</v>
      </c>
      <c r="K273" s="8">
        <v>0</v>
      </c>
      <c r="L273" s="8" t="s">
        <v>12</v>
      </c>
      <c r="M273" s="8" t="str">
        <f>IF(Titanic[[#This Row],[Sobrevive]]=1, "SOBREVIVE", "NO SOBREVIVE")</f>
        <v>SOBREVIVE</v>
      </c>
      <c r="N273" s="8" t="str">
        <f>LOOKUP(Titanic[[#This Row],[Clase]],{1,2,3}, {"PRIMERA","SEGUNDA","TERCERA"})</f>
        <v>TERCERA</v>
      </c>
      <c r="O273" s="8" t="str">
        <f>IF(Titanic[[#This Row],[Sexo]]="Hombre", "HOMBRE", "MUJER")</f>
        <v>HOMBRE</v>
      </c>
      <c r="P273" s="8">
        <f>IF(Titanic[[#This Row],[Edad]]="", "", IF(Titanic[[#This Row],[Edad]]&gt;=100, Titanic[[#This Row],[Edad]] / 10, Titanic[[#This Row],[Edad]]))</f>
        <v>25</v>
      </c>
      <c r="Q273" s="8" t="str">
        <f>IFERROR(LOOKUP(Titanic[[#This Row],[Edad Corrigida]],'Práctica 1'!$K$231:$K$240,'Práctica 1'!$L$231:$L$240), "DESCONOCIDO")</f>
        <v>4. ADULTO JOVEN</v>
      </c>
      <c r="R273" s="8">
        <f>Titanic[[#This Row],[Familia Horizontal]]+Titanic[[#This Row],[Familia Vertical]]</f>
        <v>1</v>
      </c>
      <c r="S273" s="8"/>
      <c r="T273" s="8"/>
      <c r="U273" s="8"/>
      <c r="V273" s="8"/>
    </row>
    <row r="274" spans="2:22" x14ac:dyDescent="0.2">
      <c r="B274" s="6">
        <v>269</v>
      </c>
      <c r="C274" s="7">
        <v>1</v>
      </c>
      <c r="D274" s="8">
        <v>1</v>
      </c>
      <c r="E274" s="8" t="s">
        <v>283</v>
      </c>
      <c r="F274" s="8" t="s">
        <v>14</v>
      </c>
      <c r="G274" s="8">
        <v>58</v>
      </c>
      <c r="H274" s="8">
        <v>0</v>
      </c>
      <c r="I274" s="8">
        <v>1</v>
      </c>
      <c r="J274" s="8">
        <v>1534625</v>
      </c>
      <c r="K274" s="8">
        <v>1</v>
      </c>
      <c r="L274" s="8" t="s">
        <v>12</v>
      </c>
      <c r="M274" s="8" t="str">
        <f>IF(Titanic[[#This Row],[Sobrevive]]=1, "SOBREVIVE", "NO SOBREVIVE")</f>
        <v>SOBREVIVE</v>
      </c>
      <c r="N274" s="8" t="str">
        <f>LOOKUP(Titanic[[#This Row],[Clase]],{1,2,3}, {"PRIMERA","SEGUNDA","TERCERA"})</f>
        <v>PRIMERA</v>
      </c>
      <c r="O274" s="8" t="str">
        <f>IF(Titanic[[#This Row],[Sexo]]="Hombre", "HOMBRE", "MUJER")</f>
        <v>MUJER</v>
      </c>
      <c r="P274" s="8">
        <f>IF(Titanic[[#This Row],[Edad]]="", "", IF(Titanic[[#This Row],[Edad]]&gt;=100, Titanic[[#This Row],[Edad]] / 10, Titanic[[#This Row],[Edad]]))</f>
        <v>58</v>
      </c>
      <c r="Q274" s="8" t="str">
        <f>IFERROR(LOOKUP(Titanic[[#This Row],[Edad Corrigida]],'Práctica 1'!$K$231:$K$240,'Práctica 1'!$L$231:$L$240), "DESCONOCIDO")</f>
        <v>9. ADULTO 4</v>
      </c>
      <c r="R274" s="8">
        <f>Titanic[[#This Row],[Familia Horizontal]]+Titanic[[#This Row],[Familia Vertical]]</f>
        <v>1</v>
      </c>
      <c r="S274" s="8"/>
      <c r="T274" s="8"/>
      <c r="U274" s="8"/>
      <c r="V274" s="8"/>
    </row>
    <row r="275" spans="2:22" x14ac:dyDescent="0.2">
      <c r="B275" s="6">
        <v>270</v>
      </c>
      <c r="C275" s="7">
        <v>1</v>
      </c>
      <c r="D275" s="8">
        <v>1</v>
      </c>
      <c r="E275" s="8" t="s">
        <v>284</v>
      </c>
      <c r="F275" s="8" t="s">
        <v>14</v>
      </c>
      <c r="G275" s="8">
        <v>35</v>
      </c>
      <c r="H275" s="8">
        <v>0</v>
      </c>
      <c r="I275" s="8">
        <v>0</v>
      </c>
      <c r="J275" s="8">
        <v>1356333</v>
      </c>
      <c r="K275" s="8">
        <v>1</v>
      </c>
      <c r="L275" s="8" t="s">
        <v>12</v>
      </c>
      <c r="M275" s="8" t="str">
        <f>IF(Titanic[[#This Row],[Sobrevive]]=1, "SOBREVIVE", "NO SOBREVIVE")</f>
        <v>SOBREVIVE</v>
      </c>
      <c r="N275" s="8" t="str">
        <f>LOOKUP(Titanic[[#This Row],[Clase]],{1,2,3}, {"PRIMERA","SEGUNDA","TERCERA"})</f>
        <v>PRIMERA</v>
      </c>
      <c r="O275" s="8" t="str">
        <f>IF(Titanic[[#This Row],[Sexo]]="Hombre", "HOMBRE", "MUJER")</f>
        <v>MUJER</v>
      </c>
      <c r="P275" s="8">
        <f>IF(Titanic[[#This Row],[Edad]]="", "", IF(Titanic[[#This Row],[Edad]]&gt;=100, Titanic[[#This Row],[Edad]] / 10, Titanic[[#This Row],[Edad]]))</f>
        <v>35</v>
      </c>
      <c r="Q275" s="8" t="str">
        <f>IFERROR(LOOKUP(Titanic[[#This Row],[Edad Corrigida]],'Práctica 1'!$K$231:$K$240,'Práctica 1'!$L$231:$L$240), "DESCONOCIDO")</f>
        <v>6. ADULTO 1</v>
      </c>
      <c r="R275" s="8">
        <f>Titanic[[#This Row],[Familia Horizontal]]+Titanic[[#This Row],[Familia Vertical]]</f>
        <v>0</v>
      </c>
      <c r="S275" s="8"/>
      <c r="T275" s="8"/>
      <c r="U275" s="8"/>
      <c r="V275" s="8"/>
    </row>
    <row r="276" spans="2:22" x14ac:dyDescent="0.2">
      <c r="B276" s="6">
        <v>271</v>
      </c>
      <c r="C276" s="7">
        <v>0</v>
      </c>
      <c r="D276" s="8">
        <v>1</v>
      </c>
      <c r="E276" s="8" t="s">
        <v>285</v>
      </c>
      <c r="F276" s="8" t="s">
        <v>11</v>
      </c>
      <c r="G276" s="9"/>
      <c r="H276" s="8">
        <v>0</v>
      </c>
      <c r="I276" s="8">
        <v>0</v>
      </c>
      <c r="J276" s="8">
        <v>31</v>
      </c>
      <c r="K276" s="8">
        <v>0</v>
      </c>
      <c r="L276" s="8" t="s">
        <v>12</v>
      </c>
      <c r="M276" s="8" t="str">
        <f>IF(Titanic[[#This Row],[Sobrevive]]=1, "SOBREVIVE", "NO SOBREVIVE")</f>
        <v>NO SOBREVIVE</v>
      </c>
      <c r="N276" s="8" t="str">
        <f>LOOKUP(Titanic[[#This Row],[Clase]],{1,2,3}, {"PRIMERA","SEGUNDA","TERCERA"})</f>
        <v>PRIMERA</v>
      </c>
      <c r="O276" s="8" t="str">
        <f>IF(Titanic[[#This Row],[Sexo]]="Hombre", "HOMBRE", "MUJER")</f>
        <v>HOMBRE</v>
      </c>
      <c r="P276" s="8" t="str">
        <f>IF(Titanic[[#This Row],[Edad]]="", "", IF(Titanic[[#This Row],[Edad]]&gt;=100, Titanic[[#This Row],[Edad]] / 10, Titanic[[#This Row],[Edad]]))</f>
        <v/>
      </c>
      <c r="Q276" s="8" t="str">
        <f>IFERROR(LOOKUP(Titanic[[#This Row],[Edad Corrigida]],'Práctica 1'!$K$231:$K$240,'Práctica 1'!$L$231:$L$240), "DESCONOCIDO")</f>
        <v>DESCONOCIDO</v>
      </c>
      <c r="R276" s="8">
        <f>Titanic[[#This Row],[Familia Horizontal]]+Titanic[[#This Row],[Familia Vertical]]</f>
        <v>0</v>
      </c>
      <c r="S276" s="8"/>
      <c r="T276" s="8"/>
      <c r="U276" s="8"/>
      <c r="V276" s="8"/>
    </row>
    <row r="277" spans="2:22" x14ac:dyDescent="0.2">
      <c r="B277" s="6">
        <v>272</v>
      </c>
      <c r="C277" s="7">
        <v>1</v>
      </c>
      <c r="D277" s="8">
        <v>3</v>
      </c>
      <c r="E277" s="8" t="s">
        <v>286</v>
      </c>
      <c r="F277" s="8" t="s">
        <v>11</v>
      </c>
      <c r="G277" s="8">
        <v>25</v>
      </c>
      <c r="H277" s="8">
        <v>0</v>
      </c>
      <c r="I277" s="8">
        <v>0</v>
      </c>
      <c r="J277" s="8">
        <v>0</v>
      </c>
      <c r="K277" s="8">
        <v>0</v>
      </c>
      <c r="L277" s="8" t="s">
        <v>12</v>
      </c>
      <c r="M277" s="8" t="str">
        <f>IF(Titanic[[#This Row],[Sobrevive]]=1, "SOBREVIVE", "NO SOBREVIVE")</f>
        <v>SOBREVIVE</v>
      </c>
      <c r="N277" s="8" t="str">
        <f>LOOKUP(Titanic[[#This Row],[Clase]],{1,2,3}, {"PRIMERA","SEGUNDA","TERCERA"})</f>
        <v>TERCERA</v>
      </c>
      <c r="O277" s="8" t="str">
        <f>IF(Titanic[[#This Row],[Sexo]]="Hombre", "HOMBRE", "MUJER")</f>
        <v>HOMBRE</v>
      </c>
      <c r="P277" s="8">
        <f>IF(Titanic[[#This Row],[Edad]]="", "", IF(Titanic[[#This Row],[Edad]]&gt;=100, Titanic[[#This Row],[Edad]] / 10, Titanic[[#This Row],[Edad]]))</f>
        <v>25</v>
      </c>
      <c r="Q277" s="8" t="str">
        <f>IFERROR(LOOKUP(Titanic[[#This Row],[Edad Corrigida]],'Práctica 1'!$K$231:$K$240,'Práctica 1'!$L$231:$L$240), "DESCONOCIDO")</f>
        <v>4. ADULTO JOVEN</v>
      </c>
      <c r="R277" s="8">
        <f>Titanic[[#This Row],[Familia Horizontal]]+Titanic[[#This Row],[Familia Vertical]]</f>
        <v>0</v>
      </c>
      <c r="S277" s="8"/>
      <c r="T277" s="8"/>
      <c r="U277" s="8"/>
      <c r="V277" s="8"/>
    </row>
    <row r="278" spans="2:22" x14ac:dyDescent="0.2">
      <c r="B278" s="6">
        <v>273</v>
      </c>
      <c r="C278" s="7">
        <v>1</v>
      </c>
      <c r="D278" s="8">
        <v>2</v>
      </c>
      <c r="E278" s="8" t="s">
        <v>287</v>
      </c>
      <c r="F278" s="8" t="s">
        <v>14</v>
      </c>
      <c r="G278" s="8">
        <v>41</v>
      </c>
      <c r="H278" s="8">
        <v>0</v>
      </c>
      <c r="I278" s="8">
        <v>1</v>
      </c>
      <c r="J278" s="8">
        <v>195</v>
      </c>
      <c r="K278" s="8">
        <v>0</v>
      </c>
      <c r="L278" s="8" t="s">
        <v>12</v>
      </c>
      <c r="M278" s="8" t="str">
        <f>IF(Titanic[[#This Row],[Sobrevive]]=1, "SOBREVIVE", "NO SOBREVIVE")</f>
        <v>SOBREVIVE</v>
      </c>
      <c r="N278" s="8" t="str">
        <f>LOOKUP(Titanic[[#This Row],[Clase]],{1,2,3}, {"PRIMERA","SEGUNDA","TERCERA"})</f>
        <v>SEGUNDA</v>
      </c>
      <c r="O278" s="8" t="str">
        <f>IF(Titanic[[#This Row],[Sexo]]="Hombre", "HOMBRE", "MUJER")</f>
        <v>MUJER</v>
      </c>
      <c r="P278" s="8">
        <f>IF(Titanic[[#This Row],[Edad]]="", "", IF(Titanic[[#This Row],[Edad]]&gt;=100, Titanic[[#This Row],[Edad]] / 10, Titanic[[#This Row],[Edad]]))</f>
        <v>41</v>
      </c>
      <c r="Q278" s="8" t="str">
        <f>IFERROR(LOOKUP(Titanic[[#This Row],[Edad Corrigida]],'Práctica 1'!$K$231:$K$240,'Práctica 1'!$L$231:$L$240), "DESCONOCIDO")</f>
        <v>7. ADULTO 2</v>
      </c>
      <c r="R278" s="8">
        <f>Titanic[[#This Row],[Familia Horizontal]]+Titanic[[#This Row],[Familia Vertical]]</f>
        <v>1</v>
      </c>
      <c r="S278" s="8"/>
      <c r="T278" s="8"/>
      <c r="U278" s="8"/>
      <c r="V278" s="8"/>
    </row>
    <row r="279" spans="2:22" x14ac:dyDescent="0.2">
      <c r="B279" s="6">
        <v>274</v>
      </c>
      <c r="C279" s="7">
        <v>0</v>
      </c>
      <c r="D279" s="8">
        <v>1</v>
      </c>
      <c r="E279" s="8" t="s">
        <v>288</v>
      </c>
      <c r="F279" s="8" t="s">
        <v>11</v>
      </c>
      <c r="G279" s="8">
        <v>37</v>
      </c>
      <c r="H279" s="8">
        <v>0</v>
      </c>
      <c r="I279" s="8">
        <v>1</v>
      </c>
      <c r="J279" s="8">
        <v>297</v>
      </c>
      <c r="K279" s="8">
        <v>1</v>
      </c>
      <c r="L279" s="8" t="s">
        <v>15</v>
      </c>
      <c r="M279" s="8" t="str">
        <f>IF(Titanic[[#This Row],[Sobrevive]]=1, "SOBREVIVE", "NO SOBREVIVE")</f>
        <v>NO SOBREVIVE</v>
      </c>
      <c r="N279" s="8" t="str">
        <f>LOOKUP(Titanic[[#This Row],[Clase]],{1,2,3}, {"PRIMERA","SEGUNDA","TERCERA"})</f>
        <v>PRIMERA</v>
      </c>
      <c r="O279" s="8" t="str">
        <f>IF(Titanic[[#This Row],[Sexo]]="Hombre", "HOMBRE", "MUJER")</f>
        <v>HOMBRE</v>
      </c>
      <c r="P279" s="8">
        <f>IF(Titanic[[#This Row],[Edad]]="", "", IF(Titanic[[#This Row],[Edad]]&gt;=100, Titanic[[#This Row],[Edad]] / 10, Titanic[[#This Row],[Edad]]))</f>
        <v>37</v>
      </c>
      <c r="Q279" s="8" t="str">
        <f>IFERROR(LOOKUP(Titanic[[#This Row],[Edad Corrigida]],'Práctica 1'!$K$231:$K$240,'Práctica 1'!$L$231:$L$240), "DESCONOCIDO")</f>
        <v>7. ADULTO 2</v>
      </c>
      <c r="R279" s="8">
        <f>Titanic[[#This Row],[Familia Horizontal]]+Titanic[[#This Row],[Familia Vertical]]</f>
        <v>1</v>
      </c>
      <c r="S279" s="8"/>
      <c r="T279" s="8"/>
      <c r="U279" s="8"/>
      <c r="V279" s="8"/>
    </row>
    <row r="280" spans="2:22" x14ac:dyDescent="0.2">
      <c r="B280" s="6">
        <v>275</v>
      </c>
      <c r="C280" s="7">
        <v>1</v>
      </c>
      <c r="D280" s="8">
        <v>3</v>
      </c>
      <c r="E280" s="8" t="s">
        <v>289</v>
      </c>
      <c r="F280" s="8" t="s">
        <v>14</v>
      </c>
      <c r="G280" s="9"/>
      <c r="H280" s="8">
        <v>0</v>
      </c>
      <c r="I280" s="8">
        <v>0</v>
      </c>
      <c r="J280" s="8">
        <v>775</v>
      </c>
      <c r="K280" s="8">
        <v>0</v>
      </c>
      <c r="L280" s="8" t="s">
        <v>20</v>
      </c>
      <c r="M280" s="8" t="str">
        <f>IF(Titanic[[#This Row],[Sobrevive]]=1, "SOBREVIVE", "NO SOBREVIVE")</f>
        <v>SOBREVIVE</v>
      </c>
      <c r="N280" s="8" t="str">
        <f>LOOKUP(Titanic[[#This Row],[Clase]],{1,2,3}, {"PRIMERA","SEGUNDA","TERCERA"})</f>
        <v>TERCERA</v>
      </c>
      <c r="O280" s="8" t="str">
        <f>IF(Titanic[[#This Row],[Sexo]]="Hombre", "HOMBRE", "MUJER")</f>
        <v>MUJER</v>
      </c>
      <c r="P280" s="8" t="str">
        <f>IF(Titanic[[#This Row],[Edad]]="", "", IF(Titanic[[#This Row],[Edad]]&gt;=100, Titanic[[#This Row],[Edad]] / 10, Titanic[[#This Row],[Edad]]))</f>
        <v/>
      </c>
      <c r="Q280" s="8" t="str">
        <f>IFERROR(LOOKUP(Titanic[[#This Row],[Edad Corrigida]],'Práctica 1'!$K$231:$K$240,'Práctica 1'!$L$231:$L$240), "DESCONOCIDO")</f>
        <v>DESCONOCIDO</v>
      </c>
      <c r="R280" s="8">
        <f>Titanic[[#This Row],[Familia Horizontal]]+Titanic[[#This Row],[Familia Vertical]]</f>
        <v>0</v>
      </c>
      <c r="S280" s="8"/>
      <c r="T280" s="8"/>
      <c r="U280" s="8"/>
      <c r="V280" s="8"/>
    </row>
    <row r="281" spans="2:22" x14ac:dyDescent="0.2">
      <c r="B281" s="6">
        <v>276</v>
      </c>
      <c r="C281" s="7">
        <v>1</v>
      </c>
      <c r="D281" s="8">
        <v>1</v>
      </c>
      <c r="E281" s="8" t="s">
        <v>290</v>
      </c>
      <c r="F281" s="8" t="s">
        <v>14</v>
      </c>
      <c r="G281" s="8">
        <v>63</v>
      </c>
      <c r="H281" s="8">
        <v>1</v>
      </c>
      <c r="I281" s="8">
        <v>0</v>
      </c>
      <c r="J281" s="8">
        <v>779583</v>
      </c>
      <c r="K281" s="8">
        <v>1</v>
      </c>
      <c r="L281" s="8" t="s">
        <v>12</v>
      </c>
      <c r="M281" s="8" t="str">
        <f>IF(Titanic[[#This Row],[Sobrevive]]=1, "SOBREVIVE", "NO SOBREVIVE")</f>
        <v>SOBREVIVE</v>
      </c>
      <c r="N281" s="8" t="str">
        <f>LOOKUP(Titanic[[#This Row],[Clase]],{1,2,3}, {"PRIMERA","SEGUNDA","TERCERA"})</f>
        <v>PRIMERA</v>
      </c>
      <c r="O281" s="8" t="str">
        <f>IF(Titanic[[#This Row],[Sexo]]="Hombre", "HOMBRE", "MUJER")</f>
        <v>MUJER</v>
      </c>
      <c r="P281" s="8">
        <f>IF(Titanic[[#This Row],[Edad]]="", "", IF(Titanic[[#This Row],[Edad]]&gt;=100, Titanic[[#This Row],[Edad]] / 10, Titanic[[#This Row],[Edad]]))</f>
        <v>63</v>
      </c>
      <c r="Q281" s="8" t="str">
        <f>IFERROR(LOOKUP(Titanic[[#This Row],[Edad Corrigida]],'Práctica 1'!$K$231:$K$240,'Práctica 1'!$L$231:$L$240), "DESCONOCIDO")</f>
        <v>9. ADULTO 4</v>
      </c>
      <c r="R281" s="8">
        <f>Titanic[[#This Row],[Familia Horizontal]]+Titanic[[#This Row],[Familia Vertical]]</f>
        <v>1</v>
      </c>
      <c r="S281" s="8"/>
      <c r="T281" s="8"/>
      <c r="U281" s="8"/>
      <c r="V281" s="8"/>
    </row>
    <row r="282" spans="2:22" x14ac:dyDescent="0.2">
      <c r="B282" s="6">
        <v>277</v>
      </c>
      <c r="C282" s="7">
        <v>0</v>
      </c>
      <c r="D282" s="8">
        <v>3</v>
      </c>
      <c r="E282" s="8" t="s">
        <v>291</v>
      </c>
      <c r="F282" s="8" t="s">
        <v>14</v>
      </c>
      <c r="G282" s="8">
        <v>45</v>
      </c>
      <c r="H282" s="8">
        <v>0</v>
      </c>
      <c r="I282" s="8">
        <v>0</v>
      </c>
      <c r="J282" s="8">
        <v>775</v>
      </c>
      <c r="K282" s="8">
        <v>0</v>
      </c>
      <c r="L282" s="8" t="s">
        <v>12</v>
      </c>
      <c r="M282" s="8" t="str">
        <f>IF(Titanic[[#This Row],[Sobrevive]]=1, "SOBREVIVE", "NO SOBREVIVE")</f>
        <v>NO SOBREVIVE</v>
      </c>
      <c r="N282" s="8" t="str">
        <f>LOOKUP(Titanic[[#This Row],[Clase]],{1,2,3}, {"PRIMERA","SEGUNDA","TERCERA"})</f>
        <v>TERCERA</v>
      </c>
      <c r="O282" s="8" t="str">
        <f>IF(Titanic[[#This Row],[Sexo]]="Hombre", "HOMBRE", "MUJER")</f>
        <v>MUJER</v>
      </c>
      <c r="P282" s="8">
        <f>IF(Titanic[[#This Row],[Edad]]="", "", IF(Titanic[[#This Row],[Edad]]&gt;=100, Titanic[[#This Row],[Edad]] / 10, Titanic[[#This Row],[Edad]]))</f>
        <v>45</v>
      </c>
      <c r="Q282" s="8" t="str">
        <f>IFERROR(LOOKUP(Titanic[[#This Row],[Edad Corrigida]],'Práctica 1'!$K$231:$K$240,'Práctica 1'!$L$231:$L$240), "DESCONOCIDO")</f>
        <v>8. ADULTO 3</v>
      </c>
      <c r="R282" s="8">
        <f>Titanic[[#This Row],[Familia Horizontal]]+Titanic[[#This Row],[Familia Vertical]]</f>
        <v>0</v>
      </c>
      <c r="S282" s="8"/>
      <c r="T282" s="8"/>
      <c r="U282" s="8"/>
      <c r="V282" s="8"/>
    </row>
    <row r="283" spans="2:22" x14ac:dyDescent="0.2">
      <c r="B283" s="6">
        <v>278</v>
      </c>
      <c r="C283" s="7">
        <v>0</v>
      </c>
      <c r="D283" s="8">
        <v>2</v>
      </c>
      <c r="E283" s="8" t="s">
        <v>292</v>
      </c>
      <c r="F283" s="8" t="s">
        <v>11</v>
      </c>
      <c r="G283" s="9"/>
      <c r="H283" s="8">
        <v>0</v>
      </c>
      <c r="I283" s="8">
        <v>0</v>
      </c>
      <c r="J283" s="8">
        <v>0</v>
      </c>
      <c r="K283" s="8">
        <v>0</v>
      </c>
      <c r="L283" s="8" t="s">
        <v>12</v>
      </c>
      <c r="M283" s="8" t="str">
        <f>IF(Titanic[[#This Row],[Sobrevive]]=1, "SOBREVIVE", "NO SOBREVIVE")</f>
        <v>NO SOBREVIVE</v>
      </c>
      <c r="N283" s="8" t="str">
        <f>LOOKUP(Titanic[[#This Row],[Clase]],{1,2,3}, {"PRIMERA","SEGUNDA","TERCERA"})</f>
        <v>SEGUNDA</v>
      </c>
      <c r="O283" s="8" t="str">
        <f>IF(Titanic[[#This Row],[Sexo]]="Hombre", "HOMBRE", "MUJER")</f>
        <v>HOMBRE</v>
      </c>
      <c r="P283" s="8" t="str">
        <f>IF(Titanic[[#This Row],[Edad]]="", "", IF(Titanic[[#This Row],[Edad]]&gt;=100, Titanic[[#This Row],[Edad]] / 10, Titanic[[#This Row],[Edad]]))</f>
        <v/>
      </c>
      <c r="Q283" s="8" t="str">
        <f>IFERROR(LOOKUP(Titanic[[#This Row],[Edad Corrigida]],'Práctica 1'!$K$231:$K$240,'Práctica 1'!$L$231:$L$240), "DESCONOCIDO")</f>
        <v>DESCONOCIDO</v>
      </c>
      <c r="R283" s="8">
        <f>Titanic[[#This Row],[Familia Horizontal]]+Titanic[[#This Row],[Familia Vertical]]</f>
        <v>0</v>
      </c>
      <c r="S283" s="8"/>
      <c r="T283" s="8"/>
      <c r="U283" s="8"/>
      <c r="V283" s="8"/>
    </row>
    <row r="284" spans="2:22" x14ac:dyDescent="0.2">
      <c r="B284" s="6">
        <v>279</v>
      </c>
      <c r="C284" s="7">
        <v>0</v>
      </c>
      <c r="D284" s="8">
        <v>3</v>
      </c>
      <c r="E284" s="8" t="s">
        <v>293</v>
      </c>
      <c r="F284" s="8" t="s">
        <v>11</v>
      </c>
      <c r="G284" s="8">
        <v>7</v>
      </c>
      <c r="H284" s="8">
        <v>4</v>
      </c>
      <c r="I284" s="8">
        <v>1</v>
      </c>
      <c r="J284" s="8">
        <v>29125</v>
      </c>
      <c r="K284" s="8">
        <v>0</v>
      </c>
      <c r="L284" s="8" t="s">
        <v>20</v>
      </c>
      <c r="M284" s="8" t="str">
        <f>IF(Titanic[[#This Row],[Sobrevive]]=1, "SOBREVIVE", "NO SOBREVIVE")</f>
        <v>NO SOBREVIVE</v>
      </c>
      <c r="N284" s="8" t="str">
        <f>LOOKUP(Titanic[[#This Row],[Clase]],{1,2,3}, {"PRIMERA","SEGUNDA","TERCERA"})</f>
        <v>TERCERA</v>
      </c>
      <c r="O284" s="8" t="str">
        <f>IF(Titanic[[#This Row],[Sexo]]="Hombre", "HOMBRE", "MUJER")</f>
        <v>HOMBRE</v>
      </c>
      <c r="P284" s="8">
        <f>IF(Titanic[[#This Row],[Edad]]="", "", IF(Titanic[[#This Row],[Edad]]&gt;=100, Titanic[[#This Row],[Edad]] / 10, Titanic[[#This Row],[Edad]]))</f>
        <v>7</v>
      </c>
      <c r="Q284" s="8" t="str">
        <f>IFERROR(LOOKUP(Titanic[[#This Row],[Edad Corrigida]],'Práctica 1'!$K$231:$K$240,'Práctica 1'!$L$231:$L$240), "DESCONOCIDO")</f>
        <v>DESCONOCIDO</v>
      </c>
      <c r="R284" s="8">
        <f>Titanic[[#This Row],[Familia Horizontal]]+Titanic[[#This Row],[Familia Vertical]]</f>
        <v>5</v>
      </c>
      <c r="S284" s="8"/>
      <c r="T284" s="8"/>
      <c r="U284" s="8"/>
      <c r="V284" s="8"/>
    </row>
    <row r="285" spans="2:22" x14ac:dyDescent="0.2">
      <c r="B285" s="6">
        <v>280</v>
      </c>
      <c r="C285" s="7">
        <v>1</v>
      </c>
      <c r="D285" s="8">
        <v>3</v>
      </c>
      <c r="E285" s="8" t="s">
        <v>294</v>
      </c>
      <c r="F285" s="8" t="s">
        <v>14</v>
      </c>
      <c r="G285" s="8">
        <v>35</v>
      </c>
      <c r="H285" s="8">
        <v>1</v>
      </c>
      <c r="I285" s="8">
        <v>1</v>
      </c>
      <c r="J285" s="8">
        <v>2025</v>
      </c>
      <c r="K285" s="8">
        <v>0</v>
      </c>
      <c r="L285" s="8" t="s">
        <v>12</v>
      </c>
      <c r="M285" s="8" t="str">
        <f>IF(Titanic[[#This Row],[Sobrevive]]=1, "SOBREVIVE", "NO SOBREVIVE")</f>
        <v>SOBREVIVE</v>
      </c>
      <c r="N285" s="8" t="str">
        <f>LOOKUP(Titanic[[#This Row],[Clase]],{1,2,3}, {"PRIMERA","SEGUNDA","TERCERA"})</f>
        <v>TERCERA</v>
      </c>
      <c r="O285" s="8" t="str">
        <f>IF(Titanic[[#This Row],[Sexo]]="Hombre", "HOMBRE", "MUJER")</f>
        <v>MUJER</v>
      </c>
      <c r="P285" s="8">
        <f>IF(Titanic[[#This Row],[Edad]]="", "", IF(Titanic[[#This Row],[Edad]]&gt;=100, Titanic[[#This Row],[Edad]] / 10, Titanic[[#This Row],[Edad]]))</f>
        <v>35</v>
      </c>
      <c r="Q285" s="8" t="str">
        <f>IFERROR(LOOKUP(Titanic[[#This Row],[Edad Corrigida]],'Práctica 1'!$K$231:$K$240,'Práctica 1'!$L$231:$L$240), "DESCONOCIDO")</f>
        <v>6. ADULTO 1</v>
      </c>
      <c r="R285" s="8">
        <f>Titanic[[#This Row],[Familia Horizontal]]+Titanic[[#This Row],[Familia Vertical]]</f>
        <v>2</v>
      </c>
      <c r="S285" s="8"/>
      <c r="T285" s="8"/>
      <c r="U285" s="8"/>
      <c r="V285" s="8"/>
    </row>
    <row r="286" spans="2:22" x14ac:dyDescent="0.2">
      <c r="B286" s="6">
        <v>281</v>
      </c>
      <c r="C286" s="7">
        <v>0</v>
      </c>
      <c r="D286" s="8">
        <v>3</v>
      </c>
      <c r="E286" s="8" t="s">
        <v>295</v>
      </c>
      <c r="F286" s="8" t="s">
        <v>11</v>
      </c>
      <c r="G286" s="8">
        <v>65</v>
      </c>
      <c r="H286" s="8">
        <v>0</v>
      </c>
      <c r="I286" s="8">
        <v>0</v>
      </c>
      <c r="J286" s="8">
        <v>775</v>
      </c>
      <c r="K286" s="8">
        <v>0</v>
      </c>
      <c r="L286" s="8" t="s">
        <v>20</v>
      </c>
      <c r="M286" s="8" t="str">
        <f>IF(Titanic[[#This Row],[Sobrevive]]=1, "SOBREVIVE", "NO SOBREVIVE")</f>
        <v>NO SOBREVIVE</v>
      </c>
      <c r="N286" s="8" t="str">
        <f>LOOKUP(Titanic[[#This Row],[Clase]],{1,2,3}, {"PRIMERA","SEGUNDA","TERCERA"})</f>
        <v>TERCERA</v>
      </c>
      <c r="O286" s="8" t="str">
        <f>IF(Titanic[[#This Row],[Sexo]]="Hombre", "HOMBRE", "MUJER")</f>
        <v>HOMBRE</v>
      </c>
      <c r="P286" s="8">
        <f>IF(Titanic[[#This Row],[Edad]]="", "", IF(Titanic[[#This Row],[Edad]]&gt;=100, Titanic[[#This Row],[Edad]] / 10, Titanic[[#This Row],[Edad]]))</f>
        <v>65</v>
      </c>
      <c r="Q286" s="8" t="str">
        <f>IFERROR(LOOKUP(Titanic[[#This Row],[Edad Corrigida]],'Práctica 1'!$K$231:$K$240,'Práctica 1'!$L$231:$L$240), "DESCONOCIDO")</f>
        <v>9. ADULTO 4</v>
      </c>
      <c r="R286" s="8">
        <f>Titanic[[#This Row],[Familia Horizontal]]+Titanic[[#This Row],[Familia Vertical]]</f>
        <v>0</v>
      </c>
      <c r="S286" s="8"/>
      <c r="T286" s="8"/>
      <c r="U286" s="8"/>
      <c r="V286" s="8"/>
    </row>
    <row r="287" spans="2:22" x14ac:dyDescent="0.2">
      <c r="B287" s="6">
        <v>282</v>
      </c>
      <c r="C287" s="7">
        <v>0</v>
      </c>
      <c r="D287" s="8">
        <v>3</v>
      </c>
      <c r="E287" s="8" t="s">
        <v>296</v>
      </c>
      <c r="F287" s="8" t="s">
        <v>11</v>
      </c>
      <c r="G287" s="8">
        <v>28</v>
      </c>
      <c r="H287" s="8">
        <v>0</v>
      </c>
      <c r="I287" s="8">
        <v>0</v>
      </c>
      <c r="J287" s="8">
        <v>78542</v>
      </c>
      <c r="K287" s="8">
        <v>0</v>
      </c>
      <c r="L287" s="8" t="s">
        <v>12</v>
      </c>
      <c r="M287" s="8" t="str">
        <f>IF(Titanic[[#This Row],[Sobrevive]]=1, "SOBREVIVE", "NO SOBREVIVE")</f>
        <v>NO SOBREVIVE</v>
      </c>
      <c r="N287" s="8" t="str">
        <f>LOOKUP(Titanic[[#This Row],[Clase]],{1,2,3}, {"PRIMERA","SEGUNDA","TERCERA"})</f>
        <v>TERCERA</v>
      </c>
      <c r="O287" s="8" t="str">
        <f>IF(Titanic[[#This Row],[Sexo]]="Hombre", "HOMBRE", "MUJER")</f>
        <v>HOMBRE</v>
      </c>
      <c r="P287" s="8">
        <f>IF(Titanic[[#This Row],[Edad]]="", "", IF(Titanic[[#This Row],[Edad]]&gt;=100, Titanic[[#This Row],[Edad]] / 10, Titanic[[#This Row],[Edad]]))</f>
        <v>28</v>
      </c>
      <c r="Q287" s="8" t="str">
        <f>IFERROR(LOOKUP(Titanic[[#This Row],[Edad Corrigida]],'Práctica 1'!$K$231:$K$240,'Práctica 1'!$L$231:$L$240), "DESCONOCIDO")</f>
        <v>4. ADULTO JOVEN</v>
      </c>
      <c r="R287" s="8">
        <f>Titanic[[#This Row],[Familia Horizontal]]+Titanic[[#This Row],[Familia Vertical]]</f>
        <v>0</v>
      </c>
      <c r="S287" s="8"/>
      <c r="T287" s="8"/>
      <c r="U287" s="8"/>
      <c r="V287" s="8"/>
    </row>
    <row r="288" spans="2:22" x14ac:dyDescent="0.2">
      <c r="B288" s="6">
        <v>283</v>
      </c>
      <c r="C288" s="7">
        <v>0</v>
      </c>
      <c r="D288" s="8">
        <v>3</v>
      </c>
      <c r="E288" s="8" t="s">
        <v>297</v>
      </c>
      <c r="F288" s="8" t="s">
        <v>11</v>
      </c>
      <c r="G288" s="8">
        <v>16</v>
      </c>
      <c r="H288" s="8">
        <v>0</v>
      </c>
      <c r="I288" s="8">
        <v>0</v>
      </c>
      <c r="J288" s="8">
        <v>95</v>
      </c>
      <c r="K288" s="8">
        <v>0</v>
      </c>
      <c r="L288" s="8" t="s">
        <v>12</v>
      </c>
      <c r="M288" s="8" t="str">
        <f>IF(Titanic[[#This Row],[Sobrevive]]=1, "SOBREVIVE", "NO SOBREVIVE")</f>
        <v>NO SOBREVIVE</v>
      </c>
      <c r="N288" s="8" t="str">
        <f>LOOKUP(Titanic[[#This Row],[Clase]],{1,2,3}, {"PRIMERA","SEGUNDA","TERCERA"})</f>
        <v>TERCERA</v>
      </c>
      <c r="O288" s="8" t="str">
        <f>IF(Titanic[[#This Row],[Sexo]]="Hombre", "HOMBRE", "MUJER")</f>
        <v>HOMBRE</v>
      </c>
      <c r="P288" s="8">
        <f>IF(Titanic[[#This Row],[Edad]]="", "", IF(Titanic[[#This Row],[Edad]]&gt;=100, Titanic[[#This Row],[Edad]] / 10, Titanic[[#This Row],[Edad]]))</f>
        <v>16</v>
      </c>
      <c r="Q288" s="8" t="str">
        <f>IFERROR(LOOKUP(Titanic[[#This Row],[Edad Corrigida]],'Práctica 1'!$K$231:$K$240,'Práctica 1'!$L$231:$L$240), "DESCONOCIDO")</f>
        <v>1. INFANTE</v>
      </c>
      <c r="R288" s="8">
        <f>Titanic[[#This Row],[Familia Horizontal]]+Titanic[[#This Row],[Familia Vertical]]</f>
        <v>0</v>
      </c>
      <c r="S288" s="8"/>
      <c r="T288" s="8"/>
      <c r="U288" s="8"/>
      <c r="V288" s="8"/>
    </row>
    <row r="289" spans="2:22" x14ac:dyDescent="0.2">
      <c r="B289" s="6">
        <v>284</v>
      </c>
      <c r="C289" s="7">
        <v>1</v>
      </c>
      <c r="D289" s="8">
        <v>3</v>
      </c>
      <c r="E289" s="8" t="s">
        <v>298</v>
      </c>
      <c r="F289" s="8" t="s">
        <v>11</v>
      </c>
      <c r="G289" s="8">
        <v>19</v>
      </c>
      <c r="H289" s="8">
        <v>0</v>
      </c>
      <c r="I289" s="8">
        <v>0</v>
      </c>
      <c r="J289" s="8">
        <v>805</v>
      </c>
      <c r="K289" s="8">
        <v>0</v>
      </c>
      <c r="L289" s="8" t="s">
        <v>12</v>
      </c>
      <c r="M289" s="8" t="str">
        <f>IF(Titanic[[#This Row],[Sobrevive]]=1, "SOBREVIVE", "NO SOBREVIVE")</f>
        <v>SOBREVIVE</v>
      </c>
      <c r="N289" s="8" t="str">
        <f>LOOKUP(Titanic[[#This Row],[Clase]],{1,2,3}, {"PRIMERA","SEGUNDA","TERCERA"})</f>
        <v>TERCERA</v>
      </c>
      <c r="O289" s="8" t="str">
        <f>IF(Titanic[[#This Row],[Sexo]]="Hombre", "HOMBRE", "MUJER")</f>
        <v>HOMBRE</v>
      </c>
      <c r="P289" s="8">
        <f>IF(Titanic[[#This Row],[Edad]]="", "", IF(Titanic[[#This Row],[Edad]]&gt;=100, Titanic[[#This Row],[Edad]] / 10, Titanic[[#This Row],[Edad]]))</f>
        <v>19</v>
      </c>
      <c r="Q289" s="8" t="str">
        <f>IFERROR(LOOKUP(Titanic[[#This Row],[Edad Corrigida]],'Práctica 1'!$K$231:$K$240,'Práctica 1'!$L$231:$L$240), "DESCONOCIDO")</f>
        <v>2. ADOLESCENTE</v>
      </c>
      <c r="R289" s="8">
        <f>Titanic[[#This Row],[Familia Horizontal]]+Titanic[[#This Row],[Familia Vertical]]</f>
        <v>0</v>
      </c>
      <c r="S289" s="8"/>
      <c r="T289" s="8"/>
      <c r="U289" s="8"/>
      <c r="V289" s="8"/>
    </row>
    <row r="290" spans="2:22" x14ac:dyDescent="0.2">
      <c r="B290" s="6">
        <v>285</v>
      </c>
      <c r="C290" s="7">
        <v>0</v>
      </c>
      <c r="D290" s="8">
        <v>1</v>
      </c>
      <c r="E290" s="8" t="s">
        <v>299</v>
      </c>
      <c r="F290" s="8" t="s">
        <v>11</v>
      </c>
      <c r="G290" s="9"/>
      <c r="H290" s="8">
        <v>0</v>
      </c>
      <c r="I290" s="8">
        <v>0</v>
      </c>
      <c r="J290" s="8">
        <v>26</v>
      </c>
      <c r="K290" s="8">
        <v>1</v>
      </c>
      <c r="L290" s="8" t="s">
        <v>12</v>
      </c>
      <c r="M290" s="8" t="str">
        <f>IF(Titanic[[#This Row],[Sobrevive]]=1, "SOBREVIVE", "NO SOBREVIVE")</f>
        <v>NO SOBREVIVE</v>
      </c>
      <c r="N290" s="8" t="str">
        <f>LOOKUP(Titanic[[#This Row],[Clase]],{1,2,3}, {"PRIMERA","SEGUNDA","TERCERA"})</f>
        <v>PRIMERA</v>
      </c>
      <c r="O290" s="8" t="str">
        <f>IF(Titanic[[#This Row],[Sexo]]="Hombre", "HOMBRE", "MUJER")</f>
        <v>HOMBRE</v>
      </c>
      <c r="P290" s="8" t="str">
        <f>IF(Titanic[[#This Row],[Edad]]="", "", IF(Titanic[[#This Row],[Edad]]&gt;=100, Titanic[[#This Row],[Edad]] / 10, Titanic[[#This Row],[Edad]]))</f>
        <v/>
      </c>
      <c r="Q290" s="8" t="str">
        <f>IFERROR(LOOKUP(Titanic[[#This Row],[Edad Corrigida]],'Práctica 1'!$K$231:$K$240,'Práctica 1'!$L$231:$L$240), "DESCONOCIDO")</f>
        <v>DESCONOCIDO</v>
      </c>
      <c r="R290" s="8">
        <f>Titanic[[#This Row],[Familia Horizontal]]+Titanic[[#This Row],[Familia Vertical]]</f>
        <v>0</v>
      </c>
      <c r="S290" s="8"/>
      <c r="T290" s="8"/>
      <c r="U290" s="8"/>
      <c r="V290" s="8"/>
    </row>
    <row r="291" spans="2:22" x14ac:dyDescent="0.2">
      <c r="B291" s="6">
        <v>286</v>
      </c>
      <c r="C291" s="7">
        <v>0</v>
      </c>
      <c r="D291" s="8">
        <v>3</v>
      </c>
      <c r="E291" s="8" t="s">
        <v>300</v>
      </c>
      <c r="F291" s="8" t="s">
        <v>11</v>
      </c>
      <c r="G291" s="8">
        <v>33</v>
      </c>
      <c r="H291" s="8">
        <v>0</v>
      </c>
      <c r="I291" s="8">
        <v>0</v>
      </c>
      <c r="J291" s="8">
        <v>86625</v>
      </c>
      <c r="K291" s="8">
        <v>0</v>
      </c>
      <c r="L291" s="8" t="s">
        <v>15</v>
      </c>
      <c r="M291" s="8" t="str">
        <f>IF(Titanic[[#This Row],[Sobrevive]]=1, "SOBREVIVE", "NO SOBREVIVE")</f>
        <v>NO SOBREVIVE</v>
      </c>
      <c r="N291" s="8" t="str">
        <f>LOOKUP(Titanic[[#This Row],[Clase]],{1,2,3}, {"PRIMERA","SEGUNDA","TERCERA"})</f>
        <v>TERCERA</v>
      </c>
      <c r="O291" s="8" t="str">
        <f>IF(Titanic[[#This Row],[Sexo]]="Hombre", "HOMBRE", "MUJER")</f>
        <v>HOMBRE</v>
      </c>
      <c r="P291" s="8">
        <f>IF(Titanic[[#This Row],[Edad]]="", "", IF(Titanic[[#This Row],[Edad]]&gt;=100, Titanic[[#This Row],[Edad]] / 10, Titanic[[#This Row],[Edad]]))</f>
        <v>33</v>
      </c>
      <c r="Q291" s="8" t="str">
        <f>IFERROR(LOOKUP(Titanic[[#This Row],[Edad Corrigida]],'Práctica 1'!$K$231:$K$240,'Práctica 1'!$L$231:$L$240), "DESCONOCIDO")</f>
        <v>6. ADULTO 1</v>
      </c>
      <c r="R291" s="8">
        <f>Titanic[[#This Row],[Familia Horizontal]]+Titanic[[#This Row],[Familia Vertical]]</f>
        <v>0</v>
      </c>
      <c r="S291" s="8"/>
      <c r="T291" s="8"/>
      <c r="U291" s="8"/>
      <c r="V291" s="8"/>
    </row>
    <row r="292" spans="2:22" x14ac:dyDescent="0.2">
      <c r="B292" s="6">
        <v>287</v>
      </c>
      <c r="C292" s="7">
        <v>1</v>
      </c>
      <c r="D292" s="8">
        <v>3</v>
      </c>
      <c r="E292" s="8" t="s">
        <v>301</v>
      </c>
      <c r="F292" s="8" t="s">
        <v>11</v>
      </c>
      <c r="G292" s="8">
        <v>30</v>
      </c>
      <c r="H292" s="8">
        <v>0</v>
      </c>
      <c r="I292" s="8">
        <v>0</v>
      </c>
      <c r="J292" s="8">
        <v>95</v>
      </c>
      <c r="K292" s="8">
        <v>0</v>
      </c>
      <c r="L292" s="8" t="s">
        <v>12</v>
      </c>
      <c r="M292" s="8" t="str">
        <f>IF(Titanic[[#This Row],[Sobrevive]]=1, "SOBREVIVE", "NO SOBREVIVE")</f>
        <v>SOBREVIVE</v>
      </c>
      <c r="N292" s="8" t="str">
        <f>LOOKUP(Titanic[[#This Row],[Clase]],{1,2,3}, {"PRIMERA","SEGUNDA","TERCERA"})</f>
        <v>TERCERA</v>
      </c>
      <c r="O292" s="8" t="str">
        <f>IF(Titanic[[#This Row],[Sexo]]="Hombre", "HOMBRE", "MUJER")</f>
        <v>HOMBRE</v>
      </c>
      <c r="P292" s="8">
        <f>IF(Titanic[[#This Row],[Edad]]="", "", IF(Titanic[[#This Row],[Edad]]&gt;=100, Titanic[[#This Row],[Edad]] / 10, Titanic[[#This Row],[Edad]]))</f>
        <v>30</v>
      </c>
      <c r="Q292" s="8" t="str">
        <f>IFERROR(LOOKUP(Titanic[[#This Row],[Edad Corrigida]],'Práctica 1'!$K$231:$K$240,'Práctica 1'!$L$231:$L$240), "DESCONOCIDO")</f>
        <v>5. ADULTO</v>
      </c>
      <c r="R292" s="8">
        <f>Titanic[[#This Row],[Familia Horizontal]]+Titanic[[#This Row],[Familia Vertical]]</f>
        <v>0</v>
      </c>
      <c r="S292" s="8"/>
      <c r="T292" s="8"/>
      <c r="U292" s="8"/>
      <c r="V292" s="8"/>
    </row>
    <row r="293" spans="2:22" x14ac:dyDescent="0.2">
      <c r="B293" s="6">
        <v>288</v>
      </c>
      <c r="C293" s="7">
        <v>0</v>
      </c>
      <c r="D293" s="8">
        <v>3</v>
      </c>
      <c r="E293" s="8" t="s">
        <v>302</v>
      </c>
      <c r="F293" s="8" t="s">
        <v>11</v>
      </c>
      <c r="G293" s="8">
        <v>22</v>
      </c>
      <c r="H293" s="8">
        <v>0</v>
      </c>
      <c r="I293" s="8">
        <v>0</v>
      </c>
      <c r="J293" s="8">
        <v>78958</v>
      </c>
      <c r="K293" s="8">
        <v>0</v>
      </c>
      <c r="L293" s="8" t="s">
        <v>12</v>
      </c>
      <c r="M293" s="8" t="str">
        <f>IF(Titanic[[#This Row],[Sobrevive]]=1, "SOBREVIVE", "NO SOBREVIVE")</f>
        <v>NO SOBREVIVE</v>
      </c>
      <c r="N293" s="8" t="str">
        <f>LOOKUP(Titanic[[#This Row],[Clase]],{1,2,3}, {"PRIMERA","SEGUNDA","TERCERA"})</f>
        <v>TERCERA</v>
      </c>
      <c r="O293" s="8" t="str">
        <f>IF(Titanic[[#This Row],[Sexo]]="Hombre", "HOMBRE", "MUJER")</f>
        <v>HOMBRE</v>
      </c>
      <c r="P293" s="8">
        <f>IF(Titanic[[#This Row],[Edad]]="", "", IF(Titanic[[#This Row],[Edad]]&gt;=100, Titanic[[#This Row],[Edad]] / 10, Titanic[[#This Row],[Edad]]))</f>
        <v>22</v>
      </c>
      <c r="Q293" s="8" t="str">
        <f>IFERROR(LOOKUP(Titanic[[#This Row],[Edad Corrigida]],'Práctica 1'!$K$231:$K$240,'Práctica 1'!$L$231:$L$240), "DESCONOCIDO")</f>
        <v>3. JOVEN</v>
      </c>
      <c r="R293" s="8">
        <f>Titanic[[#This Row],[Familia Horizontal]]+Titanic[[#This Row],[Familia Vertical]]</f>
        <v>0</v>
      </c>
      <c r="S293" s="8"/>
      <c r="T293" s="8"/>
      <c r="U293" s="8"/>
      <c r="V293" s="8"/>
    </row>
    <row r="294" spans="2:22" x14ac:dyDescent="0.2">
      <c r="B294" s="6">
        <v>289</v>
      </c>
      <c r="C294" s="7">
        <v>1</v>
      </c>
      <c r="D294" s="8">
        <v>2</v>
      </c>
      <c r="E294" s="8" t="s">
        <v>303</v>
      </c>
      <c r="F294" s="8" t="s">
        <v>11</v>
      </c>
      <c r="G294" s="8">
        <v>42</v>
      </c>
      <c r="H294" s="8">
        <v>0</v>
      </c>
      <c r="I294" s="8">
        <v>0</v>
      </c>
      <c r="J294" s="8">
        <v>13</v>
      </c>
      <c r="K294" s="8">
        <v>0</v>
      </c>
      <c r="L294" s="8" t="s">
        <v>12</v>
      </c>
      <c r="M294" s="8" t="str">
        <f>IF(Titanic[[#This Row],[Sobrevive]]=1, "SOBREVIVE", "NO SOBREVIVE")</f>
        <v>SOBREVIVE</v>
      </c>
      <c r="N294" s="8" t="str">
        <f>LOOKUP(Titanic[[#This Row],[Clase]],{1,2,3}, {"PRIMERA","SEGUNDA","TERCERA"})</f>
        <v>SEGUNDA</v>
      </c>
      <c r="O294" s="8" t="str">
        <f>IF(Titanic[[#This Row],[Sexo]]="Hombre", "HOMBRE", "MUJER")</f>
        <v>HOMBRE</v>
      </c>
      <c r="P294" s="8">
        <f>IF(Titanic[[#This Row],[Edad]]="", "", IF(Titanic[[#This Row],[Edad]]&gt;=100, Titanic[[#This Row],[Edad]] / 10, Titanic[[#This Row],[Edad]]))</f>
        <v>42</v>
      </c>
      <c r="Q294" s="8" t="str">
        <f>IFERROR(LOOKUP(Titanic[[#This Row],[Edad Corrigida]],'Práctica 1'!$K$231:$K$240,'Práctica 1'!$L$231:$L$240), "DESCONOCIDO")</f>
        <v>8. ADULTO 3</v>
      </c>
      <c r="R294" s="8">
        <f>Titanic[[#This Row],[Familia Horizontal]]+Titanic[[#This Row],[Familia Vertical]]</f>
        <v>0</v>
      </c>
      <c r="S294" s="8"/>
      <c r="T294" s="8"/>
      <c r="U294" s="8"/>
      <c r="V294" s="8"/>
    </row>
    <row r="295" spans="2:22" x14ac:dyDescent="0.2">
      <c r="B295" s="6">
        <v>290</v>
      </c>
      <c r="C295" s="7">
        <v>1</v>
      </c>
      <c r="D295" s="8">
        <v>3</v>
      </c>
      <c r="E295" s="8" t="s">
        <v>304</v>
      </c>
      <c r="F295" s="8" t="s">
        <v>14</v>
      </c>
      <c r="G295" s="8">
        <v>22</v>
      </c>
      <c r="H295" s="8">
        <v>0</v>
      </c>
      <c r="I295" s="8">
        <v>0</v>
      </c>
      <c r="J295" s="8">
        <v>775</v>
      </c>
      <c r="K295" s="8">
        <v>0</v>
      </c>
      <c r="L295" s="8" t="s">
        <v>20</v>
      </c>
      <c r="M295" s="8" t="str">
        <f>IF(Titanic[[#This Row],[Sobrevive]]=1, "SOBREVIVE", "NO SOBREVIVE")</f>
        <v>SOBREVIVE</v>
      </c>
      <c r="N295" s="8" t="str">
        <f>LOOKUP(Titanic[[#This Row],[Clase]],{1,2,3}, {"PRIMERA","SEGUNDA","TERCERA"})</f>
        <v>TERCERA</v>
      </c>
      <c r="O295" s="8" t="str">
        <f>IF(Titanic[[#This Row],[Sexo]]="Hombre", "HOMBRE", "MUJER")</f>
        <v>MUJER</v>
      </c>
      <c r="P295" s="8">
        <f>IF(Titanic[[#This Row],[Edad]]="", "", IF(Titanic[[#This Row],[Edad]]&gt;=100, Titanic[[#This Row],[Edad]] / 10, Titanic[[#This Row],[Edad]]))</f>
        <v>22</v>
      </c>
      <c r="Q295" s="8" t="str">
        <f>IFERROR(LOOKUP(Titanic[[#This Row],[Edad Corrigida]],'Práctica 1'!$K$231:$K$240,'Práctica 1'!$L$231:$L$240), "DESCONOCIDO")</f>
        <v>3. JOVEN</v>
      </c>
      <c r="R295" s="8">
        <f>Titanic[[#This Row],[Familia Horizontal]]+Titanic[[#This Row],[Familia Vertical]]</f>
        <v>0</v>
      </c>
      <c r="S295" s="8"/>
      <c r="T295" s="8"/>
      <c r="U295" s="8"/>
      <c r="V295" s="8"/>
    </row>
    <row r="296" spans="2:22" x14ac:dyDescent="0.2">
      <c r="B296" s="6">
        <v>291</v>
      </c>
      <c r="C296" s="7">
        <v>1</v>
      </c>
      <c r="D296" s="8">
        <v>1</v>
      </c>
      <c r="E296" s="8" t="s">
        <v>305</v>
      </c>
      <c r="F296" s="8" t="s">
        <v>14</v>
      </c>
      <c r="G296" s="8">
        <v>26</v>
      </c>
      <c r="H296" s="8">
        <v>0</v>
      </c>
      <c r="I296" s="8">
        <v>0</v>
      </c>
      <c r="J296" s="8">
        <v>7885</v>
      </c>
      <c r="K296" s="8">
        <v>0</v>
      </c>
      <c r="L296" s="8" t="s">
        <v>12</v>
      </c>
      <c r="M296" s="8" t="str">
        <f>IF(Titanic[[#This Row],[Sobrevive]]=1, "SOBREVIVE", "NO SOBREVIVE")</f>
        <v>SOBREVIVE</v>
      </c>
      <c r="N296" s="8" t="str">
        <f>LOOKUP(Titanic[[#This Row],[Clase]],{1,2,3}, {"PRIMERA","SEGUNDA","TERCERA"})</f>
        <v>PRIMERA</v>
      </c>
      <c r="O296" s="8" t="str">
        <f>IF(Titanic[[#This Row],[Sexo]]="Hombre", "HOMBRE", "MUJER")</f>
        <v>MUJER</v>
      </c>
      <c r="P296" s="8">
        <f>IF(Titanic[[#This Row],[Edad]]="", "", IF(Titanic[[#This Row],[Edad]]&gt;=100, Titanic[[#This Row],[Edad]] / 10, Titanic[[#This Row],[Edad]]))</f>
        <v>26</v>
      </c>
      <c r="Q296" s="8" t="str">
        <f>IFERROR(LOOKUP(Titanic[[#This Row],[Edad Corrigida]],'Práctica 1'!$K$231:$K$240,'Práctica 1'!$L$231:$L$240), "DESCONOCIDO")</f>
        <v>4. ADULTO JOVEN</v>
      </c>
      <c r="R296" s="8">
        <f>Titanic[[#This Row],[Familia Horizontal]]+Titanic[[#This Row],[Familia Vertical]]</f>
        <v>0</v>
      </c>
      <c r="S296" s="8"/>
      <c r="T296" s="8"/>
      <c r="U296" s="8"/>
      <c r="V296" s="8"/>
    </row>
    <row r="297" spans="2:22" x14ac:dyDescent="0.2">
      <c r="B297" s="6">
        <v>292</v>
      </c>
      <c r="C297" s="7">
        <v>1</v>
      </c>
      <c r="D297" s="8">
        <v>1</v>
      </c>
      <c r="E297" s="8" t="s">
        <v>306</v>
      </c>
      <c r="F297" s="8" t="s">
        <v>14</v>
      </c>
      <c r="G297" s="8">
        <v>19</v>
      </c>
      <c r="H297" s="8">
        <v>1</v>
      </c>
      <c r="I297" s="8">
        <v>0</v>
      </c>
      <c r="J297" s="8">
        <v>910792</v>
      </c>
      <c r="K297" s="8">
        <v>1</v>
      </c>
      <c r="L297" s="8" t="s">
        <v>15</v>
      </c>
      <c r="M297" s="8" t="str">
        <f>IF(Titanic[[#This Row],[Sobrevive]]=1, "SOBREVIVE", "NO SOBREVIVE")</f>
        <v>SOBREVIVE</v>
      </c>
      <c r="N297" s="8" t="str">
        <f>LOOKUP(Titanic[[#This Row],[Clase]],{1,2,3}, {"PRIMERA","SEGUNDA","TERCERA"})</f>
        <v>PRIMERA</v>
      </c>
      <c r="O297" s="8" t="str">
        <f>IF(Titanic[[#This Row],[Sexo]]="Hombre", "HOMBRE", "MUJER")</f>
        <v>MUJER</v>
      </c>
      <c r="P297" s="8">
        <f>IF(Titanic[[#This Row],[Edad]]="", "", IF(Titanic[[#This Row],[Edad]]&gt;=100, Titanic[[#This Row],[Edad]] / 10, Titanic[[#This Row],[Edad]]))</f>
        <v>19</v>
      </c>
      <c r="Q297" s="8" t="str">
        <f>IFERROR(LOOKUP(Titanic[[#This Row],[Edad Corrigida]],'Práctica 1'!$K$231:$K$240,'Práctica 1'!$L$231:$L$240), "DESCONOCIDO")</f>
        <v>2. ADOLESCENTE</v>
      </c>
      <c r="R297" s="8">
        <f>Titanic[[#This Row],[Familia Horizontal]]+Titanic[[#This Row],[Familia Vertical]]</f>
        <v>1</v>
      </c>
      <c r="S297" s="8"/>
      <c r="T297" s="8"/>
      <c r="U297" s="8"/>
      <c r="V297" s="8"/>
    </row>
    <row r="298" spans="2:22" x14ac:dyDescent="0.2">
      <c r="B298" s="6">
        <v>293</v>
      </c>
      <c r="C298" s="7">
        <v>0</v>
      </c>
      <c r="D298" s="8">
        <v>2</v>
      </c>
      <c r="E298" s="8" t="s">
        <v>307</v>
      </c>
      <c r="F298" s="8" t="s">
        <v>11</v>
      </c>
      <c r="G298" s="8">
        <v>36</v>
      </c>
      <c r="H298" s="8">
        <v>0</v>
      </c>
      <c r="I298" s="8">
        <v>0</v>
      </c>
      <c r="J298" s="8">
        <v>12875</v>
      </c>
      <c r="K298" s="8">
        <v>1</v>
      </c>
      <c r="L298" s="8" t="s">
        <v>15</v>
      </c>
      <c r="M298" s="8" t="str">
        <f>IF(Titanic[[#This Row],[Sobrevive]]=1, "SOBREVIVE", "NO SOBREVIVE")</f>
        <v>NO SOBREVIVE</v>
      </c>
      <c r="N298" s="8" t="str">
        <f>LOOKUP(Titanic[[#This Row],[Clase]],{1,2,3}, {"PRIMERA","SEGUNDA","TERCERA"})</f>
        <v>SEGUNDA</v>
      </c>
      <c r="O298" s="8" t="str">
        <f>IF(Titanic[[#This Row],[Sexo]]="Hombre", "HOMBRE", "MUJER")</f>
        <v>HOMBRE</v>
      </c>
      <c r="P298" s="8">
        <f>IF(Titanic[[#This Row],[Edad]]="", "", IF(Titanic[[#This Row],[Edad]]&gt;=100, Titanic[[#This Row],[Edad]] / 10, Titanic[[#This Row],[Edad]]))</f>
        <v>36</v>
      </c>
      <c r="Q298" s="8" t="str">
        <f>IFERROR(LOOKUP(Titanic[[#This Row],[Edad Corrigida]],'Práctica 1'!$K$231:$K$240,'Práctica 1'!$L$231:$L$240), "DESCONOCIDO")</f>
        <v>7. ADULTO 2</v>
      </c>
      <c r="R298" s="8">
        <f>Titanic[[#This Row],[Familia Horizontal]]+Titanic[[#This Row],[Familia Vertical]]</f>
        <v>0</v>
      </c>
      <c r="S298" s="8"/>
      <c r="T298" s="8"/>
      <c r="U298" s="8"/>
      <c r="V298" s="8"/>
    </row>
    <row r="299" spans="2:22" x14ac:dyDescent="0.2">
      <c r="B299" s="6">
        <v>294</v>
      </c>
      <c r="C299" s="7">
        <v>0</v>
      </c>
      <c r="D299" s="8">
        <v>3</v>
      </c>
      <c r="E299" s="8" t="s">
        <v>308</v>
      </c>
      <c r="F299" s="8" t="s">
        <v>14</v>
      </c>
      <c r="G299" s="8">
        <v>24</v>
      </c>
      <c r="H299" s="8">
        <v>0</v>
      </c>
      <c r="I299" s="8">
        <v>0</v>
      </c>
      <c r="J299" s="8">
        <v>885</v>
      </c>
      <c r="K299" s="8">
        <v>0</v>
      </c>
      <c r="L299" s="8" t="s">
        <v>12</v>
      </c>
      <c r="M299" s="8" t="str">
        <f>IF(Titanic[[#This Row],[Sobrevive]]=1, "SOBREVIVE", "NO SOBREVIVE")</f>
        <v>NO SOBREVIVE</v>
      </c>
      <c r="N299" s="8" t="str">
        <f>LOOKUP(Titanic[[#This Row],[Clase]],{1,2,3}, {"PRIMERA","SEGUNDA","TERCERA"})</f>
        <v>TERCERA</v>
      </c>
      <c r="O299" s="8" t="str">
        <f>IF(Titanic[[#This Row],[Sexo]]="Hombre", "HOMBRE", "MUJER")</f>
        <v>MUJER</v>
      </c>
      <c r="P299" s="8">
        <f>IF(Titanic[[#This Row],[Edad]]="", "", IF(Titanic[[#This Row],[Edad]]&gt;=100, Titanic[[#This Row],[Edad]] / 10, Titanic[[#This Row],[Edad]]))</f>
        <v>24</v>
      </c>
      <c r="Q299" s="8" t="str">
        <f>IFERROR(LOOKUP(Titanic[[#This Row],[Edad Corrigida]],'Práctica 1'!$K$231:$K$240,'Práctica 1'!$L$231:$L$240), "DESCONOCIDO")</f>
        <v>3. JOVEN</v>
      </c>
      <c r="R299" s="8">
        <f>Titanic[[#This Row],[Familia Horizontal]]+Titanic[[#This Row],[Familia Vertical]]</f>
        <v>0</v>
      </c>
      <c r="S299" s="8"/>
      <c r="T299" s="8"/>
      <c r="U299" s="8"/>
      <c r="V299" s="8"/>
    </row>
    <row r="300" spans="2:22" x14ac:dyDescent="0.2">
      <c r="B300" s="6">
        <v>295</v>
      </c>
      <c r="C300" s="7">
        <v>0</v>
      </c>
      <c r="D300" s="8">
        <v>3</v>
      </c>
      <c r="E300" s="8" t="s">
        <v>309</v>
      </c>
      <c r="F300" s="8" t="s">
        <v>11</v>
      </c>
      <c r="G300" s="8">
        <v>24</v>
      </c>
      <c r="H300" s="8">
        <v>0</v>
      </c>
      <c r="I300" s="8">
        <v>0</v>
      </c>
      <c r="J300" s="8">
        <v>78958</v>
      </c>
      <c r="K300" s="8">
        <v>0</v>
      </c>
      <c r="L300" s="8" t="s">
        <v>12</v>
      </c>
      <c r="M300" s="8" t="str">
        <f>IF(Titanic[[#This Row],[Sobrevive]]=1, "SOBREVIVE", "NO SOBREVIVE")</f>
        <v>NO SOBREVIVE</v>
      </c>
      <c r="N300" s="8" t="str">
        <f>LOOKUP(Titanic[[#This Row],[Clase]],{1,2,3}, {"PRIMERA","SEGUNDA","TERCERA"})</f>
        <v>TERCERA</v>
      </c>
      <c r="O300" s="8" t="str">
        <f>IF(Titanic[[#This Row],[Sexo]]="Hombre", "HOMBRE", "MUJER")</f>
        <v>HOMBRE</v>
      </c>
      <c r="P300" s="8">
        <f>IF(Titanic[[#This Row],[Edad]]="", "", IF(Titanic[[#This Row],[Edad]]&gt;=100, Titanic[[#This Row],[Edad]] / 10, Titanic[[#This Row],[Edad]]))</f>
        <v>24</v>
      </c>
      <c r="Q300" s="8" t="str">
        <f>IFERROR(LOOKUP(Titanic[[#This Row],[Edad Corrigida]],'Práctica 1'!$K$231:$K$240,'Práctica 1'!$L$231:$L$240), "DESCONOCIDO")</f>
        <v>3. JOVEN</v>
      </c>
      <c r="R300" s="8">
        <f>Titanic[[#This Row],[Familia Horizontal]]+Titanic[[#This Row],[Familia Vertical]]</f>
        <v>0</v>
      </c>
      <c r="S300" s="8"/>
      <c r="T300" s="8"/>
      <c r="U300" s="8"/>
      <c r="V300" s="8"/>
    </row>
    <row r="301" spans="2:22" x14ac:dyDescent="0.2">
      <c r="B301" s="6">
        <v>296</v>
      </c>
      <c r="C301" s="7">
        <v>0</v>
      </c>
      <c r="D301" s="8">
        <v>1</v>
      </c>
      <c r="E301" s="8" t="s">
        <v>310</v>
      </c>
      <c r="F301" s="8" t="s">
        <v>11</v>
      </c>
      <c r="G301" s="9"/>
      <c r="H301" s="8">
        <v>0</v>
      </c>
      <c r="I301" s="8">
        <v>0</v>
      </c>
      <c r="J301" s="8">
        <v>277208</v>
      </c>
      <c r="K301" s="8">
        <v>0</v>
      </c>
      <c r="L301" s="8" t="s">
        <v>15</v>
      </c>
      <c r="M301" s="8" t="str">
        <f>IF(Titanic[[#This Row],[Sobrevive]]=1, "SOBREVIVE", "NO SOBREVIVE")</f>
        <v>NO SOBREVIVE</v>
      </c>
      <c r="N301" s="8" t="str">
        <f>LOOKUP(Titanic[[#This Row],[Clase]],{1,2,3}, {"PRIMERA","SEGUNDA","TERCERA"})</f>
        <v>PRIMERA</v>
      </c>
      <c r="O301" s="8" t="str">
        <f>IF(Titanic[[#This Row],[Sexo]]="Hombre", "HOMBRE", "MUJER")</f>
        <v>HOMBRE</v>
      </c>
      <c r="P301" s="8" t="str">
        <f>IF(Titanic[[#This Row],[Edad]]="", "", IF(Titanic[[#This Row],[Edad]]&gt;=100, Titanic[[#This Row],[Edad]] / 10, Titanic[[#This Row],[Edad]]))</f>
        <v/>
      </c>
      <c r="Q301" s="8" t="str">
        <f>IFERROR(LOOKUP(Titanic[[#This Row],[Edad Corrigida]],'Práctica 1'!$K$231:$K$240,'Práctica 1'!$L$231:$L$240), "DESCONOCIDO")</f>
        <v>DESCONOCIDO</v>
      </c>
      <c r="R301" s="8">
        <f>Titanic[[#This Row],[Familia Horizontal]]+Titanic[[#This Row],[Familia Vertical]]</f>
        <v>0</v>
      </c>
      <c r="S301" s="8"/>
      <c r="T301" s="8"/>
      <c r="U301" s="8"/>
      <c r="V301" s="8"/>
    </row>
    <row r="302" spans="2:22" x14ac:dyDescent="0.2">
      <c r="B302" s="6">
        <v>297</v>
      </c>
      <c r="C302" s="7">
        <v>0</v>
      </c>
      <c r="D302" s="8">
        <v>3</v>
      </c>
      <c r="E302" s="8" t="s">
        <v>311</v>
      </c>
      <c r="F302" s="8" t="s">
        <v>11</v>
      </c>
      <c r="G302" s="8">
        <v>235</v>
      </c>
      <c r="H302" s="8">
        <v>0</v>
      </c>
      <c r="I302" s="8">
        <v>0</v>
      </c>
      <c r="J302" s="8">
        <v>72292</v>
      </c>
      <c r="K302" s="8">
        <v>0</v>
      </c>
      <c r="L302" s="8" t="s">
        <v>15</v>
      </c>
      <c r="M302" s="8" t="str">
        <f>IF(Titanic[[#This Row],[Sobrevive]]=1, "SOBREVIVE", "NO SOBREVIVE")</f>
        <v>NO SOBREVIVE</v>
      </c>
      <c r="N302" s="8" t="str">
        <f>LOOKUP(Titanic[[#This Row],[Clase]],{1,2,3}, {"PRIMERA","SEGUNDA","TERCERA"})</f>
        <v>TERCERA</v>
      </c>
      <c r="O302" s="8" t="str">
        <f>IF(Titanic[[#This Row],[Sexo]]="Hombre", "HOMBRE", "MUJER")</f>
        <v>HOMBRE</v>
      </c>
      <c r="P302" s="8">
        <f>IF(Titanic[[#This Row],[Edad]]="", "", IF(Titanic[[#This Row],[Edad]]&gt;=100, Titanic[[#This Row],[Edad]] / 10, Titanic[[#This Row],[Edad]]))</f>
        <v>23.5</v>
      </c>
      <c r="Q302" s="8" t="str">
        <f>IFERROR(LOOKUP(Titanic[[#This Row],[Edad Corrigida]],'Práctica 1'!$K$231:$K$240,'Práctica 1'!$L$231:$L$240), "DESCONOCIDO")</f>
        <v>3. JOVEN</v>
      </c>
      <c r="R302" s="8">
        <f>Titanic[[#This Row],[Familia Horizontal]]+Titanic[[#This Row],[Familia Vertical]]</f>
        <v>0</v>
      </c>
      <c r="S302" s="8"/>
      <c r="T302" s="8"/>
      <c r="U302" s="8"/>
      <c r="V302" s="8"/>
    </row>
    <row r="303" spans="2:22" x14ac:dyDescent="0.2">
      <c r="B303" s="6">
        <v>298</v>
      </c>
      <c r="C303" s="7">
        <v>0</v>
      </c>
      <c r="D303" s="8">
        <v>1</v>
      </c>
      <c r="E303" s="8" t="s">
        <v>312</v>
      </c>
      <c r="F303" s="8" t="s">
        <v>14</v>
      </c>
      <c r="G303" s="8">
        <v>2</v>
      </c>
      <c r="H303" s="8">
        <v>1</v>
      </c>
      <c r="I303" s="8">
        <v>2</v>
      </c>
      <c r="J303" s="8">
        <v>15155</v>
      </c>
      <c r="K303" s="8">
        <v>1</v>
      </c>
      <c r="L303" s="8" t="s">
        <v>12</v>
      </c>
      <c r="M303" s="8" t="str">
        <f>IF(Titanic[[#This Row],[Sobrevive]]=1, "SOBREVIVE", "NO SOBREVIVE")</f>
        <v>NO SOBREVIVE</v>
      </c>
      <c r="N303" s="8" t="str">
        <f>LOOKUP(Titanic[[#This Row],[Clase]],{1,2,3}, {"PRIMERA","SEGUNDA","TERCERA"})</f>
        <v>PRIMERA</v>
      </c>
      <c r="O303" s="8" t="str">
        <f>IF(Titanic[[#This Row],[Sexo]]="Hombre", "HOMBRE", "MUJER")</f>
        <v>MUJER</v>
      </c>
      <c r="P303" s="8">
        <f>IF(Titanic[[#This Row],[Edad]]="", "", IF(Titanic[[#This Row],[Edad]]&gt;=100, Titanic[[#This Row],[Edad]] / 10, Titanic[[#This Row],[Edad]]))</f>
        <v>2</v>
      </c>
      <c r="Q303" s="8" t="str">
        <f>IFERROR(LOOKUP(Titanic[[#This Row],[Edad Corrigida]],'Práctica 1'!$K$231:$K$240,'Práctica 1'!$L$231:$L$240), "DESCONOCIDO")</f>
        <v>DESCONOCIDO</v>
      </c>
      <c r="R303" s="8">
        <f>Titanic[[#This Row],[Familia Horizontal]]+Titanic[[#This Row],[Familia Vertical]]</f>
        <v>3</v>
      </c>
      <c r="S303" s="8"/>
      <c r="T303" s="8"/>
      <c r="U303" s="8"/>
      <c r="V303" s="8"/>
    </row>
    <row r="304" spans="2:22" x14ac:dyDescent="0.2">
      <c r="B304" s="6">
        <v>299</v>
      </c>
      <c r="C304" s="7">
        <v>1</v>
      </c>
      <c r="D304" s="8">
        <v>1</v>
      </c>
      <c r="E304" s="8" t="s">
        <v>313</v>
      </c>
      <c r="F304" s="8" t="s">
        <v>11</v>
      </c>
      <c r="G304" s="9"/>
      <c r="H304" s="8">
        <v>0</v>
      </c>
      <c r="I304" s="8">
        <v>0</v>
      </c>
      <c r="J304" s="8">
        <v>305</v>
      </c>
      <c r="K304" s="8">
        <v>1</v>
      </c>
      <c r="L304" s="8" t="s">
        <v>12</v>
      </c>
      <c r="M304" s="8" t="str">
        <f>IF(Titanic[[#This Row],[Sobrevive]]=1, "SOBREVIVE", "NO SOBREVIVE")</f>
        <v>SOBREVIVE</v>
      </c>
      <c r="N304" s="8" t="str">
        <f>LOOKUP(Titanic[[#This Row],[Clase]],{1,2,3}, {"PRIMERA","SEGUNDA","TERCERA"})</f>
        <v>PRIMERA</v>
      </c>
      <c r="O304" s="8" t="str">
        <f>IF(Titanic[[#This Row],[Sexo]]="Hombre", "HOMBRE", "MUJER")</f>
        <v>HOMBRE</v>
      </c>
      <c r="P304" s="8" t="str">
        <f>IF(Titanic[[#This Row],[Edad]]="", "", IF(Titanic[[#This Row],[Edad]]&gt;=100, Titanic[[#This Row],[Edad]] / 10, Titanic[[#This Row],[Edad]]))</f>
        <v/>
      </c>
      <c r="Q304" s="8" t="str">
        <f>IFERROR(LOOKUP(Titanic[[#This Row],[Edad Corrigida]],'Práctica 1'!$K$231:$K$240,'Práctica 1'!$L$231:$L$240), "DESCONOCIDO")</f>
        <v>DESCONOCIDO</v>
      </c>
      <c r="R304" s="8">
        <f>Titanic[[#This Row],[Familia Horizontal]]+Titanic[[#This Row],[Familia Vertical]]</f>
        <v>0</v>
      </c>
      <c r="S304" s="8"/>
      <c r="T304" s="8"/>
      <c r="U304" s="8"/>
      <c r="V304" s="8"/>
    </row>
    <row r="305" spans="2:22" x14ac:dyDescent="0.2">
      <c r="B305" s="6">
        <v>300</v>
      </c>
      <c r="C305" s="7">
        <v>1</v>
      </c>
      <c r="D305" s="8">
        <v>1</v>
      </c>
      <c r="E305" s="8" t="s">
        <v>314</v>
      </c>
      <c r="F305" s="8" t="s">
        <v>14</v>
      </c>
      <c r="G305" s="8">
        <v>50</v>
      </c>
      <c r="H305" s="8">
        <v>0</v>
      </c>
      <c r="I305" s="8">
        <v>1</v>
      </c>
      <c r="J305" s="8">
        <v>2475208</v>
      </c>
      <c r="K305" s="8">
        <v>1</v>
      </c>
      <c r="L305" s="8" t="s">
        <v>15</v>
      </c>
      <c r="M305" s="8" t="str">
        <f>IF(Titanic[[#This Row],[Sobrevive]]=1, "SOBREVIVE", "NO SOBREVIVE")</f>
        <v>SOBREVIVE</v>
      </c>
      <c r="N305" s="8" t="str">
        <f>LOOKUP(Titanic[[#This Row],[Clase]],{1,2,3}, {"PRIMERA","SEGUNDA","TERCERA"})</f>
        <v>PRIMERA</v>
      </c>
      <c r="O305" s="8" t="str">
        <f>IF(Titanic[[#This Row],[Sexo]]="Hombre", "HOMBRE", "MUJER")</f>
        <v>MUJER</v>
      </c>
      <c r="P305" s="8">
        <f>IF(Titanic[[#This Row],[Edad]]="", "", IF(Titanic[[#This Row],[Edad]]&gt;=100, Titanic[[#This Row],[Edad]] / 10, Titanic[[#This Row],[Edad]]))</f>
        <v>50</v>
      </c>
      <c r="Q305" s="8" t="str">
        <f>IFERROR(LOOKUP(Titanic[[#This Row],[Edad Corrigida]],'Práctica 1'!$K$231:$K$240,'Práctica 1'!$L$231:$L$240), "DESCONOCIDO")</f>
        <v>9. ADULTO 4</v>
      </c>
      <c r="R305" s="8">
        <f>Titanic[[#This Row],[Familia Horizontal]]+Titanic[[#This Row],[Familia Vertical]]</f>
        <v>1</v>
      </c>
      <c r="S305" s="8"/>
      <c r="T305" s="8"/>
      <c r="U305" s="8"/>
      <c r="V305" s="8"/>
    </row>
    <row r="306" spans="2:22" x14ac:dyDescent="0.2">
      <c r="B306" s="6">
        <v>301</v>
      </c>
      <c r="C306" s="7">
        <v>1</v>
      </c>
      <c r="D306" s="8">
        <v>3</v>
      </c>
      <c r="E306" s="8" t="s">
        <v>315</v>
      </c>
      <c r="F306" s="8" t="s">
        <v>14</v>
      </c>
      <c r="G306" s="9"/>
      <c r="H306" s="8">
        <v>0</v>
      </c>
      <c r="I306" s="8">
        <v>0</v>
      </c>
      <c r="J306" s="8">
        <v>775</v>
      </c>
      <c r="K306" s="8">
        <v>0</v>
      </c>
      <c r="L306" s="8" t="s">
        <v>20</v>
      </c>
      <c r="M306" s="8" t="str">
        <f>IF(Titanic[[#This Row],[Sobrevive]]=1, "SOBREVIVE", "NO SOBREVIVE")</f>
        <v>SOBREVIVE</v>
      </c>
      <c r="N306" s="8" t="str">
        <f>LOOKUP(Titanic[[#This Row],[Clase]],{1,2,3}, {"PRIMERA","SEGUNDA","TERCERA"})</f>
        <v>TERCERA</v>
      </c>
      <c r="O306" s="8" t="str">
        <f>IF(Titanic[[#This Row],[Sexo]]="Hombre", "HOMBRE", "MUJER")</f>
        <v>MUJER</v>
      </c>
      <c r="P306" s="8" t="str">
        <f>IF(Titanic[[#This Row],[Edad]]="", "", IF(Titanic[[#This Row],[Edad]]&gt;=100, Titanic[[#This Row],[Edad]] / 10, Titanic[[#This Row],[Edad]]))</f>
        <v/>
      </c>
      <c r="Q306" s="8" t="str">
        <f>IFERROR(LOOKUP(Titanic[[#This Row],[Edad Corrigida]],'Práctica 1'!$K$231:$K$240,'Práctica 1'!$L$231:$L$240), "DESCONOCIDO")</f>
        <v>DESCONOCIDO</v>
      </c>
      <c r="R306" s="8">
        <f>Titanic[[#This Row],[Familia Horizontal]]+Titanic[[#This Row],[Familia Vertical]]</f>
        <v>0</v>
      </c>
      <c r="S306" s="8"/>
      <c r="T306" s="8"/>
      <c r="U306" s="8"/>
      <c r="V306" s="8"/>
    </row>
    <row r="307" spans="2:22" x14ac:dyDescent="0.2">
      <c r="B307" s="6">
        <v>302</v>
      </c>
      <c r="C307" s="7">
        <v>1</v>
      </c>
      <c r="D307" s="8">
        <v>3</v>
      </c>
      <c r="E307" s="8" t="s">
        <v>316</v>
      </c>
      <c r="F307" s="8" t="s">
        <v>11</v>
      </c>
      <c r="G307" s="9"/>
      <c r="H307" s="8">
        <v>2</v>
      </c>
      <c r="I307" s="8">
        <v>0</v>
      </c>
      <c r="J307" s="8">
        <v>2325</v>
      </c>
      <c r="K307" s="8">
        <v>0</v>
      </c>
      <c r="L307" s="8" t="s">
        <v>20</v>
      </c>
      <c r="M307" s="8" t="str">
        <f>IF(Titanic[[#This Row],[Sobrevive]]=1, "SOBREVIVE", "NO SOBREVIVE")</f>
        <v>SOBREVIVE</v>
      </c>
      <c r="N307" s="8" t="str">
        <f>LOOKUP(Titanic[[#This Row],[Clase]],{1,2,3}, {"PRIMERA","SEGUNDA","TERCERA"})</f>
        <v>TERCERA</v>
      </c>
      <c r="O307" s="8" t="str">
        <f>IF(Titanic[[#This Row],[Sexo]]="Hombre", "HOMBRE", "MUJER")</f>
        <v>HOMBRE</v>
      </c>
      <c r="P307" s="8" t="str">
        <f>IF(Titanic[[#This Row],[Edad]]="", "", IF(Titanic[[#This Row],[Edad]]&gt;=100, Titanic[[#This Row],[Edad]] / 10, Titanic[[#This Row],[Edad]]))</f>
        <v/>
      </c>
      <c r="Q307" s="8" t="str">
        <f>IFERROR(LOOKUP(Titanic[[#This Row],[Edad Corrigida]],'Práctica 1'!$K$231:$K$240,'Práctica 1'!$L$231:$L$240), "DESCONOCIDO")</f>
        <v>DESCONOCIDO</v>
      </c>
      <c r="R307" s="8">
        <f>Titanic[[#This Row],[Familia Horizontal]]+Titanic[[#This Row],[Familia Vertical]]</f>
        <v>2</v>
      </c>
      <c r="S307" s="8"/>
      <c r="T307" s="8"/>
      <c r="U307" s="8"/>
      <c r="V307" s="8"/>
    </row>
    <row r="308" spans="2:22" x14ac:dyDescent="0.2">
      <c r="B308" s="6">
        <v>303</v>
      </c>
      <c r="C308" s="7">
        <v>0</v>
      </c>
      <c r="D308" s="8">
        <v>3</v>
      </c>
      <c r="E308" s="8" t="s">
        <v>317</v>
      </c>
      <c r="F308" s="8" t="s">
        <v>11</v>
      </c>
      <c r="G308" s="8">
        <v>19</v>
      </c>
      <c r="H308" s="8">
        <v>0</v>
      </c>
      <c r="I308" s="8">
        <v>0</v>
      </c>
      <c r="J308" s="8">
        <v>0</v>
      </c>
      <c r="K308" s="8">
        <v>0</v>
      </c>
      <c r="L308" s="8" t="s">
        <v>12</v>
      </c>
      <c r="M308" s="8" t="str">
        <f>IF(Titanic[[#This Row],[Sobrevive]]=1, "SOBREVIVE", "NO SOBREVIVE")</f>
        <v>NO SOBREVIVE</v>
      </c>
      <c r="N308" s="8" t="str">
        <f>LOOKUP(Titanic[[#This Row],[Clase]],{1,2,3}, {"PRIMERA","SEGUNDA","TERCERA"})</f>
        <v>TERCERA</v>
      </c>
      <c r="O308" s="8" t="str">
        <f>IF(Titanic[[#This Row],[Sexo]]="Hombre", "HOMBRE", "MUJER")</f>
        <v>HOMBRE</v>
      </c>
      <c r="P308" s="8">
        <f>IF(Titanic[[#This Row],[Edad]]="", "", IF(Titanic[[#This Row],[Edad]]&gt;=100, Titanic[[#This Row],[Edad]] / 10, Titanic[[#This Row],[Edad]]))</f>
        <v>19</v>
      </c>
      <c r="Q308" s="8" t="str">
        <f>IFERROR(LOOKUP(Titanic[[#This Row],[Edad Corrigida]],'Práctica 1'!$K$231:$K$240,'Práctica 1'!$L$231:$L$240), "DESCONOCIDO")</f>
        <v>2. ADOLESCENTE</v>
      </c>
      <c r="R308" s="8">
        <f>Titanic[[#This Row],[Familia Horizontal]]+Titanic[[#This Row],[Familia Vertical]]</f>
        <v>0</v>
      </c>
      <c r="S308" s="8"/>
      <c r="T308" s="8"/>
      <c r="U308" s="8"/>
      <c r="V308" s="8"/>
    </row>
    <row r="309" spans="2:22" x14ac:dyDescent="0.2">
      <c r="B309" s="6">
        <v>304</v>
      </c>
      <c r="C309" s="7">
        <v>1</v>
      </c>
      <c r="D309" s="8">
        <v>2</v>
      </c>
      <c r="E309" s="8" t="s">
        <v>318</v>
      </c>
      <c r="F309" s="8" t="s">
        <v>14</v>
      </c>
      <c r="G309" s="9"/>
      <c r="H309" s="8">
        <v>0</v>
      </c>
      <c r="I309" s="8">
        <v>0</v>
      </c>
      <c r="J309" s="8">
        <v>1235</v>
      </c>
      <c r="K309" s="8">
        <v>1</v>
      </c>
      <c r="L309" s="8" t="s">
        <v>20</v>
      </c>
      <c r="M309" s="8" t="str">
        <f>IF(Titanic[[#This Row],[Sobrevive]]=1, "SOBREVIVE", "NO SOBREVIVE")</f>
        <v>SOBREVIVE</v>
      </c>
      <c r="N309" s="8" t="str">
        <f>LOOKUP(Titanic[[#This Row],[Clase]],{1,2,3}, {"PRIMERA","SEGUNDA","TERCERA"})</f>
        <v>SEGUNDA</v>
      </c>
      <c r="O309" s="8" t="str">
        <f>IF(Titanic[[#This Row],[Sexo]]="Hombre", "HOMBRE", "MUJER")</f>
        <v>MUJER</v>
      </c>
      <c r="P309" s="8" t="str">
        <f>IF(Titanic[[#This Row],[Edad]]="", "", IF(Titanic[[#This Row],[Edad]]&gt;=100, Titanic[[#This Row],[Edad]] / 10, Titanic[[#This Row],[Edad]]))</f>
        <v/>
      </c>
      <c r="Q309" s="8" t="str">
        <f>IFERROR(LOOKUP(Titanic[[#This Row],[Edad Corrigida]],'Práctica 1'!$K$231:$K$240,'Práctica 1'!$L$231:$L$240), "DESCONOCIDO")</f>
        <v>DESCONOCIDO</v>
      </c>
      <c r="R309" s="8">
        <f>Titanic[[#This Row],[Familia Horizontal]]+Titanic[[#This Row],[Familia Vertical]]</f>
        <v>0</v>
      </c>
      <c r="S309" s="8"/>
      <c r="T309" s="8"/>
      <c r="U309" s="8"/>
      <c r="V309" s="8"/>
    </row>
    <row r="310" spans="2:22" x14ac:dyDescent="0.2">
      <c r="B310" s="6">
        <v>305</v>
      </c>
      <c r="C310" s="7">
        <v>0</v>
      </c>
      <c r="D310" s="8">
        <v>3</v>
      </c>
      <c r="E310" s="8" t="s">
        <v>319</v>
      </c>
      <c r="F310" s="8" t="s">
        <v>11</v>
      </c>
      <c r="G310" s="9"/>
      <c r="H310" s="8">
        <v>0</v>
      </c>
      <c r="I310" s="8">
        <v>0</v>
      </c>
      <c r="J310" s="8">
        <v>805</v>
      </c>
      <c r="K310" s="8">
        <v>0</v>
      </c>
      <c r="L310" s="8" t="s">
        <v>12</v>
      </c>
      <c r="M310" s="8" t="str">
        <f>IF(Titanic[[#This Row],[Sobrevive]]=1, "SOBREVIVE", "NO SOBREVIVE")</f>
        <v>NO SOBREVIVE</v>
      </c>
      <c r="N310" s="8" t="str">
        <f>LOOKUP(Titanic[[#This Row],[Clase]],{1,2,3}, {"PRIMERA","SEGUNDA","TERCERA"})</f>
        <v>TERCERA</v>
      </c>
      <c r="O310" s="8" t="str">
        <f>IF(Titanic[[#This Row],[Sexo]]="Hombre", "HOMBRE", "MUJER")</f>
        <v>HOMBRE</v>
      </c>
      <c r="P310" s="8" t="str">
        <f>IF(Titanic[[#This Row],[Edad]]="", "", IF(Titanic[[#This Row],[Edad]]&gt;=100, Titanic[[#This Row],[Edad]] / 10, Titanic[[#This Row],[Edad]]))</f>
        <v/>
      </c>
      <c r="Q310" s="8" t="str">
        <f>IFERROR(LOOKUP(Titanic[[#This Row],[Edad Corrigida]],'Práctica 1'!$K$231:$K$240,'Práctica 1'!$L$231:$L$240), "DESCONOCIDO")</f>
        <v>DESCONOCIDO</v>
      </c>
      <c r="R310" s="8">
        <f>Titanic[[#This Row],[Familia Horizontal]]+Titanic[[#This Row],[Familia Vertical]]</f>
        <v>0</v>
      </c>
      <c r="S310" s="8"/>
      <c r="T310" s="8"/>
      <c r="U310" s="8"/>
      <c r="V310" s="8"/>
    </row>
    <row r="311" spans="2:22" x14ac:dyDescent="0.2">
      <c r="B311" s="6">
        <v>306</v>
      </c>
      <c r="C311" s="7">
        <v>1</v>
      </c>
      <c r="D311" s="8">
        <v>1</v>
      </c>
      <c r="E311" s="8" t="s">
        <v>320</v>
      </c>
      <c r="F311" s="8" t="s">
        <v>11</v>
      </c>
      <c r="G311" s="8">
        <v>92</v>
      </c>
      <c r="H311" s="8">
        <v>1</v>
      </c>
      <c r="I311" s="8">
        <v>2</v>
      </c>
      <c r="J311" s="8">
        <v>15155</v>
      </c>
      <c r="K311" s="8">
        <v>1</v>
      </c>
      <c r="L311" s="8" t="s">
        <v>12</v>
      </c>
      <c r="M311" s="8" t="str">
        <f>IF(Titanic[[#This Row],[Sobrevive]]=1, "SOBREVIVE", "NO SOBREVIVE")</f>
        <v>SOBREVIVE</v>
      </c>
      <c r="N311" s="8" t="str">
        <f>LOOKUP(Titanic[[#This Row],[Clase]],{1,2,3}, {"PRIMERA","SEGUNDA","TERCERA"})</f>
        <v>PRIMERA</v>
      </c>
      <c r="O311" s="8" t="str">
        <f>IF(Titanic[[#This Row],[Sexo]]="Hombre", "HOMBRE", "MUJER")</f>
        <v>HOMBRE</v>
      </c>
      <c r="P311" s="8">
        <f>IF(Titanic[[#This Row],[Edad]]="", "", IF(Titanic[[#This Row],[Edad]]&gt;=100, Titanic[[#This Row],[Edad]] / 10, Titanic[[#This Row],[Edad]]))</f>
        <v>92</v>
      </c>
      <c r="Q311" s="8" t="str">
        <f>IFERROR(LOOKUP(Titanic[[#This Row],[Edad Corrigida]],'Práctica 1'!$K$231:$K$240,'Práctica 1'!$L$231:$L$240), "DESCONOCIDO")</f>
        <v>A. ADULTO MAYOR</v>
      </c>
      <c r="R311" s="8">
        <f>Titanic[[#This Row],[Familia Horizontal]]+Titanic[[#This Row],[Familia Vertical]]</f>
        <v>3</v>
      </c>
      <c r="S311" s="8"/>
      <c r="T311" s="8"/>
      <c r="U311" s="8"/>
      <c r="V311" s="8"/>
    </row>
    <row r="312" spans="2:22" x14ac:dyDescent="0.2">
      <c r="B312" s="6">
        <v>307</v>
      </c>
      <c r="C312" s="7">
        <v>1</v>
      </c>
      <c r="D312" s="8">
        <v>1</v>
      </c>
      <c r="E312" s="8" t="s">
        <v>321</v>
      </c>
      <c r="F312" s="8" t="s">
        <v>14</v>
      </c>
      <c r="G312" s="9"/>
      <c r="H312" s="8">
        <v>0</v>
      </c>
      <c r="I312" s="8">
        <v>0</v>
      </c>
      <c r="J312" s="8">
        <v>1108833</v>
      </c>
      <c r="K312" s="8">
        <v>0</v>
      </c>
      <c r="L312" s="8" t="s">
        <v>15</v>
      </c>
      <c r="M312" s="8" t="str">
        <f>IF(Titanic[[#This Row],[Sobrevive]]=1, "SOBREVIVE", "NO SOBREVIVE")</f>
        <v>SOBREVIVE</v>
      </c>
      <c r="N312" s="8" t="str">
        <f>LOOKUP(Titanic[[#This Row],[Clase]],{1,2,3}, {"PRIMERA","SEGUNDA","TERCERA"})</f>
        <v>PRIMERA</v>
      </c>
      <c r="O312" s="8" t="str">
        <f>IF(Titanic[[#This Row],[Sexo]]="Hombre", "HOMBRE", "MUJER")</f>
        <v>MUJER</v>
      </c>
      <c r="P312" s="8" t="str">
        <f>IF(Titanic[[#This Row],[Edad]]="", "", IF(Titanic[[#This Row],[Edad]]&gt;=100, Titanic[[#This Row],[Edad]] / 10, Titanic[[#This Row],[Edad]]))</f>
        <v/>
      </c>
      <c r="Q312" s="8" t="str">
        <f>IFERROR(LOOKUP(Titanic[[#This Row],[Edad Corrigida]],'Práctica 1'!$K$231:$K$240,'Práctica 1'!$L$231:$L$240), "DESCONOCIDO")</f>
        <v>DESCONOCIDO</v>
      </c>
      <c r="R312" s="8">
        <f>Titanic[[#This Row],[Familia Horizontal]]+Titanic[[#This Row],[Familia Vertical]]</f>
        <v>0</v>
      </c>
      <c r="S312" s="8"/>
      <c r="T312" s="8"/>
      <c r="U312" s="8"/>
      <c r="V312" s="8"/>
    </row>
    <row r="313" spans="2:22" x14ac:dyDescent="0.2">
      <c r="B313" s="6">
        <v>308</v>
      </c>
      <c r="C313" s="7">
        <v>1</v>
      </c>
      <c r="D313" s="8">
        <v>1</v>
      </c>
      <c r="E313" s="8" t="s">
        <v>322</v>
      </c>
      <c r="F313" s="8" t="s">
        <v>14</v>
      </c>
      <c r="G313" s="8">
        <v>17</v>
      </c>
      <c r="H313" s="8">
        <v>1</v>
      </c>
      <c r="I313" s="8">
        <v>0</v>
      </c>
      <c r="J313" s="8">
        <v>1089</v>
      </c>
      <c r="K313" s="8">
        <v>1</v>
      </c>
      <c r="L313" s="8" t="s">
        <v>15</v>
      </c>
      <c r="M313" s="8" t="str">
        <f>IF(Titanic[[#This Row],[Sobrevive]]=1, "SOBREVIVE", "NO SOBREVIVE")</f>
        <v>SOBREVIVE</v>
      </c>
      <c r="N313" s="8" t="str">
        <f>LOOKUP(Titanic[[#This Row],[Clase]],{1,2,3}, {"PRIMERA","SEGUNDA","TERCERA"})</f>
        <v>PRIMERA</v>
      </c>
      <c r="O313" s="8" t="str">
        <f>IF(Titanic[[#This Row],[Sexo]]="Hombre", "HOMBRE", "MUJER")</f>
        <v>MUJER</v>
      </c>
      <c r="P313" s="8">
        <f>IF(Titanic[[#This Row],[Edad]]="", "", IF(Titanic[[#This Row],[Edad]]&gt;=100, Titanic[[#This Row],[Edad]] / 10, Titanic[[#This Row],[Edad]]))</f>
        <v>17</v>
      </c>
      <c r="Q313" s="8" t="str">
        <f>IFERROR(LOOKUP(Titanic[[#This Row],[Edad Corrigida]],'Práctica 1'!$K$231:$K$240,'Práctica 1'!$L$231:$L$240), "DESCONOCIDO")</f>
        <v>1. INFANTE</v>
      </c>
      <c r="R313" s="8">
        <f>Titanic[[#This Row],[Familia Horizontal]]+Titanic[[#This Row],[Familia Vertical]]</f>
        <v>1</v>
      </c>
      <c r="S313" s="8"/>
      <c r="T313" s="8"/>
      <c r="U313" s="8"/>
      <c r="V313" s="8"/>
    </row>
    <row r="314" spans="2:22" x14ac:dyDescent="0.2">
      <c r="B314" s="6">
        <v>309</v>
      </c>
      <c r="C314" s="7">
        <v>0</v>
      </c>
      <c r="D314" s="8">
        <v>2</v>
      </c>
      <c r="E314" s="8" t="s">
        <v>323</v>
      </c>
      <c r="F314" s="8" t="s">
        <v>11</v>
      </c>
      <c r="G314" s="8">
        <v>30</v>
      </c>
      <c r="H314" s="8">
        <v>1</v>
      </c>
      <c r="I314" s="8">
        <v>0</v>
      </c>
      <c r="J314" s="8">
        <v>24</v>
      </c>
      <c r="K314" s="8">
        <v>0</v>
      </c>
      <c r="L314" s="8" t="s">
        <v>15</v>
      </c>
      <c r="M314" s="8" t="str">
        <f>IF(Titanic[[#This Row],[Sobrevive]]=1, "SOBREVIVE", "NO SOBREVIVE")</f>
        <v>NO SOBREVIVE</v>
      </c>
      <c r="N314" s="8" t="str">
        <f>LOOKUP(Titanic[[#This Row],[Clase]],{1,2,3}, {"PRIMERA","SEGUNDA","TERCERA"})</f>
        <v>SEGUNDA</v>
      </c>
      <c r="O314" s="8" t="str">
        <f>IF(Titanic[[#This Row],[Sexo]]="Hombre", "HOMBRE", "MUJER")</f>
        <v>HOMBRE</v>
      </c>
      <c r="P314" s="8">
        <f>IF(Titanic[[#This Row],[Edad]]="", "", IF(Titanic[[#This Row],[Edad]]&gt;=100, Titanic[[#This Row],[Edad]] / 10, Titanic[[#This Row],[Edad]]))</f>
        <v>30</v>
      </c>
      <c r="Q314" s="8" t="str">
        <f>IFERROR(LOOKUP(Titanic[[#This Row],[Edad Corrigida]],'Práctica 1'!$K$231:$K$240,'Práctica 1'!$L$231:$L$240), "DESCONOCIDO")</f>
        <v>5. ADULTO</v>
      </c>
      <c r="R314" s="8">
        <f>Titanic[[#This Row],[Familia Horizontal]]+Titanic[[#This Row],[Familia Vertical]]</f>
        <v>1</v>
      </c>
      <c r="S314" s="8"/>
      <c r="T314" s="8"/>
      <c r="U314" s="8"/>
      <c r="V314" s="8"/>
    </row>
    <row r="315" spans="2:22" x14ac:dyDescent="0.2">
      <c r="B315" s="6">
        <v>310</v>
      </c>
      <c r="C315" s="7">
        <v>1</v>
      </c>
      <c r="D315" s="8">
        <v>1</v>
      </c>
      <c r="E315" s="8" t="s">
        <v>324</v>
      </c>
      <c r="F315" s="8" t="s">
        <v>14</v>
      </c>
      <c r="G315" s="8">
        <v>30</v>
      </c>
      <c r="H315" s="8">
        <v>0</v>
      </c>
      <c r="I315" s="8">
        <v>0</v>
      </c>
      <c r="J315" s="8">
        <v>569292</v>
      </c>
      <c r="K315" s="8">
        <v>1</v>
      </c>
      <c r="L315" s="8" t="s">
        <v>15</v>
      </c>
      <c r="M315" s="8" t="str">
        <f>IF(Titanic[[#This Row],[Sobrevive]]=1, "SOBREVIVE", "NO SOBREVIVE")</f>
        <v>SOBREVIVE</v>
      </c>
      <c r="N315" s="8" t="str">
        <f>LOOKUP(Titanic[[#This Row],[Clase]],{1,2,3}, {"PRIMERA","SEGUNDA","TERCERA"})</f>
        <v>PRIMERA</v>
      </c>
      <c r="O315" s="8" t="str">
        <f>IF(Titanic[[#This Row],[Sexo]]="Hombre", "HOMBRE", "MUJER")</f>
        <v>MUJER</v>
      </c>
      <c r="P315" s="8">
        <f>IF(Titanic[[#This Row],[Edad]]="", "", IF(Titanic[[#This Row],[Edad]]&gt;=100, Titanic[[#This Row],[Edad]] / 10, Titanic[[#This Row],[Edad]]))</f>
        <v>30</v>
      </c>
      <c r="Q315" s="8" t="str">
        <f>IFERROR(LOOKUP(Titanic[[#This Row],[Edad Corrigida]],'Práctica 1'!$K$231:$K$240,'Práctica 1'!$L$231:$L$240), "DESCONOCIDO")</f>
        <v>5. ADULTO</v>
      </c>
      <c r="R315" s="8">
        <f>Titanic[[#This Row],[Familia Horizontal]]+Titanic[[#This Row],[Familia Vertical]]</f>
        <v>0</v>
      </c>
      <c r="S315" s="8"/>
      <c r="T315" s="8"/>
      <c r="U315" s="8"/>
      <c r="V315" s="8"/>
    </row>
    <row r="316" spans="2:22" x14ac:dyDescent="0.2">
      <c r="B316" s="6">
        <v>311</v>
      </c>
      <c r="C316" s="7">
        <v>1</v>
      </c>
      <c r="D316" s="8">
        <v>1</v>
      </c>
      <c r="E316" s="8" t="s">
        <v>325</v>
      </c>
      <c r="F316" s="8" t="s">
        <v>14</v>
      </c>
      <c r="G316" s="8">
        <v>24</v>
      </c>
      <c r="H316" s="8">
        <v>0</v>
      </c>
      <c r="I316" s="8">
        <v>0</v>
      </c>
      <c r="J316" s="8">
        <v>831583</v>
      </c>
      <c r="K316" s="8">
        <v>1</v>
      </c>
      <c r="L316" s="8" t="s">
        <v>15</v>
      </c>
      <c r="M316" s="8" t="str">
        <f>IF(Titanic[[#This Row],[Sobrevive]]=1, "SOBREVIVE", "NO SOBREVIVE")</f>
        <v>SOBREVIVE</v>
      </c>
      <c r="N316" s="8" t="str">
        <f>LOOKUP(Titanic[[#This Row],[Clase]],{1,2,3}, {"PRIMERA","SEGUNDA","TERCERA"})</f>
        <v>PRIMERA</v>
      </c>
      <c r="O316" s="8" t="str">
        <f>IF(Titanic[[#This Row],[Sexo]]="Hombre", "HOMBRE", "MUJER")</f>
        <v>MUJER</v>
      </c>
      <c r="P316" s="8">
        <f>IF(Titanic[[#This Row],[Edad]]="", "", IF(Titanic[[#This Row],[Edad]]&gt;=100, Titanic[[#This Row],[Edad]] / 10, Titanic[[#This Row],[Edad]]))</f>
        <v>24</v>
      </c>
      <c r="Q316" s="8" t="str">
        <f>IFERROR(LOOKUP(Titanic[[#This Row],[Edad Corrigida]],'Práctica 1'!$K$231:$K$240,'Práctica 1'!$L$231:$L$240), "DESCONOCIDO")</f>
        <v>3. JOVEN</v>
      </c>
      <c r="R316" s="8">
        <f>Titanic[[#This Row],[Familia Horizontal]]+Titanic[[#This Row],[Familia Vertical]]</f>
        <v>0</v>
      </c>
      <c r="S316" s="8"/>
      <c r="T316" s="8"/>
      <c r="U316" s="8"/>
      <c r="V316" s="8"/>
    </row>
    <row r="317" spans="2:22" x14ac:dyDescent="0.2">
      <c r="B317" s="6">
        <v>312</v>
      </c>
      <c r="C317" s="7">
        <v>1</v>
      </c>
      <c r="D317" s="8">
        <v>1</v>
      </c>
      <c r="E317" s="8" t="s">
        <v>326</v>
      </c>
      <c r="F317" s="8" t="s">
        <v>14</v>
      </c>
      <c r="G317" s="8">
        <v>18</v>
      </c>
      <c r="H317" s="8">
        <v>2</v>
      </c>
      <c r="I317" s="8">
        <v>2</v>
      </c>
      <c r="J317" s="8">
        <v>262375</v>
      </c>
      <c r="K317" s="8">
        <v>1</v>
      </c>
      <c r="L317" s="8" t="s">
        <v>15</v>
      </c>
      <c r="M317" s="8" t="str">
        <f>IF(Titanic[[#This Row],[Sobrevive]]=1, "SOBREVIVE", "NO SOBREVIVE")</f>
        <v>SOBREVIVE</v>
      </c>
      <c r="N317" s="8" t="str">
        <f>LOOKUP(Titanic[[#This Row],[Clase]],{1,2,3}, {"PRIMERA","SEGUNDA","TERCERA"})</f>
        <v>PRIMERA</v>
      </c>
      <c r="O317" s="8" t="str">
        <f>IF(Titanic[[#This Row],[Sexo]]="Hombre", "HOMBRE", "MUJER")</f>
        <v>MUJER</v>
      </c>
      <c r="P317" s="8">
        <f>IF(Titanic[[#This Row],[Edad]]="", "", IF(Titanic[[#This Row],[Edad]]&gt;=100, Titanic[[#This Row],[Edad]] / 10, Titanic[[#This Row],[Edad]]))</f>
        <v>18</v>
      </c>
      <c r="Q317" s="8" t="str">
        <f>IFERROR(LOOKUP(Titanic[[#This Row],[Edad Corrigida]],'Práctica 1'!$K$231:$K$240,'Práctica 1'!$L$231:$L$240), "DESCONOCIDO")</f>
        <v>1. INFANTE</v>
      </c>
      <c r="R317" s="8">
        <f>Titanic[[#This Row],[Familia Horizontal]]+Titanic[[#This Row],[Familia Vertical]]</f>
        <v>4</v>
      </c>
      <c r="S317" s="8"/>
      <c r="T317" s="8"/>
      <c r="U317" s="8"/>
      <c r="V317" s="8"/>
    </row>
    <row r="318" spans="2:22" x14ac:dyDescent="0.2">
      <c r="B318" s="6">
        <v>313</v>
      </c>
      <c r="C318" s="7">
        <v>0</v>
      </c>
      <c r="D318" s="8">
        <v>2</v>
      </c>
      <c r="E318" s="8" t="s">
        <v>327</v>
      </c>
      <c r="F318" s="8" t="s">
        <v>14</v>
      </c>
      <c r="G318" s="8">
        <v>26</v>
      </c>
      <c r="H318" s="8">
        <v>1</v>
      </c>
      <c r="I318" s="8">
        <v>1</v>
      </c>
      <c r="J318" s="8">
        <v>26</v>
      </c>
      <c r="K318" s="8">
        <v>0</v>
      </c>
      <c r="L318" s="8" t="s">
        <v>12</v>
      </c>
      <c r="M318" s="8" t="str">
        <f>IF(Titanic[[#This Row],[Sobrevive]]=1, "SOBREVIVE", "NO SOBREVIVE")</f>
        <v>NO SOBREVIVE</v>
      </c>
      <c r="N318" s="8" t="str">
        <f>LOOKUP(Titanic[[#This Row],[Clase]],{1,2,3}, {"PRIMERA","SEGUNDA","TERCERA"})</f>
        <v>SEGUNDA</v>
      </c>
      <c r="O318" s="8" t="str">
        <f>IF(Titanic[[#This Row],[Sexo]]="Hombre", "HOMBRE", "MUJER")</f>
        <v>MUJER</v>
      </c>
      <c r="P318" s="8">
        <f>IF(Titanic[[#This Row],[Edad]]="", "", IF(Titanic[[#This Row],[Edad]]&gt;=100, Titanic[[#This Row],[Edad]] / 10, Titanic[[#This Row],[Edad]]))</f>
        <v>26</v>
      </c>
      <c r="Q318" s="8" t="str">
        <f>IFERROR(LOOKUP(Titanic[[#This Row],[Edad Corrigida]],'Práctica 1'!$K$231:$K$240,'Práctica 1'!$L$231:$L$240), "DESCONOCIDO")</f>
        <v>4. ADULTO JOVEN</v>
      </c>
      <c r="R318" s="8">
        <f>Titanic[[#This Row],[Familia Horizontal]]+Titanic[[#This Row],[Familia Vertical]]</f>
        <v>2</v>
      </c>
      <c r="S318" s="8"/>
      <c r="T318" s="8"/>
      <c r="U318" s="8"/>
      <c r="V318" s="8"/>
    </row>
    <row r="319" spans="2:22" x14ac:dyDescent="0.2">
      <c r="B319" s="6">
        <v>314</v>
      </c>
      <c r="C319" s="7">
        <v>0</v>
      </c>
      <c r="D319" s="8">
        <v>3</v>
      </c>
      <c r="E319" s="8" t="s">
        <v>328</v>
      </c>
      <c r="F319" s="8" t="s">
        <v>11</v>
      </c>
      <c r="G319" s="8">
        <v>28</v>
      </c>
      <c r="H319" s="8">
        <v>0</v>
      </c>
      <c r="I319" s="8">
        <v>0</v>
      </c>
      <c r="J319" s="8">
        <v>78958</v>
      </c>
      <c r="K319" s="8">
        <v>0</v>
      </c>
      <c r="L319" s="8" t="s">
        <v>12</v>
      </c>
      <c r="M319" s="8" t="str">
        <f>IF(Titanic[[#This Row],[Sobrevive]]=1, "SOBREVIVE", "NO SOBREVIVE")</f>
        <v>NO SOBREVIVE</v>
      </c>
      <c r="N319" s="8" t="str">
        <f>LOOKUP(Titanic[[#This Row],[Clase]],{1,2,3}, {"PRIMERA","SEGUNDA","TERCERA"})</f>
        <v>TERCERA</v>
      </c>
      <c r="O319" s="8" t="str">
        <f>IF(Titanic[[#This Row],[Sexo]]="Hombre", "HOMBRE", "MUJER")</f>
        <v>HOMBRE</v>
      </c>
      <c r="P319" s="8">
        <f>IF(Titanic[[#This Row],[Edad]]="", "", IF(Titanic[[#This Row],[Edad]]&gt;=100, Titanic[[#This Row],[Edad]] / 10, Titanic[[#This Row],[Edad]]))</f>
        <v>28</v>
      </c>
      <c r="Q319" s="8" t="str">
        <f>IFERROR(LOOKUP(Titanic[[#This Row],[Edad Corrigida]],'Práctica 1'!$K$231:$K$240,'Práctica 1'!$L$231:$L$240), "DESCONOCIDO")</f>
        <v>4. ADULTO JOVEN</v>
      </c>
      <c r="R319" s="8">
        <f>Titanic[[#This Row],[Familia Horizontal]]+Titanic[[#This Row],[Familia Vertical]]</f>
        <v>0</v>
      </c>
      <c r="S319" s="8"/>
      <c r="T319" s="8"/>
      <c r="U319" s="8"/>
      <c r="V319" s="8"/>
    </row>
    <row r="320" spans="2:22" x14ac:dyDescent="0.2">
      <c r="B320" s="6">
        <v>315</v>
      </c>
      <c r="C320" s="7">
        <v>0</v>
      </c>
      <c r="D320" s="8">
        <v>2</v>
      </c>
      <c r="E320" s="8" t="s">
        <v>329</v>
      </c>
      <c r="F320" s="8" t="s">
        <v>11</v>
      </c>
      <c r="G320" s="8">
        <v>43</v>
      </c>
      <c r="H320" s="8">
        <v>1</v>
      </c>
      <c r="I320" s="8">
        <v>1</v>
      </c>
      <c r="J320" s="8">
        <v>2625</v>
      </c>
      <c r="K320" s="8">
        <v>0</v>
      </c>
      <c r="L320" s="8" t="s">
        <v>12</v>
      </c>
      <c r="M320" s="8" t="str">
        <f>IF(Titanic[[#This Row],[Sobrevive]]=1, "SOBREVIVE", "NO SOBREVIVE")</f>
        <v>NO SOBREVIVE</v>
      </c>
      <c r="N320" s="8" t="str">
        <f>LOOKUP(Titanic[[#This Row],[Clase]],{1,2,3}, {"PRIMERA","SEGUNDA","TERCERA"})</f>
        <v>SEGUNDA</v>
      </c>
      <c r="O320" s="8" t="str">
        <f>IF(Titanic[[#This Row],[Sexo]]="Hombre", "HOMBRE", "MUJER")</f>
        <v>HOMBRE</v>
      </c>
      <c r="P320" s="8">
        <f>IF(Titanic[[#This Row],[Edad]]="", "", IF(Titanic[[#This Row],[Edad]]&gt;=100, Titanic[[#This Row],[Edad]] / 10, Titanic[[#This Row],[Edad]]))</f>
        <v>43</v>
      </c>
      <c r="Q320" s="8" t="str">
        <f>IFERROR(LOOKUP(Titanic[[#This Row],[Edad Corrigida]],'Práctica 1'!$K$231:$K$240,'Práctica 1'!$L$231:$L$240), "DESCONOCIDO")</f>
        <v>8. ADULTO 3</v>
      </c>
      <c r="R320" s="8">
        <f>Titanic[[#This Row],[Familia Horizontal]]+Titanic[[#This Row],[Familia Vertical]]</f>
        <v>2</v>
      </c>
      <c r="S320" s="8"/>
      <c r="T320" s="8"/>
      <c r="U320" s="8"/>
      <c r="V320" s="8"/>
    </row>
    <row r="321" spans="2:22" x14ac:dyDescent="0.2">
      <c r="B321" s="6">
        <v>316</v>
      </c>
      <c r="C321" s="7">
        <v>1</v>
      </c>
      <c r="D321" s="8">
        <v>3</v>
      </c>
      <c r="E321" s="8" t="s">
        <v>330</v>
      </c>
      <c r="F321" s="8" t="s">
        <v>14</v>
      </c>
      <c r="G321" s="8">
        <v>26</v>
      </c>
      <c r="H321" s="8">
        <v>0</v>
      </c>
      <c r="I321" s="8">
        <v>0</v>
      </c>
      <c r="J321" s="8">
        <v>78542</v>
      </c>
      <c r="K321" s="8">
        <v>0</v>
      </c>
      <c r="L321" s="8" t="s">
        <v>12</v>
      </c>
      <c r="M321" s="8" t="str">
        <f>IF(Titanic[[#This Row],[Sobrevive]]=1, "SOBREVIVE", "NO SOBREVIVE")</f>
        <v>SOBREVIVE</v>
      </c>
      <c r="N321" s="8" t="str">
        <f>LOOKUP(Titanic[[#This Row],[Clase]],{1,2,3}, {"PRIMERA","SEGUNDA","TERCERA"})</f>
        <v>TERCERA</v>
      </c>
      <c r="O321" s="8" t="str">
        <f>IF(Titanic[[#This Row],[Sexo]]="Hombre", "HOMBRE", "MUJER")</f>
        <v>MUJER</v>
      </c>
      <c r="P321" s="8">
        <f>IF(Titanic[[#This Row],[Edad]]="", "", IF(Titanic[[#This Row],[Edad]]&gt;=100, Titanic[[#This Row],[Edad]] / 10, Titanic[[#This Row],[Edad]]))</f>
        <v>26</v>
      </c>
      <c r="Q321" s="8" t="str">
        <f>IFERROR(LOOKUP(Titanic[[#This Row],[Edad Corrigida]],'Práctica 1'!$K$231:$K$240,'Práctica 1'!$L$231:$L$240), "DESCONOCIDO")</f>
        <v>4. ADULTO JOVEN</v>
      </c>
      <c r="R321" s="8">
        <f>Titanic[[#This Row],[Familia Horizontal]]+Titanic[[#This Row],[Familia Vertical]]</f>
        <v>0</v>
      </c>
      <c r="S321" s="8"/>
      <c r="T321" s="8"/>
      <c r="U321" s="8"/>
      <c r="V321" s="8"/>
    </row>
    <row r="322" spans="2:22" x14ac:dyDescent="0.2">
      <c r="B322" s="6">
        <v>317</v>
      </c>
      <c r="C322" s="7">
        <v>1</v>
      </c>
      <c r="D322" s="8">
        <v>2</v>
      </c>
      <c r="E322" s="8" t="s">
        <v>331</v>
      </c>
      <c r="F322" s="8" t="s">
        <v>14</v>
      </c>
      <c r="G322" s="8">
        <v>24</v>
      </c>
      <c r="H322" s="8">
        <v>1</v>
      </c>
      <c r="I322" s="8">
        <v>0</v>
      </c>
      <c r="J322" s="8">
        <v>26</v>
      </c>
      <c r="K322" s="8">
        <v>0</v>
      </c>
      <c r="L322" s="8" t="s">
        <v>12</v>
      </c>
      <c r="M322" s="8" t="str">
        <f>IF(Titanic[[#This Row],[Sobrevive]]=1, "SOBREVIVE", "NO SOBREVIVE")</f>
        <v>SOBREVIVE</v>
      </c>
      <c r="N322" s="8" t="str">
        <f>LOOKUP(Titanic[[#This Row],[Clase]],{1,2,3}, {"PRIMERA","SEGUNDA","TERCERA"})</f>
        <v>SEGUNDA</v>
      </c>
      <c r="O322" s="8" t="str">
        <f>IF(Titanic[[#This Row],[Sexo]]="Hombre", "HOMBRE", "MUJER")</f>
        <v>MUJER</v>
      </c>
      <c r="P322" s="8">
        <f>IF(Titanic[[#This Row],[Edad]]="", "", IF(Titanic[[#This Row],[Edad]]&gt;=100, Titanic[[#This Row],[Edad]] / 10, Titanic[[#This Row],[Edad]]))</f>
        <v>24</v>
      </c>
      <c r="Q322" s="8" t="str">
        <f>IFERROR(LOOKUP(Titanic[[#This Row],[Edad Corrigida]],'Práctica 1'!$K$231:$K$240,'Práctica 1'!$L$231:$L$240), "DESCONOCIDO")</f>
        <v>3. JOVEN</v>
      </c>
      <c r="R322" s="8">
        <f>Titanic[[#This Row],[Familia Horizontal]]+Titanic[[#This Row],[Familia Vertical]]</f>
        <v>1</v>
      </c>
      <c r="S322" s="8"/>
      <c r="T322" s="8"/>
      <c r="U322" s="8"/>
      <c r="V322" s="8"/>
    </row>
    <row r="323" spans="2:22" x14ac:dyDescent="0.2">
      <c r="B323" s="6">
        <v>318</v>
      </c>
      <c r="C323" s="7">
        <v>0</v>
      </c>
      <c r="D323" s="8">
        <v>2</v>
      </c>
      <c r="E323" s="8" t="s">
        <v>332</v>
      </c>
      <c r="F323" s="8" t="s">
        <v>11</v>
      </c>
      <c r="G323" s="8">
        <v>54</v>
      </c>
      <c r="H323" s="8">
        <v>0</v>
      </c>
      <c r="I323" s="8">
        <v>0</v>
      </c>
      <c r="J323" s="8">
        <v>14</v>
      </c>
      <c r="K323" s="8">
        <v>0</v>
      </c>
      <c r="L323" s="8" t="s">
        <v>12</v>
      </c>
      <c r="M323" s="8" t="str">
        <f>IF(Titanic[[#This Row],[Sobrevive]]=1, "SOBREVIVE", "NO SOBREVIVE")</f>
        <v>NO SOBREVIVE</v>
      </c>
      <c r="N323" s="8" t="str">
        <f>LOOKUP(Titanic[[#This Row],[Clase]],{1,2,3}, {"PRIMERA","SEGUNDA","TERCERA"})</f>
        <v>SEGUNDA</v>
      </c>
      <c r="O323" s="8" t="str">
        <f>IF(Titanic[[#This Row],[Sexo]]="Hombre", "HOMBRE", "MUJER")</f>
        <v>HOMBRE</v>
      </c>
      <c r="P323" s="8">
        <f>IF(Titanic[[#This Row],[Edad]]="", "", IF(Titanic[[#This Row],[Edad]]&gt;=100, Titanic[[#This Row],[Edad]] / 10, Titanic[[#This Row],[Edad]]))</f>
        <v>54</v>
      </c>
      <c r="Q323" s="8" t="str">
        <f>IFERROR(LOOKUP(Titanic[[#This Row],[Edad Corrigida]],'Práctica 1'!$K$231:$K$240,'Práctica 1'!$L$231:$L$240), "DESCONOCIDO")</f>
        <v>9. ADULTO 4</v>
      </c>
      <c r="R323" s="8">
        <f>Titanic[[#This Row],[Familia Horizontal]]+Titanic[[#This Row],[Familia Vertical]]</f>
        <v>0</v>
      </c>
      <c r="S323" s="8"/>
      <c r="T323" s="8"/>
      <c r="U323" s="8"/>
      <c r="V323" s="8"/>
    </row>
    <row r="324" spans="2:22" x14ac:dyDescent="0.2">
      <c r="B324" s="6">
        <v>319</v>
      </c>
      <c r="C324" s="7">
        <v>1</v>
      </c>
      <c r="D324" s="8">
        <v>1</v>
      </c>
      <c r="E324" s="8" t="s">
        <v>333</v>
      </c>
      <c r="F324" s="8" t="s">
        <v>14</v>
      </c>
      <c r="G324" s="8">
        <v>31</v>
      </c>
      <c r="H324" s="8">
        <v>0</v>
      </c>
      <c r="I324" s="8">
        <v>2</v>
      </c>
      <c r="J324" s="8">
        <v>1648667</v>
      </c>
      <c r="K324" s="8">
        <v>1</v>
      </c>
      <c r="L324" s="8" t="s">
        <v>12</v>
      </c>
      <c r="M324" s="8" t="str">
        <f>IF(Titanic[[#This Row],[Sobrevive]]=1, "SOBREVIVE", "NO SOBREVIVE")</f>
        <v>SOBREVIVE</v>
      </c>
      <c r="N324" s="8" t="str">
        <f>LOOKUP(Titanic[[#This Row],[Clase]],{1,2,3}, {"PRIMERA","SEGUNDA","TERCERA"})</f>
        <v>PRIMERA</v>
      </c>
      <c r="O324" s="8" t="str">
        <f>IF(Titanic[[#This Row],[Sexo]]="Hombre", "HOMBRE", "MUJER")</f>
        <v>MUJER</v>
      </c>
      <c r="P324" s="8">
        <f>IF(Titanic[[#This Row],[Edad]]="", "", IF(Titanic[[#This Row],[Edad]]&gt;=100, Titanic[[#This Row],[Edad]] / 10, Titanic[[#This Row],[Edad]]))</f>
        <v>31</v>
      </c>
      <c r="Q324" s="8" t="str">
        <f>IFERROR(LOOKUP(Titanic[[#This Row],[Edad Corrigida]],'Práctica 1'!$K$231:$K$240,'Práctica 1'!$L$231:$L$240), "DESCONOCIDO")</f>
        <v>5. ADULTO</v>
      </c>
      <c r="R324" s="8">
        <f>Titanic[[#This Row],[Familia Horizontal]]+Titanic[[#This Row],[Familia Vertical]]</f>
        <v>2</v>
      </c>
      <c r="S324" s="8"/>
      <c r="T324" s="8"/>
      <c r="U324" s="8"/>
      <c r="V324" s="8"/>
    </row>
    <row r="325" spans="2:22" x14ac:dyDescent="0.2">
      <c r="B325" s="6">
        <v>320</v>
      </c>
      <c r="C325" s="7">
        <v>1</v>
      </c>
      <c r="D325" s="8">
        <v>1</v>
      </c>
      <c r="E325" s="8" t="s">
        <v>334</v>
      </c>
      <c r="F325" s="8" t="s">
        <v>14</v>
      </c>
      <c r="G325" s="8">
        <v>40</v>
      </c>
      <c r="H325" s="8">
        <v>1</v>
      </c>
      <c r="I325" s="8">
        <v>1</v>
      </c>
      <c r="J325" s="8">
        <v>1345</v>
      </c>
      <c r="K325" s="8">
        <v>1</v>
      </c>
      <c r="L325" s="8" t="s">
        <v>15</v>
      </c>
      <c r="M325" s="8" t="str">
        <f>IF(Titanic[[#This Row],[Sobrevive]]=1, "SOBREVIVE", "NO SOBREVIVE")</f>
        <v>SOBREVIVE</v>
      </c>
      <c r="N325" s="8" t="str">
        <f>LOOKUP(Titanic[[#This Row],[Clase]],{1,2,3}, {"PRIMERA","SEGUNDA","TERCERA"})</f>
        <v>PRIMERA</v>
      </c>
      <c r="O325" s="8" t="str">
        <f>IF(Titanic[[#This Row],[Sexo]]="Hombre", "HOMBRE", "MUJER")</f>
        <v>MUJER</v>
      </c>
      <c r="P325" s="8">
        <f>IF(Titanic[[#This Row],[Edad]]="", "", IF(Titanic[[#This Row],[Edad]]&gt;=100, Titanic[[#This Row],[Edad]] / 10, Titanic[[#This Row],[Edad]]))</f>
        <v>40</v>
      </c>
      <c r="Q325" s="8" t="str">
        <f>IFERROR(LOOKUP(Titanic[[#This Row],[Edad Corrigida]],'Práctica 1'!$K$231:$K$240,'Práctica 1'!$L$231:$L$240), "DESCONOCIDO")</f>
        <v>7. ADULTO 2</v>
      </c>
      <c r="R325" s="8">
        <f>Titanic[[#This Row],[Familia Horizontal]]+Titanic[[#This Row],[Familia Vertical]]</f>
        <v>2</v>
      </c>
      <c r="S325" s="8"/>
      <c r="T325" s="8"/>
      <c r="U325" s="8"/>
      <c r="V325" s="8"/>
    </row>
    <row r="326" spans="2:22" x14ac:dyDescent="0.2">
      <c r="B326" s="6">
        <v>321</v>
      </c>
      <c r="C326" s="7">
        <v>0</v>
      </c>
      <c r="D326" s="8">
        <v>3</v>
      </c>
      <c r="E326" s="8" t="s">
        <v>335</v>
      </c>
      <c r="F326" s="8" t="s">
        <v>11</v>
      </c>
      <c r="G326" s="8">
        <v>22</v>
      </c>
      <c r="H326" s="8">
        <v>0</v>
      </c>
      <c r="I326" s="8">
        <v>0</v>
      </c>
      <c r="J326" s="8">
        <v>725</v>
      </c>
      <c r="K326" s="8">
        <v>0</v>
      </c>
      <c r="L326" s="8" t="s">
        <v>12</v>
      </c>
      <c r="M326" s="8" t="str">
        <f>IF(Titanic[[#This Row],[Sobrevive]]=1, "SOBREVIVE", "NO SOBREVIVE")</f>
        <v>NO SOBREVIVE</v>
      </c>
      <c r="N326" s="8" t="str">
        <f>LOOKUP(Titanic[[#This Row],[Clase]],{1,2,3}, {"PRIMERA","SEGUNDA","TERCERA"})</f>
        <v>TERCERA</v>
      </c>
      <c r="O326" s="8" t="str">
        <f>IF(Titanic[[#This Row],[Sexo]]="Hombre", "HOMBRE", "MUJER")</f>
        <v>HOMBRE</v>
      </c>
      <c r="P326" s="8">
        <f>IF(Titanic[[#This Row],[Edad]]="", "", IF(Titanic[[#This Row],[Edad]]&gt;=100, Titanic[[#This Row],[Edad]] / 10, Titanic[[#This Row],[Edad]]))</f>
        <v>22</v>
      </c>
      <c r="Q326" s="8" t="str">
        <f>IFERROR(LOOKUP(Titanic[[#This Row],[Edad Corrigida]],'Práctica 1'!$K$231:$K$240,'Práctica 1'!$L$231:$L$240), "DESCONOCIDO")</f>
        <v>3. JOVEN</v>
      </c>
      <c r="R326" s="8">
        <f>Titanic[[#This Row],[Familia Horizontal]]+Titanic[[#This Row],[Familia Vertical]]</f>
        <v>0</v>
      </c>
      <c r="S326" s="8"/>
      <c r="T326" s="8"/>
      <c r="U326" s="8"/>
      <c r="V326" s="8"/>
    </row>
    <row r="327" spans="2:22" x14ac:dyDescent="0.2">
      <c r="B327" s="6">
        <v>322</v>
      </c>
      <c r="C327" s="7">
        <v>0</v>
      </c>
      <c r="D327" s="8">
        <v>3</v>
      </c>
      <c r="E327" s="8" t="s">
        <v>336</v>
      </c>
      <c r="F327" s="8" t="s">
        <v>11</v>
      </c>
      <c r="G327" s="8">
        <v>27</v>
      </c>
      <c r="H327" s="8">
        <v>0</v>
      </c>
      <c r="I327" s="8">
        <v>0</v>
      </c>
      <c r="J327" s="8">
        <v>78958</v>
      </c>
      <c r="K327" s="8">
        <v>0</v>
      </c>
      <c r="L327" s="8" t="s">
        <v>12</v>
      </c>
      <c r="M327" s="8" t="str">
        <f>IF(Titanic[[#This Row],[Sobrevive]]=1, "SOBREVIVE", "NO SOBREVIVE")</f>
        <v>NO SOBREVIVE</v>
      </c>
      <c r="N327" s="8" t="str">
        <f>LOOKUP(Titanic[[#This Row],[Clase]],{1,2,3}, {"PRIMERA","SEGUNDA","TERCERA"})</f>
        <v>TERCERA</v>
      </c>
      <c r="O327" s="8" t="str">
        <f>IF(Titanic[[#This Row],[Sexo]]="Hombre", "HOMBRE", "MUJER")</f>
        <v>HOMBRE</v>
      </c>
      <c r="P327" s="8">
        <f>IF(Titanic[[#This Row],[Edad]]="", "", IF(Titanic[[#This Row],[Edad]]&gt;=100, Titanic[[#This Row],[Edad]] / 10, Titanic[[#This Row],[Edad]]))</f>
        <v>27</v>
      </c>
      <c r="Q327" s="8" t="str">
        <f>IFERROR(LOOKUP(Titanic[[#This Row],[Edad Corrigida]],'Práctica 1'!$K$231:$K$240,'Práctica 1'!$L$231:$L$240), "DESCONOCIDO")</f>
        <v>4. ADULTO JOVEN</v>
      </c>
      <c r="R327" s="8">
        <f>Titanic[[#This Row],[Familia Horizontal]]+Titanic[[#This Row],[Familia Vertical]]</f>
        <v>0</v>
      </c>
      <c r="S327" s="8"/>
      <c r="T327" s="8"/>
      <c r="U327" s="8"/>
      <c r="V327" s="8"/>
    </row>
    <row r="328" spans="2:22" x14ac:dyDescent="0.2">
      <c r="B328" s="6">
        <v>323</v>
      </c>
      <c r="C328" s="7">
        <v>1</v>
      </c>
      <c r="D328" s="8">
        <v>2</v>
      </c>
      <c r="E328" s="8" t="s">
        <v>337</v>
      </c>
      <c r="F328" s="8" t="s">
        <v>14</v>
      </c>
      <c r="G328" s="8">
        <v>30</v>
      </c>
      <c r="H328" s="8">
        <v>0</v>
      </c>
      <c r="I328" s="8">
        <v>0</v>
      </c>
      <c r="J328" s="8">
        <v>1235</v>
      </c>
      <c r="K328" s="8">
        <v>0</v>
      </c>
      <c r="L328" s="8" t="s">
        <v>20</v>
      </c>
      <c r="M328" s="8" t="str">
        <f>IF(Titanic[[#This Row],[Sobrevive]]=1, "SOBREVIVE", "NO SOBREVIVE")</f>
        <v>SOBREVIVE</v>
      </c>
      <c r="N328" s="8" t="str">
        <f>LOOKUP(Titanic[[#This Row],[Clase]],{1,2,3}, {"PRIMERA","SEGUNDA","TERCERA"})</f>
        <v>SEGUNDA</v>
      </c>
      <c r="O328" s="8" t="str">
        <f>IF(Titanic[[#This Row],[Sexo]]="Hombre", "HOMBRE", "MUJER")</f>
        <v>MUJER</v>
      </c>
      <c r="P328" s="8">
        <f>IF(Titanic[[#This Row],[Edad]]="", "", IF(Titanic[[#This Row],[Edad]]&gt;=100, Titanic[[#This Row],[Edad]] / 10, Titanic[[#This Row],[Edad]]))</f>
        <v>30</v>
      </c>
      <c r="Q328" s="8" t="str">
        <f>IFERROR(LOOKUP(Titanic[[#This Row],[Edad Corrigida]],'Práctica 1'!$K$231:$K$240,'Práctica 1'!$L$231:$L$240), "DESCONOCIDO")</f>
        <v>5. ADULTO</v>
      </c>
      <c r="R328" s="8">
        <f>Titanic[[#This Row],[Familia Horizontal]]+Titanic[[#This Row],[Familia Vertical]]</f>
        <v>0</v>
      </c>
      <c r="S328" s="8"/>
      <c r="T328" s="8"/>
      <c r="U328" s="8"/>
      <c r="V328" s="8"/>
    </row>
    <row r="329" spans="2:22" x14ac:dyDescent="0.2">
      <c r="B329" s="6">
        <v>324</v>
      </c>
      <c r="C329" s="7">
        <v>1</v>
      </c>
      <c r="D329" s="8">
        <v>2</v>
      </c>
      <c r="E329" s="8" t="s">
        <v>338</v>
      </c>
      <c r="F329" s="8" t="s">
        <v>14</v>
      </c>
      <c r="G329" s="8">
        <v>22</v>
      </c>
      <c r="H329" s="8">
        <v>1</v>
      </c>
      <c r="I329" s="8">
        <v>1</v>
      </c>
      <c r="J329" s="8">
        <v>29</v>
      </c>
      <c r="K329" s="8">
        <v>0</v>
      </c>
      <c r="L329" s="8" t="s">
        <v>12</v>
      </c>
      <c r="M329" s="8" t="str">
        <f>IF(Titanic[[#This Row],[Sobrevive]]=1, "SOBREVIVE", "NO SOBREVIVE")</f>
        <v>SOBREVIVE</v>
      </c>
      <c r="N329" s="8" t="str">
        <f>LOOKUP(Titanic[[#This Row],[Clase]],{1,2,3}, {"PRIMERA","SEGUNDA","TERCERA"})</f>
        <v>SEGUNDA</v>
      </c>
      <c r="O329" s="8" t="str">
        <f>IF(Titanic[[#This Row],[Sexo]]="Hombre", "HOMBRE", "MUJER")</f>
        <v>MUJER</v>
      </c>
      <c r="P329" s="8">
        <f>IF(Titanic[[#This Row],[Edad]]="", "", IF(Titanic[[#This Row],[Edad]]&gt;=100, Titanic[[#This Row],[Edad]] / 10, Titanic[[#This Row],[Edad]]))</f>
        <v>22</v>
      </c>
      <c r="Q329" s="8" t="str">
        <f>IFERROR(LOOKUP(Titanic[[#This Row],[Edad Corrigida]],'Práctica 1'!$K$231:$K$240,'Práctica 1'!$L$231:$L$240), "DESCONOCIDO")</f>
        <v>3. JOVEN</v>
      </c>
      <c r="R329" s="8">
        <f>Titanic[[#This Row],[Familia Horizontal]]+Titanic[[#This Row],[Familia Vertical]]</f>
        <v>2</v>
      </c>
      <c r="S329" s="8"/>
      <c r="T329" s="8"/>
      <c r="U329" s="8"/>
      <c r="V329" s="8"/>
    </row>
    <row r="330" spans="2:22" x14ac:dyDescent="0.2">
      <c r="B330" s="6">
        <v>325</v>
      </c>
      <c r="C330" s="7">
        <v>0</v>
      </c>
      <c r="D330" s="8">
        <v>3</v>
      </c>
      <c r="E330" s="8" t="s">
        <v>339</v>
      </c>
      <c r="F330" s="8" t="s">
        <v>11</v>
      </c>
      <c r="G330" s="9"/>
      <c r="H330" s="8">
        <v>8</v>
      </c>
      <c r="I330" s="8">
        <v>2</v>
      </c>
      <c r="J330" s="8">
        <v>6955</v>
      </c>
      <c r="K330" s="8">
        <v>0</v>
      </c>
      <c r="L330" s="8" t="s">
        <v>12</v>
      </c>
      <c r="M330" s="8" t="str">
        <f>IF(Titanic[[#This Row],[Sobrevive]]=1, "SOBREVIVE", "NO SOBREVIVE")</f>
        <v>NO SOBREVIVE</v>
      </c>
      <c r="N330" s="8" t="str">
        <f>LOOKUP(Titanic[[#This Row],[Clase]],{1,2,3}, {"PRIMERA","SEGUNDA","TERCERA"})</f>
        <v>TERCERA</v>
      </c>
      <c r="O330" s="8" t="str">
        <f>IF(Titanic[[#This Row],[Sexo]]="Hombre", "HOMBRE", "MUJER")</f>
        <v>HOMBRE</v>
      </c>
      <c r="P330" s="8" t="str">
        <f>IF(Titanic[[#This Row],[Edad]]="", "", IF(Titanic[[#This Row],[Edad]]&gt;=100, Titanic[[#This Row],[Edad]] / 10, Titanic[[#This Row],[Edad]]))</f>
        <v/>
      </c>
      <c r="Q330" s="8" t="str">
        <f>IFERROR(LOOKUP(Titanic[[#This Row],[Edad Corrigida]],'Práctica 1'!$K$231:$K$240,'Práctica 1'!$L$231:$L$240), "DESCONOCIDO")</f>
        <v>DESCONOCIDO</v>
      </c>
      <c r="R330" s="8">
        <f>Titanic[[#This Row],[Familia Horizontal]]+Titanic[[#This Row],[Familia Vertical]]</f>
        <v>10</v>
      </c>
      <c r="S330" s="8"/>
      <c r="T330" s="8"/>
      <c r="U330" s="8"/>
      <c r="V330" s="8"/>
    </row>
    <row r="331" spans="2:22" x14ac:dyDescent="0.2">
      <c r="B331" s="6">
        <v>326</v>
      </c>
      <c r="C331" s="7">
        <v>1</v>
      </c>
      <c r="D331" s="8">
        <v>1</v>
      </c>
      <c r="E331" s="8" t="s">
        <v>340</v>
      </c>
      <c r="F331" s="8" t="s">
        <v>14</v>
      </c>
      <c r="G331" s="8">
        <v>36</v>
      </c>
      <c r="H331" s="8">
        <v>0</v>
      </c>
      <c r="I331" s="8">
        <v>0</v>
      </c>
      <c r="J331" s="8">
        <v>1356333</v>
      </c>
      <c r="K331" s="8">
        <v>1</v>
      </c>
      <c r="L331" s="8" t="s">
        <v>15</v>
      </c>
      <c r="M331" s="8" t="str">
        <f>IF(Titanic[[#This Row],[Sobrevive]]=1, "SOBREVIVE", "NO SOBREVIVE")</f>
        <v>SOBREVIVE</v>
      </c>
      <c r="N331" s="8" t="str">
        <f>LOOKUP(Titanic[[#This Row],[Clase]],{1,2,3}, {"PRIMERA","SEGUNDA","TERCERA"})</f>
        <v>PRIMERA</v>
      </c>
      <c r="O331" s="8" t="str">
        <f>IF(Titanic[[#This Row],[Sexo]]="Hombre", "HOMBRE", "MUJER")</f>
        <v>MUJER</v>
      </c>
      <c r="P331" s="8">
        <f>IF(Titanic[[#This Row],[Edad]]="", "", IF(Titanic[[#This Row],[Edad]]&gt;=100, Titanic[[#This Row],[Edad]] / 10, Titanic[[#This Row],[Edad]]))</f>
        <v>36</v>
      </c>
      <c r="Q331" s="8" t="str">
        <f>IFERROR(LOOKUP(Titanic[[#This Row],[Edad Corrigida]],'Práctica 1'!$K$231:$K$240,'Práctica 1'!$L$231:$L$240), "DESCONOCIDO")</f>
        <v>7. ADULTO 2</v>
      </c>
      <c r="R331" s="8">
        <f>Titanic[[#This Row],[Familia Horizontal]]+Titanic[[#This Row],[Familia Vertical]]</f>
        <v>0</v>
      </c>
      <c r="S331" s="8"/>
      <c r="T331" s="8"/>
      <c r="U331" s="8"/>
      <c r="V331" s="8"/>
    </row>
    <row r="332" spans="2:22" x14ac:dyDescent="0.2">
      <c r="B332" s="6">
        <v>327</v>
      </c>
      <c r="C332" s="7">
        <v>0</v>
      </c>
      <c r="D332" s="8">
        <v>3</v>
      </c>
      <c r="E332" s="8" t="s">
        <v>341</v>
      </c>
      <c r="F332" s="8" t="s">
        <v>11</v>
      </c>
      <c r="G332" s="8">
        <v>61</v>
      </c>
      <c r="H332" s="8">
        <v>0</v>
      </c>
      <c r="I332" s="8">
        <v>0</v>
      </c>
      <c r="J332" s="8">
        <v>62375</v>
      </c>
      <c r="K332" s="8">
        <v>0</v>
      </c>
      <c r="L332" s="8" t="s">
        <v>12</v>
      </c>
      <c r="M332" s="8" t="str">
        <f>IF(Titanic[[#This Row],[Sobrevive]]=1, "SOBREVIVE", "NO SOBREVIVE")</f>
        <v>NO SOBREVIVE</v>
      </c>
      <c r="N332" s="8" t="str">
        <f>LOOKUP(Titanic[[#This Row],[Clase]],{1,2,3}, {"PRIMERA","SEGUNDA","TERCERA"})</f>
        <v>TERCERA</v>
      </c>
      <c r="O332" s="8" t="str">
        <f>IF(Titanic[[#This Row],[Sexo]]="Hombre", "HOMBRE", "MUJER")</f>
        <v>HOMBRE</v>
      </c>
      <c r="P332" s="8">
        <f>IF(Titanic[[#This Row],[Edad]]="", "", IF(Titanic[[#This Row],[Edad]]&gt;=100, Titanic[[#This Row],[Edad]] / 10, Titanic[[#This Row],[Edad]]))</f>
        <v>61</v>
      </c>
      <c r="Q332" s="8" t="str">
        <f>IFERROR(LOOKUP(Titanic[[#This Row],[Edad Corrigida]],'Práctica 1'!$K$231:$K$240,'Práctica 1'!$L$231:$L$240), "DESCONOCIDO")</f>
        <v>9. ADULTO 4</v>
      </c>
      <c r="R332" s="8">
        <f>Titanic[[#This Row],[Familia Horizontal]]+Titanic[[#This Row],[Familia Vertical]]</f>
        <v>0</v>
      </c>
      <c r="S332" s="8"/>
      <c r="T332" s="8"/>
      <c r="U332" s="8"/>
      <c r="V332" s="8"/>
    </row>
    <row r="333" spans="2:22" x14ac:dyDescent="0.2">
      <c r="B333" s="6">
        <v>328</v>
      </c>
      <c r="C333" s="7">
        <v>1</v>
      </c>
      <c r="D333" s="8">
        <v>2</v>
      </c>
      <c r="E333" s="8" t="s">
        <v>342</v>
      </c>
      <c r="F333" s="8" t="s">
        <v>14</v>
      </c>
      <c r="G333" s="8">
        <v>36</v>
      </c>
      <c r="H333" s="8">
        <v>0</v>
      </c>
      <c r="I333" s="8">
        <v>0</v>
      </c>
      <c r="J333" s="8">
        <v>13</v>
      </c>
      <c r="K333" s="8">
        <v>1</v>
      </c>
      <c r="L333" s="8" t="s">
        <v>12</v>
      </c>
      <c r="M333" s="8" t="str">
        <f>IF(Titanic[[#This Row],[Sobrevive]]=1, "SOBREVIVE", "NO SOBREVIVE")</f>
        <v>SOBREVIVE</v>
      </c>
      <c r="N333" s="8" t="str">
        <f>LOOKUP(Titanic[[#This Row],[Clase]],{1,2,3}, {"PRIMERA","SEGUNDA","TERCERA"})</f>
        <v>SEGUNDA</v>
      </c>
      <c r="O333" s="8" t="str">
        <f>IF(Titanic[[#This Row],[Sexo]]="Hombre", "HOMBRE", "MUJER")</f>
        <v>MUJER</v>
      </c>
      <c r="P333" s="8">
        <f>IF(Titanic[[#This Row],[Edad]]="", "", IF(Titanic[[#This Row],[Edad]]&gt;=100, Titanic[[#This Row],[Edad]] / 10, Titanic[[#This Row],[Edad]]))</f>
        <v>36</v>
      </c>
      <c r="Q333" s="8" t="str">
        <f>IFERROR(LOOKUP(Titanic[[#This Row],[Edad Corrigida]],'Práctica 1'!$K$231:$K$240,'Práctica 1'!$L$231:$L$240), "DESCONOCIDO")</f>
        <v>7. ADULTO 2</v>
      </c>
      <c r="R333" s="8">
        <f>Titanic[[#This Row],[Familia Horizontal]]+Titanic[[#This Row],[Familia Vertical]]</f>
        <v>0</v>
      </c>
      <c r="S333" s="8"/>
      <c r="T333" s="8"/>
      <c r="U333" s="8"/>
      <c r="V333" s="8"/>
    </row>
    <row r="334" spans="2:22" x14ac:dyDescent="0.2">
      <c r="B334" s="6">
        <v>329</v>
      </c>
      <c r="C334" s="7">
        <v>1</v>
      </c>
      <c r="D334" s="8">
        <v>3</v>
      </c>
      <c r="E334" s="8" t="s">
        <v>343</v>
      </c>
      <c r="F334" s="8" t="s">
        <v>14</v>
      </c>
      <c r="G334" s="8">
        <v>31</v>
      </c>
      <c r="H334" s="8">
        <v>1</v>
      </c>
      <c r="I334" s="8">
        <v>1</v>
      </c>
      <c r="J334" s="8">
        <v>20525</v>
      </c>
      <c r="K334" s="8">
        <v>0</v>
      </c>
      <c r="L334" s="8" t="s">
        <v>12</v>
      </c>
      <c r="M334" s="8" t="str">
        <f>IF(Titanic[[#This Row],[Sobrevive]]=1, "SOBREVIVE", "NO SOBREVIVE")</f>
        <v>SOBREVIVE</v>
      </c>
      <c r="N334" s="8" t="str">
        <f>LOOKUP(Titanic[[#This Row],[Clase]],{1,2,3}, {"PRIMERA","SEGUNDA","TERCERA"})</f>
        <v>TERCERA</v>
      </c>
      <c r="O334" s="8" t="str">
        <f>IF(Titanic[[#This Row],[Sexo]]="Hombre", "HOMBRE", "MUJER")</f>
        <v>MUJER</v>
      </c>
      <c r="P334" s="8">
        <f>IF(Titanic[[#This Row],[Edad]]="", "", IF(Titanic[[#This Row],[Edad]]&gt;=100, Titanic[[#This Row],[Edad]] / 10, Titanic[[#This Row],[Edad]]))</f>
        <v>31</v>
      </c>
      <c r="Q334" s="8" t="str">
        <f>IFERROR(LOOKUP(Titanic[[#This Row],[Edad Corrigida]],'Práctica 1'!$K$231:$K$240,'Práctica 1'!$L$231:$L$240), "DESCONOCIDO")</f>
        <v>5. ADULTO</v>
      </c>
      <c r="R334" s="8">
        <f>Titanic[[#This Row],[Familia Horizontal]]+Titanic[[#This Row],[Familia Vertical]]</f>
        <v>2</v>
      </c>
      <c r="S334" s="8"/>
      <c r="T334" s="8"/>
      <c r="U334" s="8"/>
      <c r="V334" s="8"/>
    </row>
    <row r="335" spans="2:22" x14ac:dyDescent="0.2">
      <c r="B335" s="6">
        <v>330</v>
      </c>
      <c r="C335" s="7">
        <v>1</v>
      </c>
      <c r="D335" s="8">
        <v>1</v>
      </c>
      <c r="E335" s="8" t="s">
        <v>344</v>
      </c>
      <c r="F335" s="8" t="s">
        <v>14</v>
      </c>
      <c r="G335" s="8">
        <v>16</v>
      </c>
      <c r="H335" s="8">
        <v>0</v>
      </c>
      <c r="I335" s="8">
        <v>1</v>
      </c>
      <c r="J335" s="8">
        <v>579792</v>
      </c>
      <c r="K335" s="8">
        <v>1</v>
      </c>
      <c r="L335" s="8" t="s">
        <v>15</v>
      </c>
      <c r="M335" s="8" t="str">
        <f>IF(Titanic[[#This Row],[Sobrevive]]=1, "SOBREVIVE", "NO SOBREVIVE")</f>
        <v>SOBREVIVE</v>
      </c>
      <c r="N335" s="8" t="str">
        <f>LOOKUP(Titanic[[#This Row],[Clase]],{1,2,3}, {"PRIMERA","SEGUNDA","TERCERA"})</f>
        <v>PRIMERA</v>
      </c>
      <c r="O335" s="8" t="str">
        <f>IF(Titanic[[#This Row],[Sexo]]="Hombre", "HOMBRE", "MUJER")</f>
        <v>MUJER</v>
      </c>
      <c r="P335" s="8">
        <f>IF(Titanic[[#This Row],[Edad]]="", "", IF(Titanic[[#This Row],[Edad]]&gt;=100, Titanic[[#This Row],[Edad]] / 10, Titanic[[#This Row],[Edad]]))</f>
        <v>16</v>
      </c>
      <c r="Q335" s="8" t="str">
        <f>IFERROR(LOOKUP(Titanic[[#This Row],[Edad Corrigida]],'Práctica 1'!$K$231:$K$240,'Práctica 1'!$L$231:$L$240), "DESCONOCIDO")</f>
        <v>1. INFANTE</v>
      </c>
      <c r="R335" s="8">
        <f>Titanic[[#This Row],[Familia Horizontal]]+Titanic[[#This Row],[Familia Vertical]]</f>
        <v>1</v>
      </c>
      <c r="S335" s="8"/>
      <c r="T335" s="8"/>
      <c r="U335" s="8"/>
      <c r="V335" s="8"/>
    </row>
    <row r="336" spans="2:22" x14ac:dyDescent="0.2">
      <c r="B336" s="6">
        <v>331</v>
      </c>
      <c r="C336" s="7">
        <v>1</v>
      </c>
      <c r="D336" s="8">
        <v>3</v>
      </c>
      <c r="E336" s="8" t="s">
        <v>345</v>
      </c>
      <c r="F336" s="8" t="s">
        <v>14</v>
      </c>
      <c r="G336" s="9"/>
      <c r="H336" s="8">
        <v>2</v>
      </c>
      <c r="I336" s="8">
        <v>0</v>
      </c>
      <c r="J336" s="8">
        <v>2325</v>
      </c>
      <c r="K336" s="8">
        <v>0</v>
      </c>
      <c r="L336" s="8" t="s">
        <v>20</v>
      </c>
      <c r="M336" s="8" t="str">
        <f>IF(Titanic[[#This Row],[Sobrevive]]=1, "SOBREVIVE", "NO SOBREVIVE")</f>
        <v>SOBREVIVE</v>
      </c>
      <c r="N336" s="8" t="str">
        <f>LOOKUP(Titanic[[#This Row],[Clase]],{1,2,3}, {"PRIMERA","SEGUNDA","TERCERA"})</f>
        <v>TERCERA</v>
      </c>
      <c r="O336" s="8" t="str">
        <f>IF(Titanic[[#This Row],[Sexo]]="Hombre", "HOMBRE", "MUJER")</f>
        <v>MUJER</v>
      </c>
      <c r="P336" s="8" t="str">
        <f>IF(Titanic[[#This Row],[Edad]]="", "", IF(Titanic[[#This Row],[Edad]]&gt;=100, Titanic[[#This Row],[Edad]] / 10, Titanic[[#This Row],[Edad]]))</f>
        <v/>
      </c>
      <c r="Q336" s="8" t="str">
        <f>IFERROR(LOOKUP(Titanic[[#This Row],[Edad Corrigida]],'Práctica 1'!$K$231:$K$240,'Práctica 1'!$L$231:$L$240), "DESCONOCIDO")</f>
        <v>DESCONOCIDO</v>
      </c>
      <c r="R336" s="8">
        <f>Titanic[[#This Row],[Familia Horizontal]]+Titanic[[#This Row],[Familia Vertical]]</f>
        <v>2</v>
      </c>
      <c r="S336" s="8"/>
      <c r="T336" s="8"/>
      <c r="U336" s="8"/>
      <c r="V336" s="8"/>
    </row>
    <row r="337" spans="2:22" x14ac:dyDescent="0.2">
      <c r="B337" s="6">
        <v>332</v>
      </c>
      <c r="C337" s="7">
        <v>0</v>
      </c>
      <c r="D337" s="8">
        <v>1</v>
      </c>
      <c r="E337" s="8" t="s">
        <v>346</v>
      </c>
      <c r="F337" s="8" t="s">
        <v>11</v>
      </c>
      <c r="G337" s="8">
        <v>455</v>
      </c>
      <c r="H337" s="8">
        <v>0</v>
      </c>
      <c r="I337" s="8">
        <v>0</v>
      </c>
      <c r="J337" s="8">
        <v>285</v>
      </c>
      <c r="K337" s="8">
        <v>1</v>
      </c>
      <c r="L337" s="8" t="s">
        <v>12</v>
      </c>
      <c r="M337" s="8" t="str">
        <f>IF(Titanic[[#This Row],[Sobrevive]]=1, "SOBREVIVE", "NO SOBREVIVE")</f>
        <v>NO SOBREVIVE</v>
      </c>
      <c r="N337" s="8" t="str">
        <f>LOOKUP(Titanic[[#This Row],[Clase]],{1,2,3}, {"PRIMERA","SEGUNDA","TERCERA"})</f>
        <v>PRIMERA</v>
      </c>
      <c r="O337" s="8" t="str">
        <f>IF(Titanic[[#This Row],[Sexo]]="Hombre", "HOMBRE", "MUJER")</f>
        <v>HOMBRE</v>
      </c>
      <c r="P337" s="8">
        <f>IF(Titanic[[#This Row],[Edad]]="", "", IF(Titanic[[#This Row],[Edad]]&gt;=100, Titanic[[#This Row],[Edad]] / 10, Titanic[[#This Row],[Edad]]))</f>
        <v>45.5</v>
      </c>
      <c r="Q337" s="8" t="str">
        <f>IFERROR(LOOKUP(Titanic[[#This Row],[Edad Corrigida]],'Práctica 1'!$K$231:$K$240,'Práctica 1'!$L$231:$L$240), "DESCONOCIDO")</f>
        <v>8. ADULTO 3</v>
      </c>
      <c r="R337" s="8">
        <f>Titanic[[#This Row],[Familia Horizontal]]+Titanic[[#This Row],[Familia Vertical]]</f>
        <v>0</v>
      </c>
      <c r="S337" s="8"/>
      <c r="T337" s="8"/>
      <c r="U337" s="8"/>
      <c r="V337" s="8"/>
    </row>
    <row r="338" spans="2:22" x14ac:dyDescent="0.2">
      <c r="B338" s="6">
        <v>333</v>
      </c>
      <c r="C338" s="7">
        <v>0</v>
      </c>
      <c r="D338" s="8">
        <v>1</v>
      </c>
      <c r="E338" s="8" t="s">
        <v>347</v>
      </c>
      <c r="F338" s="8" t="s">
        <v>11</v>
      </c>
      <c r="G338" s="8">
        <v>38</v>
      </c>
      <c r="H338" s="8">
        <v>0</v>
      </c>
      <c r="I338" s="8">
        <v>1</v>
      </c>
      <c r="J338" s="8">
        <v>1534625</v>
      </c>
      <c r="K338" s="8">
        <v>1</v>
      </c>
      <c r="L338" s="8" t="s">
        <v>12</v>
      </c>
      <c r="M338" s="8" t="str">
        <f>IF(Titanic[[#This Row],[Sobrevive]]=1, "SOBREVIVE", "NO SOBREVIVE")</f>
        <v>NO SOBREVIVE</v>
      </c>
      <c r="N338" s="8" t="str">
        <f>LOOKUP(Titanic[[#This Row],[Clase]],{1,2,3}, {"PRIMERA","SEGUNDA","TERCERA"})</f>
        <v>PRIMERA</v>
      </c>
      <c r="O338" s="8" t="str">
        <f>IF(Titanic[[#This Row],[Sexo]]="Hombre", "HOMBRE", "MUJER")</f>
        <v>HOMBRE</v>
      </c>
      <c r="P338" s="8">
        <f>IF(Titanic[[#This Row],[Edad]]="", "", IF(Titanic[[#This Row],[Edad]]&gt;=100, Titanic[[#This Row],[Edad]] / 10, Titanic[[#This Row],[Edad]]))</f>
        <v>38</v>
      </c>
      <c r="Q338" s="8" t="str">
        <f>IFERROR(LOOKUP(Titanic[[#This Row],[Edad Corrigida]],'Práctica 1'!$K$231:$K$240,'Práctica 1'!$L$231:$L$240), "DESCONOCIDO")</f>
        <v>7. ADULTO 2</v>
      </c>
      <c r="R338" s="8">
        <f>Titanic[[#This Row],[Familia Horizontal]]+Titanic[[#This Row],[Familia Vertical]]</f>
        <v>1</v>
      </c>
      <c r="S338" s="8"/>
      <c r="T338" s="8"/>
      <c r="U338" s="8"/>
      <c r="V338" s="8"/>
    </row>
    <row r="339" spans="2:22" x14ac:dyDescent="0.2">
      <c r="B339" s="6">
        <v>334</v>
      </c>
      <c r="C339" s="7">
        <v>0</v>
      </c>
      <c r="D339" s="8">
        <v>3</v>
      </c>
      <c r="E339" s="8" t="s">
        <v>348</v>
      </c>
      <c r="F339" s="8" t="s">
        <v>11</v>
      </c>
      <c r="G339" s="8">
        <v>16</v>
      </c>
      <c r="H339" s="8">
        <v>2</v>
      </c>
      <c r="I339" s="8">
        <v>0</v>
      </c>
      <c r="J339" s="8">
        <v>18</v>
      </c>
      <c r="K339" s="8">
        <v>0</v>
      </c>
      <c r="L339" s="8" t="s">
        <v>12</v>
      </c>
      <c r="M339" s="8" t="str">
        <f>IF(Titanic[[#This Row],[Sobrevive]]=1, "SOBREVIVE", "NO SOBREVIVE")</f>
        <v>NO SOBREVIVE</v>
      </c>
      <c r="N339" s="8" t="str">
        <f>LOOKUP(Titanic[[#This Row],[Clase]],{1,2,3}, {"PRIMERA","SEGUNDA","TERCERA"})</f>
        <v>TERCERA</v>
      </c>
      <c r="O339" s="8" t="str">
        <f>IF(Titanic[[#This Row],[Sexo]]="Hombre", "HOMBRE", "MUJER")</f>
        <v>HOMBRE</v>
      </c>
      <c r="P339" s="8">
        <f>IF(Titanic[[#This Row],[Edad]]="", "", IF(Titanic[[#This Row],[Edad]]&gt;=100, Titanic[[#This Row],[Edad]] / 10, Titanic[[#This Row],[Edad]]))</f>
        <v>16</v>
      </c>
      <c r="Q339" s="8" t="str">
        <f>IFERROR(LOOKUP(Titanic[[#This Row],[Edad Corrigida]],'Práctica 1'!$K$231:$K$240,'Práctica 1'!$L$231:$L$240), "DESCONOCIDO")</f>
        <v>1. INFANTE</v>
      </c>
      <c r="R339" s="8">
        <f>Titanic[[#This Row],[Familia Horizontal]]+Titanic[[#This Row],[Familia Vertical]]</f>
        <v>2</v>
      </c>
      <c r="S339" s="8"/>
      <c r="T339" s="8"/>
      <c r="U339" s="8"/>
      <c r="V339" s="8"/>
    </row>
    <row r="340" spans="2:22" x14ac:dyDescent="0.2">
      <c r="B340" s="6">
        <v>335</v>
      </c>
      <c r="C340" s="7">
        <v>1</v>
      </c>
      <c r="D340" s="8">
        <v>1</v>
      </c>
      <c r="E340" s="8" t="s">
        <v>349</v>
      </c>
      <c r="F340" s="8" t="s">
        <v>14</v>
      </c>
      <c r="G340" s="9"/>
      <c r="H340" s="8">
        <v>1</v>
      </c>
      <c r="I340" s="8">
        <v>0</v>
      </c>
      <c r="J340" s="8">
        <v>13365</v>
      </c>
      <c r="K340" s="8">
        <v>0</v>
      </c>
      <c r="L340" s="8" t="s">
        <v>12</v>
      </c>
      <c r="M340" s="8" t="str">
        <f>IF(Titanic[[#This Row],[Sobrevive]]=1, "SOBREVIVE", "NO SOBREVIVE")</f>
        <v>SOBREVIVE</v>
      </c>
      <c r="N340" s="8" t="str">
        <f>LOOKUP(Titanic[[#This Row],[Clase]],{1,2,3}, {"PRIMERA","SEGUNDA","TERCERA"})</f>
        <v>PRIMERA</v>
      </c>
      <c r="O340" s="8" t="str">
        <f>IF(Titanic[[#This Row],[Sexo]]="Hombre", "HOMBRE", "MUJER")</f>
        <v>MUJER</v>
      </c>
      <c r="P340" s="8" t="str">
        <f>IF(Titanic[[#This Row],[Edad]]="", "", IF(Titanic[[#This Row],[Edad]]&gt;=100, Titanic[[#This Row],[Edad]] / 10, Titanic[[#This Row],[Edad]]))</f>
        <v/>
      </c>
      <c r="Q340" s="8" t="str">
        <f>IFERROR(LOOKUP(Titanic[[#This Row],[Edad Corrigida]],'Práctica 1'!$K$231:$K$240,'Práctica 1'!$L$231:$L$240), "DESCONOCIDO")</f>
        <v>DESCONOCIDO</v>
      </c>
      <c r="R340" s="8">
        <f>Titanic[[#This Row],[Familia Horizontal]]+Titanic[[#This Row],[Familia Vertical]]</f>
        <v>1</v>
      </c>
      <c r="S340" s="8"/>
      <c r="T340" s="8"/>
      <c r="U340" s="8"/>
      <c r="V340" s="8"/>
    </row>
    <row r="341" spans="2:22" x14ac:dyDescent="0.2">
      <c r="B341" s="6">
        <v>336</v>
      </c>
      <c r="C341" s="7">
        <v>0</v>
      </c>
      <c r="D341" s="8">
        <v>3</v>
      </c>
      <c r="E341" s="8" t="s">
        <v>350</v>
      </c>
      <c r="F341" s="8" t="s">
        <v>11</v>
      </c>
      <c r="G341" s="9"/>
      <c r="H341" s="8">
        <v>0</v>
      </c>
      <c r="I341" s="8">
        <v>0</v>
      </c>
      <c r="J341" s="8">
        <v>78958</v>
      </c>
      <c r="K341" s="8">
        <v>0</v>
      </c>
      <c r="L341" s="8" t="s">
        <v>12</v>
      </c>
      <c r="M341" s="8" t="str">
        <f>IF(Titanic[[#This Row],[Sobrevive]]=1, "SOBREVIVE", "NO SOBREVIVE")</f>
        <v>NO SOBREVIVE</v>
      </c>
      <c r="N341" s="8" t="str">
        <f>LOOKUP(Titanic[[#This Row],[Clase]],{1,2,3}, {"PRIMERA","SEGUNDA","TERCERA"})</f>
        <v>TERCERA</v>
      </c>
      <c r="O341" s="8" t="str">
        <f>IF(Titanic[[#This Row],[Sexo]]="Hombre", "HOMBRE", "MUJER")</f>
        <v>HOMBRE</v>
      </c>
      <c r="P341" s="8" t="str">
        <f>IF(Titanic[[#This Row],[Edad]]="", "", IF(Titanic[[#This Row],[Edad]]&gt;=100, Titanic[[#This Row],[Edad]] / 10, Titanic[[#This Row],[Edad]]))</f>
        <v/>
      </c>
      <c r="Q341" s="8" t="str">
        <f>IFERROR(LOOKUP(Titanic[[#This Row],[Edad Corrigida]],'Práctica 1'!$K$231:$K$240,'Práctica 1'!$L$231:$L$240), "DESCONOCIDO")</f>
        <v>DESCONOCIDO</v>
      </c>
      <c r="R341" s="8">
        <f>Titanic[[#This Row],[Familia Horizontal]]+Titanic[[#This Row],[Familia Vertical]]</f>
        <v>0</v>
      </c>
      <c r="S341" s="8"/>
      <c r="T341" s="8"/>
      <c r="U341" s="8"/>
      <c r="V341" s="8"/>
    </row>
    <row r="342" spans="2:22" x14ac:dyDescent="0.2">
      <c r="B342" s="6">
        <v>337</v>
      </c>
      <c r="C342" s="7">
        <v>0</v>
      </c>
      <c r="D342" s="8">
        <v>1</v>
      </c>
      <c r="E342" s="8" t="s">
        <v>351</v>
      </c>
      <c r="F342" s="8" t="s">
        <v>11</v>
      </c>
      <c r="G342" s="8">
        <v>29</v>
      </c>
      <c r="H342" s="8">
        <v>1</v>
      </c>
      <c r="I342" s="8">
        <v>0</v>
      </c>
      <c r="J342" s="8">
        <v>666</v>
      </c>
      <c r="K342" s="8">
        <v>1</v>
      </c>
      <c r="L342" s="8" t="s">
        <v>12</v>
      </c>
      <c r="M342" s="8" t="str">
        <f>IF(Titanic[[#This Row],[Sobrevive]]=1, "SOBREVIVE", "NO SOBREVIVE")</f>
        <v>NO SOBREVIVE</v>
      </c>
      <c r="N342" s="8" t="str">
        <f>LOOKUP(Titanic[[#This Row],[Clase]],{1,2,3}, {"PRIMERA","SEGUNDA","TERCERA"})</f>
        <v>PRIMERA</v>
      </c>
      <c r="O342" s="8" t="str">
        <f>IF(Titanic[[#This Row],[Sexo]]="Hombre", "HOMBRE", "MUJER")</f>
        <v>HOMBRE</v>
      </c>
      <c r="P342" s="8">
        <f>IF(Titanic[[#This Row],[Edad]]="", "", IF(Titanic[[#This Row],[Edad]]&gt;=100, Titanic[[#This Row],[Edad]] / 10, Titanic[[#This Row],[Edad]]))</f>
        <v>29</v>
      </c>
      <c r="Q342" s="8" t="str">
        <f>IFERROR(LOOKUP(Titanic[[#This Row],[Edad Corrigida]],'Práctica 1'!$K$231:$K$240,'Práctica 1'!$L$231:$L$240), "DESCONOCIDO")</f>
        <v>5. ADULTO</v>
      </c>
      <c r="R342" s="8">
        <f>Titanic[[#This Row],[Familia Horizontal]]+Titanic[[#This Row],[Familia Vertical]]</f>
        <v>1</v>
      </c>
      <c r="S342" s="8"/>
      <c r="T342" s="8"/>
      <c r="U342" s="8"/>
      <c r="V342" s="8"/>
    </row>
    <row r="343" spans="2:22" x14ac:dyDescent="0.2">
      <c r="B343" s="6">
        <v>338</v>
      </c>
      <c r="C343" s="7">
        <v>1</v>
      </c>
      <c r="D343" s="8">
        <v>1</v>
      </c>
      <c r="E343" s="8" t="s">
        <v>352</v>
      </c>
      <c r="F343" s="8" t="s">
        <v>14</v>
      </c>
      <c r="G343" s="8">
        <v>41</v>
      </c>
      <c r="H343" s="8">
        <v>0</v>
      </c>
      <c r="I343" s="8">
        <v>0</v>
      </c>
      <c r="J343" s="8">
        <v>1345</v>
      </c>
      <c r="K343" s="8">
        <v>1</v>
      </c>
      <c r="L343" s="8" t="s">
        <v>15</v>
      </c>
      <c r="M343" s="8" t="str">
        <f>IF(Titanic[[#This Row],[Sobrevive]]=1, "SOBREVIVE", "NO SOBREVIVE")</f>
        <v>SOBREVIVE</v>
      </c>
      <c r="N343" s="8" t="str">
        <f>LOOKUP(Titanic[[#This Row],[Clase]],{1,2,3}, {"PRIMERA","SEGUNDA","TERCERA"})</f>
        <v>PRIMERA</v>
      </c>
      <c r="O343" s="8" t="str">
        <f>IF(Titanic[[#This Row],[Sexo]]="Hombre", "HOMBRE", "MUJER")</f>
        <v>MUJER</v>
      </c>
      <c r="P343" s="8">
        <f>IF(Titanic[[#This Row],[Edad]]="", "", IF(Titanic[[#This Row],[Edad]]&gt;=100, Titanic[[#This Row],[Edad]] / 10, Titanic[[#This Row],[Edad]]))</f>
        <v>41</v>
      </c>
      <c r="Q343" s="8" t="str">
        <f>IFERROR(LOOKUP(Titanic[[#This Row],[Edad Corrigida]],'Práctica 1'!$K$231:$K$240,'Práctica 1'!$L$231:$L$240), "DESCONOCIDO")</f>
        <v>7. ADULTO 2</v>
      </c>
      <c r="R343" s="8">
        <f>Titanic[[#This Row],[Familia Horizontal]]+Titanic[[#This Row],[Familia Vertical]]</f>
        <v>0</v>
      </c>
      <c r="S343" s="8"/>
      <c r="T343" s="8"/>
      <c r="U343" s="8"/>
      <c r="V343" s="8"/>
    </row>
    <row r="344" spans="2:22" x14ac:dyDescent="0.2">
      <c r="B344" s="6">
        <v>339</v>
      </c>
      <c r="C344" s="7">
        <v>1</v>
      </c>
      <c r="D344" s="8">
        <v>3</v>
      </c>
      <c r="E344" s="8" t="s">
        <v>353</v>
      </c>
      <c r="F344" s="8" t="s">
        <v>11</v>
      </c>
      <c r="G344" s="8">
        <v>45</v>
      </c>
      <c r="H344" s="8">
        <v>0</v>
      </c>
      <c r="I344" s="8">
        <v>0</v>
      </c>
      <c r="J344" s="8">
        <v>805</v>
      </c>
      <c r="K344" s="8">
        <v>0</v>
      </c>
      <c r="L344" s="8" t="s">
        <v>12</v>
      </c>
      <c r="M344" s="8" t="str">
        <f>IF(Titanic[[#This Row],[Sobrevive]]=1, "SOBREVIVE", "NO SOBREVIVE")</f>
        <v>SOBREVIVE</v>
      </c>
      <c r="N344" s="8" t="str">
        <f>LOOKUP(Titanic[[#This Row],[Clase]],{1,2,3}, {"PRIMERA","SEGUNDA","TERCERA"})</f>
        <v>TERCERA</v>
      </c>
      <c r="O344" s="8" t="str">
        <f>IF(Titanic[[#This Row],[Sexo]]="Hombre", "HOMBRE", "MUJER")</f>
        <v>HOMBRE</v>
      </c>
      <c r="P344" s="8">
        <f>IF(Titanic[[#This Row],[Edad]]="", "", IF(Titanic[[#This Row],[Edad]]&gt;=100, Titanic[[#This Row],[Edad]] / 10, Titanic[[#This Row],[Edad]]))</f>
        <v>45</v>
      </c>
      <c r="Q344" s="8" t="str">
        <f>IFERROR(LOOKUP(Titanic[[#This Row],[Edad Corrigida]],'Práctica 1'!$K$231:$K$240,'Práctica 1'!$L$231:$L$240), "DESCONOCIDO")</f>
        <v>8. ADULTO 3</v>
      </c>
      <c r="R344" s="8">
        <f>Titanic[[#This Row],[Familia Horizontal]]+Titanic[[#This Row],[Familia Vertical]]</f>
        <v>0</v>
      </c>
      <c r="S344" s="8"/>
      <c r="T344" s="8"/>
      <c r="U344" s="8"/>
      <c r="V344" s="8"/>
    </row>
    <row r="345" spans="2:22" x14ac:dyDescent="0.2">
      <c r="B345" s="6">
        <v>340</v>
      </c>
      <c r="C345" s="7">
        <v>0</v>
      </c>
      <c r="D345" s="8">
        <v>1</v>
      </c>
      <c r="E345" s="8" t="s">
        <v>354</v>
      </c>
      <c r="F345" s="8" t="s">
        <v>11</v>
      </c>
      <c r="G345" s="8">
        <v>45</v>
      </c>
      <c r="H345" s="8">
        <v>0</v>
      </c>
      <c r="I345" s="8">
        <v>0</v>
      </c>
      <c r="J345" s="8">
        <v>355</v>
      </c>
      <c r="K345" s="8">
        <v>1</v>
      </c>
      <c r="L345" s="8" t="s">
        <v>12</v>
      </c>
      <c r="M345" s="8" t="str">
        <f>IF(Titanic[[#This Row],[Sobrevive]]=1, "SOBREVIVE", "NO SOBREVIVE")</f>
        <v>NO SOBREVIVE</v>
      </c>
      <c r="N345" s="8" t="str">
        <f>LOOKUP(Titanic[[#This Row],[Clase]],{1,2,3}, {"PRIMERA","SEGUNDA","TERCERA"})</f>
        <v>PRIMERA</v>
      </c>
      <c r="O345" s="8" t="str">
        <f>IF(Titanic[[#This Row],[Sexo]]="Hombre", "HOMBRE", "MUJER")</f>
        <v>HOMBRE</v>
      </c>
      <c r="P345" s="8">
        <f>IF(Titanic[[#This Row],[Edad]]="", "", IF(Titanic[[#This Row],[Edad]]&gt;=100, Titanic[[#This Row],[Edad]] / 10, Titanic[[#This Row],[Edad]]))</f>
        <v>45</v>
      </c>
      <c r="Q345" s="8" t="str">
        <f>IFERROR(LOOKUP(Titanic[[#This Row],[Edad Corrigida]],'Práctica 1'!$K$231:$K$240,'Práctica 1'!$L$231:$L$240), "DESCONOCIDO")</f>
        <v>8. ADULTO 3</v>
      </c>
      <c r="R345" s="8">
        <f>Titanic[[#This Row],[Familia Horizontal]]+Titanic[[#This Row],[Familia Vertical]]</f>
        <v>0</v>
      </c>
      <c r="S345" s="8"/>
      <c r="T345" s="8"/>
      <c r="U345" s="8"/>
      <c r="V345" s="8"/>
    </row>
    <row r="346" spans="2:22" x14ac:dyDescent="0.2">
      <c r="B346" s="6">
        <v>341</v>
      </c>
      <c r="C346" s="7">
        <v>1</v>
      </c>
      <c r="D346" s="8">
        <v>2</v>
      </c>
      <c r="E346" s="8" t="s">
        <v>355</v>
      </c>
      <c r="F346" s="8" t="s">
        <v>11</v>
      </c>
      <c r="G346" s="8">
        <v>2</v>
      </c>
      <c r="H346" s="8">
        <v>1</v>
      </c>
      <c r="I346" s="8">
        <v>1</v>
      </c>
      <c r="J346" s="8">
        <v>26</v>
      </c>
      <c r="K346" s="8">
        <v>1</v>
      </c>
      <c r="L346" s="8" t="s">
        <v>12</v>
      </c>
      <c r="M346" s="8" t="str">
        <f>IF(Titanic[[#This Row],[Sobrevive]]=1, "SOBREVIVE", "NO SOBREVIVE")</f>
        <v>SOBREVIVE</v>
      </c>
      <c r="N346" s="8" t="str">
        <f>LOOKUP(Titanic[[#This Row],[Clase]],{1,2,3}, {"PRIMERA","SEGUNDA","TERCERA"})</f>
        <v>SEGUNDA</v>
      </c>
      <c r="O346" s="8" t="str">
        <f>IF(Titanic[[#This Row],[Sexo]]="Hombre", "HOMBRE", "MUJER")</f>
        <v>HOMBRE</v>
      </c>
      <c r="P346" s="8">
        <f>IF(Titanic[[#This Row],[Edad]]="", "", IF(Titanic[[#This Row],[Edad]]&gt;=100, Titanic[[#This Row],[Edad]] / 10, Titanic[[#This Row],[Edad]]))</f>
        <v>2</v>
      </c>
      <c r="Q346" s="8" t="str">
        <f>IFERROR(LOOKUP(Titanic[[#This Row],[Edad Corrigida]],'Práctica 1'!$K$231:$K$240,'Práctica 1'!$L$231:$L$240), "DESCONOCIDO")</f>
        <v>DESCONOCIDO</v>
      </c>
      <c r="R346" s="8">
        <f>Titanic[[#This Row],[Familia Horizontal]]+Titanic[[#This Row],[Familia Vertical]]</f>
        <v>2</v>
      </c>
      <c r="S346" s="8"/>
      <c r="T346" s="8"/>
      <c r="U346" s="8"/>
      <c r="V346" s="8"/>
    </row>
    <row r="347" spans="2:22" x14ac:dyDescent="0.2">
      <c r="B347" s="6">
        <v>342</v>
      </c>
      <c r="C347" s="7">
        <v>1</v>
      </c>
      <c r="D347" s="8">
        <v>1</v>
      </c>
      <c r="E347" s="8" t="s">
        <v>356</v>
      </c>
      <c r="F347" s="8" t="s">
        <v>14</v>
      </c>
      <c r="G347" s="8">
        <v>24</v>
      </c>
      <c r="H347" s="8">
        <v>3</v>
      </c>
      <c r="I347" s="8">
        <v>2</v>
      </c>
      <c r="J347" s="8">
        <v>263</v>
      </c>
      <c r="K347" s="8">
        <v>1</v>
      </c>
      <c r="L347" s="8" t="s">
        <v>12</v>
      </c>
      <c r="M347" s="8" t="str">
        <f>IF(Titanic[[#This Row],[Sobrevive]]=1, "SOBREVIVE", "NO SOBREVIVE")</f>
        <v>SOBREVIVE</v>
      </c>
      <c r="N347" s="8" t="str">
        <f>LOOKUP(Titanic[[#This Row],[Clase]],{1,2,3}, {"PRIMERA","SEGUNDA","TERCERA"})</f>
        <v>PRIMERA</v>
      </c>
      <c r="O347" s="8" t="str">
        <f>IF(Titanic[[#This Row],[Sexo]]="Hombre", "HOMBRE", "MUJER")</f>
        <v>MUJER</v>
      </c>
      <c r="P347" s="8">
        <f>IF(Titanic[[#This Row],[Edad]]="", "", IF(Titanic[[#This Row],[Edad]]&gt;=100, Titanic[[#This Row],[Edad]] / 10, Titanic[[#This Row],[Edad]]))</f>
        <v>24</v>
      </c>
      <c r="Q347" s="8" t="str">
        <f>IFERROR(LOOKUP(Titanic[[#This Row],[Edad Corrigida]],'Práctica 1'!$K$231:$K$240,'Práctica 1'!$L$231:$L$240), "DESCONOCIDO")</f>
        <v>3. JOVEN</v>
      </c>
      <c r="R347" s="8">
        <f>Titanic[[#This Row],[Familia Horizontal]]+Titanic[[#This Row],[Familia Vertical]]</f>
        <v>5</v>
      </c>
      <c r="S347" s="8"/>
      <c r="T347" s="8"/>
      <c r="U347" s="8"/>
      <c r="V347" s="8"/>
    </row>
    <row r="348" spans="2:22" x14ac:dyDescent="0.2">
      <c r="B348" s="6">
        <v>343</v>
      </c>
      <c r="C348" s="7">
        <v>0</v>
      </c>
      <c r="D348" s="8">
        <v>2</v>
      </c>
      <c r="E348" s="8" t="s">
        <v>357</v>
      </c>
      <c r="F348" s="8" t="s">
        <v>11</v>
      </c>
      <c r="G348" s="8">
        <v>28</v>
      </c>
      <c r="H348" s="8">
        <v>0</v>
      </c>
      <c r="I348" s="8">
        <v>0</v>
      </c>
      <c r="J348" s="8">
        <v>13</v>
      </c>
      <c r="K348" s="8">
        <v>0</v>
      </c>
      <c r="L348" s="8" t="s">
        <v>12</v>
      </c>
      <c r="M348" s="8" t="str">
        <f>IF(Titanic[[#This Row],[Sobrevive]]=1, "SOBREVIVE", "NO SOBREVIVE")</f>
        <v>NO SOBREVIVE</v>
      </c>
      <c r="N348" s="8" t="str">
        <f>LOOKUP(Titanic[[#This Row],[Clase]],{1,2,3}, {"PRIMERA","SEGUNDA","TERCERA"})</f>
        <v>SEGUNDA</v>
      </c>
      <c r="O348" s="8" t="str">
        <f>IF(Titanic[[#This Row],[Sexo]]="Hombre", "HOMBRE", "MUJER")</f>
        <v>HOMBRE</v>
      </c>
      <c r="P348" s="8">
        <f>IF(Titanic[[#This Row],[Edad]]="", "", IF(Titanic[[#This Row],[Edad]]&gt;=100, Titanic[[#This Row],[Edad]] / 10, Titanic[[#This Row],[Edad]]))</f>
        <v>28</v>
      </c>
      <c r="Q348" s="8" t="str">
        <f>IFERROR(LOOKUP(Titanic[[#This Row],[Edad Corrigida]],'Práctica 1'!$K$231:$K$240,'Práctica 1'!$L$231:$L$240), "DESCONOCIDO")</f>
        <v>4. ADULTO JOVEN</v>
      </c>
      <c r="R348" s="8">
        <f>Titanic[[#This Row],[Familia Horizontal]]+Titanic[[#This Row],[Familia Vertical]]</f>
        <v>0</v>
      </c>
      <c r="S348" s="8"/>
      <c r="T348" s="8"/>
      <c r="U348" s="8"/>
      <c r="V348" s="8"/>
    </row>
    <row r="349" spans="2:22" x14ac:dyDescent="0.2">
      <c r="B349" s="6">
        <v>344</v>
      </c>
      <c r="C349" s="7">
        <v>0</v>
      </c>
      <c r="D349" s="8">
        <v>2</v>
      </c>
      <c r="E349" s="8" t="s">
        <v>358</v>
      </c>
      <c r="F349" s="8" t="s">
        <v>11</v>
      </c>
      <c r="G349" s="8">
        <v>25</v>
      </c>
      <c r="H349" s="8">
        <v>0</v>
      </c>
      <c r="I349" s="8">
        <v>0</v>
      </c>
      <c r="J349" s="8">
        <v>13</v>
      </c>
      <c r="K349" s="8">
        <v>0</v>
      </c>
      <c r="L349" s="8" t="s">
        <v>12</v>
      </c>
      <c r="M349" s="8" t="str">
        <f>IF(Titanic[[#This Row],[Sobrevive]]=1, "SOBREVIVE", "NO SOBREVIVE")</f>
        <v>NO SOBREVIVE</v>
      </c>
      <c r="N349" s="8" t="str">
        <f>LOOKUP(Titanic[[#This Row],[Clase]],{1,2,3}, {"PRIMERA","SEGUNDA","TERCERA"})</f>
        <v>SEGUNDA</v>
      </c>
      <c r="O349" s="8" t="str">
        <f>IF(Titanic[[#This Row],[Sexo]]="Hombre", "HOMBRE", "MUJER")</f>
        <v>HOMBRE</v>
      </c>
      <c r="P349" s="8">
        <f>IF(Titanic[[#This Row],[Edad]]="", "", IF(Titanic[[#This Row],[Edad]]&gt;=100, Titanic[[#This Row],[Edad]] / 10, Titanic[[#This Row],[Edad]]))</f>
        <v>25</v>
      </c>
      <c r="Q349" s="8" t="str">
        <f>IFERROR(LOOKUP(Titanic[[#This Row],[Edad Corrigida]],'Práctica 1'!$K$231:$K$240,'Práctica 1'!$L$231:$L$240), "DESCONOCIDO")</f>
        <v>4. ADULTO JOVEN</v>
      </c>
      <c r="R349" s="8">
        <f>Titanic[[#This Row],[Familia Horizontal]]+Titanic[[#This Row],[Familia Vertical]]</f>
        <v>0</v>
      </c>
      <c r="S349" s="8"/>
      <c r="T349" s="8"/>
      <c r="U349" s="8"/>
      <c r="V349" s="8"/>
    </row>
    <row r="350" spans="2:22" x14ac:dyDescent="0.2">
      <c r="B350" s="6">
        <v>345</v>
      </c>
      <c r="C350" s="7">
        <v>0</v>
      </c>
      <c r="D350" s="8">
        <v>2</v>
      </c>
      <c r="E350" s="8" t="s">
        <v>359</v>
      </c>
      <c r="F350" s="8" t="s">
        <v>11</v>
      </c>
      <c r="G350" s="8">
        <v>36</v>
      </c>
      <c r="H350" s="8">
        <v>0</v>
      </c>
      <c r="I350" s="8">
        <v>0</v>
      </c>
      <c r="J350" s="8">
        <v>13</v>
      </c>
      <c r="K350" s="8">
        <v>0</v>
      </c>
      <c r="L350" s="8" t="s">
        <v>12</v>
      </c>
      <c r="M350" s="8" t="str">
        <f>IF(Titanic[[#This Row],[Sobrevive]]=1, "SOBREVIVE", "NO SOBREVIVE")</f>
        <v>NO SOBREVIVE</v>
      </c>
      <c r="N350" s="8" t="str">
        <f>LOOKUP(Titanic[[#This Row],[Clase]],{1,2,3}, {"PRIMERA","SEGUNDA","TERCERA"})</f>
        <v>SEGUNDA</v>
      </c>
      <c r="O350" s="8" t="str">
        <f>IF(Titanic[[#This Row],[Sexo]]="Hombre", "HOMBRE", "MUJER")</f>
        <v>HOMBRE</v>
      </c>
      <c r="P350" s="8">
        <f>IF(Titanic[[#This Row],[Edad]]="", "", IF(Titanic[[#This Row],[Edad]]&gt;=100, Titanic[[#This Row],[Edad]] / 10, Titanic[[#This Row],[Edad]]))</f>
        <v>36</v>
      </c>
      <c r="Q350" s="8" t="str">
        <f>IFERROR(LOOKUP(Titanic[[#This Row],[Edad Corrigida]],'Práctica 1'!$K$231:$K$240,'Práctica 1'!$L$231:$L$240), "DESCONOCIDO")</f>
        <v>7. ADULTO 2</v>
      </c>
      <c r="R350" s="8">
        <f>Titanic[[#This Row],[Familia Horizontal]]+Titanic[[#This Row],[Familia Vertical]]</f>
        <v>0</v>
      </c>
      <c r="S350" s="8"/>
      <c r="T350" s="8"/>
      <c r="U350" s="8"/>
      <c r="V350" s="8"/>
    </row>
    <row r="351" spans="2:22" x14ac:dyDescent="0.2">
      <c r="B351" s="6">
        <v>346</v>
      </c>
      <c r="C351" s="7">
        <v>1</v>
      </c>
      <c r="D351" s="8">
        <v>2</v>
      </c>
      <c r="E351" s="8" t="s">
        <v>360</v>
      </c>
      <c r="F351" s="8" t="s">
        <v>14</v>
      </c>
      <c r="G351" s="8">
        <v>24</v>
      </c>
      <c r="H351" s="8">
        <v>0</v>
      </c>
      <c r="I351" s="8">
        <v>0</v>
      </c>
      <c r="J351" s="8">
        <v>13</v>
      </c>
      <c r="K351" s="8">
        <v>1</v>
      </c>
      <c r="L351" s="8" t="s">
        <v>12</v>
      </c>
      <c r="M351" s="8" t="str">
        <f>IF(Titanic[[#This Row],[Sobrevive]]=1, "SOBREVIVE", "NO SOBREVIVE")</f>
        <v>SOBREVIVE</v>
      </c>
      <c r="N351" s="8" t="str">
        <f>LOOKUP(Titanic[[#This Row],[Clase]],{1,2,3}, {"PRIMERA","SEGUNDA","TERCERA"})</f>
        <v>SEGUNDA</v>
      </c>
      <c r="O351" s="8" t="str">
        <f>IF(Titanic[[#This Row],[Sexo]]="Hombre", "HOMBRE", "MUJER")</f>
        <v>MUJER</v>
      </c>
      <c r="P351" s="8">
        <f>IF(Titanic[[#This Row],[Edad]]="", "", IF(Titanic[[#This Row],[Edad]]&gt;=100, Titanic[[#This Row],[Edad]] / 10, Titanic[[#This Row],[Edad]]))</f>
        <v>24</v>
      </c>
      <c r="Q351" s="8" t="str">
        <f>IFERROR(LOOKUP(Titanic[[#This Row],[Edad Corrigida]],'Práctica 1'!$K$231:$K$240,'Práctica 1'!$L$231:$L$240), "DESCONOCIDO")</f>
        <v>3. JOVEN</v>
      </c>
      <c r="R351" s="8">
        <f>Titanic[[#This Row],[Familia Horizontal]]+Titanic[[#This Row],[Familia Vertical]]</f>
        <v>0</v>
      </c>
      <c r="S351" s="8"/>
      <c r="T351" s="8"/>
      <c r="U351" s="8"/>
      <c r="V351" s="8"/>
    </row>
    <row r="352" spans="2:22" x14ac:dyDescent="0.2">
      <c r="B352" s="6">
        <v>347</v>
      </c>
      <c r="C352" s="7">
        <v>1</v>
      </c>
      <c r="D352" s="8">
        <v>2</v>
      </c>
      <c r="E352" s="8" t="s">
        <v>361</v>
      </c>
      <c r="F352" s="8" t="s">
        <v>14</v>
      </c>
      <c r="G352" s="8">
        <v>40</v>
      </c>
      <c r="H352" s="8">
        <v>0</v>
      </c>
      <c r="I352" s="8">
        <v>0</v>
      </c>
      <c r="J352" s="8">
        <v>13</v>
      </c>
      <c r="K352" s="8">
        <v>0</v>
      </c>
      <c r="L352" s="8" t="s">
        <v>12</v>
      </c>
      <c r="M352" s="8" t="str">
        <f>IF(Titanic[[#This Row],[Sobrevive]]=1, "SOBREVIVE", "NO SOBREVIVE")</f>
        <v>SOBREVIVE</v>
      </c>
      <c r="N352" s="8" t="str">
        <f>LOOKUP(Titanic[[#This Row],[Clase]],{1,2,3}, {"PRIMERA","SEGUNDA","TERCERA"})</f>
        <v>SEGUNDA</v>
      </c>
      <c r="O352" s="8" t="str">
        <f>IF(Titanic[[#This Row],[Sexo]]="Hombre", "HOMBRE", "MUJER")</f>
        <v>MUJER</v>
      </c>
      <c r="P352" s="8">
        <f>IF(Titanic[[#This Row],[Edad]]="", "", IF(Titanic[[#This Row],[Edad]]&gt;=100, Titanic[[#This Row],[Edad]] / 10, Titanic[[#This Row],[Edad]]))</f>
        <v>40</v>
      </c>
      <c r="Q352" s="8" t="str">
        <f>IFERROR(LOOKUP(Titanic[[#This Row],[Edad Corrigida]],'Práctica 1'!$K$231:$K$240,'Práctica 1'!$L$231:$L$240), "DESCONOCIDO")</f>
        <v>7. ADULTO 2</v>
      </c>
      <c r="R352" s="8">
        <f>Titanic[[#This Row],[Familia Horizontal]]+Titanic[[#This Row],[Familia Vertical]]</f>
        <v>0</v>
      </c>
      <c r="S352" s="8"/>
      <c r="T352" s="8"/>
      <c r="U352" s="8"/>
      <c r="V352" s="8"/>
    </row>
    <row r="353" spans="2:22" x14ac:dyDescent="0.2">
      <c r="B353" s="6">
        <v>348</v>
      </c>
      <c r="C353" s="7">
        <v>1</v>
      </c>
      <c r="D353" s="8">
        <v>3</v>
      </c>
      <c r="E353" s="8" t="s">
        <v>362</v>
      </c>
      <c r="F353" s="8" t="s">
        <v>14</v>
      </c>
      <c r="G353" s="9"/>
      <c r="H353" s="8">
        <v>1</v>
      </c>
      <c r="I353" s="8">
        <v>0</v>
      </c>
      <c r="J353" s="8">
        <v>161</v>
      </c>
      <c r="K353" s="8">
        <v>0</v>
      </c>
      <c r="L353" s="8" t="s">
        <v>12</v>
      </c>
      <c r="M353" s="8" t="str">
        <f>IF(Titanic[[#This Row],[Sobrevive]]=1, "SOBREVIVE", "NO SOBREVIVE")</f>
        <v>SOBREVIVE</v>
      </c>
      <c r="N353" s="8" t="str">
        <f>LOOKUP(Titanic[[#This Row],[Clase]],{1,2,3}, {"PRIMERA","SEGUNDA","TERCERA"})</f>
        <v>TERCERA</v>
      </c>
      <c r="O353" s="8" t="str">
        <f>IF(Titanic[[#This Row],[Sexo]]="Hombre", "HOMBRE", "MUJER")</f>
        <v>MUJER</v>
      </c>
      <c r="P353" s="8" t="str">
        <f>IF(Titanic[[#This Row],[Edad]]="", "", IF(Titanic[[#This Row],[Edad]]&gt;=100, Titanic[[#This Row],[Edad]] / 10, Titanic[[#This Row],[Edad]]))</f>
        <v/>
      </c>
      <c r="Q353" s="8" t="str">
        <f>IFERROR(LOOKUP(Titanic[[#This Row],[Edad Corrigida]],'Práctica 1'!$K$231:$K$240,'Práctica 1'!$L$231:$L$240), "DESCONOCIDO")</f>
        <v>DESCONOCIDO</v>
      </c>
      <c r="R353" s="8">
        <f>Titanic[[#This Row],[Familia Horizontal]]+Titanic[[#This Row],[Familia Vertical]]</f>
        <v>1</v>
      </c>
      <c r="S353" s="8"/>
      <c r="T353" s="8"/>
      <c r="U353" s="8"/>
      <c r="V353" s="8"/>
    </row>
    <row r="354" spans="2:22" x14ac:dyDescent="0.2">
      <c r="B354" s="6">
        <v>349</v>
      </c>
      <c r="C354" s="7">
        <v>1</v>
      </c>
      <c r="D354" s="8">
        <v>3</v>
      </c>
      <c r="E354" s="8" t="s">
        <v>363</v>
      </c>
      <c r="F354" s="8" t="s">
        <v>11</v>
      </c>
      <c r="G354" s="8">
        <v>3</v>
      </c>
      <c r="H354" s="8">
        <v>1</v>
      </c>
      <c r="I354" s="8">
        <v>1</v>
      </c>
      <c r="J354" s="8">
        <v>159</v>
      </c>
      <c r="K354" s="8">
        <v>0</v>
      </c>
      <c r="L354" s="8" t="s">
        <v>12</v>
      </c>
      <c r="M354" s="8" t="str">
        <f>IF(Titanic[[#This Row],[Sobrevive]]=1, "SOBREVIVE", "NO SOBREVIVE")</f>
        <v>SOBREVIVE</v>
      </c>
      <c r="N354" s="8" t="str">
        <f>LOOKUP(Titanic[[#This Row],[Clase]],{1,2,3}, {"PRIMERA","SEGUNDA","TERCERA"})</f>
        <v>TERCERA</v>
      </c>
      <c r="O354" s="8" t="str">
        <f>IF(Titanic[[#This Row],[Sexo]]="Hombre", "HOMBRE", "MUJER")</f>
        <v>HOMBRE</v>
      </c>
      <c r="P354" s="8">
        <f>IF(Titanic[[#This Row],[Edad]]="", "", IF(Titanic[[#This Row],[Edad]]&gt;=100, Titanic[[#This Row],[Edad]] / 10, Titanic[[#This Row],[Edad]]))</f>
        <v>3</v>
      </c>
      <c r="Q354" s="8" t="str">
        <f>IFERROR(LOOKUP(Titanic[[#This Row],[Edad Corrigida]],'Práctica 1'!$K$231:$K$240,'Práctica 1'!$L$231:$L$240), "DESCONOCIDO")</f>
        <v>DESCONOCIDO</v>
      </c>
      <c r="R354" s="8">
        <f>Titanic[[#This Row],[Familia Horizontal]]+Titanic[[#This Row],[Familia Vertical]]</f>
        <v>2</v>
      </c>
      <c r="S354" s="8"/>
      <c r="T354" s="8"/>
      <c r="U354" s="8"/>
      <c r="V354" s="8"/>
    </row>
    <row r="355" spans="2:22" x14ac:dyDescent="0.2">
      <c r="B355" s="6">
        <v>350</v>
      </c>
      <c r="C355" s="7">
        <v>0</v>
      </c>
      <c r="D355" s="8">
        <v>3</v>
      </c>
      <c r="E355" s="8" t="s">
        <v>364</v>
      </c>
      <c r="F355" s="8" t="s">
        <v>11</v>
      </c>
      <c r="G355" s="8">
        <v>42</v>
      </c>
      <c r="H355" s="8">
        <v>0</v>
      </c>
      <c r="I355" s="8">
        <v>0</v>
      </c>
      <c r="J355" s="8">
        <v>86625</v>
      </c>
      <c r="K355" s="8">
        <v>0</v>
      </c>
      <c r="L355" s="8" t="s">
        <v>12</v>
      </c>
      <c r="M355" s="8" t="str">
        <f>IF(Titanic[[#This Row],[Sobrevive]]=1, "SOBREVIVE", "NO SOBREVIVE")</f>
        <v>NO SOBREVIVE</v>
      </c>
      <c r="N355" s="8" t="str">
        <f>LOOKUP(Titanic[[#This Row],[Clase]],{1,2,3}, {"PRIMERA","SEGUNDA","TERCERA"})</f>
        <v>TERCERA</v>
      </c>
      <c r="O355" s="8" t="str">
        <f>IF(Titanic[[#This Row],[Sexo]]="Hombre", "HOMBRE", "MUJER")</f>
        <v>HOMBRE</v>
      </c>
      <c r="P355" s="8">
        <f>IF(Titanic[[#This Row],[Edad]]="", "", IF(Titanic[[#This Row],[Edad]]&gt;=100, Titanic[[#This Row],[Edad]] / 10, Titanic[[#This Row],[Edad]]))</f>
        <v>42</v>
      </c>
      <c r="Q355" s="8" t="str">
        <f>IFERROR(LOOKUP(Titanic[[#This Row],[Edad Corrigida]],'Práctica 1'!$K$231:$K$240,'Práctica 1'!$L$231:$L$240), "DESCONOCIDO")</f>
        <v>8. ADULTO 3</v>
      </c>
      <c r="R355" s="8">
        <f>Titanic[[#This Row],[Familia Horizontal]]+Titanic[[#This Row],[Familia Vertical]]</f>
        <v>0</v>
      </c>
      <c r="S355" s="8"/>
      <c r="T355" s="8"/>
      <c r="U355" s="8"/>
      <c r="V355" s="8"/>
    </row>
    <row r="356" spans="2:22" x14ac:dyDescent="0.2">
      <c r="B356" s="6">
        <v>351</v>
      </c>
      <c r="C356" s="7">
        <v>0</v>
      </c>
      <c r="D356" s="8">
        <v>3</v>
      </c>
      <c r="E356" s="8" t="s">
        <v>365</v>
      </c>
      <c r="F356" s="8" t="s">
        <v>11</v>
      </c>
      <c r="G356" s="8">
        <v>23</v>
      </c>
      <c r="H356" s="8">
        <v>0</v>
      </c>
      <c r="I356" s="8">
        <v>0</v>
      </c>
      <c r="J356" s="8">
        <v>9225</v>
      </c>
      <c r="K356" s="8">
        <v>0</v>
      </c>
      <c r="L356" s="8" t="s">
        <v>12</v>
      </c>
      <c r="M356" s="8" t="str">
        <f>IF(Titanic[[#This Row],[Sobrevive]]=1, "SOBREVIVE", "NO SOBREVIVE")</f>
        <v>NO SOBREVIVE</v>
      </c>
      <c r="N356" s="8" t="str">
        <f>LOOKUP(Titanic[[#This Row],[Clase]],{1,2,3}, {"PRIMERA","SEGUNDA","TERCERA"})</f>
        <v>TERCERA</v>
      </c>
      <c r="O356" s="8" t="str">
        <f>IF(Titanic[[#This Row],[Sexo]]="Hombre", "HOMBRE", "MUJER")</f>
        <v>HOMBRE</v>
      </c>
      <c r="P356" s="8">
        <f>IF(Titanic[[#This Row],[Edad]]="", "", IF(Titanic[[#This Row],[Edad]]&gt;=100, Titanic[[#This Row],[Edad]] / 10, Titanic[[#This Row],[Edad]]))</f>
        <v>23</v>
      </c>
      <c r="Q356" s="8" t="str">
        <f>IFERROR(LOOKUP(Titanic[[#This Row],[Edad Corrigida]],'Práctica 1'!$K$231:$K$240,'Práctica 1'!$L$231:$L$240), "DESCONOCIDO")</f>
        <v>3. JOVEN</v>
      </c>
      <c r="R356" s="8">
        <f>Titanic[[#This Row],[Familia Horizontal]]+Titanic[[#This Row],[Familia Vertical]]</f>
        <v>0</v>
      </c>
      <c r="S356" s="8"/>
      <c r="T356" s="8"/>
      <c r="U356" s="8"/>
      <c r="V356" s="8"/>
    </row>
    <row r="357" spans="2:22" x14ac:dyDescent="0.2">
      <c r="B357" s="6">
        <v>352</v>
      </c>
      <c r="C357" s="7">
        <v>0</v>
      </c>
      <c r="D357" s="8">
        <v>1</v>
      </c>
      <c r="E357" s="8" t="s">
        <v>366</v>
      </c>
      <c r="F357" s="8" t="s">
        <v>11</v>
      </c>
      <c r="G357" s="9"/>
      <c r="H357" s="8">
        <v>0</v>
      </c>
      <c r="I357" s="8">
        <v>0</v>
      </c>
      <c r="J357" s="8">
        <v>35</v>
      </c>
      <c r="K357" s="8">
        <v>1</v>
      </c>
      <c r="L357" s="8" t="s">
        <v>12</v>
      </c>
      <c r="M357" s="8" t="str">
        <f>IF(Titanic[[#This Row],[Sobrevive]]=1, "SOBREVIVE", "NO SOBREVIVE")</f>
        <v>NO SOBREVIVE</v>
      </c>
      <c r="N357" s="8" t="str">
        <f>LOOKUP(Titanic[[#This Row],[Clase]],{1,2,3}, {"PRIMERA","SEGUNDA","TERCERA"})</f>
        <v>PRIMERA</v>
      </c>
      <c r="O357" s="8" t="str">
        <f>IF(Titanic[[#This Row],[Sexo]]="Hombre", "HOMBRE", "MUJER")</f>
        <v>HOMBRE</v>
      </c>
      <c r="P357" s="8" t="str">
        <f>IF(Titanic[[#This Row],[Edad]]="", "", IF(Titanic[[#This Row],[Edad]]&gt;=100, Titanic[[#This Row],[Edad]] / 10, Titanic[[#This Row],[Edad]]))</f>
        <v/>
      </c>
      <c r="Q357" s="8" t="str">
        <f>IFERROR(LOOKUP(Titanic[[#This Row],[Edad Corrigida]],'Práctica 1'!$K$231:$K$240,'Práctica 1'!$L$231:$L$240), "DESCONOCIDO")</f>
        <v>DESCONOCIDO</v>
      </c>
      <c r="R357" s="8">
        <f>Titanic[[#This Row],[Familia Horizontal]]+Titanic[[#This Row],[Familia Vertical]]</f>
        <v>0</v>
      </c>
      <c r="S357" s="8"/>
      <c r="T357" s="8"/>
      <c r="U357" s="8"/>
      <c r="V357" s="8"/>
    </row>
    <row r="358" spans="2:22" x14ac:dyDescent="0.2">
      <c r="B358" s="6">
        <v>353</v>
      </c>
      <c r="C358" s="7">
        <v>0</v>
      </c>
      <c r="D358" s="8">
        <v>3</v>
      </c>
      <c r="E358" s="8" t="s">
        <v>367</v>
      </c>
      <c r="F358" s="8" t="s">
        <v>11</v>
      </c>
      <c r="G358" s="8">
        <v>15</v>
      </c>
      <c r="H358" s="8">
        <v>1</v>
      </c>
      <c r="I358" s="8">
        <v>1</v>
      </c>
      <c r="J358" s="8">
        <v>72292</v>
      </c>
      <c r="K358" s="8">
        <v>0</v>
      </c>
      <c r="L358" s="8" t="s">
        <v>15</v>
      </c>
      <c r="M358" s="8" t="str">
        <f>IF(Titanic[[#This Row],[Sobrevive]]=1, "SOBREVIVE", "NO SOBREVIVE")</f>
        <v>NO SOBREVIVE</v>
      </c>
      <c r="N358" s="8" t="str">
        <f>LOOKUP(Titanic[[#This Row],[Clase]],{1,2,3}, {"PRIMERA","SEGUNDA","TERCERA"})</f>
        <v>TERCERA</v>
      </c>
      <c r="O358" s="8" t="str">
        <f>IF(Titanic[[#This Row],[Sexo]]="Hombre", "HOMBRE", "MUJER")</f>
        <v>HOMBRE</v>
      </c>
      <c r="P358" s="8">
        <f>IF(Titanic[[#This Row],[Edad]]="", "", IF(Titanic[[#This Row],[Edad]]&gt;=100, Titanic[[#This Row],[Edad]] / 10, Titanic[[#This Row],[Edad]]))</f>
        <v>15</v>
      </c>
      <c r="Q358" s="8" t="str">
        <f>IFERROR(LOOKUP(Titanic[[#This Row],[Edad Corrigida]],'Práctica 1'!$K$231:$K$240,'Práctica 1'!$L$231:$L$240), "DESCONOCIDO")</f>
        <v>1. INFANTE</v>
      </c>
      <c r="R358" s="8">
        <f>Titanic[[#This Row],[Familia Horizontal]]+Titanic[[#This Row],[Familia Vertical]]</f>
        <v>2</v>
      </c>
      <c r="S358" s="8"/>
      <c r="T358" s="8"/>
      <c r="U358" s="8"/>
      <c r="V358" s="8"/>
    </row>
    <row r="359" spans="2:22" x14ac:dyDescent="0.2">
      <c r="B359" s="6">
        <v>354</v>
      </c>
      <c r="C359" s="7">
        <v>0</v>
      </c>
      <c r="D359" s="8">
        <v>3</v>
      </c>
      <c r="E359" s="8" t="s">
        <v>368</v>
      </c>
      <c r="F359" s="8" t="s">
        <v>11</v>
      </c>
      <c r="G359" s="8">
        <v>25</v>
      </c>
      <c r="H359" s="8">
        <v>1</v>
      </c>
      <c r="I359" s="8">
        <v>0</v>
      </c>
      <c r="J359" s="8">
        <v>178</v>
      </c>
      <c r="K359" s="8">
        <v>0</v>
      </c>
      <c r="L359" s="8" t="s">
        <v>12</v>
      </c>
      <c r="M359" s="8" t="str">
        <f>IF(Titanic[[#This Row],[Sobrevive]]=1, "SOBREVIVE", "NO SOBREVIVE")</f>
        <v>NO SOBREVIVE</v>
      </c>
      <c r="N359" s="8" t="str">
        <f>LOOKUP(Titanic[[#This Row],[Clase]],{1,2,3}, {"PRIMERA","SEGUNDA","TERCERA"})</f>
        <v>TERCERA</v>
      </c>
      <c r="O359" s="8" t="str">
        <f>IF(Titanic[[#This Row],[Sexo]]="Hombre", "HOMBRE", "MUJER")</f>
        <v>HOMBRE</v>
      </c>
      <c r="P359" s="8">
        <f>IF(Titanic[[#This Row],[Edad]]="", "", IF(Titanic[[#This Row],[Edad]]&gt;=100, Titanic[[#This Row],[Edad]] / 10, Titanic[[#This Row],[Edad]]))</f>
        <v>25</v>
      </c>
      <c r="Q359" s="8" t="str">
        <f>IFERROR(LOOKUP(Titanic[[#This Row],[Edad Corrigida]],'Práctica 1'!$K$231:$K$240,'Práctica 1'!$L$231:$L$240), "DESCONOCIDO")</f>
        <v>4. ADULTO JOVEN</v>
      </c>
      <c r="R359" s="8">
        <f>Titanic[[#This Row],[Familia Horizontal]]+Titanic[[#This Row],[Familia Vertical]]</f>
        <v>1</v>
      </c>
      <c r="S359" s="8"/>
      <c r="T359" s="8"/>
      <c r="U359" s="8"/>
      <c r="V359" s="8"/>
    </row>
    <row r="360" spans="2:22" x14ac:dyDescent="0.2">
      <c r="B360" s="6">
        <v>355</v>
      </c>
      <c r="C360" s="7">
        <v>0</v>
      </c>
      <c r="D360" s="8">
        <v>3</v>
      </c>
      <c r="E360" s="8" t="s">
        <v>369</v>
      </c>
      <c r="F360" s="8" t="s">
        <v>11</v>
      </c>
      <c r="G360" s="9"/>
      <c r="H360" s="8">
        <v>0</v>
      </c>
      <c r="I360" s="8">
        <v>0</v>
      </c>
      <c r="J360" s="8">
        <v>7225</v>
      </c>
      <c r="K360" s="8">
        <v>0</v>
      </c>
      <c r="L360" s="8" t="s">
        <v>15</v>
      </c>
      <c r="M360" s="8" t="str">
        <f>IF(Titanic[[#This Row],[Sobrevive]]=1, "SOBREVIVE", "NO SOBREVIVE")</f>
        <v>NO SOBREVIVE</v>
      </c>
      <c r="N360" s="8" t="str">
        <f>LOOKUP(Titanic[[#This Row],[Clase]],{1,2,3}, {"PRIMERA","SEGUNDA","TERCERA"})</f>
        <v>TERCERA</v>
      </c>
      <c r="O360" s="8" t="str">
        <f>IF(Titanic[[#This Row],[Sexo]]="Hombre", "HOMBRE", "MUJER")</f>
        <v>HOMBRE</v>
      </c>
      <c r="P360" s="8" t="str">
        <f>IF(Titanic[[#This Row],[Edad]]="", "", IF(Titanic[[#This Row],[Edad]]&gt;=100, Titanic[[#This Row],[Edad]] / 10, Titanic[[#This Row],[Edad]]))</f>
        <v/>
      </c>
      <c r="Q360" s="8" t="str">
        <f>IFERROR(LOOKUP(Titanic[[#This Row],[Edad Corrigida]],'Práctica 1'!$K$231:$K$240,'Práctica 1'!$L$231:$L$240), "DESCONOCIDO")</f>
        <v>DESCONOCIDO</v>
      </c>
      <c r="R360" s="8">
        <f>Titanic[[#This Row],[Familia Horizontal]]+Titanic[[#This Row],[Familia Vertical]]</f>
        <v>0</v>
      </c>
      <c r="S360" s="8"/>
      <c r="T360" s="8"/>
      <c r="U360" s="8"/>
      <c r="V360" s="8"/>
    </row>
    <row r="361" spans="2:22" x14ac:dyDescent="0.2">
      <c r="B361" s="6">
        <v>356</v>
      </c>
      <c r="C361" s="7">
        <v>0</v>
      </c>
      <c r="D361" s="8">
        <v>3</v>
      </c>
      <c r="E361" s="8" t="s">
        <v>370</v>
      </c>
      <c r="F361" s="8" t="s">
        <v>11</v>
      </c>
      <c r="G361" s="8">
        <v>28</v>
      </c>
      <c r="H361" s="8">
        <v>0</v>
      </c>
      <c r="I361" s="8">
        <v>0</v>
      </c>
      <c r="J361" s="8">
        <v>95</v>
      </c>
      <c r="K361" s="8">
        <v>0</v>
      </c>
      <c r="L361" s="8" t="s">
        <v>12</v>
      </c>
      <c r="M361" s="8" t="str">
        <f>IF(Titanic[[#This Row],[Sobrevive]]=1, "SOBREVIVE", "NO SOBREVIVE")</f>
        <v>NO SOBREVIVE</v>
      </c>
      <c r="N361" s="8" t="str">
        <f>LOOKUP(Titanic[[#This Row],[Clase]],{1,2,3}, {"PRIMERA","SEGUNDA","TERCERA"})</f>
        <v>TERCERA</v>
      </c>
      <c r="O361" s="8" t="str">
        <f>IF(Titanic[[#This Row],[Sexo]]="Hombre", "HOMBRE", "MUJER")</f>
        <v>HOMBRE</v>
      </c>
      <c r="P361" s="8">
        <f>IF(Titanic[[#This Row],[Edad]]="", "", IF(Titanic[[#This Row],[Edad]]&gt;=100, Titanic[[#This Row],[Edad]] / 10, Titanic[[#This Row],[Edad]]))</f>
        <v>28</v>
      </c>
      <c r="Q361" s="8" t="str">
        <f>IFERROR(LOOKUP(Titanic[[#This Row],[Edad Corrigida]],'Práctica 1'!$K$231:$K$240,'Práctica 1'!$L$231:$L$240), "DESCONOCIDO")</f>
        <v>4. ADULTO JOVEN</v>
      </c>
      <c r="R361" s="8">
        <f>Titanic[[#This Row],[Familia Horizontal]]+Titanic[[#This Row],[Familia Vertical]]</f>
        <v>0</v>
      </c>
      <c r="S361" s="8"/>
      <c r="T361" s="8"/>
      <c r="U361" s="8"/>
      <c r="V361" s="8"/>
    </row>
    <row r="362" spans="2:22" x14ac:dyDescent="0.2">
      <c r="B362" s="6">
        <v>357</v>
      </c>
      <c r="C362" s="7">
        <v>1</v>
      </c>
      <c r="D362" s="8">
        <v>1</v>
      </c>
      <c r="E362" s="8" t="s">
        <v>371</v>
      </c>
      <c r="F362" s="8" t="s">
        <v>14</v>
      </c>
      <c r="G362" s="8">
        <v>22</v>
      </c>
      <c r="H362" s="8">
        <v>0</v>
      </c>
      <c r="I362" s="8">
        <v>1</v>
      </c>
      <c r="J362" s="8">
        <v>55</v>
      </c>
      <c r="K362" s="8">
        <v>1</v>
      </c>
      <c r="L362" s="8" t="s">
        <v>12</v>
      </c>
      <c r="M362" s="8" t="str">
        <f>IF(Titanic[[#This Row],[Sobrevive]]=1, "SOBREVIVE", "NO SOBREVIVE")</f>
        <v>SOBREVIVE</v>
      </c>
      <c r="N362" s="8" t="str">
        <f>LOOKUP(Titanic[[#This Row],[Clase]],{1,2,3}, {"PRIMERA","SEGUNDA","TERCERA"})</f>
        <v>PRIMERA</v>
      </c>
      <c r="O362" s="8" t="str">
        <f>IF(Titanic[[#This Row],[Sexo]]="Hombre", "HOMBRE", "MUJER")</f>
        <v>MUJER</v>
      </c>
      <c r="P362" s="8">
        <f>IF(Titanic[[#This Row],[Edad]]="", "", IF(Titanic[[#This Row],[Edad]]&gt;=100, Titanic[[#This Row],[Edad]] / 10, Titanic[[#This Row],[Edad]]))</f>
        <v>22</v>
      </c>
      <c r="Q362" s="8" t="str">
        <f>IFERROR(LOOKUP(Titanic[[#This Row],[Edad Corrigida]],'Práctica 1'!$K$231:$K$240,'Práctica 1'!$L$231:$L$240), "DESCONOCIDO")</f>
        <v>3. JOVEN</v>
      </c>
      <c r="R362" s="8">
        <f>Titanic[[#This Row],[Familia Horizontal]]+Titanic[[#This Row],[Familia Vertical]]</f>
        <v>1</v>
      </c>
      <c r="S362" s="8"/>
      <c r="T362" s="8"/>
      <c r="U362" s="8"/>
      <c r="V362" s="8"/>
    </row>
    <row r="363" spans="2:22" x14ac:dyDescent="0.2">
      <c r="B363" s="6">
        <v>358</v>
      </c>
      <c r="C363" s="7">
        <v>0</v>
      </c>
      <c r="D363" s="8">
        <v>2</v>
      </c>
      <c r="E363" s="8" t="s">
        <v>372</v>
      </c>
      <c r="F363" s="8" t="s">
        <v>14</v>
      </c>
      <c r="G363" s="8">
        <v>38</v>
      </c>
      <c r="H363" s="8">
        <v>0</v>
      </c>
      <c r="I363" s="8">
        <v>0</v>
      </c>
      <c r="J363" s="8">
        <v>13</v>
      </c>
      <c r="K363" s="8">
        <v>0</v>
      </c>
      <c r="L363" s="8" t="s">
        <v>12</v>
      </c>
      <c r="M363" s="8" t="str">
        <f>IF(Titanic[[#This Row],[Sobrevive]]=1, "SOBREVIVE", "NO SOBREVIVE")</f>
        <v>NO SOBREVIVE</v>
      </c>
      <c r="N363" s="8" t="str">
        <f>LOOKUP(Titanic[[#This Row],[Clase]],{1,2,3}, {"PRIMERA","SEGUNDA","TERCERA"})</f>
        <v>SEGUNDA</v>
      </c>
      <c r="O363" s="8" t="str">
        <f>IF(Titanic[[#This Row],[Sexo]]="Hombre", "HOMBRE", "MUJER")</f>
        <v>MUJER</v>
      </c>
      <c r="P363" s="8">
        <f>IF(Titanic[[#This Row],[Edad]]="", "", IF(Titanic[[#This Row],[Edad]]&gt;=100, Titanic[[#This Row],[Edad]] / 10, Titanic[[#This Row],[Edad]]))</f>
        <v>38</v>
      </c>
      <c r="Q363" s="8" t="str">
        <f>IFERROR(LOOKUP(Titanic[[#This Row],[Edad Corrigida]],'Práctica 1'!$K$231:$K$240,'Práctica 1'!$L$231:$L$240), "DESCONOCIDO")</f>
        <v>7. ADULTO 2</v>
      </c>
      <c r="R363" s="8">
        <f>Titanic[[#This Row],[Familia Horizontal]]+Titanic[[#This Row],[Familia Vertical]]</f>
        <v>0</v>
      </c>
      <c r="S363" s="8"/>
      <c r="T363" s="8"/>
      <c r="U363" s="8"/>
      <c r="V363" s="8"/>
    </row>
    <row r="364" spans="2:22" x14ac:dyDescent="0.2">
      <c r="B364" s="6">
        <v>359</v>
      </c>
      <c r="C364" s="7">
        <v>1</v>
      </c>
      <c r="D364" s="8">
        <v>3</v>
      </c>
      <c r="E364" s="8" t="s">
        <v>373</v>
      </c>
      <c r="F364" s="8" t="s">
        <v>14</v>
      </c>
      <c r="G364" s="9"/>
      <c r="H364" s="8">
        <v>0</v>
      </c>
      <c r="I364" s="8">
        <v>0</v>
      </c>
      <c r="J364" s="8">
        <v>78792</v>
      </c>
      <c r="K364" s="8">
        <v>0</v>
      </c>
      <c r="L364" s="8" t="s">
        <v>20</v>
      </c>
      <c r="M364" s="8" t="str">
        <f>IF(Titanic[[#This Row],[Sobrevive]]=1, "SOBREVIVE", "NO SOBREVIVE")</f>
        <v>SOBREVIVE</v>
      </c>
      <c r="N364" s="8" t="str">
        <f>LOOKUP(Titanic[[#This Row],[Clase]],{1,2,3}, {"PRIMERA","SEGUNDA","TERCERA"})</f>
        <v>TERCERA</v>
      </c>
      <c r="O364" s="8" t="str">
        <f>IF(Titanic[[#This Row],[Sexo]]="Hombre", "HOMBRE", "MUJER")</f>
        <v>MUJER</v>
      </c>
      <c r="P364" s="8" t="str">
        <f>IF(Titanic[[#This Row],[Edad]]="", "", IF(Titanic[[#This Row],[Edad]]&gt;=100, Titanic[[#This Row],[Edad]] / 10, Titanic[[#This Row],[Edad]]))</f>
        <v/>
      </c>
      <c r="Q364" s="8" t="str">
        <f>IFERROR(LOOKUP(Titanic[[#This Row],[Edad Corrigida]],'Práctica 1'!$K$231:$K$240,'Práctica 1'!$L$231:$L$240), "DESCONOCIDO")</f>
        <v>DESCONOCIDO</v>
      </c>
      <c r="R364" s="8">
        <f>Titanic[[#This Row],[Familia Horizontal]]+Titanic[[#This Row],[Familia Vertical]]</f>
        <v>0</v>
      </c>
      <c r="S364" s="8"/>
      <c r="T364" s="8"/>
      <c r="U364" s="8"/>
      <c r="V364" s="8"/>
    </row>
    <row r="365" spans="2:22" x14ac:dyDescent="0.2">
      <c r="B365" s="6">
        <v>360</v>
      </c>
      <c r="C365" s="7">
        <v>1</v>
      </c>
      <c r="D365" s="8">
        <v>3</v>
      </c>
      <c r="E365" s="8" t="s">
        <v>374</v>
      </c>
      <c r="F365" s="8" t="s">
        <v>14</v>
      </c>
      <c r="G365" s="9"/>
      <c r="H365" s="8">
        <v>0</v>
      </c>
      <c r="I365" s="8">
        <v>0</v>
      </c>
      <c r="J365" s="8">
        <v>78792</v>
      </c>
      <c r="K365" s="8">
        <v>0</v>
      </c>
      <c r="L365" s="8" t="s">
        <v>20</v>
      </c>
      <c r="M365" s="8" t="str">
        <f>IF(Titanic[[#This Row],[Sobrevive]]=1, "SOBREVIVE", "NO SOBREVIVE")</f>
        <v>SOBREVIVE</v>
      </c>
      <c r="N365" s="8" t="str">
        <f>LOOKUP(Titanic[[#This Row],[Clase]],{1,2,3}, {"PRIMERA","SEGUNDA","TERCERA"})</f>
        <v>TERCERA</v>
      </c>
      <c r="O365" s="8" t="str">
        <f>IF(Titanic[[#This Row],[Sexo]]="Hombre", "HOMBRE", "MUJER")</f>
        <v>MUJER</v>
      </c>
      <c r="P365" s="8" t="str">
        <f>IF(Titanic[[#This Row],[Edad]]="", "", IF(Titanic[[#This Row],[Edad]]&gt;=100, Titanic[[#This Row],[Edad]] / 10, Titanic[[#This Row],[Edad]]))</f>
        <v/>
      </c>
      <c r="Q365" s="8" t="str">
        <f>IFERROR(LOOKUP(Titanic[[#This Row],[Edad Corrigida]],'Práctica 1'!$K$231:$K$240,'Práctica 1'!$L$231:$L$240), "DESCONOCIDO")</f>
        <v>DESCONOCIDO</v>
      </c>
      <c r="R365" s="8">
        <f>Titanic[[#This Row],[Familia Horizontal]]+Titanic[[#This Row],[Familia Vertical]]</f>
        <v>0</v>
      </c>
      <c r="S365" s="8"/>
      <c r="T365" s="8"/>
      <c r="U365" s="8"/>
      <c r="V365" s="8"/>
    </row>
    <row r="366" spans="2:22" x14ac:dyDescent="0.2">
      <c r="B366" s="6">
        <v>361</v>
      </c>
      <c r="C366" s="7">
        <v>0</v>
      </c>
      <c r="D366" s="8">
        <v>3</v>
      </c>
      <c r="E366" s="8" t="s">
        <v>375</v>
      </c>
      <c r="F366" s="8" t="s">
        <v>11</v>
      </c>
      <c r="G366" s="8">
        <v>40</v>
      </c>
      <c r="H366" s="8">
        <v>1</v>
      </c>
      <c r="I366" s="8">
        <v>4</v>
      </c>
      <c r="J366" s="8">
        <v>279</v>
      </c>
      <c r="K366" s="8">
        <v>0</v>
      </c>
      <c r="L366" s="8" t="s">
        <v>12</v>
      </c>
      <c r="M366" s="8" t="str">
        <f>IF(Titanic[[#This Row],[Sobrevive]]=1, "SOBREVIVE", "NO SOBREVIVE")</f>
        <v>NO SOBREVIVE</v>
      </c>
      <c r="N366" s="8" t="str">
        <f>LOOKUP(Titanic[[#This Row],[Clase]],{1,2,3}, {"PRIMERA","SEGUNDA","TERCERA"})</f>
        <v>TERCERA</v>
      </c>
      <c r="O366" s="8" t="str">
        <f>IF(Titanic[[#This Row],[Sexo]]="Hombre", "HOMBRE", "MUJER")</f>
        <v>HOMBRE</v>
      </c>
      <c r="P366" s="8">
        <f>IF(Titanic[[#This Row],[Edad]]="", "", IF(Titanic[[#This Row],[Edad]]&gt;=100, Titanic[[#This Row],[Edad]] / 10, Titanic[[#This Row],[Edad]]))</f>
        <v>40</v>
      </c>
      <c r="Q366" s="8" t="str">
        <f>IFERROR(LOOKUP(Titanic[[#This Row],[Edad Corrigida]],'Práctica 1'!$K$231:$K$240,'Práctica 1'!$L$231:$L$240), "DESCONOCIDO")</f>
        <v>7. ADULTO 2</v>
      </c>
      <c r="R366" s="8">
        <f>Titanic[[#This Row],[Familia Horizontal]]+Titanic[[#This Row],[Familia Vertical]]</f>
        <v>5</v>
      </c>
      <c r="S366" s="8"/>
      <c r="T366" s="8"/>
      <c r="U366" s="8"/>
      <c r="V366" s="8"/>
    </row>
    <row r="367" spans="2:22" x14ac:dyDescent="0.2">
      <c r="B367" s="6">
        <v>362</v>
      </c>
      <c r="C367" s="7">
        <v>0</v>
      </c>
      <c r="D367" s="8">
        <v>2</v>
      </c>
      <c r="E367" s="8" t="s">
        <v>376</v>
      </c>
      <c r="F367" s="8" t="s">
        <v>11</v>
      </c>
      <c r="G367" s="8">
        <v>29</v>
      </c>
      <c r="H367" s="8">
        <v>1</v>
      </c>
      <c r="I367" s="8">
        <v>0</v>
      </c>
      <c r="J367" s="8">
        <v>277208</v>
      </c>
      <c r="K367" s="8">
        <v>0</v>
      </c>
      <c r="L367" s="8" t="s">
        <v>15</v>
      </c>
      <c r="M367" s="8" t="str">
        <f>IF(Titanic[[#This Row],[Sobrevive]]=1, "SOBREVIVE", "NO SOBREVIVE")</f>
        <v>NO SOBREVIVE</v>
      </c>
      <c r="N367" s="8" t="str">
        <f>LOOKUP(Titanic[[#This Row],[Clase]],{1,2,3}, {"PRIMERA","SEGUNDA","TERCERA"})</f>
        <v>SEGUNDA</v>
      </c>
      <c r="O367" s="8" t="str">
        <f>IF(Titanic[[#This Row],[Sexo]]="Hombre", "HOMBRE", "MUJER")</f>
        <v>HOMBRE</v>
      </c>
      <c r="P367" s="8">
        <f>IF(Titanic[[#This Row],[Edad]]="", "", IF(Titanic[[#This Row],[Edad]]&gt;=100, Titanic[[#This Row],[Edad]] / 10, Titanic[[#This Row],[Edad]]))</f>
        <v>29</v>
      </c>
      <c r="Q367" s="8" t="str">
        <f>IFERROR(LOOKUP(Titanic[[#This Row],[Edad Corrigida]],'Práctica 1'!$K$231:$K$240,'Práctica 1'!$L$231:$L$240), "DESCONOCIDO")</f>
        <v>5. ADULTO</v>
      </c>
      <c r="R367" s="8">
        <f>Titanic[[#This Row],[Familia Horizontal]]+Titanic[[#This Row],[Familia Vertical]]</f>
        <v>1</v>
      </c>
      <c r="S367" s="8"/>
      <c r="T367" s="8"/>
      <c r="U367" s="8"/>
      <c r="V367" s="8"/>
    </row>
    <row r="368" spans="2:22" x14ac:dyDescent="0.2">
      <c r="B368" s="6">
        <v>363</v>
      </c>
      <c r="C368" s="7">
        <v>0</v>
      </c>
      <c r="D368" s="8">
        <v>3</v>
      </c>
      <c r="E368" s="8" t="s">
        <v>377</v>
      </c>
      <c r="F368" s="8" t="s">
        <v>14</v>
      </c>
      <c r="G368" s="8">
        <v>45</v>
      </c>
      <c r="H368" s="8">
        <v>0</v>
      </c>
      <c r="I368" s="8">
        <v>1</v>
      </c>
      <c r="J368" s="8">
        <v>144542</v>
      </c>
      <c r="K368" s="8">
        <v>0</v>
      </c>
      <c r="L368" s="8" t="s">
        <v>15</v>
      </c>
      <c r="M368" s="8" t="str">
        <f>IF(Titanic[[#This Row],[Sobrevive]]=1, "SOBREVIVE", "NO SOBREVIVE")</f>
        <v>NO SOBREVIVE</v>
      </c>
      <c r="N368" s="8" t="str">
        <f>LOOKUP(Titanic[[#This Row],[Clase]],{1,2,3}, {"PRIMERA","SEGUNDA","TERCERA"})</f>
        <v>TERCERA</v>
      </c>
      <c r="O368" s="8" t="str">
        <f>IF(Titanic[[#This Row],[Sexo]]="Hombre", "HOMBRE", "MUJER")</f>
        <v>MUJER</v>
      </c>
      <c r="P368" s="8">
        <f>IF(Titanic[[#This Row],[Edad]]="", "", IF(Titanic[[#This Row],[Edad]]&gt;=100, Titanic[[#This Row],[Edad]] / 10, Titanic[[#This Row],[Edad]]))</f>
        <v>45</v>
      </c>
      <c r="Q368" s="8" t="str">
        <f>IFERROR(LOOKUP(Titanic[[#This Row],[Edad Corrigida]],'Práctica 1'!$K$231:$K$240,'Práctica 1'!$L$231:$L$240), "DESCONOCIDO")</f>
        <v>8. ADULTO 3</v>
      </c>
      <c r="R368" s="8">
        <f>Titanic[[#This Row],[Familia Horizontal]]+Titanic[[#This Row],[Familia Vertical]]</f>
        <v>1</v>
      </c>
      <c r="S368" s="8"/>
      <c r="T368" s="8"/>
      <c r="U368" s="8"/>
      <c r="V368" s="8"/>
    </row>
    <row r="369" spans="2:22" x14ac:dyDescent="0.2">
      <c r="B369" s="6">
        <v>364</v>
      </c>
      <c r="C369" s="7">
        <v>0</v>
      </c>
      <c r="D369" s="8">
        <v>3</v>
      </c>
      <c r="E369" s="8" t="s">
        <v>378</v>
      </c>
      <c r="F369" s="8" t="s">
        <v>11</v>
      </c>
      <c r="G369" s="8">
        <v>35</v>
      </c>
      <c r="H369" s="8">
        <v>0</v>
      </c>
      <c r="I369" s="8">
        <v>0</v>
      </c>
      <c r="J369" s="8">
        <v>705</v>
      </c>
      <c r="K369" s="8">
        <v>0</v>
      </c>
      <c r="L369" s="8" t="s">
        <v>12</v>
      </c>
      <c r="M369" s="8" t="str">
        <f>IF(Titanic[[#This Row],[Sobrevive]]=1, "SOBREVIVE", "NO SOBREVIVE")</f>
        <v>NO SOBREVIVE</v>
      </c>
      <c r="N369" s="8" t="str">
        <f>LOOKUP(Titanic[[#This Row],[Clase]],{1,2,3}, {"PRIMERA","SEGUNDA","TERCERA"})</f>
        <v>TERCERA</v>
      </c>
      <c r="O369" s="8" t="str">
        <f>IF(Titanic[[#This Row],[Sexo]]="Hombre", "HOMBRE", "MUJER")</f>
        <v>HOMBRE</v>
      </c>
      <c r="P369" s="8">
        <f>IF(Titanic[[#This Row],[Edad]]="", "", IF(Titanic[[#This Row],[Edad]]&gt;=100, Titanic[[#This Row],[Edad]] / 10, Titanic[[#This Row],[Edad]]))</f>
        <v>35</v>
      </c>
      <c r="Q369" s="8" t="str">
        <f>IFERROR(LOOKUP(Titanic[[#This Row],[Edad Corrigida]],'Práctica 1'!$K$231:$K$240,'Práctica 1'!$L$231:$L$240), "DESCONOCIDO")</f>
        <v>6. ADULTO 1</v>
      </c>
      <c r="R369" s="8">
        <f>Titanic[[#This Row],[Familia Horizontal]]+Titanic[[#This Row],[Familia Vertical]]</f>
        <v>0</v>
      </c>
      <c r="S369" s="8"/>
      <c r="T369" s="8"/>
      <c r="U369" s="8"/>
      <c r="V369" s="8"/>
    </row>
    <row r="370" spans="2:22" x14ac:dyDescent="0.2">
      <c r="B370" s="6">
        <v>365</v>
      </c>
      <c r="C370" s="7">
        <v>0</v>
      </c>
      <c r="D370" s="8">
        <v>3</v>
      </c>
      <c r="E370" s="8" t="s">
        <v>379</v>
      </c>
      <c r="F370" s="8" t="s">
        <v>11</v>
      </c>
      <c r="G370" s="9"/>
      <c r="H370" s="8">
        <v>1</v>
      </c>
      <c r="I370" s="8">
        <v>0</v>
      </c>
      <c r="J370" s="8">
        <v>155</v>
      </c>
      <c r="K370" s="8">
        <v>0</v>
      </c>
      <c r="L370" s="8" t="s">
        <v>20</v>
      </c>
      <c r="M370" s="8" t="str">
        <f>IF(Titanic[[#This Row],[Sobrevive]]=1, "SOBREVIVE", "NO SOBREVIVE")</f>
        <v>NO SOBREVIVE</v>
      </c>
      <c r="N370" s="8" t="str">
        <f>LOOKUP(Titanic[[#This Row],[Clase]],{1,2,3}, {"PRIMERA","SEGUNDA","TERCERA"})</f>
        <v>TERCERA</v>
      </c>
      <c r="O370" s="8" t="str">
        <f>IF(Titanic[[#This Row],[Sexo]]="Hombre", "HOMBRE", "MUJER")</f>
        <v>HOMBRE</v>
      </c>
      <c r="P370" s="8" t="str">
        <f>IF(Titanic[[#This Row],[Edad]]="", "", IF(Titanic[[#This Row],[Edad]]&gt;=100, Titanic[[#This Row],[Edad]] / 10, Titanic[[#This Row],[Edad]]))</f>
        <v/>
      </c>
      <c r="Q370" s="8" t="str">
        <f>IFERROR(LOOKUP(Titanic[[#This Row],[Edad Corrigida]],'Práctica 1'!$K$231:$K$240,'Práctica 1'!$L$231:$L$240), "DESCONOCIDO")</f>
        <v>DESCONOCIDO</v>
      </c>
      <c r="R370" s="8">
        <f>Titanic[[#This Row],[Familia Horizontal]]+Titanic[[#This Row],[Familia Vertical]]</f>
        <v>1</v>
      </c>
      <c r="S370" s="8"/>
      <c r="T370" s="8"/>
      <c r="U370" s="8"/>
      <c r="V370" s="8"/>
    </row>
    <row r="371" spans="2:22" x14ac:dyDescent="0.2">
      <c r="B371" s="6">
        <v>366</v>
      </c>
      <c r="C371" s="7">
        <v>0</v>
      </c>
      <c r="D371" s="8">
        <v>3</v>
      </c>
      <c r="E371" s="8" t="s">
        <v>380</v>
      </c>
      <c r="F371" s="8" t="s">
        <v>11</v>
      </c>
      <c r="G371" s="8">
        <v>30</v>
      </c>
      <c r="H371" s="8">
        <v>0</v>
      </c>
      <c r="I371" s="8">
        <v>0</v>
      </c>
      <c r="J371" s="8">
        <v>725</v>
      </c>
      <c r="K371" s="8">
        <v>0</v>
      </c>
      <c r="L371" s="8" t="s">
        <v>12</v>
      </c>
      <c r="M371" s="8" t="str">
        <f>IF(Titanic[[#This Row],[Sobrevive]]=1, "SOBREVIVE", "NO SOBREVIVE")</f>
        <v>NO SOBREVIVE</v>
      </c>
      <c r="N371" s="8" t="str">
        <f>LOOKUP(Titanic[[#This Row],[Clase]],{1,2,3}, {"PRIMERA","SEGUNDA","TERCERA"})</f>
        <v>TERCERA</v>
      </c>
      <c r="O371" s="8" t="str">
        <f>IF(Titanic[[#This Row],[Sexo]]="Hombre", "HOMBRE", "MUJER")</f>
        <v>HOMBRE</v>
      </c>
      <c r="P371" s="8">
        <f>IF(Titanic[[#This Row],[Edad]]="", "", IF(Titanic[[#This Row],[Edad]]&gt;=100, Titanic[[#This Row],[Edad]] / 10, Titanic[[#This Row],[Edad]]))</f>
        <v>30</v>
      </c>
      <c r="Q371" s="8" t="str">
        <f>IFERROR(LOOKUP(Titanic[[#This Row],[Edad Corrigida]],'Práctica 1'!$K$231:$K$240,'Práctica 1'!$L$231:$L$240), "DESCONOCIDO")</f>
        <v>5. ADULTO</v>
      </c>
      <c r="R371" s="8">
        <f>Titanic[[#This Row],[Familia Horizontal]]+Titanic[[#This Row],[Familia Vertical]]</f>
        <v>0</v>
      </c>
      <c r="S371" s="8"/>
      <c r="T371" s="8"/>
      <c r="U371" s="8"/>
      <c r="V371" s="8"/>
    </row>
    <row r="372" spans="2:22" x14ac:dyDescent="0.2">
      <c r="B372" s="6">
        <v>367</v>
      </c>
      <c r="C372" s="7">
        <v>1</v>
      </c>
      <c r="D372" s="8">
        <v>1</v>
      </c>
      <c r="E372" s="8" t="s">
        <v>381</v>
      </c>
      <c r="F372" s="8" t="s">
        <v>14</v>
      </c>
      <c r="G372" s="8">
        <v>60</v>
      </c>
      <c r="H372" s="8">
        <v>1</v>
      </c>
      <c r="I372" s="8">
        <v>0</v>
      </c>
      <c r="J372" s="8">
        <v>7525</v>
      </c>
      <c r="K372" s="8">
        <v>1</v>
      </c>
      <c r="L372" s="8" t="s">
        <v>15</v>
      </c>
      <c r="M372" s="8" t="str">
        <f>IF(Titanic[[#This Row],[Sobrevive]]=1, "SOBREVIVE", "NO SOBREVIVE")</f>
        <v>SOBREVIVE</v>
      </c>
      <c r="N372" s="8" t="str">
        <f>LOOKUP(Titanic[[#This Row],[Clase]],{1,2,3}, {"PRIMERA","SEGUNDA","TERCERA"})</f>
        <v>PRIMERA</v>
      </c>
      <c r="O372" s="8" t="str">
        <f>IF(Titanic[[#This Row],[Sexo]]="Hombre", "HOMBRE", "MUJER")</f>
        <v>MUJER</v>
      </c>
      <c r="P372" s="8">
        <f>IF(Titanic[[#This Row],[Edad]]="", "", IF(Titanic[[#This Row],[Edad]]&gt;=100, Titanic[[#This Row],[Edad]] / 10, Titanic[[#This Row],[Edad]]))</f>
        <v>60</v>
      </c>
      <c r="Q372" s="8" t="str">
        <f>IFERROR(LOOKUP(Titanic[[#This Row],[Edad Corrigida]],'Práctica 1'!$K$231:$K$240,'Práctica 1'!$L$231:$L$240), "DESCONOCIDO")</f>
        <v>9. ADULTO 4</v>
      </c>
      <c r="R372" s="8">
        <f>Titanic[[#This Row],[Familia Horizontal]]+Titanic[[#This Row],[Familia Vertical]]</f>
        <v>1</v>
      </c>
      <c r="S372" s="8"/>
      <c r="T372" s="8"/>
      <c r="U372" s="8"/>
      <c r="V372" s="8"/>
    </row>
    <row r="373" spans="2:22" x14ac:dyDescent="0.2">
      <c r="B373" s="6">
        <v>368</v>
      </c>
      <c r="C373" s="7">
        <v>1</v>
      </c>
      <c r="D373" s="8">
        <v>3</v>
      </c>
      <c r="E373" s="8" t="s">
        <v>382</v>
      </c>
      <c r="F373" s="8" t="s">
        <v>14</v>
      </c>
      <c r="G373" s="9"/>
      <c r="H373" s="8">
        <v>0</v>
      </c>
      <c r="I373" s="8">
        <v>0</v>
      </c>
      <c r="J373" s="8">
        <v>72292</v>
      </c>
      <c r="K373" s="8">
        <v>0</v>
      </c>
      <c r="L373" s="8" t="s">
        <v>15</v>
      </c>
      <c r="M373" s="8" t="str">
        <f>IF(Titanic[[#This Row],[Sobrevive]]=1, "SOBREVIVE", "NO SOBREVIVE")</f>
        <v>SOBREVIVE</v>
      </c>
      <c r="N373" s="8" t="str">
        <f>LOOKUP(Titanic[[#This Row],[Clase]],{1,2,3}, {"PRIMERA","SEGUNDA","TERCERA"})</f>
        <v>TERCERA</v>
      </c>
      <c r="O373" s="8" t="str">
        <f>IF(Titanic[[#This Row],[Sexo]]="Hombre", "HOMBRE", "MUJER")</f>
        <v>MUJER</v>
      </c>
      <c r="P373" s="8" t="str">
        <f>IF(Titanic[[#This Row],[Edad]]="", "", IF(Titanic[[#This Row],[Edad]]&gt;=100, Titanic[[#This Row],[Edad]] / 10, Titanic[[#This Row],[Edad]]))</f>
        <v/>
      </c>
      <c r="Q373" s="8" t="str">
        <f>IFERROR(LOOKUP(Titanic[[#This Row],[Edad Corrigida]],'Práctica 1'!$K$231:$K$240,'Práctica 1'!$L$231:$L$240), "DESCONOCIDO")</f>
        <v>DESCONOCIDO</v>
      </c>
      <c r="R373" s="8">
        <f>Titanic[[#This Row],[Familia Horizontal]]+Titanic[[#This Row],[Familia Vertical]]</f>
        <v>0</v>
      </c>
      <c r="S373" s="8"/>
      <c r="T373" s="8"/>
      <c r="U373" s="8"/>
      <c r="V373" s="8"/>
    </row>
    <row r="374" spans="2:22" x14ac:dyDescent="0.2">
      <c r="B374" s="6">
        <v>369</v>
      </c>
      <c r="C374" s="7">
        <v>1</v>
      </c>
      <c r="D374" s="8">
        <v>3</v>
      </c>
      <c r="E374" s="8" t="s">
        <v>383</v>
      </c>
      <c r="F374" s="8" t="s">
        <v>14</v>
      </c>
      <c r="G374" s="9"/>
      <c r="H374" s="8">
        <v>0</v>
      </c>
      <c r="I374" s="8">
        <v>0</v>
      </c>
      <c r="J374" s="8">
        <v>775</v>
      </c>
      <c r="K374" s="8">
        <v>0</v>
      </c>
      <c r="L374" s="8" t="s">
        <v>20</v>
      </c>
      <c r="M374" s="8" t="str">
        <f>IF(Titanic[[#This Row],[Sobrevive]]=1, "SOBREVIVE", "NO SOBREVIVE")</f>
        <v>SOBREVIVE</v>
      </c>
      <c r="N374" s="8" t="str">
        <f>LOOKUP(Titanic[[#This Row],[Clase]],{1,2,3}, {"PRIMERA","SEGUNDA","TERCERA"})</f>
        <v>TERCERA</v>
      </c>
      <c r="O374" s="8" t="str">
        <f>IF(Titanic[[#This Row],[Sexo]]="Hombre", "HOMBRE", "MUJER")</f>
        <v>MUJER</v>
      </c>
      <c r="P374" s="8" t="str">
        <f>IF(Titanic[[#This Row],[Edad]]="", "", IF(Titanic[[#This Row],[Edad]]&gt;=100, Titanic[[#This Row],[Edad]] / 10, Titanic[[#This Row],[Edad]]))</f>
        <v/>
      </c>
      <c r="Q374" s="8" t="str">
        <f>IFERROR(LOOKUP(Titanic[[#This Row],[Edad Corrigida]],'Práctica 1'!$K$231:$K$240,'Práctica 1'!$L$231:$L$240), "DESCONOCIDO")</f>
        <v>DESCONOCIDO</v>
      </c>
      <c r="R374" s="8">
        <f>Titanic[[#This Row],[Familia Horizontal]]+Titanic[[#This Row],[Familia Vertical]]</f>
        <v>0</v>
      </c>
      <c r="S374" s="8"/>
      <c r="T374" s="8"/>
      <c r="U374" s="8"/>
      <c r="V374" s="8"/>
    </row>
    <row r="375" spans="2:22" x14ac:dyDescent="0.2">
      <c r="B375" s="6">
        <v>370</v>
      </c>
      <c r="C375" s="7">
        <v>1</v>
      </c>
      <c r="D375" s="8">
        <v>1</v>
      </c>
      <c r="E375" s="8" t="s">
        <v>384</v>
      </c>
      <c r="F375" s="8" t="s">
        <v>14</v>
      </c>
      <c r="G375" s="8">
        <v>24</v>
      </c>
      <c r="H375" s="8">
        <v>0</v>
      </c>
      <c r="I375" s="8">
        <v>0</v>
      </c>
      <c r="J375" s="8">
        <v>693</v>
      </c>
      <c r="K375" s="8">
        <v>1</v>
      </c>
      <c r="L375" s="8" t="s">
        <v>15</v>
      </c>
      <c r="M375" s="8" t="str">
        <f>IF(Titanic[[#This Row],[Sobrevive]]=1, "SOBREVIVE", "NO SOBREVIVE")</f>
        <v>SOBREVIVE</v>
      </c>
      <c r="N375" s="8" t="str">
        <f>LOOKUP(Titanic[[#This Row],[Clase]],{1,2,3}, {"PRIMERA","SEGUNDA","TERCERA"})</f>
        <v>PRIMERA</v>
      </c>
      <c r="O375" s="8" t="str">
        <f>IF(Titanic[[#This Row],[Sexo]]="Hombre", "HOMBRE", "MUJER")</f>
        <v>MUJER</v>
      </c>
      <c r="P375" s="8">
        <f>IF(Titanic[[#This Row],[Edad]]="", "", IF(Titanic[[#This Row],[Edad]]&gt;=100, Titanic[[#This Row],[Edad]] / 10, Titanic[[#This Row],[Edad]]))</f>
        <v>24</v>
      </c>
      <c r="Q375" s="8" t="str">
        <f>IFERROR(LOOKUP(Titanic[[#This Row],[Edad Corrigida]],'Práctica 1'!$K$231:$K$240,'Práctica 1'!$L$231:$L$240), "DESCONOCIDO")</f>
        <v>3. JOVEN</v>
      </c>
      <c r="R375" s="8">
        <f>Titanic[[#This Row],[Familia Horizontal]]+Titanic[[#This Row],[Familia Vertical]]</f>
        <v>0</v>
      </c>
      <c r="S375" s="8"/>
      <c r="T375" s="8"/>
      <c r="U375" s="8"/>
      <c r="V375" s="8"/>
    </row>
    <row r="376" spans="2:22" x14ac:dyDescent="0.2">
      <c r="B376" s="6">
        <v>371</v>
      </c>
      <c r="C376" s="7">
        <v>1</v>
      </c>
      <c r="D376" s="8">
        <v>1</v>
      </c>
      <c r="E376" s="8" t="s">
        <v>385</v>
      </c>
      <c r="F376" s="8" t="s">
        <v>11</v>
      </c>
      <c r="G376" s="8">
        <v>25</v>
      </c>
      <c r="H376" s="8">
        <v>1</v>
      </c>
      <c r="I376" s="8">
        <v>0</v>
      </c>
      <c r="J376" s="8">
        <v>554417</v>
      </c>
      <c r="K376" s="8">
        <v>1</v>
      </c>
      <c r="L376" s="8" t="s">
        <v>15</v>
      </c>
      <c r="M376" s="8" t="str">
        <f>IF(Titanic[[#This Row],[Sobrevive]]=1, "SOBREVIVE", "NO SOBREVIVE")</f>
        <v>SOBREVIVE</v>
      </c>
      <c r="N376" s="8" t="str">
        <f>LOOKUP(Titanic[[#This Row],[Clase]],{1,2,3}, {"PRIMERA","SEGUNDA","TERCERA"})</f>
        <v>PRIMERA</v>
      </c>
      <c r="O376" s="8" t="str">
        <f>IF(Titanic[[#This Row],[Sexo]]="Hombre", "HOMBRE", "MUJER")</f>
        <v>HOMBRE</v>
      </c>
      <c r="P376" s="8">
        <f>IF(Titanic[[#This Row],[Edad]]="", "", IF(Titanic[[#This Row],[Edad]]&gt;=100, Titanic[[#This Row],[Edad]] / 10, Titanic[[#This Row],[Edad]]))</f>
        <v>25</v>
      </c>
      <c r="Q376" s="8" t="str">
        <f>IFERROR(LOOKUP(Titanic[[#This Row],[Edad Corrigida]],'Práctica 1'!$K$231:$K$240,'Práctica 1'!$L$231:$L$240), "DESCONOCIDO")</f>
        <v>4. ADULTO JOVEN</v>
      </c>
      <c r="R376" s="8">
        <f>Titanic[[#This Row],[Familia Horizontal]]+Titanic[[#This Row],[Familia Vertical]]</f>
        <v>1</v>
      </c>
      <c r="S376" s="8"/>
      <c r="T376" s="8"/>
      <c r="U376" s="8"/>
      <c r="V376" s="8"/>
    </row>
    <row r="377" spans="2:22" x14ac:dyDescent="0.2">
      <c r="B377" s="6">
        <v>372</v>
      </c>
      <c r="C377" s="7">
        <v>0</v>
      </c>
      <c r="D377" s="8">
        <v>3</v>
      </c>
      <c r="E377" s="8" t="s">
        <v>386</v>
      </c>
      <c r="F377" s="8" t="s">
        <v>11</v>
      </c>
      <c r="G377" s="8">
        <v>18</v>
      </c>
      <c r="H377" s="8">
        <v>1</v>
      </c>
      <c r="I377" s="8">
        <v>0</v>
      </c>
      <c r="J377" s="8">
        <v>64958</v>
      </c>
      <c r="K377" s="8">
        <v>0</v>
      </c>
      <c r="L377" s="8" t="s">
        <v>12</v>
      </c>
      <c r="M377" s="8" t="str">
        <f>IF(Titanic[[#This Row],[Sobrevive]]=1, "SOBREVIVE", "NO SOBREVIVE")</f>
        <v>NO SOBREVIVE</v>
      </c>
      <c r="N377" s="8" t="str">
        <f>LOOKUP(Titanic[[#This Row],[Clase]],{1,2,3}, {"PRIMERA","SEGUNDA","TERCERA"})</f>
        <v>TERCERA</v>
      </c>
      <c r="O377" s="8" t="str">
        <f>IF(Titanic[[#This Row],[Sexo]]="Hombre", "HOMBRE", "MUJER")</f>
        <v>HOMBRE</v>
      </c>
      <c r="P377" s="8">
        <f>IF(Titanic[[#This Row],[Edad]]="", "", IF(Titanic[[#This Row],[Edad]]&gt;=100, Titanic[[#This Row],[Edad]] / 10, Titanic[[#This Row],[Edad]]))</f>
        <v>18</v>
      </c>
      <c r="Q377" s="8" t="str">
        <f>IFERROR(LOOKUP(Titanic[[#This Row],[Edad Corrigida]],'Práctica 1'!$K$231:$K$240,'Práctica 1'!$L$231:$L$240), "DESCONOCIDO")</f>
        <v>1. INFANTE</v>
      </c>
      <c r="R377" s="8">
        <f>Titanic[[#This Row],[Familia Horizontal]]+Titanic[[#This Row],[Familia Vertical]]</f>
        <v>1</v>
      </c>
      <c r="S377" s="8"/>
      <c r="T377" s="8"/>
      <c r="U377" s="8"/>
      <c r="V377" s="8"/>
    </row>
    <row r="378" spans="2:22" x14ac:dyDescent="0.2">
      <c r="B378" s="6">
        <v>373</v>
      </c>
      <c r="C378" s="7">
        <v>0</v>
      </c>
      <c r="D378" s="8">
        <v>3</v>
      </c>
      <c r="E378" s="8" t="s">
        <v>387</v>
      </c>
      <c r="F378" s="8" t="s">
        <v>11</v>
      </c>
      <c r="G378" s="8">
        <v>19</v>
      </c>
      <c r="H378" s="8">
        <v>0</v>
      </c>
      <c r="I378" s="8">
        <v>0</v>
      </c>
      <c r="J378" s="8">
        <v>805</v>
      </c>
      <c r="K378" s="8">
        <v>0</v>
      </c>
      <c r="L378" s="8" t="s">
        <v>12</v>
      </c>
      <c r="M378" s="8" t="str">
        <f>IF(Titanic[[#This Row],[Sobrevive]]=1, "SOBREVIVE", "NO SOBREVIVE")</f>
        <v>NO SOBREVIVE</v>
      </c>
      <c r="N378" s="8" t="str">
        <f>LOOKUP(Titanic[[#This Row],[Clase]],{1,2,3}, {"PRIMERA","SEGUNDA","TERCERA"})</f>
        <v>TERCERA</v>
      </c>
      <c r="O378" s="8" t="str">
        <f>IF(Titanic[[#This Row],[Sexo]]="Hombre", "HOMBRE", "MUJER")</f>
        <v>HOMBRE</v>
      </c>
      <c r="P378" s="8">
        <f>IF(Titanic[[#This Row],[Edad]]="", "", IF(Titanic[[#This Row],[Edad]]&gt;=100, Titanic[[#This Row],[Edad]] / 10, Titanic[[#This Row],[Edad]]))</f>
        <v>19</v>
      </c>
      <c r="Q378" s="8" t="str">
        <f>IFERROR(LOOKUP(Titanic[[#This Row],[Edad Corrigida]],'Práctica 1'!$K$231:$K$240,'Práctica 1'!$L$231:$L$240), "DESCONOCIDO")</f>
        <v>2. ADOLESCENTE</v>
      </c>
      <c r="R378" s="8">
        <f>Titanic[[#This Row],[Familia Horizontal]]+Titanic[[#This Row],[Familia Vertical]]</f>
        <v>0</v>
      </c>
      <c r="S378" s="8"/>
      <c r="T378" s="8"/>
      <c r="U378" s="8"/>
      <c r="V378" s="8"/>
    </row>
    <row r="379" spans="2:22" x14ac:dyDescent="0.2">
      <c r="B379" s="6">
        <v>374</v>
      </c>
      <c r="C379" s="7">
        <v>0</v>
      </c>
      <c r="D379" s="8">
        <v>1</v>
      </c>
      <c r="E379" s="8" t="s">
        <v>388</v>
      </c>
      <c r="F379" s="8" t="s">
        <v>11</v>
      </c>
      <c r="G379" s="8">
        <v>22</v>
      </c>
      <c r="H379" s="8">
        <v>0</v>
      </c>
      <c r="I379" s="8">
        <v>0</v>
      </c>
      <c r="J379" s="8">
        <v>1356333</v>
      </c>
      <c r="K379" s="8">
        <v>0</v>
      </c>
      <c r="L379" s="8" t="s">
        <v>15</v>
      </c>
      <c r="M379" s="8" t="str">
        <f>IF(Titanic[[#This Row],[Sobrevive]]=1, "SOBREVIVE", "NO SOBREVIVE")</f>
        <v>NO SOBREVIVE</v>
      </c>
      <c r="N379" s="8" t="str">
        <f>LOOKUP(Titanic[[#This Row],[Clase]],{1,2,3}, {"PRIMERA","SEGUNDA","TERCERA"})</f>
        <v>PRIMERA</v>
      </c>
      <c r="O379" s="8" t="str">
        <f>IF(Titanic[[#This Row],[Sexo]]="Hombre", "HOMBRE", "MUJER")</f>
        <v>HOMBRE</v>
      </c>
      <c r="P379" s="8">
        <f>IF(Titanic[[#This Row],[Edad]]="", "", IF(Titanic[[#This Row],[Edad]]&gt;=100, Titanic[[#This Row],[Edad]] / 10, Titanic[[#This Row],[Edad]]))</f>
        <v>22</v>
      </c>
      <c r="Q379" s="8" t="str">
        <f>IFERROR(LOOKUP(Titanic[[#This Row],[Edad Corrigida]],'Práctica 1'!$K$231:$K$240,'Práctica 1'!$L$231:$L$240), "DESCONOCIDO")</f>
        <v>3. JOVEN</v>
      </c>
      <c r="R379" s="8">
        <f>Titanic[[#This Row],[Familia Horizontal]]+Titanic[[#This Row],[Familia Vertical]]</f>
        <v>0</v>
      </c>
      <c r="S379" s="8"/>
      <c r="T379" s="8"/>
      <c r="U379" s="8"/>
      <c r="V379" s="8"/>
    </row>
    <row r="380" spans="2:22" x14ac:dyDescent="0.2">
      <c r="B380" s="6">
        <v>375</v>
      </c>
      <c r="C380" s="7">
        <v>0</v>
      </c>
      <c r="D380" s="8">
        <v>3</v>
      </c>
      <c r="E380" s="8" t="s">
        <v>389</v>
      </c>
      <c r="F380" s="8" t="s">
        <v>14</v>
      </c>
      <c r="G380" s="8">
        <v>3</v>
      </c>
      <c r="H380" s="8">
        <v>3</v>
      </c>
      <c r="I380" s="8">
        <v>1</v>
      </c>
      <c r="J380" s="8">
        <v>21075</v>
      </c>
      <c r="K380" s="8">
        <v>0</v>
      </c>
      <c r="L380" s="8" t="s">
        <v>12</v>
      </c>
      <c r="M380" s="8" t="str">
        <f>IF(Titanic[[#This Row],[Sobrevive]]=1, "SOBREVIVE", "NO SOBREVIVE")</f>
        <v>NO SOBREVIVE</v>
      </c>
      <c r="N380" s="8" t="str">
        <f>LOOKUP(Titanic[[#This Row],[Clase]],{1,2,3}, {"PRIMERA","SEGUNDA","TERCERA"})</f>
        <v>TERCERA</v>
      </c>
      <c r="O380" s="8" t="str">
        <f>IF(Titanic[[#This Row],[Sexo]]="Hombre", "HOMBRE", "MUJER")</f>
        <v>MUJER</v>
      </c>
      <c r="P380" s="8">
        <f>IF(Titanic[[#This Row],[Edad]]="", "", IF(Titanic[[#This Row],[Edad]]&gt;=100, Titanic[[#This Row],[Edad]] / 10, Titanic[[#This Row],[Edad]]))</f>
        <v>3</v>
      </c>
      <c r="Q380" s="8" t="str">
        <f>IFERROR(LOOKUP(Titanic[[#This Row],[Edad Corrigida]],'Práctica 1'!$K$231:$K$240,'Práctica 1'!$L$231:$L$240), "DESCONOCIDO")</f>
        <v>DESCONOCIDO</v>
      </c>
      <c r="R380" s="8">
        <f>Titanic[[#This Row],[Familia Horizontal]]+Titanic[[#This Row],[Familia Vertical]]</f>
        <v>4</v>
      </c>
      <c r="S380" s="8"/>
      <c r="T380" s="8"/>
      <c r="U380" s="8"/>
      <c r="V380" s="8"/>
    </row>
    <row r="381" spans="2:22" x14ac:dyDescent="0.2">
      <c r="B381" s="6">
        <v>376</v>
      </c>
      <c r="C381" s="7">
        <v>1</v>
      </c>
      <c r="D381" s="8">
        <v>1</v>
      </c>
      <c r="E381" s="8" t="s">
        <v>390</v>
      </c>
      <c r="F381" s="8" t="s">
        <v>14</v>
      </c>
      <c r="G381" s="9"/>
      <c r="H381" s="8">
        <v>1</v>
      </c>
      <c r="I381" s="8">
        <v>0</v>
      </c>
      <c r="J381" s="8">
        <v>821708</v>
      </c>
      <c r="K381" s="8">
        <v>0</v>
      </c>
      <c r="L381" s="8" t="s">
        <v>15</v>
      </c>
      <c r="M381" s="8" t="str">
        <f>IF(Titanic[[#This Row],[Sobrevive]]=1, "SOBREVIVE", "NO SOBREVIVE")</f>
        <v>SOBREVIVE</v>
      </c>
      <c r="N381" s="8" t="str">
        <f>LOOKUP(Titanic[[#This Row],[Clase]],{1,2,3}, {"PRIMERA","SEGUNDA","TERCERA"})</f>
        <v>PRIMERA</v>
      </c>
      <c r="O381" s="8" t="str">
        <f>IF(Titanic[[#This Row],[Sexo]]="Hombre", "HOMBRE", "MUJER")</f>
        <v>MUJER</v>
      </c>
      <c r="P381" s="8" t="str">
        <f>IF(Titanic[[#This Row],[Edad]]="", "", IF(Titanic[[#This Row],[Edad]]&gt;=100, Titanic[[#This Row],[Edad]] / 10, Titanic[[#This Row],[Edad]]))</f>
        <v/>
      </c>
      <c r="Q381" s="8" t="str">
        <f>IFERROR(LOOKUP(Titanic[[#This Row],[Edad Corrigida]],'Práctica 1'!$K$231:$K$240,'Práctica 1'!$L$231:$L$240), "DESCONOCIDO")</f>
        <v>DESCONOCIDO</v>
      </c>
      <c r="R381" s="8">
        <f>Titanic[[#This Row],[Familia Horizontal]]+Titanic[[#This Row],[Familia Vertical]]</f>
        <v>1</v>
      </c>
      <c r="S381" s="8"/>
      <c r="T381" s="8"/>
      <c r="U381" s="8"/>
      <c r="V381" s="8"/>
    </row>
    <row r="382" spans="2:22" x14ac:dyDescent="0.2">
      <c r="B382" s="6">
        <v>377</v>
      </c>
      <c r="C382" s="7">
        <v>1</v>
      </c>
      <c r="D382" s="8">
        <v>3</v>
      </c>
      <c r="E382" s="8" t="s">
        <v>391</v>
      </c>
      <c r="F382" s="8" t="s">
        <v>14</v>
      </c>
      <c r="G382" s="8">
        <v>22</v>
      </c>
      <c r="H382" s="8">
        <v>0</v>
      </c>
      <c r="I382" s="8">
        <v>0</v>
      </c>
      <c r="J382" s="8">
        <v>725</v>
      </c>
      <c r="K382" s="8">
        <v>0</v>
      </c>
      <c r="L382" s="8" t="s">
        <v>12</v>
      </c>
      <c r="M382" s="8" t="str">
        <f>IF(Titanic[[#This Row],[Sobrevive]]=1, "SOBREVIVE", "NO SOBREVIVE")</f>
        <v>SOBREVIVE</v>
      </c>
      <c r="N382" s="8" t="str">
        <f>LOOKUP(Titanic[[#This Row],[Clase]],{1,2,3}, {"PRIMERA","SEGUNDA","TERCERA"})</f>
        <v>TERCERA</v>
      </c>
      <c r="O382" s="8" t="str">
        <f>IF(Titanic[[#This Row],[Sexo]]="Hombre", "HOMBRE", "MUJER")</f>
        <v>MUJER</v>
      </c>
      <c r="P382" s="8">
        <f>IF(Titanic[[#This Row],[Edad]]="", "", IF(Titanic[[#This Row],[Edad]]&gt;=100, Titanic[[#This Row],[Edad]] / 10, Titanic[[#This Row],[Edad]]))</f>
        <v>22</v>
      </c>
      <c r="Q382" s="8" t="str">
        <f>IFERROR(LOOKUP(Titanic[[#This Row],[Edad Corrigida]],'Práctica 1'!$K$231:$K$240,'Práctica 1'!$L$231:$L$240), "DESCONOCIDO")</f>
        <v>3. JOVEN</v>
      </c>
      <c r="R382" s="8">
        <f>Titanic[[#This Row],[Familia Horizontal]]+Titanic[[#This Row],[Familia Vertical]]</f>
        <v>0</v>
      </c>
      <c r="S382" s="8"/>
      <c r="T382" s="8"/>
      <c r="U382" s="8"/>
      <c r="V382" s="8"/>
    </row>
    <row r="383" spans="2:22" x14ac:dyDescent="0.2">
      <c r="B383" s="6">
        <v>378</v>
      </c>
      <c r="C383" s="7">
        <v>0</v>
      </c>
      <c r="D383" s="8">
        <v>1</v>
      </c>
      <c r="E383" s="8" t="s">
        <v>392</v>
      </c>
      <c r="F383" s="8" t="s">
        <v>11</v>
      </c>
      <c r="G383" s="8">
        <v>27</v>
      </c>
      <c r="H383" s="8">
        <v>0</v>
      </c>
      <c r="I383" s="8">
        <v>2</v>
      </c>
      <c r="J383" s="8">
        <v>2115</v>
      </c>
      <c r="K383" s="8">
        <v>1</v>
      </c>
      <c r="L383" s="8" t="s">
        <v>15</v>
      </c>
      <c r="M383" s="8" t="str">
        <f>IF(Titanic[[#This Row],[Sobrevive]]=1, "SOBREVIVE", "NO SOBREVIVE")</f>
        <v>NO SOBREVIVE</v>
      </c>
      <c r="N383" s="8" t="str">
        <f>LOOKUP(Titanic[[#This Row],[Clase]],{1,2,3}, {"PRIMERA","SEGUNDA","TERCERA"})</f>
        <v>PRIMERA</v>
      </c>
      <c r="O383" s="8" t="str">
        <f>IF(Titanic[[#This Row],[Sexo]]="Hombre", "HOMBRE", "MUJER")</f>
        <v>HOMBRE</v>
      </c>
      <c r="P383" s="8">
        <f>IF(Titanic[[#This Row],[Edad]]="", "", IF(Titanic[[#This Row],[Edad]]&gt;=100, Titanic[[#This Row],[Edad]] / 10, Titanic[[#This Row],[Edad]]))</f>
        <v>27</v>
      </c>
      <c r="Q383" s="8" t="str">
        <f>IFERROR(LOOKUP(Titanic[[#This Row],[Edad Corrigida]],'Práctica 1'!$K$231:$K$240,'Práctica 1'!$L$231:$L$240), "DESCONOCIDO")</f>
        <v>4. ADULTO JOVEN</v>
      </c>
      <c r="R383" s="8">
        <f>Titanic[[#This Row],[Familia Horizontal]]+Titanic[[#This Row],[Familia Vertical]]</f>
        <v>2</v>
      </c>
      <c r="S383" s="8"/>
      <c r="T383" s="8"/>
      <c r="U383" s="8"/>
      <c r="V383" s="8"/>
    </row>
    <row r="384" spans="2:22" x14ac:dyDescent="0.2">
      <c r="B384" s="6">
        <v>379</v>
      </c>
      <c r="C384" s="7">
        <v>0</v>
      </c>
      <c r="D384" s="8">
        <v>3</v>
      </c>
      <c r="E384" s="8" t="s">
        <v>393</v>
      </c>
      <c r="F384" s="8" t="s">
        <v>11</v>
      </c>
      <c r="G384" s="8">
        <v>20</v>
      </c>
      <c r="H384" s="8">
        <v>0</v>
      </c>
      <c r="I384" s="8">
        <v>0</v>
      </c>
      <c r="J384" s="8">
        <v>40125</v>
      </c>
      <c r="K384" s="8">
        <v>0</v>
      </c>
      <c r="L384" s="8" t="s">
        <v>15</v>
      </c>
      <c r="M384" s="8" t="str">
        <f>IF(Titanic[[#This Row],[Sobrevive]]=1, "SOBREVIVE", "NO SOBREVIVE")</f>
        <v>NO SOBREVIVE</v>
      </c>
      <c r="N384" s="8" t="str">
        <f>LOOKUP(Titanic[[#This Row],[Clase]],{1,2,3}, {"PRIMERA","SEGUNDA","TERCERA"})</f>
        <v>TERCERA</v>
      </c>
      <c r="O384" s="8" t="str">
        <f>IF(Titanic[[#This Row],[Sexo]]="Hombre", "HOMBRE", "MUJER")</f>
        <v>HOMBRE</v>
      </c>
      <c r="P384" s="8">
        <f>IF(Titanic[[#This Row],[Edad]]="", "", IF(Titanic[[#This Row],[Edad]]&gt;=100, Titanic[[#This Row],[Edad]] / 10, Titanic[[#This Row],[Edad]]))</f>
        <v>20</v>
      </c>
      <c r="Q384" s="8" t="str">
        <f>IFERROR(LOOKUP(Titanic[[#This Row],[Edad Corrigida]],'Práctica 1'!$K$231:$K$240,'Práctica 1'!$L$231:$L$240), "DESCONOCIDO")</f>
        <v>2. ADOLESCENTE</v>
      </c>
      <c r="R384" s="8">
        <f>Titanic[[#This Row],[Familia Horizontal]]+Titanic[[#This Row],[Familia Vertical]]</f>
        <v>0</v>
      </c>
      <c r="S384" s="8"/>
      <c r="T384" s="8"/>
      <c r="U384" s="8"/>
      <c r="V384" s="8"/>
    </row>
    <row r="385" spans="2:22" x14ac:dyDescent="0.2">
      <c r="B385" s="6">
        <v>380</v>
      </c>
      <c r="C385" s="7">
        <v>0</v>
      </c>
      <c r="D385" s="8">
        <v>3</v>
      </c>
      <c r="E385" s="8" t="s">
        <v>394</v>
      </c>
      <c r="F385" s="8" t="s">
        <v>11</v>
      </c>
      <c r="G385" s="8">
        <v>19</v>
      </c>
      <c r="H385" s="8">
        <v>0</v>
      </c>
      <c r="I385" s="8">
        <v>0</v>
      </c>
      <c r="J385" s="8">
        <v>7775</v>
      </c>
      <c r="K385" s="8">
        <v>0</v>
      </c>
      <c r="L385" s="8" t="s">
        <v>12</v>
      </c>
      <c r="M385" s="8" t="str">
        <f>IF(Titanic[[#This Row],[Sobrevive]]=1, "SOBREVIVE", "NO SOBREVIVE")</f>
        <v>NO SOBREVIVE</v>
      </c>
      <c r="N385" s="8" t="str">
        <f>LOOKUP(Titanic[[#This Row],[Clase]],{1,2,3}, {"PRIMERA","SEGUNDA","TERCERA"})</f>
        <v>TERCERA</v>
      </c>
      <c r="O385" s="8" t="str">
        <f>IF(Titanic[[#This Row],[Sexo]]="Hombre", "HOMBRE", "MUJER")</f>
        <v>HOMBRE</v>
      </c>
      <c r="P385" s="8">
        <f>IF(Titanic[[#This Row],[Edad]]="", "", IF(Titanic[[#This Row],[Edad]]&gt;=100, Titanic[[#This Row],[Edad]] / 10, Titanic[[#This Row],[Edad]]))</f>
        <v>19</v>
      </c>
      <c r="Q385" s="8" t="str">
        <f>IFERROR(LOOKUP(Titanic[[#This Row],[Edad Corrigida]],'Práctica 1'!$K$231:$K$240,'Práctica 1'!$L$231:$L$240), "DESCONOCIDO")</f>
        <v>2. ADOLESCENTE</v>
      </c>
      <c r="R385" s="8">
        <f>Titanic[[#This Row],[Familia Horizontal]]+Titanic[[#This Row],[Familia Vertical]]</f>
        <v>0</v>
      </c>
      <c r="S385" s="8"/>
      <c r="T385" s="8"/>
      <c r="U385" s="8"/>
      <c r="V385" s="8"/>
    </row>
    <row r="386" spans="2:22" x14ac:dyDescent="0.2">
      <c r="B386" s="6">
        <v>381</v>
      </c>
      <c r="C386" s="7">
        <v>1</v>
      </c>
      <c r="D386" s="8">
        <v>1</v>
      </c>
      <c r="E386" s="8" t="s">
        <v>395</v>
      </c>
      <c r="F386" s="8" t="s">
        <v>14</v>
      </c>
      <c r="G386" s="8">
        <v>42</v>
      </c>
      <c r="H386" s="8">
        <v>0</v>
      </c>
      <c r="I386" s="8">
        <v>0</v>
      </c>
      <c r="J386" s="8">
        <v>227525</v>
      </c>
      <c r="K386" s="8">
        <v>0</v>
      </c>
      <c r="L386" s="8" t="s">
        <v>15</v>
      </c>
      <c r="M386" s="8" t="str">
        <f>IF(Titanic[[#This Row],[Sobrevive]]=1, "SOBREVIVE", "NO SOBREVIVE")</f>
        <v>SOBREVIVE</v>
      </c>
      <c r="N386" s="8" t="str">
        <f>LOOKUP(Titanic[[#This Row],[Clase]],{1,2,3}, {"PRIMERA","SEGUNDA","TERCERA"})</f>
        <v>PRIMERA</v>
      </c>
      <c r="O386" s="8" t="str">
        <f>IF(Titanic[[#This Row],[Sexo]]="Hombre", "HOMBRE", "MUJER")</f>
        <v>MUJER</v>
      </c>
      <c r="P386" s="8">
        <f>IF(Titanic[[#This Row],[Edad]]="", "", IF(Titanic[[#This Row],[Edad]]&gt;=100, Titanic[[#This Row],[Edad]] / 10, Titanic[[#This Row],[Edad]]))</f>
        <v>42</v>
      </c>
      <c r="Q386" s="8" t="str">
        <f>IFERROR(LOOKUP(Titanic[[#This Row],[Edad Corrigida]],'Práctica 1'!$K$231:$K$240,'Práctica 1'!$L$231:$L$240), "DESCONOCIDO")</f>
        <v>8. ADULTO 3</v>
      </c>
      <c r="R386" s="8">
        <f>Titanic[[#This Row],[Familia Horizontal]]+Titanic[[#This Row],[Familia Vertical]]</f>
        <v>0</v>
      </c>
      <c r="S386" s="8"/>
      <c r="T386" s="8"/>
      <c r="U386" s="8"/>
      <c r="V386" s="8"/>
    </row>
    <row r="387" spans="2:22" x14ac:dyDescent="0.2">
      <c r="B387" s="6">
        <v>382</v>
      </c>
      <c r="C387" s="7">
        <v>1</v>
      </c>
      <c r="D387" s="8">
        <v>3</v>
      </c>
      <c r="E387" s="8" t="s">
        <v>396</v>
      </c>
      <c r="F387" s="8" t="s">
        <v>14</v>
      </c>
      <c r="G387" s="8">
        <v>1</v>
      </c>
      <c r="H387" s="8">
        <v>0</v>
      </c>
      <c r="I387" s="8">
        <v>2</v>
      </c>
      <c r="J387" s="8">
        <v>157417</v>
      </c>
      <c r="K387" s="8">
        <v>0</v>
      </c>
      <c r="L387" s="8" t="s">
        <v>15</v>
      </c>
      <c r="M387" s="8" t="str">
        <f>IF(Titanic[[#This Row],[Sobrevive]]=1, "SOBREVIVE", "NO SOBREVIVE")</f>
        <v>SOBREVIVE</v>
      </c>
      <c r="N387" s="8" t="str">
        <f>LOOKUP(Titanic[[#This Row],[Clase]],{1,2,3}, {"PRIMERA","SEGUNDA","TERCERA"})</f>
        <v>TERCERA</v>
      </c>
      <c r="O387" s="8" t="str">
        <f>IF(Titanic[[#This Row],[Sexo]]="Hombre", "HOMBRE", "MUJER")</f>
        <v>MUJER</v>
      </c>
      <c r="P387" s="8">
        <f>IF(Titanic[[#This Row],[Edad]]="", "", IF(Titanic[[#This Row],[Edad]]&gt;=100, Titanic[[#This Row],[Edad]] / 10, Titanic[[#This Row],[Edad]]))</f>
        <v>1</v>
      </c>
      <c r="Q387" s="8" t="str">
        <f>IFERROR(LOOKUP(Titanic[[#This Row],[Edad Corrigida]],'Práctica 1'!$K$231:$K$240,'Práctica 1'!$L$231:$L$240), "DESCONOCIDO")</f>
        <v>DESCONOCIDO</v>
      </c>
      <c r="R387" s="8">
        <f>Titanic[[#This Row],[Familia Horizontal]]+Titanic[[#This Row],[Familia Vertical]]</f>
        <v>2</v>
      </c>
      <c r="S387" s="8"/>
      <c r="T387" s="8"/>
      <c r="U387" s="8"/>
      <c r="V387" s="8"/>
    </row>
    <row r="388" spans="2:22" x14ac:dyDescent="0.2">
      <c r="B388" s="6">
        <v>383</v>
      </c>
      <c r="C388" s="7">
        <v>0</v>
      </c>
      <c r="D388" s="8">
        <v>3</v>
      </c>
      <c r="E388" s="8" t="s">
        <v>397</v>
      </c>
      <c r="F388" s="8" t="s">
        <v>11</v>
      </c>
      <c r="G388" s="8">
        <v>32</v>
      </c>
      <c r="H388" s="8">
        <v>0</v>
      </c>
      <c r="I388" s="8">
        <v>0</v>
      </c>
      <c r="J388" s="8">
        <v>7925</v>
      </c>
      <c r="K388" s="8">
        <v>0</v>
      </c>
      <c r="L388" s="8" t="s">
        <v>12</v>
      </c>
      <c r="M388" s="8" t="str">
        <f>IF(Titanic[[#This Row],[Sobrevive]]=1, "SOBREVIVE", "NO SOBREVIVE")</f>
        <v>NO SOBREVIVE</v>
      </c>
      <c r="N388" s="8" t="str">
        <f>LOOKUP(Titanic[[#This Row],[Clase]],{1,2,3}, {"PRIMERA","SEGUNDA","TERCERA"})</f>
        <v>TERCERA</v>
      </c>
      <c r="O388" s="8" t="str">
        <f>IF(Titanic[[#This Row],[Sexo]]="Hombre", "HOMBRE", "MUJER")</f>
        <v>HOMBRE</v>
      </c>
      <c r="P388" s="8">
        <f>IF(Titanic[[#This Row],[Edad]]="", "", IF(Titanic[[#This Row],[Edad]]&gt;=100, Titanic[[#This Row],[Edad]] / 10, Titanic[[#This Row],[Edad]]))</f>
        <v>32</v>
      </c>
      <c r="Q388" s="8" t="str">
        <f>IFERROR(LOOKUP(Titanic[[#This Row],[Edad Corrigida]],'Práctica 1'!$K$231:$K$240,'Práctica 1'!$L$231:$L$240), "DESCONOCIDO")</f>
        <v>6. ADULTO 1</v>
      </c>
      <c r="R388" s="8">
        <f>Titanic[[#This Row],[Familia Horizontal]]+Titanic[[#This Row],[Familia Vertical]]</f>
        <v>0</v>
      </c>
      <c r="S388" s="8"/>
      <c r="T388" s="8"/>
      <c r="U388" s="8"/>
      <c r="V388" s="8"/>
    </row>
    <row r="389" spans="2:22" x14ac:dyDescent="0.2">
      <c r="B389" s="6">
        <v>384</v>
      </c>
      <c r="C389" s="7">
        <v>1</v>
      </c>
      <c r="D389" s="8">
        <v>1</v>
      </c>
      <c r="E389" s="8" t="s">
        <v>398</v>
      </c>
      <c r="F389" s="8" t="s">
        <v>14</v>
      </c>
      <c r="G389" s="8">
        <v>35</v>
      </c>
      <c r="H389" s="8">
        <v>1</v>
      </c>
      <c r="I389" s="8">
        <v>0</v>
      </c>
      <c r="J389" s="8">
        <v>52</v>
      </c>
      <c r="K389" s="8">
        <v>0</v>
      </c>
      <c r="L389" s="8" t="s">
        <v>12</v>
      </c>
      <c r="M389" s="8" t="str">
        <f>IF(Titanic[[#This Row],[Sobrevive]]=1, "SOBREVIVE", "NO SOBREVIVE")</f>
        <v>SOBREVIVE</v>
      </c>
      <c r="N389" s="8" t="str">
        <f>LOOKUP(Titanic[[#This Row],[Clase]],{1,2,3}, {"PRIMERA","SEGUNDA","TERCERA"})</f>
        <v>PRIMERA</v>
      </c>
      <c r="O389" s="8" t="str">
        <f>IF(Titanic[[#This Row],[Sexo]]="Hombre", "HOMBRE", "MUJER")</f>
        <v>MUJER</v>
      </c>
      <c r="P389" s="8">
        <f>IF(Titanic[[#This Row],[Edad]]="", "", IF(Titanic[[#This Row],[Edad]]&gt;=100, Titanic[[#This Row],[Edad]] / 10, Titanic[[#This Row],[Edad]]))</f>
        <v>35</v>
      </c>
      <c r="Q389" s="8" t="str">
        <f>IFERROR(LOOKUP(Titanic[[#This Row],[Edad Corrigida]],'Práctica 1'!$K$231:$K$240,'Práctica 1'!$L$231:$L$240), "DESCONOCIDO")</f>
        <v>6. ADULTO 1</v>
      </c>
      <c r="R389" s="8">
        <f>Titanic[[#This Row],[Familia Horizontal]]+Titanic[[#This Row],[Familia Vertical]]</f>
        <v>1</v>
      </c>
      <c r="S389" s="8"/>
      <c r="T389" s="8"/>
      <c r="U389" s="8"/>
      <c r="V389" s="8"/>
    </row>
    <row r="390" spans="2:22" x14ac:dyDescent="0.2">
      <c r="B390" s="6">
        <v>385</v>
      </c>
      <c r="C390" s="7">
        <v>0</v>
      </c>
      <c r="D390" s="8">
        <v>3</v>
      </c>
      <c r="E390" s="8" t="s">
        <v>399</v>
      </c>
      <c r="F390" s="8" t="s">
        <v>11</v>
      </c>
      <c r="G390" s="9"/>
      <c r="H390" s="8">
        <v>0</v>
      </c>
      <c r="I390" s="8">
        <v>0</v>
      </c>
      <c r="J390" s="8">
        <v>78958</v>
      </c>
      <c r="K390" s="8">
        <v>0</v>
      </c>
      <c r="L390" s="8" t="s">
        <v>12</v>
      </c>
      <c r="M390" s="8" t="str">
        <f>IF(Titanic[[#This Row],[Sobrevive]]=1, "SOBREVIVE", "NO SOBREVIVE")</f>
        <v>NO SOBREVIVE</v>
      </c>
      <c r="N390" s="8" t="str">
        <f>LOOKUP(Titanic[[#This Row],[Clase]],{1,2,3}, {"PRIMERA","SEGUNDA","TERCERA"})</f>
        <v>TERCERA</v>
      </c>
      <c r="O390" s="8" t="str">
        <f>IF(Titanic[[#This Row],[Sexo]]="Hombre", "HOMBRE", "MUJER")</f>
        <v>HOMBRE</v>
      </c>
      <c r="P390" s="8" t="str">
        <f>IF(Titanic[[#This Row],[Edad]]="", "", IF(Titanic[[#This Row],[Edad]]&gt;=100, Titanic[[#This Row],[Edad]] / 10, Titanic[[#This Row],[Edad]]))</f>
        <v/>
      </c>
      <c r="Q390" s="8" t="str">
        <f>IFERROR(LOOKUP(Titanic[[#This Row],[Edad Corrigida]],'Práctica 1'!$K$231:$K$240,'Práctica 1'!$L$231:$L$240), "DESCONOCIDO")</f>
        <v>DESCONOCIDO</v>
      </c>
      <c r="R390" s="8">
        <f>Titanic[[#This Row],[Familia Horizontal]]+Titanic[[#This Row],[Familia Vertical]]</f>
        <v>0</v>
      </c>
      <c r="S390" s="8"/>
      <c r="T390" s="8"/>
      <c r="U390" s="8"/>
      <c r="V390" s="8"/>
    </row>
    <row r="391" spans="2:22" x14ac:dyDescent="0.2">
      <c r="B391" s="6">
        <v>386</v>
      </c>
      <c r="C391" s="7">
        <v>0</v>
      </c>
      <c r="D391" s="8">
        <v>2</v>
      </c>
      <c r="E391" s="8" t="s">
        <v>400</v>
      </c>
      <c r="F391" s="8" t="s">
        <v>11</v>
      </c>
      <c r="G391" s="8">
        <v>18</v>
      </c>
      <c r="H391" s="8">
        <v>0</v>
      </c>
      <c r="I391" s="8">
        <v>0</v>
      </c>
      <c r="J391" s="8">
        <v>735</v>
      </c>
      <c r="K391" s="8">
        <v>0</v>
      </c>
      <c r="L391" s="8" t="s">
        <v>12</v>
      </c>
      <c r="M391" s="8" t="str">
        <f>IF(Titanic[[#This Row],[Sobrevive]]=1, "SOBREVIVE", "NO SOBREVIVE")</f>
        <v>NO SOBREVIVE</v>
      </c>
      <c r="N391" s="8" t="str">
        <f>LOOKUP(Titanic[[#This Row],[Clase]],{1,2,3}, {"PRIMERA","SEGUNDA","TERCERA"})</f>
        <v>SEGUNDA</v>
      </c>
      <c r="O391" s="8" t="str">
        <f>IF(Titanic[[#This Row],[Sexo]]="Hombre", "HOMBRE", "MUJER")</f>
        <v>HOMBRE</v>
      </c>
      <c r="P391" s="8">
        <f>IF(Titanic[[#This Row],[Edad]]="", "", IF(Titanic[[#This Row],[Edad]]&gt;=100, Titanic[[#This Row],[Edad]] / 10, Titanic[[#This Row],[Edad]]))</f>
        <v>18</v>
      </c>
      <c r="Q391" s="8" t="str">
        <f>IFERROR(LOOKUP(Titanic[[#This Row],[Edad Corrigida]],'Práctica 1'!$K$231:$K$240,'Práctica 1'!$L$231:$L$240), "DESCONOCIDO")</f>
        <v>1. INFANTE</v>
      </c>
      <c r="R391" s="8">
        <f>Titanic[[#This Row],[Familia Horizontal]]+Titanic[[#This Row],[Familia Vertical]]</f>
        <v>0</v>
      </c>
      <c r="S391" s="8"/>
      <c r="T391" s="8"/>
      <c r="U391" s="8"/>
      <c r="V391" s="8"/>
    </row>
    <row r="392" spans="2:22" x14ac:dyDescent="0.2">
      <c r="B392" s="6">
        <v>387</v>
      </c>
      <c r="C392" s="7">
        <v>0</v>
      </c>
      <c r="D392" s="8">
        <v>3</v>
      </c>
      <c r="E392" s="8" t="s">
        <v>401</v>
      </c>
      <c r="F392" s="8" t="s">
        <v>11</v>
      </c>
      <c r="G392" s="8">
        <v>1</v>
      </c>
      <c r="H392" s="8">
        <v>5</v>
      </c>
      <c r="I392" s="8">
        <v>2</v>
      </c>
      <c r="J392" s="8">
        <v>469</v>
      </c>
      <c r="K392" s="8">
        <v>0</v>
      </c>
      <c r="L392" s="8" t="s">
        <v>12</v>
      </c>
      <c r="M392" s="8" t="str">
        <f>IF(Titanic[[#This Row],[Sobrevive]]=1, "SOBREVIVE", "NO SOBREVIVE")</f>
        <v>NO SOBREVIVE</v>
      </c>
      <c r="N392" s="8" t="str">
        <f>LOOKUP(Titanic[[#This Row],[Clase]],{1,2,3}, {"PRIMERA","SEGUNDA","TERCERA"})</f>
        <v>TERCERA</v>
      </c>
      <c r="O392" s="8" t="str">
        <f>IF(Titanic[[#This Row],[Sexo]]="Hombre", "HOMBRE", "MUJER")</f>
        <v>HOMBRE</v>
      </c>
      <c r="P392" s="8">
        <f>IF(Titanic[[#This Row],[Edad]]="", "", IF(Titanic[[#This Row],[Edad]]&gt;=100, Titanic[[#This Row],[Edad]] / 10, Titanic[[#This Row],[Edad]]))</f>
        <v>1</v>
      </c>
      <c r="Q392" s="8" t="str">
        <f>IFERROR(LOOKUP(Titanic[[#This Row],[Edad Corrigida]],'Práctica 1'!$K$231:$K$240,'Práctica 1'!$L$231:$L$240), "DESCONOCIDO")</f>
        <v>DESCONOCIDO</v>
      </c>
      <c r="R392" s="8">
        <f>Titanic[[#This Row],[Familia Horizontal]]+Titanic[[#This Row],[Familia Vertical]]</f>
        <v>7</v>
      </c>
      <c r="S392" s="8"/>
      <c r="T392" s="8"/>
      <c r="U392" s="8"/>
      <c r="V392" s="8"/>
    </row>
    <row r="393" spans="2:22" x14ac:dyDescent="0.2">
      <c r="B393" s="6">
        <v>388</v>
      </c>
      <c r="C393" s="7">
        <v>1</v>
      </c>
      <c r="D393" s="8">
        <v>2</v>
      </c>
      <c r="E393" s="8" t="s">
        <v>402</v>
      </c>
      <c r="F393" s="8" t="s">
        <v>14</v>
      </c>
      <c r="G393" s="8">
        <v>36</v>
      </c>
      <c r="H393" s="8">
        <v>0</v>
      </c>
      <c r="I393" s="8">
        <v>0</v>
      </c>
      <c r="J393" s="8">
        <v>13</v>
      </c>
      <c r="K393" s="8">
        <v>0</v>
      </c>
      <c r="L393" s="8" t="s">
        <v>12</v>
      </c>
      <c r="M393" s="8" t="str">
        <f>IF(Titanic[[#This Row],[Sobrevive]]=1, "SOBREVIVE", "NO SOBREVIVE")</f>
        <v>SOBREVIVE</v>
      </c>
      <c r="N393" s="8" t="str">
        <f>LOOKUP(Titanic[[#This Row],[Clase]],{1,2,3}, {"PRIMERA","SEGUNDA","TERCERA"})</f>
        <v>SEGUNDA</v>
      </c>
      <c r="O393" s="8" t="str">
        <f>IF(Titanic[[#This Row],[Sexo]]="Hombre", "HOMBRE", "MUJER")</f>
        <v>MUJER</v>
      </c>
      <c r="P393" s="8">
        <f>IF(Titanic[[#This Row],[Edad]]="", "", IF(Titanic[[#This Row],[Edad]]&gt;=100, Titanic[[#This Row],[Edad]] / 10, Titanic[[#This Row],[Edad]]))</f>
        <v>36</v>
      </c>
      <c r="Q393" s="8" t="str">
        <f>IFERROR(LOOKUP(Titanic[[#This Row],[Edad Corrigida]],'Práctica 1'!$K$231:$K$240,'Práctica 1'!$L$231:$L$240), "DESCONOCIDO")</f>
        <v>7. ADULTO 2</v>
      </c>
      <c r="R393" s="8">
        <f>Titanic[[#This Row],[Familia Horizontal]]+Titanic[[#This Row],[Familia Vertical]]</f>
        <v>0</v>
      </c>
      <c r="S393" s="8"/>
      <c r="T393" s="8"/>
      <c r="U393" s="8"/>
      <c r="V393" s="8"/>
    </row>
    <row r="394" spans="2:22" x14ac:dyDescent="0.2">
      <c r="B394" s="6">
        <v>389</v>
      </c>
      <c r="C394" s="7">
        <v>0</v>
      </c>
      <c r="D394" s="8">
        <v>3</v>
      </c>
      <c r="E394" s="8" t="s">
        <v>403</v>
      </c>
      <c r="F394" s="8" t="s">
        <v>11</v>
      </c>
      <c r="G394" s="9"/>
      <c r="H394" s="8">
        <v>0</v>
      </c>
      <c r="I394" s="8">
        <v>0</v>
      </c>
      <c r="J394" s="8">
        <v>77292</v>
      </c>
      <c r="K394" s="8">
        <v>0</v>
      </c>
      <c r="L394" s="8" t="s">
        <v>20</v>
      </c>
      <c r="M394" s="8" t="str">
        <f>IF(Titanic[[#This Row],[Sobrevive]]=1, "SOBREVIVE", "NO SOBREVIVE")</f>
        <v>NO SOBREVIVE</v>
      </c>
      <c r="N394" s="8" t="str">
        <f>LOOKUP(Titanic[[#This Row],[Clase]],{1,2,3}, {"PRIMERA","SEGUNDA","TERCERA"})</f>
        <v>TERCERA</v>
      </c>
      <c r="O394" s="8" t="str">
        <f>IF(Titanic[[#This Row],[Sexo]]="Hombre", "HOMBRE", "MUJER")</f>
        <v>HOMBRE</v>
      </c>
      <c r="P394" s="8" t="str">
        <f>IF(Titanic[[#This Row],[Edad]]="", "", IF(Titanic[[#This Row],[Edad]]&gt;=100, Titanic[[#This Row],[Edad]] / 10, Titanic[[#This Row],[Edad]]))</f>
        <v/>
      </c>
      <c r="Q394" s="8" t="str">
        <f>IFERROR(LOOKUP(Titanic[[#This Row],[Edad Corrigida]],'Práctica 1'!$K$231:$K$240,'Práctica 1'!$L$231:$L$240), "DESCONOCIDO")</f>
        <v>DESCONOCIDO</v>
      </c>
      <c r="R394" s="8">
        <f>Titanic[[#This Row],[Familia Horizontal]]+Titanic[[#This Row],[Familia Vertical]]</f>
        <v>0</v>
      </c>
      <c r="S394" s="8"/>
      <c r="T394" s="8"/>
      <c r="U394" s="8"/>
      <c r="V394" s="8"/>
    </row>
    <row r="395" spans="2:22" x14ac:dyDescent="0.2">
      <c r="B395" s="6">
        <v>390</v>
      </c>
      <c r="C395" s="7">
        <v>1</v>
      </c>
      <c r="D395" s="8">
        <v>2</v>
      </c>
      <c r="E395" s="8" t="s">
        <v>404</v>
      </c>
      <c r="F395" s="8" t="s">
        <v>14</v>
      </c>
      <c r="G395" s="8">
        <v>17</v>
      </c>
      <c r="H395" s="8">
        <v>0</v>
      </c>
      <c r="I395" s="8">
        <v>0</v>
      </c>
      <c r="J395" s="8">
        <v>12</v>
      </c>
      <c r="K395" s="8">
        <v>0</v>
      </c>
      <c r="L395" s="8" t="s">
        <v>15</v>
      </c>
      <c r="M395" s="8" t="str">
        <f>IF(Titanic[[#This Row],[Sobrevive]]=1, "SOBREVIVE", "NO SOBREVIVE")</f>
        <v>SOBREVIVE</v>
      </c>
      <c r="N395" s="8" t="str">
        <f>LOOKUP(Titanic[[#This Row],[Clase]],{1,2,3}, {"PRIMERA","SEGUNDA","TERCERA"})</f>
        <v>SEGUNDA</v>
      </c>
      <c r="O395" s="8" t="str">
        <f>IF(Titanic[[#This Row],[Sexo]]="Hombre", "HOMBRE", "MUJER")</f>
        <v>MUJER</v>
      </c>
      <c r="P395" s="8">
        <f>IF(Titanic[[#This Row],[Edad]]="", "", IF(Titanic[[#This Row],[Edad]]&gt;=100, Titanic[[#This Row],[Edad]] / 10, Titanic[[#This Row],[Edad]]))</f>
        <v>17</v>
      </c>
      <c r="Q395" s="8" t="str">
        <f>IFERROR(LOOKUP(Titanic[[#This Row],[Edad Corrigida]],'Práctica 1'!$K$231:$K$240,'Práctica 1'!$L$231:$L$240), "DESCONOCIDO")</f>
        <v>1. INFANTE</v>
      </c>
      <c r="R395" s="8">
        <f>Titanic[[#This Row],[Familia Horizontal]]+Titanic[[#This Row],[Familia Vertical]]</f>
        <v>0</v>
      </c>
      <c r="S395" s="8"/>
      <c r="T395" s="8"/>
      <c r="U395" s="8"/>
      <c r="V395" s="8"/>
    </row>
    <row r="396" spans="2:22" x14ac:dyDescent="0.2">
      <c r="B396" s="6">
        <v>391</v>
      </c>
      <c r="C396" s="7">
        <v>1</v>
      </c>
      <c r="D396" s="8">
        <v>1</v>
      </c>
      <c r="E396" s="8" t="s">
        <v>405</v>
      </c>
      <c r="F396" s="8" t="s">
        <v>11</v>
      </c>
      <c r="G396" s="8">
        <v>36</v>
      </c>
      <c r="H396" s="8">
        <v>1</v>
      </c>
      <c r="I396" s="8">
        <v>2</v>
      </c>
      <c r="J396" s="8">
        <v>120</v>
      </c>
      <c r="K396" s="8">
        <v>1</v>
      </c>
      <c r="L396" s="8" t="s">
        <v>12</v>
      </c>
      <c r="M396" s="8" t="str">
        <f>IF(Titanic[[#This Row],[Sobrevive]]=1, "SOBREVIVE", "NO SOBREVIVE")</f>
        <v>SOBREVIVE</v>
      </c>
      <c r="N396" s="8" t="str">
        <f>LOOKUP(Titanic[[#This Row],[Clase]],{1,2,3}, {"PRIMERA","SEGUNDA","TERCERA"})</f>
        <v>PRIMERA</v>
      </c>
      <c r="O396" s="8" t="str">
        <f>IF(Titanic[[#This Row],[Sexo]]="Hombre", "HOMBRE", "MUJER")</f>
        <v>HOMBRE</v>
      </c>
      <c r="P396" s="8">
        <f>IF(Titanic[[#This Row],[Edad]]="", "", IF(Titanic[[#This Row],[Edad]]&gt;=100, Titanic[[#This Row],[Edad]] / 10, Titanic[[#This Row],[Edad]]))</f>
        <v>36</v>
      </c>
      <c r="Q396" s="8" t="str">
        <f>IFERROR(LOOKUP(Titanic[[#This Row],[Edad Corrigida]],'Práctica 1'!$K$231:$K$240,'Práctica 1'!$L$231:$L$240), "DESCONOCIDO")</f>
        <v>7. ADULTO 2</v>
      </c>
      <c r="R396" s="8">
        <f>Titanic[[#This Row],[Familia Horizontal]]+Titanic[[#This Row],[Familia Vertical]]</f>
        <v>3</v>
      </c>
      <c r="S396" s="8"/>
      <c r="T396" s="8"/>
      <c r="U396" s="8"/>
      <c r="V396" s="8"/>
    </row>
    <row r="397" spans="2:22" x14ac:dyDescent="0.2">
      <c r="B397" s="6">
        <v>392</v>
      </c>
      <c r="C397" s="7">
        <v>1</v>
      </c>
      <c r="D397" s="8">
        <v>3</v>
      </c>
      <c r="E397" s="8" t="s">
        <v>406</v>
      </c>
      <c r="F397" s="8" t="s">
        <v>11</v>
      </c>
      <c r="G397" s="8">
        <v>21</v>
      </c>
      <c r="H397" s="8">
        <v>0</v>
      </c>
      <c r="I397" s="8">
        <v>0</v>
      </c>
      <c r="J397" s="8">
        <v>77958</v>
      </c>
      <c r="K397" s="8">
        <v>0</v>
      </c>
      <c r="L397" s="8" t="s">
        <v>12</v>
      </c>
      <c r="M397" s="8" t="str">
        <f>IF(Titanic[[#This Row],[Sobrevive]]=1, "SOBREVIVE", "NO SOBREVIVE")</f>
        <v>SOBREVIVE</v>
      </c>
      <c r="N397" s="8" t="str">
        <f>LOOKUP(Titanic[[#This Row],[Clase]],{1,2,3}, {"PRIMERA","SEGUNDA","TERCERA"})</f>
        <v>TERCERA</v>
      </c>
      <c r="O397" s="8" t="str">
        <f>IF(Titanic[[#This Row],[Sexo]]="Hombre", "HOMBRE", "MUJER")</f>
        <v>HOMBRE</v>
      </c>
      <c r="P397" s="8">
        <f>IF(Titanic[[#This Row],[Edad]]="", "", IF(Titanic[[#This Row],[Edad]]&gt;=100, Titanic[[#This Row],[Edad]] / 10, Titanic[[#This Row],[Edad]]))</f>
        <v>21</v>
      </c>
      <c r="Q397" s="8" t="str">
        <f>IFERROR(LOOKUP(Titanic[[#This Row],[Edad Corrigida]],'Práctica 1'!$K$231:$K$240,'Práctica 1'!$L$231:$L$240), "DESCONOCIDO")</f>
        <v>2. ADOLESCENTE</v>
      </c>
      <c r="R397" s="8">
        <f>Titanic[[#This Row],[Familia Horizontal]]+Titanic[[#This Row],[Familia Vertical]]</f>
        <v>0</v>
      </c>
      <c r="S397" s="8"/>
      <c r="T397" s="8"/>
      <c r="U397" s="8"/>
      <c r="V397" s="8"/>
    </row>
    <row r="398" spans="2:22" x14ac:dyDescent="0.2">
      <c r="B398" s="6">
        <v>393</v>
      </c>
      <c r="C398" s="7">
        <v>0</v>
      </c>
      <c r="D398" s="8">
        <v>3</v>
      </c>
      <c r="E398" s="8" t="s">
        <v>407</v>
      </c>
      <c r="F398" s="8" t="s">
        <v>11</v>
      </c>
      <c r="G398" s="8">
        <v>28</v>
      </c>
      <c r="H398" s="8">
        <v>2</v>
      </c>
      <c r="I398" s="8">
        <v>0</v>
      </c>
      <c r="J398" s="8">
        <v>7925</v>
      </c>
      <c r="K398" s="8">
        <v>0</v>
      </c>
      <c r="L398" s="8" t="s">
        <v>12</v>
      </c>
      <c r="M398" s="8" t="str">
        <f>IF(Titanic[[#This Row],[Sobrevive]]=1, "SOBREVIVE", "NO SOBREVIVE")</f>
        <v>NO SOBREVIVE</v>
      </c>
      <c r="N398" s="8" t="str">
        <f>LOOKUP(Titanic[[#This Row],[Clase]],{1,2,3}, {"PRIMERA","SEGUNDA","TERCERA"})</f>
        <v>TERCERA</v>
      </c>
      <c r="O398" s="8" t="str">
        <f>IF(Titanic[[#This Row],[Sexo]]="Hombre", "HOMBRE", "MUJER")</f>
        <v>HOMBRE</v>
      </c>
      <c r="P398" s="8">
        <f>IF(Titanic[[#This Row],[Edad]]="", "", IF(Titanic[[#This Row],[Edad]]&gt;=100, Titanic[[#This Row],[Edad]] / 10, Titanic[[#This Row],[Edad]]))</f>
        <v>28</v>
      </c>
      <c r="Q398" s="8" t="str">
        <f>IFERROR(LOOKUP(Titanic[[#This Row],[Edad Corrigida]],'Práctica 1'!$K$231:$K$240,'Práctica 1'!$L$231:$L$240), "DESCONOCIDO")</f>
        <v>4. ADULTO JOVEN</v>
      </c>
      <c r="R398" s="8">
        <f>Titanic[[#This Row],[Familia Horizontal]]+Titanic[[#This Row],[Familia Vertical]]</f>
        <v>2</v>
      </c>
      <c r="S398" s="8"/>
      <c r="T398" s="8"/>
      <c r="U398" s="8"/>
      <c r="V398" s="8"/>
    </row>
    <row r="399" spans="2:22" x14ac:dyDescent="0.2">
      <c r="B399" s="6">
        <v>394</v>
      </c>
      <c r="C399" s="7">
        <v>1</v>
      </c>
      <c r="D399" s="8">
        <v>1</v>
      </c>
      <c r="E399" s="8" t="s">
        <v>408</v>
      </c>
      <c r="F399" s="8" t="s">
        <v>14</v>
      </c>
      <c r="G399" s="8">
        <v>23</v>
      </c>
      <c r="H399" s="8">
        <v>1</v>
      </c>
      <c r="I399" s="8">
        <v>0</v>
      </c>
      <c r="J399" s="8">
        <v>113275</v>
      </c>
      <c r="K399" s="8">
        <v>1</v>
      </c>
      <c r="L399" s="8" t="s">
        <v>15</v>
      </c>
      <c r="M399" s="8" t="str">
        <f>IF(Titanic[[#This Row],[Sobrevive]]=1, "SOBREVIVE", "NO SOBREVIVE")</f>
        <v>SOBREVIVE</v>
      </c>
      <c r="N399" s="8" t="str">
        <f>LOOKUP(Titanic[[#This Row],[Clase]],{1,2,3}, {"PRIMERA","SEGUNDA","TERCERA"})</f>
        <v>PRIMERA</v>
      </c>
      <c r="O399" s="8" t="str">
        <f>IF(Titanic[[#This Row],[Sexo]]="Hombre", "HOMBRE", "MUJER")</f>
        <v>MUJER</v>
      </c>
      <c r="P399" s="8">
        <f>IF(Titanic[[#This Row],[Edad]]="", "", IF(Titanic[[#This Row],[Edad]]&gt;=100, Titanic[[#This Row],[Edad]] / 10, Titanic[[#This Row],[Edad]]))</f>
        <v>23</v>
      </c>
      <c r="Q399" s="8" t="str">
        <f>IFERROR(LOOKUP(Titanic[[#This Row],[Edad Corrigida]],'Práctica 1'!$K$231:$K$240,'Práctica 1'!$L$231:$L$240), "DESCONOCIDO")</f>
        <v>3. JOVEN</v>
      </c>
      <c r="R399" s="8">
        <f>Titanic[[#This Row],[Familia Horizontal]]+Titanic[[#This Row],[Familia Vertical]]</f>
        <v>1</v>
      </c>
      <c r="S399" s="8"/>
      <c r="T399" s="8"/>
      <c r="U399" s="8"/>
      <c r="V399" s="8"/>
    </row>
    <row r="400" spans="2:22" x14ac:dyDescent="0.2">
      <c r="B400" s="6">
        <v>395</v>
      </c>
      <c r="C400" s="7">
        <v>1</v>
      </c>
      <c r="D400" s="8">
        <v>3</v>
      </c>
      <c r="E400" s="8" t="s">
        <v>409</v>
      </c>
      <c r="F400" s="8" t="s">
        <v>14</v>
      </c>
      <c r="G400" s="8">
        <v>24</v>
      </c>
      <c r="H400" s="8">
        <v>0</v>
      </c>
      <c r="I400" s="8">
        <v>2</v>
      </c>
      <c r="J400" s="8">
        <v>167</v>
      </c>
      <c r="K400" s="8">
        <v>1</v>
      </c>
      <c r="L400" s="8" t="s">
        <v>12</v>
      </c>
      <c r="M400" s="8" t="str">
        <f>IF(Titanic[[#This Row],[Sobrevive]]=1, "SOBREVIVE", "NO SOBREVIVE")</f>
        <v>SOBREVIVE</v>
      </c>
      <c r="N400" s="8" t="str">
        <f>LOOKUP(Titanic[[#This Row],[Clase]],{1,2,3}, {"PRIMERA","SEGUNDA","TERCERA"})</f>
        <v>TERCERA</v>
      </c>
      <c r="O400" s="8" t="str">
        <f>IF(Titanic[[#This Row],[Sexo]]="Hombre", "HOMBRE", "MUJER")</f>
        <v>MUJER</v>
      </c>
      <c r="P400" s="8">
        <f>IF(Titanic[[#This Row],[Edad]]="", "", IF(Titanic[[#This Row],[Edad]]&gt;=100, Titanic[[#This Row],[Edad]] / 10, Titanic[[#This Row],[Edad]]))</f>
        <v>24</v>
      </c>
      <c r="Q400" s="8" t="str">
        <f>IFERROR(LOOKUP(Titanic[[#This Row],[Edad Corrigida]],'Práctica 1'!$K$231:$K$240,'Práctica 1'!$L$231:$L$240), "DESCONOCIDO")</f>
        <v>3. JOVEN</v>
      </c>
      <c r="R400" s="8">
        <f>Titanic[[#This Row],[Familia Horizontal]]+Titanic[[#This Row],[Familia Vertical]]</f>
        <v>2</v>
      </c>
      <c r="S400" s="8"/>
      <c r="T400" s="8"/>
      <c r="U400" s="8"/>
      <c r="V400" s="8"/>
    </row>
    <row r="401" spans="2:22" x14ac:dyDescent="0.2">
      <c r="B401" s="6">
        <v>396</v>
      </c>
      <c r="C401" s="7">
        <v>0</v>
      </c>
      <c r="D401" s="8">
        <v>3</v>
      </c>
      <c r="E401" s="8" t="s">
        <v>410</v>
      </c>
      <c r="F401" s="8" t="s">
        <v>11</v>
      </c>
      <c r="G401" s="8">
        <v>22</v>
      </c>
      <c r="H401" s="8">
        <v>0</v>
      </c>
      <c r="I401" s="8">
        <v>0</v>
      </c>
      <c r="J401" s="8">
        <v>77958</v>
      </c>
      <c r="K401" s="8">
        <v>0</v>
      </c>
      <c r="L401" s="8" t="s">
        <v>12</v>
      </c>
      <c r="M401" s="8" t="str">
        <f>IF(Titanic[[#This Row],[Sobrevive]]=1, "SOBREVIVE", "NO SOBREVIVE")</f>
        <v>NO SOBREVIVE</v>
      </c>
      <c r="N401" s="8" t="str">
        <f>LOOKUP(Titanic[[#This Row],[Clase]],{1,2,3}, {"PRIMERA","SEGUNDA","TERCERA"})</f>
        <v>TERCERA</v>
      </c>
      <c r="O401" s="8" t="str">
        <f>IF(Titanic[[#This Row],[Sexo]]="Hombre", "HOMBRE", "MUJER")</f>
        <v>HOMBRE</v>
      </c>
      <c r="P401" s="8">
        <f>IF(Titanic[[#This Row],[Edad]]="", "", IF(Titanic[[#This Row],[Edad]]&gt;=100, Titanic[[#This Row],[Edad]] / 10, Titanic[[#This Row],[Edad]]))</f>
        <v>22</v>
      </c>
      <c r="Q401" s="8" t="str">
        <f>IFERROR(LOOKUP(Titanic[[#This Row],[Edad Corrigida]],'Práctica 1'!$K$231:$K$240,'Práctica 1'!$L$231:$L$240), "DESCONOCIDO")</f>
        <v>3. JOVEN</v>
      </c>
      <c r="R401" s="8">
        <f>Titanic[[#This Row],[Familia Horizontal]]+Titanic[[#This Row],[Familia Vertical]]</f>
        <v>0</v>
      </c>
      <c r="S401" s="8"/>
      <c r="T401" s="8"/>
      <c r="U401" s="8"/>
      <c r="V401" s="8"/>
    </row>
    <row r="402" spans="2:22" x14ac:dyDescent="0.2">
      <c r="B402" s="6">
        <v>397</v>
      </c>
      <c r="C402" s="7">
        <v>0</v>
      </c>
      <c r="D402" s="8">
        <v>3</v>
      </c>
      <c r="E402" s="8" t="s">
        <v>411</v>
      </c>
      <c r="F402" s="8" t="s">
        <v>14</v>
      </c>
      <c r="G402" s="8">
        <v>31</v>
      </c>
      <c r="H402" s="8">
        <v>0</v>
      </c>
      <c r="I402" s="8">
        <v>0</v>
      </c>
      <c r="J402" s="8">
        <v>78542</v>
      </c>
      <c r="K402" s="8">
        <v>0</v>
      </c>
      <c r="L402" s="8" t="s">
        <v>12</v>
      </c>
      <c r="M402" s="8" t="str">
        <f>IF(Titanic[[#This Row],[Sobrevive]]=1, "SOBREVIVE", "NO SOBREVIVE")</f>
        <v>NO SOBREVIVE</v>
      </c>
      <c r="N402" s="8" t="str">
        <f>LOOKUP(Titanic[[#This Row],[Clase]],{1,2,3}, {"PRIMERA","SEGUNDA","TERCERA"})</f>
        <v>TERCERA</v>
      </c>
      <c r="O402" s="8" t="str">
        <f>IF(Titanic[[#This Row],[Sexo]]="Hombre", "HOMBRE", "MUJER")</f>
        <v>MUJER</v>
      </c>
      <c r="P402" s="8">
        <f>IF(Titanic[[#This Row],[Edad]]="", "", IF(Titanic[[#This Row],[Edad]]&gt;=100, Titanic[[#This Row],[Edad]] / 10, Titanic[[#This Row],[Edad]]))</f>
        <v>31</v>
      </c>
      <c r="Q402" s="8" t="str">
        <f>IFERROR(LOOKUP(Titanic[[#This Row],[Edad Corrigida]],'Práctica 1'!$K$231:$K$240,'Práctica 1'!$L$231:$L$240), "DESCONOCIDO")</f>
        <v>5. ADULTO</v>
      </c>
      <c r="R402" s="8">
        <f>Titanic[[#This Row],[Familia Horizontal]]+Titanic[[#This Row],[Familia Vertical]]</f>
        <v>0</v>
      </c>
      <c r="S402" s="8"/>
      <c r="T402" s="8"/>
      <c r="U402" s="8"/>
      <c r="V402" s="8"/>
    </row>
    <row r="403" spans="2:22" x14ac:dyDescent="0.2">
      <c r="B403" s="6">
        <v>398</v>
      </c>
      <c r="C403" s="7">
        <v>0</v>
      </c>
      <c r="D403" s="8">
        <v>2</v>
      </c>
      <c r="E403" s="8" t="s">
        <v>412</v>
      </c>
      <c r="F403" s="8" t="s">
        <v>11</v>
      </c>
      <c r="G403" s="8">
        <v>46</v>
      </c>
      <c r="H403" s="8">
        <v>0</v>
      </c>
      <c r="I403" s="8">
        <v>0</v>
      </c>
      <c r="J403" s="8">
        <v>26</v>
      </c>
      <c r="K403" s="8">
        <v>0</v>
      </c>
      <c r="L403" s="8" t="s">
        <v>12</v>
      </c>
      <c r="M403" s="8" t="str">
        <f>IF(Titanic[[#This Row],[Sobrevive]]=1, "SOBREVIVE", "NO SOBREVIVE")</f>
        <v>NO SOBREVIVE</v>
      </c>
      <c r="N403" s="8" t="str">
        <f>LOOKUP(Titanic[[#This Row],[Clase]],{1,2,3}, {"PRIMERA","SEGUNDA","TERCERA"})</f>
        <v>SEGUNDA</v>
      </c>
      <c r="O403" s="8" t="str">
        <f>IF(Titanic[[#This Row],[Sexo]]="Hombre", "HOMBRE", "MUJER")</f>
        <v>HOMBRE</v>
      </c>
      <c r="P403" s="8">
        <f>IF(Titanic[[#This Row],[Edad]]="", "", IF(Titanic[[#This Row],[Edad]]&gt;=100, Titanic[[#This Row],[Edad]] / 10, Titanic[[#This Row],[Edad]]))</f>
        <v>46</v>
      </c>
      <c r="Q403" s="8" t="str">
        <f>IFERROR(LOOKUP(Titanic[[#This Row],[Edad Corrigida]],'Práctica 1'!$K$231:$K$240,'Práctica 1'!$L$231:$L$240), "DESCONOCIDO")</f>
        <v>8. ADULTO 3</v>
      </c>
      <c r="R403" s="8">
        <f>Titanic[[#This Row],[Familia Horizontal]]+Titanic[[#This Row],[Familia Vertical]]</f>
        <v>0</v>
      </c>
      <c r="S403" s="8"/>
      <c r="T403" s="8"/>
      <c r="U403" s="8"/>
      <c r="V403" s="8"/>
    </row>
    <row r="404" spans="2:22" x14ac:dyDescent="0.2">
      <c r="B404" s="6">
        <v>399</v>
      </c>
      <c r="C404" s="7">
        <v>0</v>
      </c>
      <c r="D404" s="8">
        <v>2</v>
      </c>
      <c r="E404" s="8" t="s">
        <v>413</v>
      </c>
      <c r="F404" s="8" t="s">
        <v>11</v>
      </c>
      <c r="G404" s="8">
        <v>23</v>
      </c>
      <c r="H404" s="8">
        <v>0</v>
      </c>
      <c r="I404" s="8">
        <v>0</v>
      </c>
      <c r="J404" s="8">
        <v>105</v>
      </c>
      <c r="K404" s="8">
        <v>0</v>
      </c>
      <c r="L404" s="8" t="s">
        <v>12</v>
      </c>
      <c r="M404" s="8" t="str">
        <f>IF(Titanic[[#This Row],[Sobrevive]]=1, "SOBREVIVE", "NO SOBREVIVE")</f>
        <v>NO SOBREVIVE</v>
      </c>
      <c r="N404" s="8" t="str">
        <f>LOOKUP(Titanic[[#This Row],[Clase]],{1,2,3}, {"PRIMERA","SEGUNDA","TERCERA"})</f>
        <v>SEGUNDA</v>
      </c>
      <c r="O404" s="8" t="str">
        <f>IF(Titanic[[#This Row],[Sexo]]="Hombre", "HOMBRE", "MUJER")</f>
        <v>HOMBRE</v>
      </c>
      <c r="P404" s="8">
        <f>IF(Titanic[[#This Row],[Edad]]="", "", IF(Titanic[[#This Row],[Edad]]&gt;=100, Titanic[[#This Row],[Edad]] / 10, Titanic[[#This Row],[Edad]]))</f>
        <v>23</v>
      </c>
      <c r="Q404" s="8" t="str">
        <f>IFERROR(LOOKUP(Titanic[[#This Row],[Edad Corrigida]],'Práctica 1'!$K$231:$K$240,'Práctica 1'!$L$231:$L$240), "DESCONOCIDO")</f>
        <v>3. JOVEN</v>
      </c>
      <c r="R404" s="8">
        <f>Titanic[[#This Row],[Familia Horizontal]]+Titanic[[#This Row],[Familia Vertical]]</f>
        <v>0</v>
      </c>
      <c r="S404" s="8"/>
      <c r="T404" s="8"/>
      <c r="U404" s="8"/>
      <c r="V404" s="8"/>
    </row>
    <row r="405" spans="2:22" x14ac:dyDescent="0.2">
      <c r="B405" s="6">
        <v>400</v>
      </c>
      <c r="C405" s="7">
        <v>1</v>
      </c>
      <c r="D405" s="8">
        <v>2</v>
      </c>
      <c r="E405" s="8" t="s">
        <v>414</v>
      </c>
      <c r="F405" s="8" t="s">
        <v>14</v>
      </c>
      <c r="G405" s="8">
        <v>28</v>
      </c>
      <c r="H405" s="8">
        <v>0</v>
      </c>
      <c r="I405" s="8">
        <v>0</v>
      </c>
      <c r="J405" s="8">
        <v>1265</v>
      </c>
      <c r="K405" s="8">
        <v>0</v>
      </c>
      <c r="L405" s="8" t="s">
        <v>12</v>
      </c>
      <c r="M405" s="8" t="str">
        <f>IF(Titanic[[#This Row],[Sobrevive]]=1, "SOBREVIVE", "NO SOBREVIVE")</f>
        <v>SOBREVIVE</v>
      </c>
      <c r="N405" s="8" t="str">
        <f>LOOKUP(Titanic[[#This Row],[Clase]],{1,2,3}, {"PRIMERA","SEGUNDA","TERCERA"})</f>
        <v>SEGUNDA</v>
      </c>
      <c r="O405" s="8" t="str">
        <f>IF(Titanic[[#This Row],[Sexo]]="Hombre", "HOMBRE", "MUJER")</f>
        <v>MUJER</v>
      </c>
      <c r="P405" s="8">
        <f>IF(Titanic[[#This Row],[Edad]]="", "", IF(Titanic[[#This Row],[Edad]]&gt;=100, Titanic[[#This Row],[Edad]] / 10, Titanic[[#This Row],[Edad]]))</f>
        <v>28</v>
      </c>
      <c r="Q405" s="8" t="str">
        <f>IFERROR(LOOKUP(Titanic[[#This Row],[Edad Corrigida]],'Práctica 1'!$K$231:$K$240,'Práctica 1'!$L$231:$L$240), "DESCONOCIDO")</f>
        <v>4. ADULTO JOVEN</v>
      </c>
      <c r="R405" s="8">
        <f>Titanic[[#This Row],[Familia Horizontal]]+Titanic[[#This Row],[Familia Vertical]]</f>
        <v>0</v>
      </c>
      <c r="S405" s="8"/>
      <c r="T405" s="8"/>
      <c r="U405" s="8"/>
      <c r="V405" s="8"/>
    </row>
    <row r="406" spans="2:22" x14ac:dyDescent="0.2">
      <c r="B406" s="6">
        <v>401</v>
      </c>
      <c r="C406" s="7">
        <v>1</v>
      </c>
      <c r="D406" s="8">
        <v>3</v>
      </c>
      <c r="E406" s="8" t="s">
        <v>415</v>
      </c>
      <c r="F406" s="8" t="s">
        <v>11</v>
      </c>
      <c r="G406" s="8">
        <v>39</v>
      </c>
      <c r="H406" s="8">
        <v>0</v>
      </c>
      <c r="I406" s="8">
        <v>0</v>
      </c>
      <c r="J406" s="8">
        <v>7925</v>
      </c>
      <c r="K406" s="8">
        <v>0</v>
      </c>
      <c r="L406" s="8" t="s">
        <v>12</v>
      </c>
      <c r="M406" s="8" t="str">
        <f>IF(Titanic[[#This Row],[Sobrevive]]=1, "SOBREVIVE", "NO SOBREVIVE")</f>
        <v>SOBREVIVE</v>
      </c>
      <c r="N406" s="8" t="str">
        <f>LOOKUP(Titanic[[#This Row],[Clase]],{1,2,3}, {"PRIMERA","SEGUNDA","TERCERA"})</f>
        <v>TERCERA</v>
      </c>
      <c r="O406" s="8" t="str">
        <f>IF(Titanic[[#This Row],[Sexo]]="Hombre", "HOMBRE", "MUJER")</f>
        <v>HOMBRE</v>
      </c>
      <c r="P406" s="8">
        <f>IF(Titanic[[#This Row],[Edad]]="", "", IF(Titanic[[#This Row],[Edad]]&gt;=100, Titanic[[#This Row],[Edad]] / 10, Titanic[[#This Row],[Edad]]))</f>
        <v>39</v>
      </c>
      <c r="Q406" s="8" t="str">
        <f>IFERROR(LOOKUP(Titanic[[#This Row],[Edad Corrigida]],'Práctica 1'!$K$231:$K$240,'Práctica 1'!$L$231:$L$240), "DESCONOCIDO")</f>
        <v>7. ADULTO 2</v>
      </c>
      <c r="R406" s="8">
        <f>Titanic[[#This Row],[Familia Horizontal]]+Titanic[[#This Row],[Familia Vertical]]</f>
        <v>0</v>
      </c>
      <c r="S406" s="8"/>
      <c r="T406" s="8"/>
      <c r="U406" s="8"/>
      <c r="V406" s="8"/>
    </row>
    <row r="407" spans="2:22" x14ac:dyDescent="0.2">
      <c r="B407" s="6">
        <v>402</v>
      </c>
      <c r="C407" s="7">
        <v>0</v>
      </c>
      <c r="D407" s="8">
        <v>3</v>
      </c>
      <c r="E407" s="8" t="s">
        <v>416</v>
      </c>
      <c r="F407" s="8" t="s">
        <v>11</v>
      </c>
      <c r="G407" s="8">
        <v>26</v>
      </c>
      <c r="H407" s="8">
        <v>0</v>
      </c>
      <c r="I407" s="8">
        <v>0</v>
      </c>
      <c r="J407" s="8">
        <v>805</v>
      </c>
      <c r="K407" s="8">
        <v>0</v>
      </c>
      <c r="L407" s="8" t="s">
        <v>12</v>
      </c>
      <c r="M407" s="8" t="str">
        <f>IF(Titanic[[#This Row],[Sobrevive]]=1, "SOBREVIVE", "NO SOBREVIVE")</f>
        <v>NO SOBREVIVE</v>
      </c>
      <c r="N407" s="8" t="str">
        <f>LOOKUP(Titanic[[#This Row],[Clase]],{1,2,3}, {"PRIMERA","SEGUNDA","TERCERA"})</f>
        <v>TERCERA</v>
      </c>
      <c r="O407" s="8" t="str">
        <f>IF(Titanic[[#This Row],[Sexo]]="Hombre", "HOMBRE", "MUJER")</f>
        <v>HOMBRE</v>
      </c>
      <c r="P407" s="8">
        <f>IF(Titanic[[#This Row],[Edad]]="", "", IF(Titanic[[#This Row],[Edad]]&gt;=100, Titanic[[#This Row],[Edad]] / 10, Titanic[[#This Row],[Edad]]))</f>
        <v>26</v>
      </c>
      <c r="Q407" s="8" t="str">
        <f>IFERROR(LOOKUP(Titanic[[#This Row],[Edad Corrigida]],'Práctica 1'!$K$231:$K$240,'Práctica 1'!$L$231:$L$240), "DESCONOCIDO")</f>
        <v>4. ADULTO JOVEN</v>
      </c>
      <c r="R407" s="8">
        <f>Titanic[[#This Row],[Familia Horizontal]]+Titanic[[#This Row],[Familia Vertical]]</f>
        <v>0</v>
      </c>
      <c r="S407" s="8"/>
      <c r="T407" s="8"/>
      <c r="U407" s="8"/>
      <c r="V407" s="8"/>
    </row>
    <row r="408" spans="2:22" x14ac:dyDescent="0.2">
      <c r="B408" s="6">
        <v>403</v>
      </c>
      <c r="C408" s="7">
        <v>0</v>
      </c>
      <c r="D408" s="8">
        <v>3</v>
      </c>
      <c r="E408" s="8" t="s">
        <v>417</v>
      </c>
      <c r="F408" s="8" t="s">
        <v>14</v>
      </c>
      <c r="G408" s="8">
        <v>21</v>
      </c>
      <c r="H408" s="8">
        <v>1</v>
      </c>
      <c r="I408" s="8">
        <v>0</v>
      </c>
      <c r="J408" s="8">
        <v>9825</v>
      </c>
      <c r="K408" s="8">
        <v>0</v>
      </c>
      <c r="L408" s="8" t="s">
        <v>12</v>
      </c>
      <c r="M408" s="8" t="str">
        <f>IF(Titanic[[#This Row],[Sobrevive]]=1, "SOBREVIVE", "NO SOBREVIVE")</f>
        <v>NO SOBREVIVE</v>
      </c>
      <c r="N408" s="8" t="str">
        <f>LOOKUP(Titanic[[#This Row],[Clase]],{1,2,3}, {"PRIMERA","SEGUNDA","TERCERA"})</f>
        <v>TERCERA</v>
      </c>
      <c r="O408" s="8" t="str">
        <f>IF(Titanic[[#This Row],[Sexo]]="Hombre", "HOMBRE", "MUJER")</f>
        <v>MUJER</v>
      </c>
      <c r="P408" s="8">
        <f>IF(Titanic[[#This Row],[Edad]]="", "", IF(Titanic[[#This Row],[Edad]]&gt;=100, Titanic[[#This Row],[Edad]] / 10, Titanic[[#This Row],[Edad]]))</f>
        <v>21</v>
      </c>
      <c r="Q408" s="8" t="str">
        <f>IFERROR(LOOKUP(Titanic[[#This Row],[Edad Corrigida]],'Práctica 1'!$K$231:$K$240,'Práctica 1'!$L$231:$L$240), "DESCONOCIDO")</f>
        <v>2. ADOLESCENTE</v>
      </c>
      <c r="R408" s="8">
        <f>Titanic[[#This Row],[Familia Horizontal]]+Titanic[[#This Row],[Familia Vertical]]</f>
        <v>1</v>
      </c>
      <c r="S408" s="8"/>
      <c r="T408" s="8"/>
      <c r="U408" s="8"/>
      <c r="V408" s="8"/>
    </row>
    <row r="409" spans="2:22" x14ac:dyDescent="0.2">
      <c r="B409" s="6">
        <v>404</v>
      </c>
      <c r="C409" s="7">
        <v>0</v>
      </c>
      <c r="D409" s="8">
        <v>3</v>
      </c>
      <c r="E409" s="8" t="s">
        <v>418</v>
      </c>
      <c r="F409" s="8" t="s">
        <v>11</v>
      </c>
      <c r="G409" s="8">
        <v>28</v>
      </c>
      <c r="H409" s="8">
        <v>1</v>
      </c>
      <c r="I409" s="8">
        <v>0</v>
      </c>
      <c r="J409" s="8">
        <v>1585</v>
      </c>
      <c r="K409" s="8">
        <v>0</v>
      </c>
      <c r="L409" s="8" t="s">
        <v>12</v>
      </c>
      <c r="M409" s="8" t="str">
        <f>IF(Titanic[[#This Row],[Sobrevive]]=1, "SOBREVIVE", "NO SOBREVIVE")</f>
        <v>NO SOBREVIVE</v>
      </c>
      <c r="N409" s="8" t="str">
        <f>LOOKUP(Titanic[[#This Row],[Clase]],{1,2,3}, {"PRIMERA","SEGUNDA","TERCERA"})</f>
        <v>TERCERA</v>
      </c>
      <c r="O409" s="8" t="str">
        <f>IF(Titanic[[#This Row],[Sexo]]="Hombre", "HOMBRE", "MUJER")</f>
        <v>HOMBRE</v>
      </c>
      <c r="P409" s="8">
        <f>IF(Titanic[[#This Row],[Edad]]="", "", IF(Titanic[[#This Row],[Edad]]&gt;=100, Titanic[[#This Row],[Edad]] / 10, Titanic[[#This Row],[Edad]]))</f>
        <v>28</v>
      </c>
      <c r="Q409" s="8" t="str">
        <f>IFERROR(LOOKUP(Titanic[[#This Row],[Edad Corrigida]],'Práctica 1'!$K$231:$K$240,'Práctica 1'!$L$231:$L$240), "DESCONOCIDO")</f>
        <v>4. ADULTO JOVEN</v>
      </c>
      <c r="R409" s="8">
        <f>Titanic[[#This Row],[Familia Horizontal]]+Titanic[[#This Row],[Familia Vertical]]</f>
        <v>1</v>
      </c>
      <c r="S409" s="8"/>
      <c r="T409" s="8"/>
      <c r="U409" s="8"/>
      <c r="V409" s="8"/>
    </row>
    <row r="410" spans="2:22" x14ac:dyDescent="0.2">
      <c r="B410" s="6">
        <v>405</v>
      </c>
      <c r="C410" s="7">
        <v>0</v>
      </c>
      <c r="D410" s="8">
        <v>3</v>
      </c>
      <c r="E410" s="8" t="s">
        <v>419</v>
      </c>
      <c r="F410" s="8" t="s">
        <v>14</v>
      </c>
      <c r="G410" s="8">
        <v>20</v>
      </c>
      <c r="H410" s="8">
        <v>0</v>
      </c>
      <c r="I410" s="8">
        <v>0</v>
      </c>
      <c r="J410" s="8">
        <v>86625</v>
      </c>
      <c r="K410" s="8">
        <v>0</v>
      </c>
      <c r="L410" s="8" t="s">
        <v>12</v>
      </c>
      <c r="M410" s="8" t="str">
        <f>IF(Titanic[[#This Row],[Sobrevive]]=1, "SOBREVIVE", "NO SOBREVIVE")</f>
        <v>NO SOBREVIVE</v>
      </c>
      <c r="N410" s="8" t="str">
        <f>LOOKUP(Titanic[[#This Row],[Clase]],{1,2,3}, {"PRIMERA","SEGUNDA","TERCERA"})</f>
        <v>TERCERA</v>
      </c>
      <c r="O410" s="8" t="str">
        <f>IF(Titanic[[#This Row],[Sexo]]="Hombre", "HOMBRE", "MUJER")</f>
        <v>MUJER</v>
      </c>
      <c r="P410" s="8">
        <f>IF(Titanic[[#This Row],[Edad]]="", "", IF(Titanic[[#This Row],[Edad]]&gt;=100, Titanic[[#This Row],[Edad]] / 10, Titanic[[#This Row],[Edad]]))</f>
        <v>20</v>
      </c>
      <c r="Q410" s="8" t="str">
        <f>IFERROR(LOOKUP(Titanic[[#This Row],[Edad Corrigida]],'Práctica 1'!$K$231:$K$240,'Práctica 1'!$L$231:$L$240), "DESCONOCIDO")</f>
        <v>2. ADOLESCENTE</v>
      </c>
      <c r="R410" s="8">
        <f>Titanic[[#This Row],[Familia Horizontal]]+Titanic[[#This Row],[Familia Vertical]]</f>
        <v>0</v>
      </c>
      <c r="S410" s="8"/>
      <c r="T410" s="8"/>
      <c r="U410" s="8"/>
      <c r="V410" s="8"/>
    </row>
    <row r="411" spans="2:22" x14ac:dyDescent="0.2">
      <c r="B411" s="6">
        <v>406</v>
      </c>
      <c r="C411" s="7">
        <v>0</v>
      </c>
      <c r="D411" s="8">
        <v>2</v>
      </c>
      <c r="E411" s="8" t="s">
        <v>420</v>
      </c>
      <c r="F411" s="8" t="s">
        <v>11</v>
      </c>
      <c r="G411" s="8">
        <v>34</v>
      </c>
      <c r="H411" s="8">
        <v>1</v>
      </c>
      <c r="I411" s="8">
        <v>0</v>
      </c>
      <c r="J411" s="8">
        <v>21</v>
      </c>
      <c r="K411" s="8">
        <v>0</v>
      </c>
      <c r="L411" s="8" t="s">
        <v>12</v>
      </c>
      <c r="M411" s="8" t="str">
        <f>IF(Titanic[[#This Row],[Sobrevive]]=1, "SOBREVIVE", "NO SOBREVIVE")</f>
        <v>NO SOBREVIVE</v>
      </c>
      <c r="N411" s="8" t="str">
        <f>LOOKUP(Titanic[[#This Row],[Clase]],{1,2,3}, {"PRIMERA","SEGUNDA","TERCERA"})</f>
        <v>SEGUNDA</v>
      </c>
      <c r="O411" s="8" t="str">
        <f>IF(Titanic[[#This Row],[Sexo]]="Hombre", "HOMBRE", "MUJER")</f>
        <v>HOMBRE</v>
      </c>
      <c r="P411" s="8">
        <f>IF(Titanic[[#This Row],[Edad]]="", "", IF(Titanic[[#This Row],[Edad]]&gt;=100, Titanic[[#This Row],[Edad]] / 10, Titanic[[#This Row],[Edad]]))</f>
        <v>34</v>
      </c>
      <c r="Q411" s="8" t="str">
        <f>IFERROR(LOOKUP(Titanic[[#This Row],[Edad Corrigida]],'Práctica 1'!$K$231:$K$240,'Práctica 1'!$L$231:$L$240), "DESCONOCIDO")</f>
        <v>6. ADULTO 1</v>
      </c>
      <c r="R411" s="8">
        <f>Titanic[[#This Row],[Familia Horizontal]]+Titanic[[#This Row],[Familia Vertical]]</f>
        <v>1</v>
      </c>
      <c r="S411" s="8"/>
      <c r="T411" s="8"/>
      <c r="U411" s="8"/>
      <c r="V411" s="8"/>
    </row>
    <row r="412" spans="2:22" x14ac:dyDescent="0.2">
      <c r="B412" s="6">
        <v>407</v>
      </c>
      <c r="C412" s="7">
        <v>0</v>
      </c>
      <c r="D412" s="8">
        <v>3</v>
      </c>
      <c r="E412" s="8" t="s">
        <v>421</v>
      </c>
      <c r="F412" s="8" t="s">
        <v>11</v>
      </c>
      <c r="G412" s="8">
        <v>51</v>
      </c>
      <c r="H412" s="8">
        <v>0</v>
      </c>
      <c r="I412" s="8">
        <v>0</v>
      </c>
      <c r="J412" s="8">
        <v>775</v>
      </c>
      <c r="K412" s="8">
        <v>0</v>
      </c>
      <c r="L412" s="8" t="s">
        <v>12</v>
      </c>
      <c r="M412" s="8" t="str">
        <f>IF(Titanic[[#This Row],[Sobrevive]]=1, "SOBREVIVE", "NO SOBREVIVE")</f>
        <v>NO SOBREVIVE</v>
      </c>
      <c r="N412" s="8" t="str">
        <f>LOOKUP(Titanic[[#This Row],[Clase]],{1,2,3}, {"PRIMERA","SEGUNDA","TERCERA"})</f>
        <v>TERCERA</v>
      </c>
      <c r="O412" s="8" t="str">
        <f>IF(Titanic[[#This Row],[Sexo]]="Hombre", "HOMBRE", "MUJER")</f>
        <v>HOMBRE</v>
      </c>
      <c r="P412" s="8">
        <f>IF(Titanic[[#This Row],[Edad]]="", "", IF(Titanic[[#This Row],[Edad]]&gt;=100, Titanic[[#This Row],[Edad]] / 10, Titanic[[#This Row],[Edad]]))</f>
        <v>51</v>
      </c>
      <c r="Q412" s="8" t="str">
        <f>IFERROR(LOOKUP(Titanic[[#This Row],[Edad Corrigida]],'Práctica 1'!$K$231:$K$240,'Práctica 1'!$L$231:$L$240), "DESCONOCIDO")</f>
        <v>9. ADULTO 4</v>
      </c>
      <c r="R412" s="8">
        <f>Titanic[[#This Row],[Familia Horizontal]]+Titanic[[#This Row],[Familia Vertical]]</f>
        <v>0</v>
      </c>
      <c r="S412" s="8"/>
      <c r="T412" s="8"/>
      <c r="U412" s="8"/>
      <c r="V412" s="8"/>
    </row>
    <row r="413" spans="2:22" x14ac:dyDescent="0.2">
      <c r="B413" s="6">
        <v>408</v>
      </c>
      <c r="C413" s="7">
        <v>1</v>
      </c>
      <c r="D413" s="8">
        <v>2</v>
      </c>
      <c r="E413" s="8" t="s">
        <v>422</v>
      </c>
      <c r="F413" s="8" t="s">
        <v>11</v>
      </c>
      <c r="G413" s="8">
        <v>3</v>
      </c>
      <c r="H413" s="8">
        <v>1</v>
      </c>
      <c r="I413" s="8">
        <v>1</v>
      </c>
      <c r="J413" s="8">
        <v>1875</v>
      </c>
      <c r="K413" s="8">
        <v>0</v>
      </c>
      <c r="L413" s="8" t="s">
        <v>12</v>
      </c>
      <c r="M413" s="8" t="str">
        <f>IF(Titanic[[#This Row],[Sobrevive]]=1, "SOBREVIVE", "NO SOBREVIVE")</f>
        <v>SOBREVIVE</v>
      </c>
      <c r="N413" s="8" t="str">
        <f>LOOKUP(Titanic[[#This Row],[Clase]],{1,2,3}, {"PRIMERA","SEGUNDA","TERCERA"})</f>
        <v>SEGUNDA</v>
      </c>
      <c r="O413" s="8" t="str">
        <f>IF(Titanic[[#This Row],[Sexo]]="Hombre", "HOMBRE", "MUJER")</f>
        <v>HOMBRE</v>
      </c>
      <c r="P413" s="8">
        <f>IF(Titanic[[#This Row],[Edad]]="", "", IF(Titanic[[#This Row],[Edad]]&gt;=100, Titanic[[#This Row],[Edad]] / 10, Titanic[[#This Row],[Edad]]))</f>
        <v>3</v>
      </c>
      <c r="Q413" s="8" t="str">
        <f>IFERROR(LOOKUP(Titanic[[#This Row],[Edad Corrigida]],'Práctica 1'!$K$231:$K$240,'Práctica 1'!$L$231:$L$240), "DESCONOCIDO")</f>
        <v>DESCONOCIDO</v>
      </c>
      <c r="R413" s="8">
        <f>Titanic[[#This Row],[Familia Horizontal]]+Titanic[[#This Row],[Familia Vertical]]</f>
        <v>2</v>
      </c>
      <c r="S413" s="8"/>
      <c r="T413" s="8"/>
      <c r="U413" s="8"/>
      <c r="V413" s="8"/>
    </row>
    <row r="414" spans="2:22" x14ac:dyDescent="0.2">
      <c r="B414" s="6">
        <v>409</v>
      </c>
      <c r="C414" s="7">
        <v>0</v>
      </c>
      <c r="D414" s="8">
        <v>3</v>
      </c>
      <c r="E414" s="8" t="s">
        <v>423</v>
      </c>
      <c r="F414" s="8" t="s">
        <v>11</v>
      </c>
      <c r="G414" s="8">
        <v>21</v>
      </c>
      <c r="H414" s="8">
        <v>0</v>
      </c>
      <c r="I414" s="8">
        <v>0</v>
      </c>
      <c r="J414" s="8">
        <v>7775</v>
      </c>
      <c r="K414" s="8">
        <v>0</v>
      </c>
      <c r="L414" s="8" t="s">
        <v>12</v>
      </c>
      <c r="M414" s="8" t="str">
        <f>IF(Titanic[[#This Row],[Sobrevive]]=1, "SOBREVIVE", "NO SOBREVIVE")</f>
        <v>NO SOBREVIVE</v>
      </c>
      <c r="N414" s="8" t="str">
        <f>LOOKUP(Titanic[[#This Row],[Clase]],{1,2,3}, {"PRIMERA","SEGUNDA","TERCERA"})</f>
        <v>TERCERA</v>
      </c>
      <c r="O414" s="8" t="str">
        <f>IF(Titanic[[#This Row],[Sexo]]="Hombre", "HOMBRE", "MUJER")</f>
        <v>HOMBRE</v>
      </c>
      <c r="P414" s="8">
        <f>IF(Titanic[[#This Row],[Edad]]="", "", IF(Titanic[[#This Row],[Edad]]&gt;=100, Titanic[[#This Row],[Edad]] / 10, Titanic[[#This Row],[Edad]]))</f>
        <v>21</v>
      </c>
      <c r="Q414" s="8" t="str">
        <f>IFERROR(LOOKUP(Titanic[[#This Row],[Edad Corrigida]],'Práctica 1'!$K$231:$K$240,'Práctica 1'!$L$231:$L$240), "DESCONOCIDO")</f>
        <v>2. ADOLESCENTE</v>
      </c>
      <c r="R414" s="8">
        <f>Titanic[[#This Row],[Familia Horizontal]]+Titanic[[#This Row],[Familia Vertical]]</f>
        <v>0</v>
      </c>
      <c r="S414" s="8"/>
      <c r="T414" s="8"/>
      <c r="U414" s="8"/>
      <c r="V414" s="8"/>
    </row>
    <row r="415" spans="2:22" x14ac:dyDescent="0.2">
      <c r="B415" s="6">
        <v>410</v>
      </c>
      <c r="C415" s="7">
        <v>0</v>
      </c>
      <c r="D415" s="8">
        <v>3</v>
      </c>
      <c r="E415" s="8" t="s">
        <v>424</v>
      </c>
      <c r="F415" s="8" t="s">
        <v>14</v>
      </c>
      <c r="G415" s="9"/>
      <c r="H415" s="8">
        <v>3</v>
      </c>
      <c r="I415" s="8">
        <v>1</v>
      </c>
      <c r="J415" s="8">
        <v>254667</v>
      </c>
      <c r="K415" s="8">
        <v>0</v>
      </c>
      <c r="L415" s="8" t="s">
        <v>12</v>
      </c>
      <c r="M415" s="8" t="str">
        <f>IF(Titanic[[#This Row],[Sobrevive]]=1, "SOBREVIVE", "NO SOBREVIVE")</f>
        <v>NO SOBREVIVE</v>
      </c>
      <c r="N415" s="8" t="str">
        <f>LOOKUP(Titanic[[#This Row],[Clase]],{1,2,3}, {"PRIMERA","SEGUNDA","TERCERA"})</f>
        <v>TERCERA</v>
      </c>
      <c r="O415" s="8" t="str">
        <f>IF(Titanic[[#This Row],[Sexo]]="Hombre", "HOMBRE", "MUJER")</f>
        <v>MUJER</v>
      </c>
      <c r="P415" s="8" t="str">
        <f>IF(Titanic[[#This Row],[Edad]]="", "", IF(Titanic[[#This Row],[Edad]]&gt;=100, Titanic[[#This Row],[Edad]] / 10, Titanic[[#This Row],[Edad]]))</f>
        <v/>
      </c>
      <c r="Q415" s="8" t="str">
        <f>IFERROR(LOOKUP(Titanic[[#This Row],[Edad Corrigida]],'Práctica 1'!$K$231:$K$240,'Práctica 1'!$L$231:$L$240), "DESCONOCIDO")</f>
        <v>DESCONOCIDO</v>
      </c>
      <c r="R415" s="8">
        <f>Titanic[[#This Row],[Familia Horizontal]]+Titanic[[#This Row],[Familia Vertical]]</f>
        <v>4</v>
      </c>
      <c r="S415" s="8"/>
      <c r="T415" s="8"/>
      <c r="U415" s="8"/>
      <c r="V415" s="8"/>
    </row>
    <row r="416" spans="2:22" x14ac:dyDescent="0.2">
      <c r="B416" s="6">
        <v>411</v>
      </c>
      <c r="C416" s="7">
        <v>0</v>
      </c>
      <c r="D416" s="8">
        <v>3</v>
      </c>
      <c r="E416" s="8" t="s">
        <v>425</v>
      </c>
      <c r="F416" s="8" t="s">
        <v>11</v>
      </c>
      <c r="G416" s="9"/>
      <c r="H416" s="8">
        <v>0</v>
      </c>
      <c r="I416" s="8">
        <v>0</v>
      </c>
      <c r="J416" s="8">
        <v>78958</v>
      </c>
      <c r="K416" s="8">
        <v>0</v>
      </c>
      <c r="L416" s="8" t="s">
        <v>12</v>
      </c>
      <c r="M416" s="8" t="str">
        <f>IF(Titanic[[#This Row],[Sobrevive]]=1, "SOBREVIVE", "NO SOBREVIVE")</f>
        <v>NO SOBREVIVE</v>
      </c>
      <c r="N416" s="8" t="str">
        <f>LOOKUP(Titanic[[#This Row],[Clase]],{1,2,3}, {"PRIMERA","SEGUNDA","TERCERA"})</f>
        <v>TERCERA</v>
      </c>
      <c r="O416" s="8" t="str">
        <f>IF(Titanic[[#This Row],[Sexo]]="Hombre", "HOMBRE", "MUJER")</f>
        <v>HOMBRE</v>
      </c>
      <c r="P416" s="8" t="str">
        <f>IF(Titanic[[#This Row],[Edad]]="", "", IF(Titanic[[#This Row],[Edad]]&gt;=100, Titanic[[#This Row],[Edad]] / 10, Titanic[[#This Row],[Edad]]))</f>
        <v/>
      </c>
      <c r="Q416" s="8" t="str">
        <f>IFERROR(LOOKUP(Titanic[[#This Row],[Edad Corrigida]],'Práctica 1'!$K$231:$K$240,'Práctica 1'!$L$231:$L$240), "DESCONOCIDO")</f>
        <v>DESCONOCIDO</v>
      </c>
      <c r="R416" s="8">
        <f>Titanic[[#This Row],[Familia Horizontal]]+Titanic[[#This Row],[Familia Vertical]]</f>
        <v>0</v>
      </c>
      <c r="S416" s="8"/>
      <c r="T416" s="8"/>
      <c r="U416" s="8"/>
      <c r="V416" s="8"/>
    </row>
    <row r="417" spans="2:22" x14ac:dyDescent="0.2">
      <c r="B417" s="6">
        <v>412</v>
      </c>
      <c r="C417" s="7">
        <v>0</v>
      </c>
      <c r="D417" s="8">
        <v>3</v>
      </c>
      <c r="E417" s="8" t="s">
        <v>426</v>
      </c>
      <c r="F417" s="8" t="s">
        <v>11</v>
      </c>
      <c r="G417" s="9"/>
      <c r="H417" s="8">
        <v>0</v>
      </c>
      <c r="I417" s="8">
        <v>0</v>
      </c>
      <c r="J417" s="8">
        <v>68583</v>
      </c>
      <c r="K417" s="8">
        <v>0</v>
      </c>
      <c r="L417" s="8" t="s">
        <v>20</v>
      </c>
      <c r="M417" s="8" t="str">
        <f>IF(Titanic[[#This Row],[Sobrevive]]=1, "SOBREVIVE", "NO SOBREVIVE")</f>
        <v>NO SOBREVIVE</v>
      </c>
      <c r="N417" s="8" t="str">
        <f>LOOKUP(Titanic[[#This Row],[Clase]],{1,2,3}, {"PRIMERA","SEGUNDA","TERCERA"})</f>
        <v>TERCERA</v>
      </c>
      <c r="O417" s="8" t="str">
        <f>IF(Titanic[[#This Row],[Sexo]]="Hombre", "HOMBRE", "MUJER")</f>
        <v>HOMBRE</v>
      </c>
      <c r="P417" s="8" t="str">
        <f>IF(Titanic[[#This Row],[Edad]]="", "", IF(Titanic[[#This Row],[Edad]]&gt;=100, Titanic[[#This Row],[Edad]] / 10, Titanic[[#This Row],[Edad]]))</f>
        <v/>
      </c>
      <c r="Q417" s="8" t="str">
        <f>IFERROR(LOOKUP(Titanic[[#This Row],[Edad Corrigida]],'Práctica 1'!$K$231:$K$240,'Práctica 1'!$L$231:$L$240), "DESCONOCIDO")</f>
        <v>DESCONOCIDO</v>
      </c>
      <c r="R417" s="8">
        <f>Titanic[[#This Row],[Familia Horizontal]]+Titanic[[#This Row],[Familia Vertical]]</f>
        <v>0</v>
      </c>
      <c r="S417" s="8"/>
      <c r="T417" s="8"/>
      <c r="U417" s="8"/>
      <c r="V417" s="8"/>
    </row>
    <row r="418" spans="2:22" x14ac:dyDescent="0.2">
      <c r="B418" s="6">
        <v>413</v>
      </c>
      <c r="C418" s="7">
        <v>1</v>
      </c>
      <c r="D418" s="8">
        <v>1</v>
      </c>
      <c r="E418" s="8" t="s">
        <v>427</v>
      </c>
      <c r="F418" s="8" t="s">
        <v>14</v>
      </c>
      <c r="G418" s="8">
        <v>33</v>
      </c>
      <c r="H418" s="8">
        <v>1</v>
      </c>
      <c r="I418" s="8">
        <v>0</v>
      </c>
      <c r="J418" s="8">
        <v>90</v>
      </c>
      <c r="K418" s="8">
        <v>1</v>
      </c>
      <c r="L418" s="8" t="s">
        <v>20</v>
      </c>
      <c r="M418" s="8" t="str">
        <f>IF(Titanic[[#This Row],[Sobrevive]]=1, "SOBREVIVE", "NO SOBREVIVE")</f>
        <v>SOBREVIVE</v>
      </c>
      <c r="N418" s="8" t="str">
        <f>LOOKUP(Titanic[[#This Row],[Clase]],{1,2,3}, {"PRIMERA","SEGUNDA","TERCERA"})</f>
        <v>PRIMERA</v>
      </c>
      <c r="O418" s="8" t="str">
        <f>IF(Titanic[[#This Row],[Sexo]]="Hombre", "HOMBRE", "MUJER")</f>
        <v>MUJER</v>
      </c>
      <c r="P418" s="8">
        <f>IF(Titanic[[#This Row],[Edad]]="", "", IF(Titanic[[#This Row],[Edad]]&gt;=100, Titanic[[#This Row],[Edad]] / 10, Titanic[[#This Row],[Edad]]))</f>
        <v>33</v>
      </c>
      <c r="Q418" s="8" t="str">
        <f>IFERROR(LOOKUP(Titanic[[#This Row],[Edad Corrigida]],'Práctica 1'!$K$231:$K$240,'Práctica 1'!$L$231:$L$240), "DESCONOCIDO")</f>
        <v>6. ADULTO 1</v>
      </c>
      <c r="R418" s="8">
        <f>Titanic[[#This Row],[Familia Horizontal]]+Titanic[[#This Row],[Familia Vertical]]</f>
        <v>1</v>
      </c>
      <c r="S418" s="8"/>
      <c r="T418" s="8"/>
      <c r="U418" s="8"/>
      <c r="V418" s="8"/>
    </row>
    <row r="419" spans="2:22" x14ac:dyDescent="0.2">
      <c r="B419" s="6">
        <v>414</v>
      </c>
      <c r="C419" s="7">
        <v>0</v>
      </c>
      <c r="D419" s="8">
        <v>2</v>
      </c>
      <c r="E419" s="8" t="s">
        <v>428</v>
      </c>
      <c r="F419" s="8" t="s">
        <v>11</v>
      </c>
      <c r="G419" s="9"/>
      <c r="H419" s="8">
        <v>0</v>
      </c>
      <c r="I419" s="8">
        <v>0</v>
      </c>
      <c r="J419" s="8">
        <v>0</v>
      </c>
      <c r="K419" s="8">
        <v>0</v>
      </c>
      <c r="L419" s="8" t="s">
        <v>12</v>
      </c>
      <c r="M419" s="8" t="str">
        <f>IF(Titanic[[#This Row],[Sobrevive]]=1, "SOBREVIVE", "NO SOBREVIVE")</f>
        <v>NO SOBREVIVE</v>
      </c>
      <c r="N419" s="8" t="str">
        <f>LOOKUP(Titanic[[#This Row],[Clase]],{1,2,3}, {"PRIMERA","SEGUNDA","TERCERA"})</f>
        <v>SEGUNDA</v>
      </c>
      <c r="O419" s="8" t="str">
        <f>IF(Titanic[[#This Row],[Sexo]]="Hombre", "HOMBRE", "MUJER")</f>
        <v>HOMBRE</v>
      </c>
      <c r="P419" s="8" t="str">
        <f>IF(Titanic[[#This Row],[Edad]]="", "", IF(Titanic[[#This Row],[Edad]]&gt;=100, Titanic[[#This Row],[Edad]] / 10, Titanic[[#This Row],[Edad]]))</f>
        <v/>
      </c>
      <c r="Q419" s="8" t="str">
        <f>IFERROR(LOOKUP(Titanic[[#This Row],[Edad Corrigida]],'Práctica 1'!$K$231:$K$240,'Práctica 1'!$L$231:$L$240), "DESCONOCIDO")</f>
        <v>DESCONOCIDO</v>
      </c>
      <c r="R419" s="8">
        <f>Titanic[[#This Row],[Familia Horizontal]]+Titanic[[#This Row],[Familia Vertical]]</f>
        <v>0</v>
      </c>
      <c r="S419" s="8"/>
      <c r="T419" s="8"/>
      <c r="U419" s="8"/>
      <c r="V419" s="8"/>
    </row>
    <row r="420" spans="2:22" x14ac:dyDescent="0.2">
      <c r="B420" s="6">
        <v>415</v>
      </c>
      <c r="C420" s="7">
        <v>1</v>
      </c>
      <c r="D420" s="8">
        <v>3</v>
      </c>
      <c r="E420" s="8" t="s">
        <v>429</v>
      </c>
      <c r="F420" s="8" t="s">
        <v>11</v>
      </c>
      <c r="G420" s="8">
        <v>44</v>
      </c>
      <c r="H420" s="8">
        <v>0</v>
      </c>
      <c r="I420" s="8">
        <v>0</v>
      </c>
      <c r="J420" s="8">
        <v>7925</v>
      </c>
      <c r="K420" s="8">
        <v>0</v>
      </c>
      <c r="L420" s="8" t="s">
        <v>12</v>
      </c>
      <c r="M420" s="8" t="str">
        <f>IF(Titanic[[#This Row],[Sobrevive]]=1, "SOBREVIVE", "NO SOBREVIVE")</f>
        <v>SOBREVIVE</v>
      </c>
      <c r="N420" s="8" t="str">
        <f>LOOKUP(Titanic[[#This Row],[Clase]],{1,2,3}, {"PRIMERA","SEGUNDA","TERCERA"})</f>
        <v>TERCERA</v>
      </c>
      <c r="O420" s="8" t="str">
        <f>IF(Titanic[[#This Row],[Sexo]]="Hombre", "HOMBRE", "MUJER")</f>
        <v>HOMBRE</v>
      </c>
      <c r="P420" s="8">
        <f>IF(Titanic[[#This Row],[Edad]]="", "", IF(Titanic[[#This Row],[Edad]]&gt;=100, Titanic[[#This Row],[Edad]] / 10, Titanic[[#This Row],[Edad]]))</f>
        <v>44</v>
      </c>
      <c r="Q420" s="8" t="str">
        <f>IFERROR(LOOKUP(Titanic[[#This Row],[Edad Corrigida]],'Práctica 1'!$K$231:$K$240,'Práctica 1'!$L$231:$L$240), "DESCONOCIDO")</f>
        <v>8. ADULTO 3</v>
      </c>
      <c r="R420" s="8">
        <f>Titanic[[#This Row],[Familia Horizontal]]+Titanic[[#This Row],[Familia Vertical]]</f>
        <v>0</v>
      </c>
      <c r="S420" s="8"/>
      <c r="T420" s="8"/>
      <c r="U420" s="8"/>
      <c r="V420" s="8"/>
    </row>
    <row r="421" spans="2:22" x14ac:dyDescent="0.2">
      <c r="B421" s="6">
        <v>416</v>
      </c>
      <c r="C421" s="7">
        <v>0</v>
      </c>
      <c r="D421" s="8">
        <v>3</v>
      </c>
      <c r="E421" s="8" t="s">
        <v>430</v>
      </c>
      <c r="F421" s="8" t="s">
        <v>14</v>
      </c>
      <c r="G421" s="9"/>
      <c r="H421" s="8">
        <v>0</v>
      </c>
      <c r="I421" s="8">
        <v>0</v>
      </c>
      <c r="J421" s="8">
        <v>805</v>
      </c>
      <c r="K421" s="8">
        <v>0</v>
      </c>
      <c r="L421" s="8" t="s">
        <v>12</v>
      </c>
      <c r="M421" s="8" t="str">
        <f>IF(Titanic[[#This Row],[Sobrevive]]=1, "SOBREVIVE", "NO SOBREVIVE")</f>
        <v>NO SOBREVIVE</v>
      </c>
      <c r="N421" s="8" t="str">
        <f>LOOKUP(Titanic[[#This Row],[Clase]],{1,2,3}, {"PRIMERA","SEGUNDA","TERCERA"})</f>
        <v>TERCERA</v>
      </c>
      <c r="O421" s="8" t="str">
        <f>IF(Titanic[[#This Row],[Sexo]]="Hombre", "HOMBRE", "MUJER")</f>
        <v>MUJER</v>
      </c>
      <c r="P421" s="8" t="str">
        <f>IF(Titanic[[#This Row],[Edad]]="", "", IF(Titanic[[#This Row],[Edad]]&gt;=100, Titanic[[#This Row],[Edad]] / 10, Titanic[[#This Row],[Edad]]))</f>
        <v/>
      </c>
      <c r="Q421" s="8" t="str">
        <f>IFERROR(LOOKUP(Titanic[[#This Row],[Edad Corrigida]],'Práctica 1'!$K$231:$K$240,'Práctica 1'!$L$231:$L$240), "DESCONOCIDO")</f>
        <v>DESCONOCIDO</v>
      </c>
      <c r="R421" s="8">
        <f>Titanic[[#This Row],[Familia Horizontal]]+Titanic[[#This Row],[Familia Vertical]]</f>
        <v>0</v>
      </c>
      <c r="S421" s="8"/>
      <c r="T421" s="8"/>
      <c r="U421" s="8"/>
      <c r="V421" s="8"/>
    </row>
    <row r="422" spans="2:22" x14ac:dyDescent="0.2">
      <c r="B422" s="6">
        <v>417</v>
      </c>
      <c r="C422" s="7">
        <v>1</v>
      </c>
      <c r="D422" s="8">
        <v>2</v>
      </c>
      <c r="E422" s="8" t="s">
        <v>431</v>
      </c>
      <c r="F422" s="8" t="s">
        <v>14</v>
      </c>
      <c r="G422" s="8">
        <v>34</v>
      </c>
      <c r="H422" s="8">
        <v>1</v>
      </c>
      <c r="I422" s="8">
        <v>1</v>
      </c>
      <c r="J422" s="8">
        <v>325</v>
      </c>
      <c r="K422" s="8">
        <v>0</v>
      </c>
      <c r="L422" s="8" t="s">
        <v>12</v>
      </c>
      <c r="M422" s="8" t="str">
        <f>IF(Titanic[[#This Row],[Sobrevive]]=1, "SOBREVIVE", "NO SOBREVIVE")</f>
        <v>SOBREVIVE</v>
      </c>
      <c r="N422" s="8" t="str">
        <f>LOOKUP(Titanic[[#This Row],[Clase]],{1,2,3}, {"PRIMERA","SEGUNDA","TERCERA"})</f>
        <v>SEGUNDA</v>
      </c>
      <c r="O422" s="8" t="str">
        <f>IF(Titanic[[#This Row],[Sexo]]="Hombre", "HOMBRE", "MUJER")</f>
        <v>MUJER</v>
      </c>
      <c r="P422" s="8">
        <f>IF(Titanic[[#This Row],[Edad]]="", "", IF(Titanic[[#This Row],[Edad]]&gt;=100, Titanic[[#This Row],[Edad]] / 10, Titanic[[#This Row],[Edad]]))</f>
        <v>34</v>
      </c>
      <c r="Q422" s="8" t="str">
        <f>IFERROR(LOOKUP(Titanic[[#This Row],[Edad Corrigida]],'Práctica 1'!$K$231:$K$240,'Práctica 1'!$L$231:$L$240), "DESCONOCIDO")</f>
        <v>6. ADULTO 1</v>
      </c>
      <c r="R422" s="8">
        <f>Titanic[[#This Row],[Familia Horizontal]]+Titanic[[#This Row],[Familia Vertical]]</f>
        <v>2</v>
      </c>
      <c r="S422" s="8"/>
      <c r="T422" s="8"/>
      <c r="U422" s="8"/>
      <c r="V422" s="8"/>
    </row>
    <row r="423" spans="2:22" x14ac:dyDescent="0.2">
      <c r="B423" s="6">
        <v>418</v>
      </c>
      <c r="C423" s="7">
        <v>1</v>
      </c>
      <c r="D423" s="8">
        <v>2</v>
      </c>
      <c r="E423" s="8" t="s">
        <v>432</v>
      </c>
      <c r="F423" s="8" t="s">
        <v>14</v>
      </c>
      <c r="G423" s="8">
        <v>18</v>
      </c>
      <c r="H423" s="8">
        <v>0</v>
      </c>
      <c r="I423" s="8">
        <v>2</v>
      </c>
      <c r="J423" s="8">
        <v>13</v>
      </c>
      <c r="K423" s="8">
        <v>0</v>
      </c>
      <c r="L423" s="8" t="s">
        <v>12</v>
      </c>
      <c r="M423" s="8" t="str">
        <f>IF(Titanic[[#This Row],[Sobrevive]]=1, "SOBREVIVE", "NO SOBREVIVE")</f>
        <v>SOBREVIVE</v>
      </c>
      <c r="N423" s="8" t="str">
        <f>LOOKUP(Titanic[[#This Row],[Clase]],{1,2,3}, {"PRIMERA","SEGUNDA","TERCERA"})</f>
        <v>SEGUNDA</v>
      </c>
      <c r="O423" s="8" t="str">
        <f>IF(Titanic[[#This Row],[Sexo]]="Hombre", "HOMBRE", "MUJER")</f>
        <v>MUJER</v>
      </c>
      <c r="P423" s="8">
        <f>IF(Titanic[[#This Row],[Edad]]="", "", IF(Titanic[[#This Row],[Edad]]&gt;=100, Titanic[[#This Row],[Edad]] / 10, Titanic[[#This Row],[Edad]]))</f>
        <v>18</v>
      </c>
      <c r="Q423" s="8" t="str">
        <f>IFERROR(LOOKUP(Titanic[[#This Row],[Edad Corrigida]],'Práctica 1'!$K$231:$K$240,'Práctica 1'!$L$231:$L$240), "DESCONOCIDO")</f>
        <v>1. INFANTE</v>
      </c>
      <c r="R423" s="8">
        <f>Titanic[[#This Row],[Familia Horizontal]]+Titanic[[#This Row],[Familia Vertical]]</f>
        <v>2</v>
      </c>
      <c r="S423" s="8"/>
      <c r="T423" s="8"/>
      <c r="U423" s="8"/>
      <c r="V423" s="8"/>
    </row>
    <row r="424" spans="2:22" x14ac:dyDescent="0.2">
      <c r="B424" s="6">
        <v>419</v>
      </c>
      <c r="C424" s="7">
        <v>0</v>
      </c>
      <c r="D424" s="8">
        <v>2</v>
      </c>
      <c r="E424" s="8" t="s">
        <v>433</v>
      </c>
      <c r="F424" s="8" t="s">
        <v>11</v>
      </c>
      <c r="G424" s="8">
        <v>30</v>
      </c>
      <c r="H424" s="8">
        <v>0</v>
      </c>
      <c r="I424" s="8">
        <v>0</v>
      </c>
      <c r="J424" s="8">
        <v>13</v>
      </c>
      <c r="K424" s="8">
        <v>0</v>
      </c>
      <c r="L424" s="8" t="s">
        <v>12</v>
      </c>
      <c r="M424" s="8" t="str">
        <f>IF(Titanic[[#This Row],[Sobrevive]]=1, "SOBREVIVE", "NO SOBREVIVE")</f>
        <v>NO SOBREVIVE</v>
      </c>
      <c r="N424" s="8" t="str">
        <f>LOOKUP(Titanic[[#This Row],[Clase]],{1,2,3}, {"PRIMERA","SEGUNDA","TERCERA"})</f>
        <v>SEGUNDA</v>
      </c>
      <c r="O424" s="8" t="str">
        <f>IF(Titanic[[#This Row],[Sexo]]="Hombre", "HOMBRE", "MUJER")</f>
        <v>HOMBRE</v>
      </c>
      <c r="P424" s="8">
        <f>IF(Titanic[[#This Row],[Edad]]="", "", IF(Titanic[[#This Row],[Edad]]&gt;=100, Titanic[[#This Row],[Edad]] / 10, Titanic[[#This Row],[Edad]]))</f>
        <v>30</v>
      </c>
      <c r="Q424" s="8" t="str">
        <f>IFERROR(LOOKUP(Titanic[[#This Row],[Edad Corrigida]],'Práctica 1'!$K$231:$K$240,'Práctica 1'!$L$231:$L$240), "DESCONOCIDO")</f>
        <v>5. ADULTO</v>
      </c>
      <c r="R424" s="8">
        <f>Titanic[[#This Row],[Familia Horizontal]]+Titanic[[#This Row],[Familia Vertical]]</f>
        <v>0</v>
      </c>
      <c r="S424" s="8"/>
      <c r="T424" s="8"/>
      <c r="U424" s="8"/>
      <c r="V424" s="8"/>
    </row>
    <row r="425" spans="2:22" x14ac:dyDescent="0.2">
      <c r="B425" s="6">
        <v>420</v>
      </c>
      <c r="C425" s="7">
        <v>0</v>
      </c>
      <c r="D425" s="8">
        <v>3</v>
      </c>
      <c r="E425" s="8" t="s">
        <v>434</v>
      </c>
      <c r="F425" s="8" t="s">
        <v>14</v>
      </c>
      <c r="G425" s="8">
        <v>10</v>
      </c>
      <c r="H425" s="8">
        <v>0</v>
      </c>
      <c r="I425" s="8">
        <v>2</v>
      </c>
      <c r="J425" s="8">
        <v>2415</v>
      </c>
      <c r="K425" s="8">
        <v>0</v>
      </c>
      <c r="L425" s="8" t="s">
        <v>12</v>
      </c>
      <c r="M425" s="8" t="str">
        <f>IF(Titanic[[#This Row],[Sobrevive]]=1, "SOBREVIVE", "NO SOBREVIVE")</f>
        <v>NO SOBREVIVE</v>
      </c>
      <c r="N425" s="8" t="str">
        <f>LOOKUP(Titanic[[#This Row],[Clase]],{1,2,3}, {"PRIMERA","SEGUNDA","TERCERA"})</f>
        <v>TERCERA</v>
      </c>
      <c r="O425" s="8" t="str">
        <f>IF(Titanic[[#This Row],[Sexo]]="Hombre", "HOMBRE", "MUJER")</f>
        <v>MUJER</v>
      </c>
      <c r="P425" s="8">
        <f>IF(Titanic[[#This Row],[Edad]]="", "", IF(Titanic[[#This Row],[Edad]]&gt;=100, Titanic[[#This Row],[Edad]] / 10, Titanic[[#This Row],[Edad]]))</f>
        <v>10</v>
      </c>
      <c r="Q425" s="8" t="str">
        <f>IFERROR(LOOKUP(Titanic[[#This Row],[Edad Corrigida]],'Práctica 1'!$K$231:$K$240,'Práctica 1'!$L$231:$L$240), "DESCONOCIDO")</f>
        <v>DESCONOCIDO</v>
      </c>
      <c r="R425" s="8">
        <f>Titanic[[#This Row],[Familia Horizontal]]+Titanic[[#This Row],[Familia Vertical]]</f>
        <v>2</v>
      </c>
      <c r="S425" s="8"/>
      <c r="T425" s="8"/>
      <c r="U425" s="8"/>
      <c r="V425" s="8"/>
    </row>
    <row r="426" spans="2:22" x14ac:dyDescent="0.2">
      <c r="B426" s="6">
        <v>421</v>
      </c>
      <c r="C426" s="7">
        <v>0</v>
      </c>
      <c r="D426" s="8">
        <v>3</v>
      </c>
      <c r="E426" s="8" t="s">
        <v>435</v>
      </c>
      <c r="F426" s="8" t="s">
        <v>11</v>
      </c>
      <c r="G426" s="9"/>
      <c r="H426" s="8">
        <v>0</v>
      </c>
      <c r="I426" s="8">
        <v>0</v>
      </c>
      <c r="J426" s="8">
        <v>78958</v>
      </c>
      <c r="K426" s="8">
        <v>0</v>
      </c>
      <c r="L426" s="8" t="s">
        <v>15</v>
      </c>
      <c r="M426" s="8" t="str">
        <f>IF(Titanic[[#This Row],[Sobrevive]]=1, "SOBREVIVE", "NO SOBREVIVE")</f>
        <v>NO SOBREVIVE</v>
      </c>
      <c r="N426" s="8" t="str">
        <f>LOOKUP(Titanic[[#This Row],[Clase]],{1,2,3}, {"PRIMERA","SEGUNDA","TERCERA"})</f>
        <v>TERCERA</v>
      </c>
      <c r="O426" s="8" t="str">
        <f>IF(Titanic[[#This Row],[Sexo]]="Hombre", "HOMBRE", "MUJER")</f>
        <v>HOMBRE</v>
      </c>
      <c r="P426" s="8" t="str">
        <f>IF(Titanic[[#This Row],[Edad]]="", "", IF(Titanic[[#This Row],[Edad]]&gt;=100, Titanic[[#This Row],[Edad]] / 10, Titanic[[#This Row],[Edad]]))</f>
        <v/>
      </c>
      <c r="Q426" s="8" t="str">
        <f>IFERROR(LOOKUP(Titanic[[#This Row],[Edad Corrigida]],'Práctica 1'!$K$231:$K$240,'Práctica 1'!$L$231:$L$240), "DESCONOCIDO")</f>
        <v>DESCONOCIDO</v>
      </c>
      <c r="R426" s="8">
        <f>Titanic[[#This Row],[Familia Horizontal]]+Titanic[[#This Row],[Familia Vertical]]</f>
        <v>0</v>
      </c>
      <c r="S426" s="8"/>
      <c r="T426" s="8"/>
      <c r="U426" s="8"/>
      <c r="V426" s="8"/>
    </row>
    <row r="427" spans="2:22" x14ac:dyDescent="0.2">
      <c r="B427" s="6">
        <v>422</v>
      </c>
      <c r="C427" s="7">
        <v>0</v>
      </c>
      <c r="D427" s="8">
        <v>3</v>
      </c>
      <c r="E427" s="8" t="s">
        <v>436</v>
      </c>
      <c r="F427" s="8" t="s">
        <v>11</v>
      </c>
      <c r="G427" s="8">
        <v>21</v>
      </c>
      <c r="H427" s="8">
        <v>0</v>
      </c>
      <c r="I427" s="8">
        <v>0</v>
      </c>
      <c r="J427" s="8">
        <v>77333</v>
      </c>
      <c r="K427" s="8">
        <v>0</v>
      </c>
      <c r="L427" s="8" t="s">
        <v>20</v>
      </c>
      <c r="M427" s="8" t="str">
        <f>IF(Titanic[[#This Row],[Sobrevive]]=1, "SOBREVIVE", "NO SOBREVIVE")</f>
        <v>NO SOBREVIVE</v>
      </c>
      <c r="N427" s="8" t="str">
        <f>LOOKUP(Titanic[[#This Row],[Clase]],{1,2,3}, {"PRIMERA","SEGUNDA","TERCERA"})</f>
        <v>TERCERA</v>
      </c>
      <c r="O427" s="8" t="str">
        <f>IF(Titanic[[#This Row],[Sexo]]="Hombre", "HOMBRE", "MUJER")</f>
        <v>HOMBRE</v>
      </c>
      <c r="P427" s="8">
        <f>IF(Titanic[[#This Row],[Edad]]="", "", IF(Titanic[[#This Row],[Edad]]&gt;=100, Titanic[[#This Row],[Edad]] / 10, Titanic[[#This Row],[Edad]]))</f>
        <v>21</v>
      </c>
      <c r="Q427" s="8" t="str">
        <f>IFERROR(LOOKUP(Titanic[[#This Row],[Edad Corrigida]],'Práctica 1'!$K$231:$K$240,'Práctica 1'!$L$231:$L$240), "DESCONOCIDO")</f>
        <v>2. ADOLESCENTE</v>
      </c>
      <c r="R427" s="8">
        <f>Titanic[[#This Row],[Familia Horizontal]]+Titanic[[#This Row],[Familia Vertical]]</f>
        <v>0</v>
      </c>
      <c r="S427" s="8"/>
      <c r="T427" s="8"/>
      <c r="U427" s="8"/>
      <c r="V427" s="8"/>
    </row>
    <row r="428" spans="2:22" x14ac:dyDescent="0.2">
      <c r="B428" s="6">
        <v>423</v>
      </c>
      <c r="C428" s="7">
        <v>0</v>
      </c>
      <c r="D428" s="8">
        <v>3</v>
      </c>
      <c r="E428" s="8" t="s">
        <v>437</v>
      </c>
      <c r="F428" s="8" t="s">
        <v>11</v>
      </c>
      <c r="G428" s="8">
        <v>29</v>
      </c>
      <c r="H428" s="8">
        <v>0</v>
      </c>
      <c r="I428" s="8">
        <v>0</v>
      </c>
      <c r="J428" s="8">
        <v>7875</v>
      </c>
      <c r="K428" s="8">
        <v>0</v>
      </c>
      <c r="L428" s="8" t="s">
        <v>12</v>
      </c>
      <c r="M428" s="8" t="str">
        <f>IF(Titanic[[#This Row],[Sobrevive]]=1, "SOBREVIVE", "NO SOBREVIVE")</f>
        <v>NO SOBREVIVE</v>
      </c>
      <c r="N428" s="8" t="str">
        <f>LOOKUP(Titanic[[#This Row],[Clase]],{1,2,3}, {"PRIMERA","SEGUNDA","TERCERA"})</f>
        <v>TERCERA</v>
      </c>
      <c r="O428" s="8" t="str">
        <f>IF(Titanic[[#This Row],[Sexo]]="Hombre", "HOMBRE", "MUJER")</f>
        <v>HOMBRE</v>
      </c>
      <c r="P428" s="8">
        <f>IF(Titanic[[#This Row],[Edad]]="", "", IF(Titanic[[#This Row],[Edad]]&gt;=100, Titanic[[#This Row],[Edad]] / 10, Titanic[[#This Row],[Edad]]))</f>
        <v>29</v>
      </c>
      <c r="Q428" s="8" t="str">
        <f>IFERROR(LOOKUP(Titanic[[#This Row],[Edad Corrigida]],'Práctica 1'!$K$231:$K$240,'Práctica 1'!$L$231:$L$240), "DESCONOCIDO")</f>
        <v>5. ADULTO</v>
      </c>
      <c r="R428" s="8">
        <f>Titanic[[#This Row],[Familia Horizontal]]+Titanic[[#This Row],[Familia Vertical]]</f>
        <v>0</v>
      </c>
      <c r="S428" s="8"/>
      <c r="T428" s="8"/>
      <c r="U428" s="8"/>
      <c r="V428" s="8"/>
    </row>
    <row r="429" spans="2:22" x14ac:dyDescent="0.2">
      <c r="B429" s="6">
        <v>424</v>
      </c>
      <c r="C429" s="7">
        <v>0</v>
      </c>
      <c r="D429" s="8">
        <v>3</v>
      </c>
      <c r="E429" s="8" t="s">
        <v>438</v>
      </c>
      <c r="F429" s="8" t="s">
        <v>14</v>
      </c>
      <c r="G429" s="8">
        <v>28</v>
      </c>
      <c r="H429" s="8">
        <v>1</v>
      </c>
      <c r="I429" s="8">
        <v>1</v>
      </c>
      <c r="J429" s="8">
        <v>144</v>
      </c>
      <c r="K429" s="8">
        <v>0</v>
      </c>
      <c r="L429" s="8" t="s">
        <v>12</v>
      </c>
      <c r="M429" s="8" t="str">
        <f>IF(Titanic[[#This Row],[Sobrevive]]=1, "SOBREVIVE", "NO SOBREVIVE")</f>
        <v>NO SOBREVIVE</v>
      </c>
      <c r="N429" s="8" t="str">
        <f>LOOKUP(Titanic[[#This Row],[Clase]],{1,2,3}, {"PRIMERA","SEGUNDA","TERCERA"})</f>
        <v>TERCERA</v>
      </c>
      <c r="O429" s="8" t="str">
        <f>IF(Titanic[[#This Row],[Sexo]]="Hombre", "HOMBRE", "MUJER")</f>
        <v>MUJER</v>
      </c>
      <c r="P429" s="8">
        <f>IF(Titanic[[#This Row],[Edad]]="", "", IF(Titanic[[#This Row],[Edad]]&gt;=100, Titanic[[#This Row],[Edad]] / 10, Titanic[[#This Row],[Edad]]))</f>
        <v>28</v>
      </c>
      <c r="Q429" s="8" t="str">
        <f>IFERROR(LOOKUP(Titanic[[#This Row],[Edad Corrigida]],'Práctica 1'!$K$231:$K$240,'Práctica 1'!$L$231:$L$240), "DESCONOCIDO")</f>
        <v>4. ADULTO JOVEN</v>
      </c>
      <c r="R429" s="8">
        <f>Titanic[[#This Row],[Familia Horizontal]]+Titanic[[#This Row],[Familia Vertical]]</f>
        <v>2</v>
      </c>
      <c r="S429" s="8"/>
      <c r="T429" s="8"/>
      <c r="U429" s="8"/>
      <c r="V429" s="8"/>
    </row>
    <row r="430" spans="2:22" x14ac:dyDescent="0.2">
      <c r="B430" s="6">
        <v>425</v>
      </c>
      <c r="C430" s="7">
        <v>0</v>
      </c>
      <c r="D430" s="8">
        <v>3</v>
      </c>
      <c r="E430" s="8" t="s">
        <v>439</v>
      </c>
      <c r="F430" s="8" t="s">
        <v>11</v>
      </c>
      <c r="G430" s="8">
        <v>18</v>
      </c>
      <c r="H430" s="8">
        <v>1</v>
      </c>
      <c r="I430" s="8">
        <v>1</v>
      </c>
      <c r="J430" s="8">
        <v>202125</v>
      </c>
      <c r="K430" s="8">
        <v>0</v>
      </c>
      <c r="L430" s="8" t="s">
        <v>12</v>
      </c>
      <c r="M430" s="8" t="str">
        <f>IF(Titanic[[#This Row],[Sobrevive]]=1, "SOBREVIVE", "NO SOBREVIVE")</f>
        <v>NO SOBREVIVE</v>
      </c>
      <c r="N430" s="8" t="str">
        <f>LOOKUP(Titanic[[#This Row],[Clase]],{1,2,3}, {"PRIMERA","SEGUNDA","TERCERA"})</f>
        <v>TERCERA</v>
      </c>
      <c r="O430" s="8" t="str">
        <f>IF(Titanic[[#This Row],[Sexo]]="Hombre", "HOMBRE", "MUJER")</f>
        <v>HOMBRE</v>
      </c>
      <c r="P430" s="8">
        <f>IF(Titanic[[#This Row],[Edad]]="", "", IF(Titanic[[#This Row],[Edad]]&gt;=100, Titanic[[#This Row],[Edad]] / 10, Titanic[[#This Row],[Edad]]))</f>
        <v>18</v>
      </c>
      <c r="Q430" s="8" t="str">
        <f>IFERROR(LOOKUP(Titanic[[#This Row],[Edad Corrigida]],'Práctica 1'!$K$231:$K$240,'Práctica 1'!$L$231:$L$240), "DESCONOCIDO")</f>
        <v>1. INFANTE</v>
      </c>
      <c r="R430" s="8">
        <f>Titanic[[#This Row],[Familia Horizontal]]+Titanic[[#This Row],[Familia Vertical]]</f>
        <v>2</v>
      </c>
      <c r="S430" s="8"/>
      <c r="T430" s="8"/>
      <c r="U430" s="8"/>
      <c r="V430" s="8"/>
    </row>
    <row r="431" spans="2:22" x14ac:dyDescent="0.2">
      <c r="B431" s="6">
        <v>426</v>
      </c>
      <c r="C431" s="7">
        <v>0</v>
      </c>
      <c r="D431" s="8">
        <v>3</v>
      </c>
      <c r="E431" s="8" t="s">
        <v>440</v>
      </c>
      <c r="F431" s="8" t="s">
        <v>11</v>
      </c>
      <c r="G431" s="9"/>
      <c r="H431" s="8">
        <v>0</v>
      </c>
      <c r="I431" s="8">
        <v>0</v>
      </c>
      <c r="J431" s="8">
        <v>725</v>
      </c>
      <c r="K431" s="8">
        <v>0</v>
      </c>
      <c r="L431" s="8" t="s">
        <v>12</v>
      </c>
      <c r="M431" s="8" t="str">
        <f>IF(Titanic[[#This Row],[Sobrevive]]=1, "SOBREVIVE", "NO SOBREVIVE")</f>
        <v>NO SOBREVIVE</v>
      </c>
      <c r="N431" s="8" t="str">
        <f>LOOKUP(Titanic[[#This Row],[Clase]],{1,2,3}, {"PRIMERA","SEGUNDA","TERCERA"})</f>
        <v>TERCERA</v>
      </c>
      <c r="O431" s="8" t="str">
        <f>IF(Titanic[[#This Row],[Sexo]]="Hombre", "HOMBRE", "MUJER")</f>
        <v>HOMBRE</v>
      </c>
      <c r="P431" s="8" t="str">
        <f>IF(Titanic[[#This Row],[Edad]]="", "", IF(Titanic[[#This Row],[Edad]]&gt;=100, Titanic[[#This Row],[Edad]] / 10, Titanic[[#This Row],[Edad]]))</f>
        <v/>
      </c>
      <c r="Q431" s="8" t="str">
        <f>IFERROR(LOOKUP(Titanic[[#This Row],[Edad Corrigida]],'Práctica 1'!$K$231:$K$240,'Práctica 1'!$L$231:$L$240), "DESCONOCIDO")</f>
        <v>DESCONOCIDO</v>
      </c>
      <c r="R431" s="8">
        <f>Titanic[[#This Row],[Familia Horizontal]]+Titanic[[#This Row],[Familia Vertical]]</f>
        <v>0</v>
      </c>
      <c r="S431" s="8"/>
      <c r="T431" s="8"/>
      <c r="U431" s="8"/>
      <c r="V431" s="8"/>
    </row>
    <row r="432" spans="2:22" x14ac:dyDescent="0.2">
      <c r="B432" s="6">
        <v>427</v>
      </c>
      <c r="C432" s="7">
        <v>1</v>
      </c>
      <c r="D432" s="8">
        <v>2</v>
      </c>
      <c r="E432" s="8" t="s">
        <v>441</v>
      </c>
      <c r="F432" s="8" t="s">
        <v>14</v>
      </c>
      <c r="G432" s="8">
        <v>28</v>
      </c>
      <c r="H432" s="8">
        <v>1</v>
      </c>
      <c r="I432" s="8">
        <v>0</v>
      </c>
      <c r="J432" s="8">
        <v>26</v>
      </c>
      <c r="K432" s="8">
        <v>0</v>
      </c>
      <c r="L432" s="8" t="s">
        <v>12</v>
      </c>
      <c r="M432" s="8" t="str">
        <f>IF(Titanic[[#This Row],[Sobrevive]]=1, "SOBREVIVE", "NO SOBREVIVE")</f>
        <v>SOBREVIVE</v>
      </c>
      <c r="N432" s="8" t="str">
        <f>LOOKUP(Titanic[[#This Row],[Clase]],{1,2,3}, {"PRIMERA","SEGUNDA","TERCERA"})</f>
        <v>SEGUNDA</v>
      </c>
      <c r="O432" s="8" t="str">
        <f>IF(Titanic[[#This Row],[Sexo]]="Hombre", "HOMBRE", "MUJER")</f>
        <v>MUJER</v>
      </c>
      <c r="P432" s="8">
        <f>IF(Titanic[[#This Row],[Edad]]="", "", IF(Titanic[[#This Row],[Edad]]&gt;=100, Titanic[[#This Row],[Edad]] / 10, Titanic[[#This Row],[Edad]]))</f>
        <v>28</v>
      </c>
      <c r="Q432" s="8" t="str">
        <f>IFERROR(LOOKUP(Titanic[[#This Row],[Edad Corrigida]],'Práctica 1'!$K$231:$K$240,'Práctica 1'!$L$231:$L$240), "DESCONOCIDO")</f>
        <v>4. ADULTO JOVEN</v>
      </c>
      <c r="R432" s="8">
        <f>Titanic[[#This Row],[Familia Horizontal]]+Titanic[[#This Row],[Familia Vertical]]</f>
        <v>1</v>
      </c>
      <c r="S432" s="8"/>
      <c r="T432" s="8"/>
      <c r="U432" s="8"/>
      <c r="V432" s="8"/>
    </row>
    <row r="433" spans="2:22" x14ac:dyDescent="0.2">
      <c r="B433" s="6">
        <v>428</v>
      </c>
      <c r="C433" s="7">
        <v>1</v>
      </c>
      <c r="D433" s="8">
        <v>2</v>
      </c>
      <c r="E433" s="8" t="s">
        <v>442</v>
      </c>
      <c r="F433" s="8" t="s">
        <v>14</v>
      </c>
      <c r="G433" s="8">
        <v>19</v>
      </c>
      <c r="H433" s="8">
        <v>0</v>
      </c>
      <c r="I433" s="8">
        <v>0</v>
      </c>
      <c r="J433" s="8">
        <v>26</v>
      </c>
      <c r="K433" s="8">
        <v>0</v>
      </c>
      <c r="L433" s="8" t="s">
        <v>12</v>
      </c>
      <c r="M433" s="8" t="str">
        <f>IF(Titanic[[#This Row],[Sobrevive]]=1, "SOBREVIVE", "NO SOBREVIVE")</f>
        <v>SOBREVIVE</v>
      </c>
      <c r="N433" s="8" t="str">
        <f>LOOKUP(Titanic[[#This Row],[Clase]],{1,2,3}, {"PRIMERA","SEGUNDA","TERCERA"})</f>
        <v>SEGUNDA</v>
      </c>
      <c r="O433" s="8" t="str">
        <f>IF(Titanic[[#This Row],[Sexo]]="Hombre", "HOMBRE", "MUJER")</f>
        <v>MUJER</v>
      </c>
      <c r="P433" s="8">
        <f>IF(Titanic[[#This Row],[Edad]]="", "", IF(Titanic[[#This Row],[Edad]]&gt;=100, Titanic[[#This Row],[Edad]] / 10, Titanic[[#This Row],[Edad]]))</f>
        <v>19</v>
      </c>
      <c r="Q433" s="8" t="str">
        <f>IFERROR(LOOKUP(Titanic[[#This Row],[Edad Corrigida]],'Práctica 1'!$K$231:$K$240,'Práctica 1'!$L$231:$L$240), "DESCONOCIDO")</f>
        <v>2. ADOLESCENTE</v>
      </c>
      <c r="R433" s="8">
        <f>Titanic[[#This Row],[Familia Horizontal]]+Titanic[[#This Row],[Familia Vertical]]</f>
        <v>0</v>
      </c>
      <c r="S433" s="8"/>
      <c r="T433" s="8"/>
      <c r="U433" s="8"/>
      <c r="V433" s="8"/>
    </row>
    <row r="434" spans="2:22" x14ac:dyDescent="0.2">
      <c r="B434" s="6">
        <v>429</v>
      </c>
      <c r="C434" s="7">
        <v>0</v>
      </c>
      <c r="D434" s="8">
        <v>3</v>
      </c>
      <c r="E434" s="8" t="s">
        <v>443</v>
      </c>
      <c r="F434" s="8" t="s">
        <v>11</v>
      </c>
      <c r="G434" s="9"/>
      <c r="H434" s="8">
        <v>0</v>
      </c>
      <c r="I434" s="8">
        <v>0</v>
      </c>
      <c r="J434" s="8">
        <v>775</v>
      </c>
      <c r="K434" s="8">
        <v>0</v>
      </c>
      <c r="L434" s="8" t="s">
        <v>20</v>
      </c>
      <c r="M434" s="8" t="str">
        <f>IF(Titanic[[#This Row],[Sobrevive]]=1, "SOBREVIVE", "NO SOBREVIVE")</f>
        <v>NO SOBREVIVE</v>
      </c>
      <c r="N434" s="8" t="str">
        <f>LOOKUP(Titanic[[#This Row],[Clase]],{1,2,3}, {"PRIMERA","SEGUNDA","TERCERA"})</f>
        <v>TERCERA</v>
      </c>
      <c r="O434" s="8" t="str">
        <f>IF(Titanic[[#This Row],[Sexo]]="Hombre", "HOMBRE", "MUJER")</f>
        <v>HOMBRE</v>
      </c>
      <c r="P434" s="8" t="str">
        <f>IF(Titanic[[#This Row],[Edad]]="", "", IF(Titanic[[#This Row],[Edad]]&gt;=100, Titanic[[#This Row],[Edad]] / 10, Titanic[[#This Row],[Edad]]))</f>
        <v/>
      </c>
      <c r="Q434" s="8" t="str">
        <f>IFERROR(LOOKUP(Titanic[[#This Row],[Edad Corrigida]],'Práctica 1'!$K$231:$K$240,'Práctica 1'!$L$231:$L$240), "DESCONOCIDO")</f>
        <v>DESCONOCIDO</v>
      </c>
      <c r="R434" s="8">
        <f>Titanic[[#This Row],[Familia Horizontal]]+Titanic[[#This Row],[Familia Vertical]]</f>
        <v>0</v>
      </c>
      <c r="S434" s="8"/>
      <c r="T434" s="8"/>
      <c r="U434" s="8"/>
      <c r="V434" s="8"/>
    </row>
    <row r="435" spans="2:22" x14ac:dyDescent="0.2">
      <c r="B435" s="6">
        <v>430</v>
      </c>
      <c r="C435" s="7">
        <v>1</v>
      </c>
      <c r="D435" s="8">
        <v>3</v>
      </c>
      <c r="E435" s="8" t="s">
        <v>444</v>
      </c>
      <c r="F435" s="8" t="s">
        <v>11</v>
      </c>
      <c r="G435" s="8">
        <v>32</v>
      </c>
      <c r="H435" s="8">
        <v>0</v>
      </c>
      <c r="I435" s="8">
        <v>0</v>
      </c>
      <c r="J435" s="8">
        <v>805</v>
      </c>
      <c r="K435" s="8">
        <v>1</v>
      </c>
      <c r="L435" s="8" t="s">
        <v>12</v>
      </c>
      <c r="M435" s="8" t="str">
        <f>IF(Titanic[[#This Row],[Sobrevive]]=1, "SOBREVIVE", "NO SOBREVIVE")</f>
        <v>SOBREVIVE</v>
      </c>
      <c r="N435" s="8" t="str">
        <f>LOOKUP(Titanic[[#This Row],[Clase]],{1,2,3}, {"PRIMERA","SEGUNDA","TERCERA"})</f>
        <v>TERCERA</v>
      </c>
      <c r="O435" s="8" t="str">
        <f>IF(Titanic[[#This Row],[Sexo]]="Hombre", "HOMBRE", "MUJER")</f>
        <v>HOMBRE</v>
      </c>
      <c r="P435" s="8">
        <f>IF(Titanic[[#This Row],[Edad]]="", "", IF(Titanic[[#This Row],[Edad]]&gt;=100, Titanic[[#This Row],[Edad]] / 10, Titanic[[#This Row],[Edad]]))</f>
        <v>32</v>
      </c>
      <c r="Q435" s="8" t="str">
        <f>IFERROR(LOOKUP(Titanic[[#This Row],[Edad Corrigida]],'Práctica 1'!$K$231:$K$240,'Práctica 1'!$L$231:$L$240), "DESCONOCIDO")</f>
        <v>6. ADULTO 1</v>
      </c>
      <c r="R435" s="8">
        <f>Titanic[[#This Row],[Familia Horizontal]]+Titanic[[#This Row],[Familia Vertical]]</f>
        <v>0</v>
      </c>
      <c r="S435" s="8"/>
      <c r="T435" s="8"/>
      <c r="U435" s="8"/>
      <c r="V435" s="8"/>
    </row>
    <row r="436" spans="2:22" x14ac:dyDescent="0.2">
      <c r="B436" s="6">
        <v>431</v>
      </c>
      <c r="C436" s="7">
        <v>1</v>
      </c>
      <c r="D436" s="8">
        <v>1</v>
      </c>
      <c r="E436" s="8" t="s">
        <v>445</v>
      </c>
      <c r="F436" s="8" t="s">
        <v>11</v>
      </c>
      <c r="G436" s="8">
        <v>28</v>
      </c>
      <c r="H436" s="8">
        <v>0</v>
      </c>
      <c r="I436" s="8">
        <v>0</v>
      </c>
      <c r="J436" s="8">
        <v>2655</v>
      </c>
      <c r="K436" s="8">
        <v>1</v>
      </c>
      <c r="L436" s="8" t="s">
        <v>12</v>
      </c>
      <c r="M436" s="8" t="str">
        <f>IF(Titanic[[#This Row],[Sobrevive]]=1, "SOBREVIVE", "NO SOBREVIVE")</f>
        <v>SOBREVIVE</v>
      </c>
      <c r="N436" s="8" t="str">
        <f>LOOKUP(Titanic[[#This Row],[Clase]],{1,2,3}, {"PRIMERA","SEGUNDA","TERCERA"})</f>
        <v>PRIMERA</v>
      </c>
      <c r="O436" s="8" t="str">
        <f>IF(Titanic[[#This Row],[Sexo]]="Hombre", "HOMBRE", "MUJER")</f>
        <v>HOMBRE</v>
      </c>
      <c r="P436" s="8">
        <f>IF(Titanic[[#This Row],[Edad]]="", "", IF(Titanic[[#This Row],[Edad]]&gt;=100, Titanic[[#This Row],[Edad]] / 10, Titanic[[#This Row],[Edad]]))</f>
        <v>28</v>
      </c>
      <c r="Q436" s="8" t="str">
        <f>IFERROR(LOOKUP(Titanic[[#This Row],[Edad Corrigida]],'Práctica 1'!$K$231:$K$240,'Práctica 1'!$L$231:$L$240), "DESCONOCIDO")</f>
        <v>4. ADULTO JOVEN</v>
      </c>
      <c r="R436" s="8">
        <f>Titanic[[#This Row],[Familia Horizontal]]+Titanic[[#This Row],[Familia Vertical]]</f>
        <v>0</v>
      </c>
      <c r="S436" s="8"/>
      <c r="T436" s="8"/>
      <c r="U436" s="8"/>
      <c r="V436" s="8"/>
    </row>
    <row r="437" spans="2:22" x14ac:dyDescent="0.2">
      <c r="B437" s="6">
        <v>432</v>
      </c>
      <c r="C437" s="7">
        <v>1</v>
      </c>
      <c r="D437" s="8">
        <v>3</v>
      </c>
      <c r="E437" s="8" t="s">
        <v>446</v>
      </c>
      <c r="F437" s="8" t="s">
        <v>14</v>
      </c>
      <c r="G437" s="9"/>
      <c r="H437" s="8">
        <v>1</v>
      </c>
      <c r="I437" s="8">
        <v>0</v>
      </c>
      <c r="J437" s="8">
        <v>161</v>
      </c>
      <c r="K437" s="8">
        <v>0</v>
      </c>
      <c r="L437" s="8" t="s">
        <v>12</v>
      </c>
      <c r="M437" s="8" t="str">
        <f>IF(Titanic[[#This Row],[Sobrevive]]=1, "SOBREVIVE", "NO SOBREVIVE")</f>
        <v>SOBREVIVE</v>
      </c>
      <c r="N437" s="8" t="str">
        <f>LOOKUP(Titanic[[#This Row],[Clase]],{1,2,3}, {"PRIMERA","SEGUNDA","TERCERA"})</f>
        <v>TERCERA</v>
      </c>
      <c r="O437" s="8" t="str">
        <f>IF(Titanic[[#This Row],[Sexo]]="Hombre", "HOMBRE", "MUJER")</f>
        <v>MUJER</v>
      </c>
      <c r="P437" s="8" t="str">
        <f>IF(Titanic[[#This Row],[Edad]]="", "", IF(Titanic[[#This Row],[Edad]]&gt;=100, Titanic[[#This Row],[Edad]] / 10, Titanic[[#This Row],[Edad]]))</f>
        <v/>
      </c>
      <c r="Q437" s="8" t="str">
        <f>IFERROR(LOOKUP(Titanic[[#This Row],[Edad Corrigida]],'Práctica 1'!$K$231:$K$240,'Práctica 1'!$L$231:$L$240), "DESCONOCIDO")</f>
        <v>DESCONOCIDO</v>
      </c>
      <c r="R437" s="8">
        <f>Titanic[[#This Row],[Familia Horizontal]]+Titanic[[#This Row],[Familia Vertical]]</f>
        <v>1</v>
      </c>
      <c r="S437" s="8"/>
      <c r="T437" s="8"/>
      <c r="U437" s="8"/>
      <c r="V437" s="8"/>
    </row>
    <row r="438" spans="2:22" x14ac:dyDescent="0.2">
      <c r="B438" s="6">
        <v>433</v>
      </c>
      <c r="C438" s="7">
        <v>1</v>
      </c>
      <c r="D438" s="8">
        <v>2</v>
      </c>
      <c r="E438" s="8" t="s">
        <v>447</v>
      </c>
      <c r="F438" s="8" t="s">
        <v>14</v>
      </c>
      <c r="G438" s="8">
        <v>42</v>
      </c>
      <c r="H438" s="8">
        <v>1</v>
      </c>
      <c r="I438" s="8">
        <v>0</v>
      </c>
      <c r="J438" s="8">
        <v>26</v>
      </c>
      <c r="K438" s="8">
        <v>0</v>
      </c>
      <c r="L438" s="8" t="s">
        <v>12</v>
      </c>
      <c r="M438" s="8" t="str">
        <f>IF(Titanic[[#This Row],[Sobrevive]]=1, "SOBREVIVE", "NO SOBREVIVE")</f>
        <v>SOBREVIVE</v>
      </c>
      <c r="N438" s="8" t="str">
        <f>LOOKUP(Titanic[[#This Row],[Clase]],{1,2,3}, {"PRIMERA","SEGUNDA","TERCERA"})</f>
        <v>SEGUNDA</v>
      </c>
      <c r="O438" s="8" t="str">
        <f>IF(Titanic[[#This Row],[Sexo]]="Hombre", "HOMBRE", "MUJER")</f>
        <v>MUJER</v>
      </c>
      <c r="P438" s="8">
        <f>IF(Titanic[[#This Row],[Edad]]="", "", IF(Titanic[[#This Row],[Edad]]&gt;=100, Titanic[[#This Row],[Edad]] / 10, Titanic[[#This Row],[Edad]]))</f>
        <v>42</v>
      </c>
      <c r="Q438" s="8" t="str">
        <f>IFERROR(LOOKUP(Titanic[[#This Row],[Edad Corrigida]],'Práctica 1'!$K$231:$K$240,'Práctica 1'!$L$231:$L$240), "DESCONOCIDO")</f>
        <v>8. ADULTO 3</v>
      </c>
      <c r="R438" s="8">
        <f>Titanic[[#This Row],[Familia Horizontal]]+Titanic[[#This Row],[Familia Vertical]]</f>
        <v>1</v>
      </c>
      <c r="S438" s="8"/>
      <c r="T438" s="8"/>
      <c r="U438" s="8"/>
      <c r="V438" s="8"/>
    </row>
    <row r="439" spans="2:22" x14ac:dyDescent="0.2">
      <c r="B439" s="6">
        <v>434</v>
      </c>
      <c r="C439" s="7">
        <v>0</v>
      </c>
      <c r="D439" s="8">
        <v>3</v>
      </c>
      <c r="E439" s="8" t="s">
        <v>448</v>
      </c>
      <c r="F439" s="8" t="s">
        <v>11</v>
      </c>
      <c r="G439" s="8">
        <v>17</v>
      </c>
      <c r="H439" s="8">
        <v>0</v>
      </c>
      <c r="I439" s="8">
        <v>0</v>
      </c>
      <c r="J439" s="8">
        <v>7125</v>
      </c>
      <c r="K439" s="8">
        <v>0</v>
      </c>
      <c r="L439" s="8" t="s">
        <v>12</v>
      </c>
      <c r="M439" s="8" t="str">
        <f>IF(Titanic[[#This Row],[Sobrevive]]=1, "SOBREVIVE", "NO SOBREVIVE")</f>
        <v>NO SOBREVIVE</v>
      </c>
      <c r="N439" s="8" t="str">
        <f>LOOKUP(Titanic[[#This Row],[Clase]],{1,2,3}, {"PRIMERA","SEGUNDA","TERCERA"})</f>
        <v>TERCERA</v>
      </c>
      <c r="O439" s="8" t="str">
        <f>IF(Titanic[[#This Row],[Sexo]]="Hombre", "HOMBRE", "MUJER")</f>
        <v>HOMBRE</v>
      </c>
      <c r="P439" s="8">
        <f>IF(Titanic[[#This Row],[Edad]]="", "", IF(Titanic[[#This Row],[Edad]]&gt;=100, Titanic[[#This Row],[Edad]] / 10, Titanic[[#This Row],[Edad]]))</f>
        <v>17</v>
      </c>
      <c r="Q439" s="8" t="str">
        <f>IFERROR(LOOKUP(Titanic[[#This Row],[Edad Corrigida]],'Práctica 1'!$K$231:$K$240,'Práctica 1'!$L$231:$L$240), "DESCONOCIDO")</f>
        <v>1. INFANTE</v>
      </c>
      <c r="R439" s="8">
        <f>Titanic[[#This Row],[Familia Horizontal]]+Titanic[[#This Row],[Familia Vertical]]</f>
        <v>0</v>
      </c>
      <c r="S439" s="8"/>
      <c r="T439" s="8"/>
      <c r="U439" s="8"/>
      <c r="V439" s="8"/>
    </row>
    <row r="440" spans="2:22" x14ac:dyDescent="0.2">
      <c r="B440" s="6">
        <v>435</v>
      </c>
      <c r="C440" s="7">
        <v>0</v>
      </c>
      <c r="D440" s="8">
        <v>1</v>
      </c>
      <c r="E440" s="8" t="s">
        <v>449</v>
      </c>
      <c r="F440" s="8" t="s">
        <v>11</v>
      </c>
      <c r="G440" s="8">
        <v>50</v>
      </c>
      <c r="H440" s="8">
        <v>1</v>
      </c>
      <c r="I440" s="8">
        <v>0</v>
      </c>
      <c r="J440" s="8">
        <v>559</v>
      </c>
      <c r="K440" s="8">
        <v>1</v>
      </c>
      <c r="L440" s="8" t="s">
        <v>12</v>
      </c>
      <c r="M440" s="8" t="str">
        <f>IF(Titanic[[#This Row],[Sobrevive]]=1, "SOBREVIVE", "NO SOBREVIVE")</f>
        <v>NO SOBREVIVE</v>
      </c>
      <c r="N440" s="8" t="str">
        <f>LOOKUP(Titanic[[#This Row],[Clase]],{1,2,3}, {"PRIMERA","SEGUNDA","TERCERA"})</f>
        <v>PRIMERA</v>
      </c>
      <c r="O440" s="8" t="str">
        <f>IF(Titanic[[#This Row],[Sexo]]="Hombre", "HOMBRE", "MUJER")</f>
        <v>HOMBRE</v>
      </c>
      <c r="P440" s="8">
        <f>IF(Titanic[[#This Row],[Edad]]="", "", IF(Titanic[[#This Row],[Edad]]&gt;=100, Titanic[[#This Row],[Edad]] / 10, Titanic[[#This Row],[Edad]]))</f>
        <v>50</v>
      </c>
      <c r="Q440" s="8" t="str">
        <f>IFERROR(LOOKUP(Titanic[[#This Row],[Edad Corrigida]],'Práctica 1'!$K$231:$K$240,'Práctica 1'!$L$231:$L$240), "DESCONOCIDO")</f>
        <v>9. ADULTO 4</v>
      </c>
      <c r="R440" s="8">
        <f>Titanic[[#This Row],[Familia Horizontal]]+Titanic[[#This Row],[Familia Vertical]]</f>
        <v>1</v>
      </c>
      <c r="S440" s="8"/>
      <c r="T440" s="8"/>
      <c r="U440" s="8"/>
      <c r="V440" s="8"/>
    </row>
    <row r="441" spans="2:22" x14ac:dyDescent="0.2">
      <c r="B441" s="6">
        <v>436</v>
      </c>
      <c r="C441" s="7">
        <v>1</v>
      </c>
      <c r="D441" s="8">
        <v>1</v>
      </c>
      <c r="E441" s="8" t="s">
        <v>450</v>
      </c>
      <c r="F441" s="8" t="s">
        <v>14</v>
      </c>
      <c r="G441" s="8">
        <v>14</v>
      </c>
      <c r="H441" s="8">
        <v>1</v>
      </c>
      <c r="I441" s="8">
        <v>2</v>
      </c>
      <c r="J441" s="8">
        <v>120</v>
      </c>
      <c r="K441" s="8">
        <v>1</v>
      </c>
      <c r="L441" s="8" t="s">
        <v>12</v>
      </c>
      <c r="M441" s="8" t="str">
        <f>IF(Titanic[[#This Row],[Sobrevive]]=1, "SOBREVIVE", "NO SOBREVIVE")</f>
        <v>SOBREVIVE</v>
      </c>
      <c r="N441" s="8" t="str">
        <f>LOOKUP(Titanic[[#This Row],[Clase]],{1,2,3}, {"PRIMERA","SEGUNDA","TERCERA"})</f>
        <v>PRIMERA</v>
      </c>
      <c r="O441" s="8" t="str">
        <f>IF(Titanic[[#This Row],[Sexo]]="Hombre", "HOMBRE", "MUJER")</f>
        <v>MUJER</v>
      </c>
      <c r="P441" s="8">
        <f>IF(Titanic[[#This Row],[Edad]]="", "", IF(Titanic[[#This Row],[Edad]]&gt;=100, Titanic[[#This Row],[Edad]] / 10, Titanic[[#This Row],[Edad]]))</f>
        <v>14</v>
      </c>
      <c r="Q441" s="8" t="str">
        <f>IFERROR(LOOKUP(Titanic[[#This Row],[Edad Corrigida]],'Práctica 1'!$K$231:$K$240,'Práctica 1'!$L$231:$L$240), "DESCONOCIDO")</f>
        <v>DESCONOCIDO</v>
      </c>
      <c r="R441" s="8">
        <f>Titanic[[#This Row],[Familia Horizontal]]+Titanic[[#This Row],[Familia Vertical]]</f>
        <v>3</v>
      </c>
      <c r="S441" s="8"/>
      <c r="T441" s="8"/>
      <c r="U441" s="8"/>
      <c r="V441" s="8"/>
    </row>
    <row r="442" spans="2:22" x14ac:dyDescent="0.2">
      <c r="B442" s="6">
        <v>437</v>
      </c>
      <c r="C442" s="7">
        <v>0</v>
      </c>
      <c r="D442" s="8">
        <v>3</v>
      </c>
      <c r="E442" s="8" t="s">
        <v>451</v>
      </c>
      <c r="F442" s="8" t="s">
        <v>14</v>
      </c>
      <c r="G442" s="8">
        <v>21</v>
      </c>
      <c r="H442" s="8">
        <v>2</v>
      </c>
      <c r="I442" s="8">
        <v>2</v>
      </c>
      <c r="J442" s="8">
        <v>34375</v>
      </c>
      <c r="K442" s="8">
        <v>0</v>
      </c>
      <c r="L442" s="8" t="s">
        <v>12</v>
      </c>
      <c r="M442" s="8" t="str">
        <f>IF(Titanic[[#This Row],[Sobrevive]]=1, "SOBREVIVE", "NO SOBREVIVE")</f>
        <v>NO SOBREVIVE</v>
      </c>
      <c r="N442" s="8" t="str">
        <f>LOOKUP(Titanic[[#This Row],[Clase]],{1,2,3}, {"PRIMERA","SEGUNDA","TERCERA"})</f>
        <v>TERCERA</v>
      </c>
      <c r="O442" s="8" t="str">
        <f>IF(Titanic[[#This Row],[Sexo]]="Hombre", "HOMBRE", "MUJER")</f>
        <v>MUJER</v>
      </c>
      <c r="P442" s="8">
        <f>IF(Titanic[[#This Row],[Edad]]="", "", IF(Titanic[[#This Row],[Edad]]&gt;=100, Titanic[[#This Row],[Edad]] / 10, Titanic[[#This Row],[Edad]]))</f>
        <v>21</v>
      </c>
      <c r="Q442" s="8" t="str">
        <f>IFERROR(LOOKUP(Titanic[[#This Row],[Edad Corrigida]],'Práctica 1'!$K$231:$K$240,'Práctica 1'!$L$231:$L$240), "DESCONOCIDO")</f>
        <v>2. ADOLESCENTE</v>
      </c>
      <c r="R442" s="8">
        <f>Titanic[[#This Row],[Familia Horizontal]]+Titanic[[#This Row],[Familia Vertical]]</f>
        <v>4</v>
      </c>
      <c r="S442" s="8"/>
      <c r="T442" s="8"/>
      <c r="U442" s="8"/>
      <c r="V442" s="8"/>
    </row>
    <row r="443" spans="2:22" x14ac:dyDescent="0.2">
      <c r="B443" s="6">
        <v>438</v>
      </c>
      <c r="C443" s="7">
        <v>1</v>
      </c>
      <c r="D443" s="8">
        <v>2</v>
      </c>
      <c r="E443" s="8" t="s">
        <v>452</v>
      </c>
      <c r="F443" s="8" t="s">
        <v>14</v>
      </c>
      <c r="G443" s="8">
        <v>24</v>
      </c>
      <c r="H443" s="8">
        <v>2</v>
      </c>
      <c r="I443" s="8">
        <v>3</v>
      </c>
      <c r="J443" s="8">
        <v>1875</v>
      </c>
      <c r="K443" s="8">
        <v>0</v>
      </c>
      <c r="L443" s="8" t="s">
        <v>12</v>
      </c>
      <c r="M443" s="8" t="str">
        <f>IF(Titanic[[#This Row],[Sobrevive]]=1, "SOBREVIVE", "NO SOBREVIVE")</f>
        <v>SOBREVIVE</v>
      </c>
      <c r="N443" s="8" t="str">
        <f>LOOKUP(Titanic[[#This Row],[Clase]],{1,2,3}, {"PRIMERA","SEGUNDA","TERCERA"})</f>
        <v>SEGUNDA</v>
      </c>
      <c r="O443" s="8" t="str">
        <f>IF(Titanic[[#This Row],[Sexo]]="Hombre", "HOMBRE", "MUJER")</f>
        <v>MUJER</v>
      </c>
      <c r="P443" s="8">
        <f>IF(Titanic[[#This Row],[Edad]]="", "", IF(Titanic[[#This Row],[Edad]]&gt;=100, Titanic[[#This Row],[Edad]] / 10, Titanic[[#This Row],[Edad]]))</f>
        <v>24</v>
      </c>
      <c r="Q443" s="8" t="str">
        <f>IFERROR(LOOKUP(Titanic[[#This Row],[Edad Corrigida]],'Práctica 1'!$K$231:$K$240,'Práctica 1'!$L$231:$L$240), "DESCONOCIDO")</f>
        <v>3. JOVEN</v>
      </c>
      <c r="R443" s="8">
        <f>Titanic[[#This Row],[Familia Horizontal]]+Titanic[[#This Row],[Familia Vertical]]</f>
        <v>5</v>
      </c>
      <c r="S443" s="8"/>
      <c r="T443" s="8"/>
      <c r="U443" s="8"/>
      <c r="V443" s="8"/>
    </row>
    <row r="444" spans="2:22" x14ac:dyDescent="0.2">
      <c r="B444" s="6">
        <v>439</v>
      </c>
      <c r="C444" s="7">
        <v>0</v>
      </c>
      <c r="D444" s="8">
        <v>1</v>
      </c>
      <c r="E444" s="8" t="s">
        <v>453</v>
      </c>
      <c r="F444" s="8" t="s">
        <v>11</v>
      </c>
      <c r="G444" s="8">
        <v>64</v>
      </c>
      <c r="H444" s="8">
        <v>1</v>
      </c>
      <c r="I444" s="8">
        <v>4</v>
      </c>
      <c r="J444" s="8">
        <v>263</v>
      </c>
      <c r="K444" s="8">
        <v>1</v>
      </c>
      <c r="L444" s="8" t="s">
        <v>12</v>
      </c>
      <c r="M444" s="8" t="str">
        <f>IF(Titanic[[#This Row],[Sobrevive]]=1, "SOBREVIVE", "NO SOBREVIVE")</f>
        <v>NO SOBREVIVE</v>
      </c>
      <c r="N444" s="8" t="str">
        <f>LOOKUP(Titanic[[#This Row],[Clase]],{1,2,3}, {"PRIMERA","SEGUNDA","TERCERA"})</f>
        <v>PRIMERA</v>
      </c>
      <c r="O444" s="8" t="str">
        <f>IF(Titanic[[#This Row],[Sexo]]="Hombre", "HOMBRE", "MUJER")</f>
        <v>HOMBRE</v>
      </c>
      <c r="P444" s="8">
        <f>IF(Titanic[[#This Row],[Edad]]="", "", IF(Titanic[[#This Row],[Edad]]&gt;=100, Titanic[[#This Row],[Edad]] / 10, Titanic[[#This Row],[Edad]]))</f>
        <v>64</v>
      </c>
      <c r="Q444" s="8" t="str">
        <f>IFERROR(LOOKUP(Titanic[[#This Row],[Edad Corrigida]],'Práctica 1'!$K$231:$K$240,'Práctica 1'!$L$231:$L$240), "DESCONOCIDO")</f>
        <v>9. ADULTO 4</v>
      </c>
      <c r="R444" s="8">
        <f>Titanic[[#This Row],[Familia Horizontal]]+Titanic[[#This Row],[Familia Vertical]]</f>
        <v>5</v>
      </c>
      <c r="S444" s="8"/>
      <c r="T444" s="8"/>
      <c r="U444" s="8"/>
      <c r="V444" s="8"/>
    </row>
    <row r="445" spans="2:22" x14ac:dyDescent="0.2">
      <c r="B445" s="6">
        <v>440</v>
      </c>
      <c r="C445" s="7">
        <v>0</v>
      </c>
      <c r="D445" s="8">
        <v>2</v>
      </c>
      <c r="E445" s="8" t="s">
        <v>454</v>
      </c>
      <c r="F445" s="8" t="s">
        <v>11</v>
      </c>
      <c r="G445" s="8">
        <v>31</v>
      </c>
      <c r="H445" s="8">
        <v>0</v>
      </c>
      <c r="I445" s="8">
        <v>0</v>
      </c>
      <c r="J445" s="8">
        <v>105</v>
      </c>
      <c r="K445" s="8">
        <v>0</v>
      </c>
      <c r="L445" s="8" t="s">
        <v>12</v>
      </c>
      <c r="M445" s="8" t="str">
        <f>IF(Titanic[[#This Row],[Sobrevive]]=1, "SOBREVIVE", "NO SOBREVIVE")</f>
        <v>NO SOBREVIVE</v>
      </c>
      <c r="N445" s="8" t="str">
        <f>LOOKUP(Titanic[[#This Row],[Clase]],{1,2,3}, {"PRIMERA","SEGUNDA","TERCERA"})</f>
        <v>SEGUNDA</v>
      </c>
      <c r="O445" s="8" t="str">
        <f>IF(Titanic[[#This Row],[Sexo]]="Hombre", "HOMBRE", "MUJER")</f>
        <v>HOMBRE</v>
      </c>
      <c r="P445" s="8">
        <f>IF(Titanic[[#This Row],[Edad]]="", "", IF(Titanic[[#This Row],[Edad]]&gt;=100, Titanic[[#This Row],[Edad]] / 10, Titanic[[#This Row],[Edad]]))</f>
        <v>31</v>
      </c>
      <c r="Q445" s="8" t="str">
        <f>IFERROR(LOOKUP(Titanic[[#This Row],[Edad Corrigida]],'Práctica 1'!$K$231:$K$240,'Práctica 1'!$L$231:$L$240), "DESCONOCIDO")</f>
        <v>5. ADULTO</v>
      </c>
      <c r="R445" s="8">
        <f>Titanic[[#This Row],[Familia Horizontal]]+Titanic[[#This Row],[Familia Vertical]]</f>
        <v>0</v>
      </c>
      <c r="S445" s="8"/>
      <c r="T445" s="8"/>
      <c r="U445" s="8"/>
      <c r="V445" s="8"/>
    </row>
    <row r="446" spans="2:22" x14ac:dyDescent="0.2">
      <c r="B446" s="6">
        <v>441</v>
      </c>
      <c r="C446" s="7">
        <v>1</v>
      </c>
      <c r="D446" s="8">
        <v>2</v>
      </c>
      <c r="E446" s="8" t="s">
        <v>455</v>
      </c>
      <c r="F446" s="8" t="s">
        <v>14</v>
      </c>
      <c r="G446" s="8">
        <v>45</v>
      </c>
      <c r="H446" s="8">
        <v>1</v>
      </c>
      <c r="I446" s="8">
        <v>1</v>
      </c>
      <c r="J446" s="8">
        <v>2625</v>
      </c>
      <c r="K446" s="8">
        <v>0</v>
      </c>
      <c r="L446" s="8" t="s">
        <v>12</v>
      </c>
      <c r="M446" s="8" t="str">
        <f>IF(Titanic[[#This Row],[Sobrevive]]=1, "SOBREVIVE", "NO SOBREVIVE")</f>
        <v>SOBREVIVE</v>
      </c>
      <c r="N446" s="8" t="str">
        <f>LOOKUP(Titanic[[#This Row],[Clase]],{1,2,3}, {"PRIMERA","SEGUNDA","TERCERA"})</f>
        <v>SEGUNDA</v>
      </c>
      <c r="O446" s="8" t="str">
        <f>IF(Titanic[[#This Row],[Sexo]]="Hombre", "HOMBRE", "MUJER")</f>
        <v>MUJER</v>
      </c>
      <c r="P446" s="8">
        <f>IF(Titanic[[#This Row],[Edad]]="", "", IF(Titanic[[#This Row],[Edad]]&gt;=100, Titanic[[#This Row],[Edad]] / 10, Titanic[[#This Row],[Edad]]))</f>
        <v>45</v>
      </c>
      <c r="Q446" s="8" t="str">
        <f>IFERROR(LOOKUP(Titanic[[#This Row],[Edad Corrigida]],'Práctica 1'!$K$231:$K$240,'Práctica 1'!$L$231:$L$240), "DESCONOCIDO")</f>
        <v>8. ADULTO 3</v>
      </c>
      <c r="R446" s="8">
        <f>Titanic[[#This Row],[Familia Horizontal]]+Titanic[[#This Row],[Familia Vertical]]</f>
        <v>2</v>
      </c>
      <c r="S446" s="8"/>
      <c r="T446" s="8"/>
      <c r="U446" s="8"/>
      <c r="V446" s="8"/>
    </row>
    <row r="447" spans="2:22" x14ac:dyDescent="0.2">
      <c r="B447" s="6">
        <v>442</v>
      </c>
      <c r="C447" s="7">
        <v>0</v>
      </c>
      <c r="D447" s="8">
        <v>3</v>
      </c>
      <c r="E447" s="8" t="s">
        <v>456</v>
      </c>
      <c r="F447" s="8" t="s">
        <v>11</v>
      </c>
      <c r="G447" s="8">
        <v>20</v>
      </c>
      <c r="H447" s="8">
        <v>0</v>
      </c>
      <c r="I447" s="8">
        <v>0</v>
      </c>
      <c r="J447" s="8">
        <v>95</v>
      </c>
      <c r="K447" s="8">
        <v>0</v>
      </c>
      <c r="L447" s="8" t="s">
        <v>12</v>
      </c>
      <c r="M447" s="8" t="str">
        <f>IF(Titanic[[#This Row],[Sobrevive]]=1, "SOBREVIVE", "NO SOBREVIVE")</f>
        <v>NO SOBREVIVE</v>
      </c>
      <c r="N447" s="8" t="str">
        <f>LOOKUP(Titanic[[#This Row],[Clase]],{1,2,3}, {"PRIMERA","SEGUNDA","TERCERA"})</f>
        <v>TERCERA</v>
      </c>
      <c r="O447" s="8" t="str">
        <f>IF(Titanic[[#This Row],[Sexo]]="Hombre", "HOMBRE", "MUJER")</f>
        <v>HOMBRE</v>
      </c>
      <c r="P447" s="8">
        <f>IF(Titanic[[#This Row],[Edad]]="", "", IF(Titanic[[#This Row],[Edad]]&gt;=100, Titanic[[#This Row],[Edad]] / 10, Titanic[[#This Row],[Edad]]))</f>
        <v>20</v>
      </c>
      <c r="Q447" s="8" t="str">
        <f>IFERROR(LOOKUP(Titanic[[#This Row],[Edad Corrigida]],'Práctica 1'!$K$231:$K$240,'Práctica 1'!$L$231:$L$240), "DESCONOCIDO")</f>
        <v>2. ADOLESCENTE</v>
      </c>
      <c r="R447" s="8">
        <f>Titanic[[#This Row],[Familia Horizontal]]+Titanic[[#This Row],[Familia Vertical]]</f>
        <v>0</v>
      </c>
      <c r="S447" s="8"/>
      <c r="T447" s="8"/>
      <c r="U447" s="8"/>
      <c r="V447" s="8"/>
    </row>
    <row r="448" spans="2:22" x14ac:dyDescent="0.2">
      <c r="B448" s="6">
        <v>443</v>
      </c>
      <c r="C448" s="7">
        <v>0</v>
      </c>
      <c r="D448" s="8">
        <v>3</v>
      </c>
      <c r="E448" s="8" t="s">
        <v>457</v>
      </c>
      <c r="F448" s="8" t="s">
        <v>11</v>
      </c>
      <c r="G448" s="8">
        <v>25</v>
      </c>
      <c r="H448" s="8">
        <v>1</v>
      </c>
      <c r="I448" s="8">
        <v>0</v>
      </c>
      <c r="J448" s="8">
        <v>7775</v>
      </c>
      <c r="K448" s="8">
        <v>0</v>
      </c>
      <c r="L448" s="8" t="s">
        <v>12</v>
      </c>
      <c r="M448" s="8" t="str">
        <f>IF(Titanic[[#This Row],[Sobrevive]]=1, "SOBREVIVE", "NO SOBREVIVE")</f>
        <v>NO SOBREVIVE</v>
      </c>
      <c r="N448" s="8" t="str">
        <f>LOOKUP(Titanic[[#This Row],[Clase]],{1,2,3}, {"PRIMERA","SEGUNDA","TERCERA"})</f>
        <v>TERCERA</v>
      </c>
      <c r="O448" s="8" t="str">
        <f>IF(Titanic[[#This Row],[Sexo]]="Hombre", "HOMBRE", "MUJER")</f>
        <v>HOMBRE</v>
      </c>
      <c r="P448" s="8">
        <f>IF(Titanic[[#This Row],[Edad]]="", "", IF(Titanic[[#This Row],[Edad]]&gt;=100, Titanic[[#This Row],[Edad]] / 10, Titanic[[#This Row],[Edad]]))</f>
        <v>25</v>
      </c>
      <c r="Q448" s="8" t="str">
        <f>IFERROR(LOOKUP(Titanic[[#This Row],[Edad Corrigida]],'Práctica 1'!$K$231:$K$240,'Práctica 1'!$L$231:$L$240), "DESCONOCIDO")</f>
        <v>4. ADULTO JOVEN</v>
      </c>
      <c r="R448" s="8">
        <f>Titanic[[#This Row],[Familia Horizontal]]+Titanic[[#This Row],[Familia Vertical]]</f>
        <v>1</v>
      </c>
      <c r="S448" s="8"/>
      <c r="T448" s="8"/>
      <c r="U448" s="8"/>
      <c r="V448" s="8"/>
    </row>
    <row r="449" spans="2:22" x14ac:dyDescent="0.2">
      <c r="B449" s="6">
        <v>444</v>
      </c>
      <c r="C449" s="7">
        <v>1</v>
      </c>
      <c r="D449" s="8">
        <v>2</v>
      </c>
      <c r="E449" s="8" t="s">
        <v>458</v>
      </c>
      <c r="F449" s="8" t="s">
        <v>14</v>
      </c>
      <c r="G449" s="8">
        <v>28</v>
      </c>
      <c r="H449" s="8">
        <v>0</v>
      </c>
      <c r="I449" s="8">
        <v>0</v>
      </c>
      <c r="J449" s="8">
        <v>13</v>
      </c>
      <c r="K449" s="8">
        <v>0</v>
      </c>
      <c r="L449" s="8" t="s">
        <v>12</v>
      </c>
      <c r="M449" s="8" t="str">
        <f>IF(Titanic[[#This Row],[Sobrevive]]=1, "SOBREVIVE", "NO SOBREVIVE")</f>
        <v>SOBREVIVE</v>
      </c>
      <c r="N449" s="8" t="str">
        <f>LOOKUP(Titanic[[#This Row],[Clase]],{1,2,3}, {"PRIMERA","SEGUNDA","TERCERA"})</f>
        <v>SEGUNDA</v>
      </c>
      <c r="O449" s="8" t="str">
        <f>IF(Titanic[[#This Row],[Sexo]]="Hombre", "HOMBRE", "MUJER")</f>
        <v>MUJER</v>
      </c>
      <c r="P449" s="8">
        <f>IF(Titanic[[#This Row],[Edad]]="", "", IF(Titanic[[#This Row],[Edad]]&gt;=100, Titanic[[#This Row],[Edad]] / 10, Titanic[[#This Row],[Edad]]))</f>
        <v>28</v>
      </c>
      <c r="Q449" s="8" t="str">
        <f>IFERROR(LOOKUP(Titanic[[#This Row],[Edad Corrigida]],'Práctica 1'!$K$231:$K$240,'Práctica 1'!$L$231:$L$240), "DESCONOCIDO")</f>
        <v>4. ADULTO JOVEN</v>
      </c>
      <c r="R449" s="8">
        <f>Titanic[[#This Row],[Familia Horizontal]]+Titanic[[#This Row],[Familia Vertical]]</f>
        <v>0</v>
      </c>
      <c r="S449" s="8"/>
      <c r="T449" s="8"/>
      <c r="U449" s="8"/>
      <c r="V449" s="8"/>
    </row>
    <row r="450" spans="2:22" x14ac:dyDescent="0.2">
      <c r="B450" s="6">
        <v>445</v>
      </c>
      <c r="C450" s="7">
        <v>1</v>
      </c>
      <c r="D450" s="8">
        <v>3</v>
      </c>
      <c r="E450" s="8" t="s">
        <v>459</v>
      </c>
      <c r="F450" s="8" t="s">
        <v>11</v>
      </c>
      <c r="G450" s="9"/>
      <c r="H450" s="8">
        <v>0</v>
      </c>
      <c r="I450" s="8">
        <v>0</v>
      </c>
      <c r="J450" s="8">
        <v>81125</v>
      </c>
      <c r="K450" s="8">
        <v>0</v>
      </c>
      <c r="L450" s="8" t="s">
        <v>12</v>
      </c>
      <c r="M450" s="8" t="str">
        <f>IF(Titanic[[#This Row],[Sobrevive]]=1, "SOBREVIVE", "NO SOBREVIVE")</f>
        <v>SOBREVIVE</v>
      </c>
      <c r="N450" s="8" t="str">
        <f>LOOKUP(Titanic[[#This Row],[Clase]],{1,2,3}, {"PRIMERA","SEGUNDA","TERCERA"})</f>
        <v>TERCERA</v>
      </c>
      <c r="O450" s="8" t="str">
        <f>IF(Titanic[[#This Row],[Sexo]]="Hombre", "HOMBRE", "MUJER")</f>
        <v>HOMBRE</v>
      </c>
      <c r="P450" s="8" t="str">
        <f>IF(Titanic[[#This Row],[Edad]]="", "", IF(Titanic[[#This Row],[Edad]]&gt;=100, Titanic[[#This Row],[Edad]] / 10, Titanic[[#This Row],[Edad]]))</f>
        <v/>
      </c>
      <c r="Q450" s="8" t="str">
        <f>IFERROR(LOOKUP(Titanic[[#This Row],[Edad Corrigida]],'Práctica 1'!$K$231:$K$240,'Práctica 1'!$L$231:$L$240), "DESCONOCIDO")</f>
        <v>DESCONOCIDO</v>
      </c>
      <c r="R450" s="8">
        <f>Titanic[[#This Row],[Familia Horizontal]]+Titanic[[#This Row],[Familia Vertical]]</f>
        <v>0</v>
      </c>
      <c r="S450" s="8"/>
      <c r="T450" s="8"/>
      <c r="U450" s="8"/>
      <c r="V450" s="8"/>
    </row>
    <row r="451" spans="2:22" x14ac:dyDescent="0.2">
      <c r="B451" s="6">
        <v>446</v>
      </c>
      <c r="C451" s="7">
        <v>1</v>
      </c>
      <c r="D451" s="8">
        <v>1</v>
      </c>
      <c r="E451" s="8" t="s">
        <v>460</v>
      </c>
      <c r="F451" s="8" t="s">
        <v>11</v>
      </c>
      <c r="G451" s="8">
        <v>4</v>
      </c>
      <c r="H451" s="8">
        <v>0</v>
      </c>
      <c r="I451" s="8">
        <v>2</v>
      </c>
      <c r="J451" s="8">
        <v>818583</v>
      </c>
      <c r="K451" s="8">
        <v>1</v>
      </c>
      <c r="L451" s="8" t="s">
        <v>12</v>
      </c>
      <c r="M451" s="8" t="str">
        <f>IF(Titanic[[#This Row],[Sobrevive]]=1, "SOBREVIVE", "NO SOBREVIVE")</f>
        <v>SOBREVIVE</v>
      </c>
      <c r="N451" s="8" t="str">
        <f>LOOKUP(Titanic[[#This Row],[Clase]],{1,2,3}, {"PRIMERA","SEGUNDA","TERCERA"})</f>
        <v>PRIMERA</v>
      </c>
      <c r="O451" s="8" t="str">
        <f>IF(Titanic[[#This Row],[Sexo]]="Hombre", "HOMBRE", "MUJER")</f>
        <v>HOMBRE</v>
      </c>
      <c r="P451" s="8">
        <f>IF(Titanic[[#This Row],[Edad]]="", "", IF(Titanic[[#This Row],[Edad]]&gt;=100, Titanic[[#This Row],[Edad]] / 10, Titanic[[#This Row],[Edad]]))</f>
        <v>4</v>
      </c>
      <c r="Q451" s="8" t="str">
        <f>IFERROR(LOOKUP(Titanic[[#This Row],[Edad Corrigida]],'Práctica 1'!$K$231:$K$240,'Práctica 1'!$L$231:$L$240), "DESCONOCIDO")</f>
        <v>DESCONOCIDO</v>
      </c>
      <c r="R451" s="8">
        <f>Titanic[[#This Row],[Familia Horizontal]]+Titanic[[#This Row],[Familia Vertical]]</f>
        <v>2</v>
      </c>
      <c r="S451" s="8"/>
      <c r="T451" s="8"/>
      <c r="U451" s="8"/>
      <c r="V451" s="8"/>
    </row>
    <row r="452" spans="2:22" x14ac:dyDescent="0.2">
      <c r="B452" s="6">
        <v>447</v>
      </c>
      <c r="C452" s="7">
        <v>1</v>
      </c>
      <c r="D452" s="8">
        <v>2</v>
      </c>
      <c r="E452" s="8" t="s">
        <v>461</v>
      </c>
      <c r="F452" s="8" t="s">
        <v>14</v>
      </c>
      <c r="G452" s="8">
        <v>13</v>
      </c>
      <c r="H452" s="8">
        <v>0</v>
      </c>
      <c r="I452" s="8">
        <v>1</v>
      </c>
      <c r="J452" s="8">
        <v>195</v>
      </c>
      <c r="K452" s="8">
        <v>0</v>
      </c>
      <c r="L452" s="8" t="s">
        <v>12</v>
      </c>
      <c r="M452" s="8" t="str">
        <f>IF(Titanic[[#This Row],[Sobrevive]]=1, "SOBREVIVE", "NO SOBREVIVE")</f>
        <v>SOBREVIVE</v>
      </c>
      <c r="N452" s="8" t="str">
        <f>LOOKUP(Titanic[[#This Row],[Clase]],{1,2,3}, {"PRIMERA","SEGUNDA","TERCERA"})</f>
        <v>SEGUNDA</v>
      </c>
      <c r="O452" s="8" t="str">
        <f>IF(Titanic[[#This Row],[Sexo]]="Hombre", "HOMBRE", "MUJER")</f>
        <v>MUJER</v>
      </c>
      <c r="P452" s="8">
        <f>IF(Titanic[[#This Row],[Edad]]="", "", IF(Titanic[[#This Row],[Edad]]&gt;=100, Titanic[[#This Row],[Edad]] / 10, Titanic[[#This Row],[Edad]]))</f>
        <v>13</v>
      </c>
      <c r="Q452" s="8" t="str">
        <f>IFERROR(LOOKUP(Titanic[[#This Row],[Edad Corrigida]],'Práctica 1'!$K$231:$K$240,'Práctica 1'!$L$231:$L$240), "DESCONOCIDO")</f>
        <v>DESCONOCIDO</v>
      </c>
      <c r="R452" s="8">
        <f>Titanic[[#This Row],[Familia Horizontal]]+Titanic[[#This Row],[Familia Vertical]]</f>
        <v>1</v>
      </c>
      <c r="S452" s="8"/>
      <c r="T452" s="8"/>
      <c r="U452" s="8"/>
      <c r="V452" s="8"/>
    </row>
    <row r="453" spans="2:22" x14ac:dyDescent="0.2">
      <c r="B453" s="6">
        <v>448</v>
      </c>
      <c r="C453" s="7">
        <v>1</v>
      </c>
      <c r="D453" s="8">
        <v>1</v>
      </c>
      <c r="E453" s="8" t="s">
        <v>462</v>
      </c>
      <c r="F453" s="8" t="s">
        <v>11</v>
      </c>
      <c r="G453" s="8">
        <v>34</v>
      </c>
      <c r="H453" s="8">
        <v>0</v>
      </c>
      <c r="I453" s="8">
        <v>0</v>
      </c>
      <c r="J453" s="8">
        <v>2655</v>
      </c>
      <c r="K453" s="8">
        <v>0</v>
      </c>
      <c r="L453" s="8" t="s">
        <v>12</v>
      </c>
      <c r="M453" s="8" t="str">
        <f>IF(Titanic[[#This Row],[Sobrevive]]=1, "SOBREVIVE", "NO SOBREVIVE")</f>
        <v>SOBREVIVE</v>
      </c>
      <c r="N453" s="8" t="str">
        <f>LOOKUP(Titanic[[#This Row],[Clase]],{1,2,3}, {"PRIMERA","SEGUNDA","TERCERA"})</f>
        <v>PRIMERA</v>
      </c>
      <c r="O453" s="8" t="str">
        <f>IF(Titanic[[#This Row],[Sexo]]="Hombre", "HOMBRE", "MUJER")</f>
        <v>HOMBRE</v>
      </c>
      <c r="P453" s="8">
        <f>IF(Titanic[[#This Row],[Edad]]="", "", IF(Titanic[[#This Row],[Edad]]&gt;=100, Titanic[[#This Row],[Edad]] / 10, Titanic[[#This Row],[Edad]]))</f>
        <v>34</v>
      </c>
      <c r="Q453" s="8" t="str">
        <f>IFERROR(LOOKUP(Titanic[[#This Row],[Edad Corrigida]],'Práctica 1'!$K$231:$K$240,'Práctica 1'!$L$231:$L$240), "DESCONOCIDO")</f>
        <v>6. ADULTO 1</v>
      </c>
      <c r="R453" s="8">
        <f>Titanic[[#This Row],[Familia Horizontal]]+Titanic[[#This Row],[Familia Vertical]]</f>
        <v>0</v>
      </c>
      <c r="S453" s="8"/>
      <c r="T453" s="8"/>
      <c r="U453" s="8"/>
      <c r="V453" s="8"/>
    </row>
    <row r="454" spans="2:22" x14ac:dyDescent="0.2">
      <c r="B454" s="6">
        <v>449</v>
      </c>
      <c r="C454" s="7">
        <v>1</v>
      </c>
      <c r="D454" s="8">
        <v>3</v>
      </c>
      <c r="E454" s="8" t="s">
        <v>463</v>
      </c>
      <c r="F454" s="8" t="s">
        <v>14</v>
      </c>
      <c r="G454" s="8">
        <v>5</v>
      </c>
      <c r="H454" s="8">
        <v>2</v>
      </c>
      <c r="I454" s="8">
        <v>1</v>
      </c>
      <c r="J454" s="8">
        <v>192583</v>
      </c>
      <c r="K454" s="8">
        <v>0</v>
      </c>
      <c r="L454" s="8" t="s">
        <v>15</v>
      </c>
      <c r="M454" s="8" t="str">
        <f>IF(Titanic[[#This Row],[Sobrevive]]=1, "SOBREVIVE", "NO SOBREVIVE")</f>
        <v>SOBREVIVE</v>
      </c>
      <c r="N454" s="8" t="str">
        <f>LOOKUP(Titanic[[#This Row],[Clase]],{1,2,3}, {"PRIMERA","SEGUNDA","TERCERA"})</f>
        <v>TERCERA</v>
      </c>
      <c r="O454" s="8" t="str">
        <f>IF(Titanic[[#This Row],[Sexo]]="Hombre", "HOMBRE", "MUJER")</f>
        <v>MUJER</v>
      </c>
      <c r="P454" s="8">
        <f>IF(Titanic[[#This Row],[Edad]]="", "", IF(Titanic[[#This Row],[Edad]]&gt;=100, Titanic[[#This Row],[Edad]] / 10, Titanic[[#This Row],[Edad]]))</f>
        <v>5</v>
      </c>
      <c r="Q454" s="8" t="str">
        <f>IFERROR(LOOKUP(Titanic[[#This Row],[Edad Corrigida]],'Práctica 1'!$K$231:$K$240,'Práctica 1'!$L$231:$L$240), "DESCONOCIDO")</f>
        <v>DESCONOCIDO</v>
      </c>
      <c r="R454" s="8">
        <f>Titanic[[#This Row],[Familia Horizontal]]+Titanic[[#This Row],[Familia Vertical]]</f>
        <v>3</v>
      </c>
      <c r="S454" s="8"/>
      <c r="T454" s="8"/>
      <c r="U454" s="8"/>
      <c r="V454" s="8"/>
    </row>
    <row r="455" spans="2:22" x14ac:dyDescent="0.2">
      <c r="B455" s="6">
        <v>450</v>
      </c>
      <c r="C455" s="7">
        <v>1</v>
      </c>
      <c r="D455" s="8">
        <v>1</v>
      </c>
      <c r="E455" s="8" t="s">
        <v>464</v>
      </c>
      <c r="F455" s="8" t="s">
        <v>11</v>
      </c>
      <c r="G455" s="8">
        <v>52</v>
      </c>
      <c r="H455" s="8">
        <v>0</v>
      </c>
      <c r="I455" s="8">
        <v>0</v>
      </c>
      <c r="J455" s="8">
        <v>305</v>
      </c>
      <c r="K455" s="8">
        <v>1</v>
      </c>
      <c r="L455" s="8" t="s">
        <v>12</v>
      </c>
      <c r="M455" s="8" t="str">
        <f>IF(Titanic[[#This Row],[Sobrevive]]=1, "SOBREVIVE", "NO SOBREVIVE")</f>
        <v>SOBREVIVE</v>
      </c>
      <c r="N455" s="8" t="str">
        <f>LOOKUP(Titanic[[#This Row],[Clase]],{1,2,3}, {"PRIMERA","SEGUNDA","TERCERA"})</f>
        <v>PRIMERA</v>
      </c>
      <c r="O455" s="8" t="str">
        <f>IF(Titanic[[#This Row],[Sexo]]="Hombre", "HOMBRE", "MUJER")</f>
        <v>HOMBRE</v>
      </c>
      <c r="P455" s="8">
        <f>IF(Titanic[[#This Row],[Edad]]="", "", IF(Titanic[[#This Row],[Edad]]&gt;=100, Titanic[[#This Row],[Edad]] / 10, Titanic[[#This Row],[Edad]]))</f>
        <v>52</v>
      </c>
      <c r="Q455" s="8" t="str">
        <f>IFERROR(LOOKUP(Titanic[[#This Row],[Edad Corrigida]],'Práctica 1'!$K$231:$K$240,'Práctica 1'!$L$231:$L$240), "DESCONOCIDO")</f>
        <v>9. ADULTO 4</v>
      </c>
      <c r="R455" s="8">
        <f>Titanic[[#This Row],[Familia Horizontal]]+Titanic[[#This Row],[Familia Vertical]]</f>
        <v>0</v>
      </c>
      <c r="S455" s="8"/>
      <c r="T455" s="8"/>
      <c r="U455" s="8"/>
      <c r="V455" s="8"/>
    </row>
    <row r="456" spans="2:22" x14ac:dyDescent="0.2">
      <c r="B456" s="6">
        <v>451</v>
      </c>
      <c r="C456" s="7">
        <v>0</v>
      </c>
      <c r="D456" s="8">
        <v>2</v>
      </c>
      <c r="E456" s="8" t="s">
        <v>465</v>
      </c>
      <c r="F456" s="8" t="s">
        <v>11</v>
      </c>
      <c r="G456" s="8">
        <v>36</v>
      </c>
      <c r="H456" s="8">
        <v>1</v>
      </c>
      <c r="I456" s="8">
        <v>2</v>
      </c>
      <c r="J456" s="8">
        <v>2775</v>
      </c>
      <c r="K456" s="8">
        <v>0</v>
      </c>
      <c r="L456" s="8" t="s">
        <v>12</v>
      </c>
      <c r="M456" s="8" t="str">
        <f>IF(Titanic[[#This Row],[Sobrevive]]=1, "SOBREVIVE", "NO SOBREVIVE")</f>
        <v>NO SOBREVIVE</v>
      </c>
      <c r="N456" s="8" t="str">
        <f>LOOKUP(Titanic[[#This Row],[Clase]],{1,2,3}, {"PRIMERA","SEGUNDA","TERCERA"})</f>
        <v>SEGUNDA</v>
      </c>
      <c r="O456" s="8" t="str">
        <f>IF(Titanic[[#This Row],[Sexo]]="Hombre", "HOMBRE", "MUJER")</f>
        <v>HOMBRE</v>
      </c>
      <c r="P456" s="8">
        <f>IF(Titanic[[#This Row],[Edad]]="", "", IF(Titanic[[#This Row],[Edad]]&gt;=100, Titanic[[#This Row],[Edad]] / 10, Titanic[[#This Row],[Edad]]))</f>
        <v>36</v>
      </c>
      <c r="Q456" s="8" t="str">
        <f>IFERROR(LOOKUP(Titanic[[#This Row],[Edad Corrigida]],'Práctica 1'!$K$231:$K$240,'Práctica 1'!$L$231:$L$240), "DESCONOCIDO")</f>
        <v>7. ADULTO 2</v>
      </c>
      <c r="R456" s="8">
        <f>Titanic[[#This Row],[Familia Horizontal]]+Titanic[[#This Row],[Familia Vertical]]</f>
        <v>3</v>
      </c>
      <c r="S456" s="8"/>
      <c r="T456" s="8"/>
      <c r="U456" s="8"/>
      <c r="V456" s="8"/>
    </row>
    <row r="457" spans="2:22" x14ac:dyDescent="0.2">
      <c r="B457" s="6">
        <v>452</v>
      </c>
      <c r="C457" s="7">
        <v>0</v>
      </c>
      <c r="D457" s="8">
        <v>3</v>
      </c>
      <c r="E457" s="8" t="s">
        <v>466</v>
      </c>
      <c r="F457" s="8" t="s">
        <v>11</v>
      </c>
      <c r="G457" s="9"/>
      <c r="H457" s="8">
        <v>1</v>
      </c>
      <c r="I457" s="8">
        <v>0</v>
      </c>
      <c r="J457" s="8">
        <v>199667</v>
      </c>
      <c r="K457" s="8">
        <v>0</v>
      </c>
      <c r="L457" s="8" t="s">
        <v>12</v>
      </c>
      <c r="M457" s="8" t="str">
        <f>IF(Titanic[[#This Row],[Sobrevive]]=1, "SOBREVIVE", "NO SOBREVIVE")</f>
        <v>NO SOBREVIVE</v>
      </c>
      <c r="N457" s="8" t="str">
        <f>LOOKUP(Titanic[[#This Row],[Clase]],{1,2,3}, {"PRIMERA","SEGUNDA","TERCERA"})</f>
        <v>TERCERA</v>
      </c>
      <c r="O457" s="8" t="str">
        <f>IF(Titanic[[#This Row],[Sexo]]="Hombre", "HOMBRE", "MUJER")</f>
        <v>HOMBRE</v>
      </c>
      <c r="P457" s="8" t="str">
        <f>IF(Titanic[[#This Row],[Edad]]="", "", IF(Titanic[[#This Row],[Edad]]&gt;=100, Titanic[[#This Row],[Edad]] / 10, Titanic[[#This Row],[Edad]]))</f>
        <v/>
      </c>
      <c r="Q457" s="8" t="str">
        <f>IFERROR(LOOKUP(Titanic[[#This Row],[Edad Corrigida]],'Práctica 1'!$K$231:$K$240,'Práctica 1'!$L$231:$L$240), "DESCONOCIDO")</f>
        <v>DESCONOCIDO</v>
      </c>
      <c r="R457" s="8">
        <f>Titanic[[#This Row],[Familia Horizontal]]+Titanic[[#This Row],[Familia Vertical]]</f>
        <v>1</v>
      </c>
      <c r="S457" s="8"/>
      <c r="T457" s="8"/>
      <c r="U457" s="8"/>
      <c r="V457" s="8"/>
    </row>
    <row r="458" spans="2:22" x14ac:dyDescent="0.2">
      <c r="B458" s="6">
        <v>453</v>
      </c>
      <c r="C458" s="7">
        <v>0</v>
      </c>
      <c r="D458" s="8">
        <v>1</v>
      </c>
      <c r="E458" s="8" t="s">
        <v>467</v>
      </c>
      <c r="F458" s="8" t="s">
        <v>11</v>
      </c>
      <c r="G458" s="8">
        <v>30</v>
      </c>
      <c r="H458" s="8">
        <v>0</v>
      </c>
      <c r="I458" s="8">
        <v>0</v>
      </c>
      <c r="J458" s="8">
        <v>2775</v>
      </c>
      <c r="K458" s="8">
        <v>1</v>
      </c>
      <c r="L458" s="8" t="s">
        <v>15</v>
      </c>
      <c r="M458" s="8" t="str">
        <f>IF(Titanic[[#This Row],[Sobrevive]]=1, "SOBREVIVE", "NO SOBREVIVE")</f>
        <v>NO SOBREVIVE</v>
      </c>
      <c r="N458" s="8" t="str">
        <f>LOOKUP(Titanic[[#This Row],[Clase]],{1,2,3}, {"PRIMERA","SEGUNDA","TERCERA"})</f>
        <v>PRIMERA</v>
      </c>
      <c r="O458" s="8" t="str">
        <f>IF(Titanic[[#This Row],[Sexo]]="Hombre", "HOMBRE", "MUJER")</f>
        <v>HOMBRE</v>
      </c>
      <c r="P458" s="8">
        <f>IF(Titanic[[#This Row],[Edad]]="", "", IF(Titanic[[#This Row],[Edad]]&gt;=100, Titanic[[#This Row],[Edad]] / 10, Titanic[[#This Row],[Edad]]))</f>
        <v>30</v>
      </c>
      <c r="Q458" s="8" t="str">
        <f>IFERROR(LOOKUP(Titanic[[#This Row],[Edad Corrigida]],'Práctica 1'!$K$231:$K$240,'Práctica 1'!$L$231:$L$240), "DESCONOCIDO")</f>
        <v>5. ADULTO</v>
      </c>
      <c r="R458" s="8">
        <f>Titanic[[#This Row],[Familia Horizontal]]+Titanic[[#This Row],[Familia Vertical]]</f>
        <v>0</v>
      </c>
      <c r="S458" s="8"/>
      <c r="T458" s="8"/>
      <c r="U458" s="8"/>
      <c r="V458" s="8"/>
    </row>
    <row r="459" spans="2:22" x14ac:dyDescent="0.2">
      <c r="B459" s="6">
        <v>454</v>
      </c>
      <c r="C459" s="7">
        <v>1</v>
      </c>
      <c r="D459" s="8">
        <v>1</v>
      </c>
      <c r="E459" s="8" t="s">
        <v>468</v>
      </c>
      <c r="F459" s="8" t="s">
        <v>11</v>
      </c>
      <c r="G459" s="8">
        <v>49</v>
      </c>
      <c r="H459" s="8">
        <v>1</v>
      </c>
      <c r="I459" s="8">
        <v>0</v>
      </c>
      <c r="J459" s="8">
        <v>891042</v>
      </c>
      <c r="K459" s="8">
        <v>1</v>
      </c>
      <c r="L459" s="8" t="s">
        <v>15</v>
      </c>
      <c r="M459" s="8" t="str">
        <f>IF(Titanic[[#This Row],[Sobrevive]]=1, "SOBREVIVE", "NO SOBREVIVE")</f>
        <v>SOBREVIVE</v>
      </c>
      <c r="N459" s="8" t="str">
        <f>LOOKUP(Titanic[[#This Row],[Clase]],{1,2,3}, {"PRIMERA","SEGUNDA","TERCERA"})</f>
        <v>PRIMERA</v>
      </c>
      <c r="O459" s="8" t="str">
        <f>IF(Titanic[[#This Row],[Sexo]]="Hombre", "HOMBRE", "MUJER")</f>
        <v>HOMBRE</v>
      </c>
      <c r="P459" s="8">
        <f>IF(Titanic[[#This Row],[Edad]]="", "", IF(Titanic[[#This Row],[Edad]]&gt;=100, Titanic[[#This Row],[Edad]] / 10, Titanic[[#This Row],[Edad]]))</f>
        <v>49</v>
      </c>
      <c r="Q459" s="8" t="str">
        <f>IFERROR(LOOKUP(Titanic[[#This Row],[Edad Corrigida]],'Práctica 1'!$K$231:$K$240,'Práctica 1'!$L$231:$L$240), "DESCONOCIDO")</f>
        <v>8. ADULTO 3</v>
      </c>
      <c r="R459" s="8">
        <f>Titanic[[#This Row],[Familia Horizontal]]+Titanic[[#This Row],[Familia Vertical]]</f>
        <v>1</v>
      </c>
      <c r="S459" s="8"/>
      <c r="T459" s="8"/>
      <c r="U459" s="8"/>
      <c r="V459" s="8"/>
    </row>
    <row r="460" spans="2:22" x14ac:dyDescent="0.2">
      <c r="B460" s="6">
        <v>455</v>
      </c>
      <c r="C460" s="7">
        <v>0</v>
      </c>
      <c r="D460" s="8">
        <v>3</v>
      </c>
      <c r="E460" s="8" t="s">
        <v>469</v>
      </c>
      <c r="F460" s="8" t="s">
        <v>11</v>
      </c>
      <c r="G460" s="9"/>
      <c r="H460" s="8">
        <v>0</v>
      </c>
      <c r="I460" s="8">
        <v>0</v>
      </c>
      <c r="J460" s="8">
        <v>805</v>
      </c>
      <c r="K460" s="8">
        <v>0</v>
      </c>
      <c r="L460" s="8" t="s">
        <v>12</v>
      </c>
      <c r="M460" s="8" t="str">
        <f>IF(Titanic[[#This Row],[Sobrevive]]=1, "SOBREVIVE", "NO SOBREVIVE")</f>
        <v>NO SOBREVIVE</v>
      </c>
      <c r="N460" s="8" t="str">
        <f>LOOKUP(Titanic[[#This Row],[Clase]],{1,2,3}, {"PRIMERA","SEGUNDA","TERCERA"})</f>
        <v>TERCERA</v>
      </c>
      <c r="O460" s="8" t="str">
        <f>IF(Titanic[[#This Row],[Sexo]]="Hombre", "HOMBRE", "MUJER")</f>
        <v>HOMBRE</v>
      </c>
      <c r="P460" s="8" t="str">
        <f>IF(Titanic[[#This Row],[Edad]]="", "", IF(Titanic[[#This Row],[Edad]]&gt;=100, Titanic[[#This Row],[Edad]] / 10, Titanic[[#This Row],[Edad]]))</f>
        <v/>
      </c>
      <c r="Q460" s="8" t="str">
        <f>IFERROR(LOOKUP(Titanic[[#This Row],[Edad Corrigida]],'Práctica 1'!$K$231:$K$240,'Práctica 1'!$L$231:$L$240), "DESCONOCIDO")</f>
        <v>DESCONOCIDO</v>
      </c>
      <c r="R460" s="8">
        <f>Titanic[[#This Row],[Familia Horizontal]]+Titanic[[#This Row],[Familia Vertical]]</f>
        <v>0</v>
      </c>
      <c r="S460" s="8"/>
      <c r="T460" s="8"/>
      <c r="U460" s="8"/>
      <c r="V460" s="8"/>
    </row>
    <row r="461" spans="2:22" x14ac:dyDescent="0.2">
      <c r="B461" s="6">
        <v>456</v>
      </c>
      <c r="C461" s="7">
        <v>1</v>
      </c>
      <c r="D461" s="8">
        <v>3</v>
      </c>
      <c r="E461" s="8" t="s">
        <v>470</v>
      </c>
      <c r="F461" s="8" t="s">
        <v>11</v>
      </c>
      <c r="G461" s="8">
        <v>29</v>
      </c>
      <c r="H461" s="8">
        <v>0</v>
      </c>
      <c r="I461" s="8">
        <v>0</v>
      </c>
      <c r="J461" s="8">
        <v>78958</v>
      </c>
      <c r="K461" s="8">
        <v>0</v>
      </c>
      <c r="L461" s="8" t="s">
        <v>15</v>
      </c>
      <c r="M461" s="8" t="str">
        <f>IF(Titanic[[#This Row],[Sobrevive]]=1, "SOBREVIVE", "NO SOBREVIVE")</f>
        <v>SOBREVIVE</v>
      </c>
      <c r="N461" s="8" t="str">
        <f>LOOKUP(Titanic[[#This Row],[Clase]],{1,2,3}, {"PRIMERA","SEGUNDA","TERCERA"})</f>
        <v>TERCERA</v>
      </c>
      <c r="O461" s="8" t="str">
        <f>IF(Titanic[[#This Row],[Sexo]]="Hombre", "HOMBRE", "MUJER")</f>
        <v>HOMBRE</v>
      </c>
      <c r="P461" s="8">
        <f>IF(Titanic[[#This Row],[Edad]]="", "", IF(Titanic[[#This Row],[Edad]]&gt;=100, Titanic[[#This Row],[Edad]] / 10, Titanic[[#This Row],[Edad]]))</f>
        <v>29</v>
      </c>
      <c r="Q461" s="8" t="str">
        <f>IFERROR(LOOKUP(Titanic[[#This Row],[Edad Corrigida]],'Práctica 1'!$K$231:$K$240,'Práctica 1'!$L$231:$L$240), "DESCONOCIDO")</f>
        <v>5. ADULTO</v>
      </c>
      <c r="R461" s="8">
        <f>Titanic[[#This Row],[Familia Horizontal]]+Titanic[[#This Row],[Familia Vertical]]</f>
        <v>0</v>
      </c>
      <c r="S461" s="8"/>
      <c r="T461" s="8"/>
      <c r="U461" s="8"/>
      <c r="V461" s="8"/>
    </row>
    <row r="462" spans="2:22" x14ac:dyDescent="0.2">
      <c r="B462" s="6">
        <v>457</v>
      </c>
      <c r="C462" s="7">
        <v>0</v>
      </c>
      <c r="D462" s="8">
        <v>1</v>
      </c>
      <c r="E462" s="8" t="s">
        <v>471</v>
      </c>
      <c r="F462" s="8" t="s">
        <v>11</v>
      </c>
      <c r="G462" s="8">
        <v>65</v>
      </c>
      <c r="H462" s="8">
        <v>0</v>
      </c>
      <c r="I462" s="8">
        <v>0</v>
      </c>
      <c r="J462" s="8">
        <v>2655</v>
      </c>
      <c r="K462" s="8">
        <v>1</v>
      </c>
      <c r="L462" s="8" t="s">
        <v>12</v>
      </c>
      <c r="M462" s="8" t="str">
        <f>IF(Titanic[[#This Row],[Sobrevive]]=1, "SOBREVIVE", "NO SOBREVIVE")</f>
        <v>NO SOBREVIVE</v>
      </c>
      <c r="N462" s="8" t="str">
        <f>LOOKUP(Titanic[[#This Row],[Clase]],{1,2,3}, {"PRIMERA","SEGUNDA","TERCERA"})</f>
        <v>PRIMERA</v>
      </c>
      <c r="O462" s="8" t="str">
        <f>IF(Titanic[[#This Row],[Sexo]]="Hombre", "HOMBRE", "MUJER")</f>
        <v>HOMBRE</v>
      </c>
      <c r="P462" s="8">
        <f>IF(Titanic[[#This Row],[Edad]]="", "", IF(Titanic[[#This Row],[Edad]]&gt;=100, Titanic[[#This Row],[Edad]] / 10, Titanic[[#This Row],[Edad]]))</f>
        <v>65</v>
      </c>
      <c r="Q462" s="8" t="str">
        <f>IFERROR(LOOKUP(Titanic[[#This Row],[Edad Corrigida]],'Práctica 1'!$K$231:$K$240,'Práctica 1'!$L$231:$L$240), "DESCONOCIDO")</f>
        <v>9. ADULTO 4</v>
      </c>
      <c r="R462" s="8">
        <f>Titanic[[#This Row],[Familia Horizontal]]+Titanic[[#This Row],[Familia Vertical]]</f>
        <v>0</v>
      </c>
      <c r="S462" s="8"/>
      <c r="T462" s="8"/>
      <c r="U462" s="8"/>
      <c r="V462" s="8"/>
    </row>
    <row r="463" spans="2:22" x14ac:dyDescent="0.2">
      <c r="B463" s="6">
        <v>458</v>
      </c>
      <c r="C463" s="7">
        <v>1</v>
      </c>
      <c r="D463" s="8">
        <v>1</v>
      </c>
      <c r="E463" s="8" t="s">
        <v>472</v>
      </c>
      <c r="F463" s="8" t="s">
        <v>14</v>
      </c>
      <c r="G463" s="9"/>
      <c r="H463" s="8">
        <v>1</v>
      </c>
      <c r="I463" s="8">
        <v>0</v>
      </c>
      <c r="J463" s="8">
        <v>518625</v>
      </c>
      <c r="K463" s="8">
        <v>1</v>
      </c>
      <c r="L463" s="8" t="s">
        <v>12</v>
      </c>
      <c r="M463" s="8" t="str">
        <f>IF(Titanic[[#This Row],[Sobrevive]]=1, "SOBREVIVE", "NO SOBREVIVE")</f>
        <v>SOBREVIVE</v>
      </c>
      <c r="N463" s="8" t="str">
        <f>LOOKUP(Titanic[[#This Row],[Clase]],{1,2,3}, {"PRIMERA","SEGUNDA","TERCERA"})</f>
        <v>PRIMERA</v>
      </c>
      <c r="O463" s="8" t="str">
        <f>IF(Titanic[[#This Row],[Sexo]]="Hombre", "HOMBRE", "MUJER")</f>
        <v>MUJER</v>
      </c>
      <c r="P463" s="8" t="str">
        <f>IF(Titanic[[#This Row],[Edad]]="", "", IF(Titanic[[#This Row],[Edad]]&gt;=100, Titanic[[#This Row],[Edad]] / 10, Titanic[[#This Row],[Edad]]))</f>
        <v/>
      </c>
      <c r="Q463" s="8" t="str">
        <f>IFERROR(LOOKUP(Titanic[[#This Row],[Edad Corrigida]],'Práctica 1'!$K$231:$K$240,'Práctica 1'!$L$231:$L$240), "DESCONOCIDO")</f>
        <v>DESCONOCIDO</v>
      </c>
      <c r="R463" s="8">
        <f>Titanic[[#This Row],[Familia Horizontal]]+Titanic[[#This Row],[Familia Vertical]]</f>
        <v>1</v>
      </c>
      <c r="S463" s="8"/>
      <c r="T463" s="8"/>
      <c r="U463" s="8"/>
      <c r="V463" s="8"/>
    </row>
    <row r="464" spans="2:22" x14ac:dyDescent="0.2">
      <c r="B464" s="6">
        <v>459</v>
      </c>
      <c r="C464" s="7">
        <v>1</v>
      </c>
      <c r="D464" s="8">
        <v>2</v>
      </c>
      <c r="E464" s="8" t="s">
        <v>473</v>
      </c>
      <c r="F464" s="8" t="s">
        <v>14</v>
      </c>
      <c r="G464" s="8">
        <v>50</v>
      </c>
      <c r="H464" s="8">
        <v>0</v>
      </c>
      <c r="I464" s="8">
        <v>0</v>
      </c>
      <c r="J464" s="8">
        <v>105</v>
      </c>
      <c r="K464" s="8">
        <v>0</v>
      </c>
      <c r="L464" s="8" t="s">
        <v>12</v>
      </c>
      <c r="M464" s="8" t="str">
        <f>IF(Titanic[[#This Row],[Sobrevive]]=1, "SOBREVIVE", "NO SOBREVIVE")</f>
        <v>SOBREVIVE</v>
      </c>
      <c r="N464" s="8" t="str">
        <f>LOOKUP(Titanic[[#This Row],[Clase]],{1,2,3}, {"PRIMERA","SEGUNDA","TERCERA"})</f>
        <v>SEGUNDA</v>
      </c>
      <c r="O464" s="8" t="str">
        <f>IF(Titanic[[#This Row],[Sexo]]="Hombre", "HOMBRE", "MUJER")</f>
        <v>MUJER</v>
      </c>
      <c r="P464" s="8">
        <f>IF(Titanic[[#This Row],[Edad]]="", "", IF(Titanic[[#This Row],[Edad]]&gt;=100, Titanic[[#This Row],[Edad]] / 10, Titanic[[#This Row],[Edad]]))</f>
        <v>50</v>
      </c>
      <c r="Q464" s="8" t="str">
        <f>IFERROR(LOOKUP(Titanic[[#This Row],[Edad Corrigida]],'Práctica 1'!$K$231:$K$240,'Práctica 1'!$L$231:$L$240), "DESCONOCIDO")</f>
        <v>9. ADULTO 4</v>
      </c>
      <c r="R464" s="8">
        <f>Titanic[[#This Row],[Familia Horizontal]]+Titanic[[#This Row],[Familia Vertical]]</f>
        <v>0</v>
      </c>
      <c r="S464" s="8"/>
      <c r="T464" s="8"/>
      <c r="U464" s="8"/>
      <c r="V464" s="8"/>
    </row>
    <row r="465" spans="2:22" x14ac:dyDescent="0.2">
      <c r="B465" s="6">
        <v>460</v>
      </c>
      <c r="C465" s="7">
        <v>0</v>
      </c>
      <c r="D465" s="8">
        <v>3</v>
      </c>
      <c r="E465" s="8" t="s">
        <v>474</v>
      </c>
      <c r="F465" s="8" t="s">
        <v>11</v>
      </c>
      <c r="G465" s="9"/>
      <c r="H465" s="8">
        <v>0</v>
      </c>
      <c r="I465" s="8">
        <v>0</v>
      </c>
      <c r="J465" s="8">
        <v>775</v>
      </c>
      <c r="K465" s="8">
        <v>0</v>
      </c>
      <c r="L465" s="8" t="s">
        <v>20</v>
      </c>
      <c r="M465" s="8" t="str">
        <f>IF(Titanic[[#This Row],[Sobrevive]]=1, "SOBREVIVE", "NO SOBREVIVE")</f>
        <v>NO SOBREVIVE</v>
      </c>
      <c r="N465" s="8" t="str">
        <f>LOOKUP(Titanic[[#This Row],[Clase]],{1,2,3}, {"PRIMERA","SEGUNDA","TERCERA"})</f>
        <v>TERCERA</v>
      </c>
      <c r="O465" s="8" t="str">
        <f>IF(Titanic[[#This Row],[Sexo]]="Hombre", "HOMBRE", "MUJER")</f>
        <v>HOMBRE</v>
      </c>
      <c r="P465" s="8" t="str">
        <f>IF(Titanic[[#This Row],[Edad]]="", "", IF(Titanic[[#This Row],[Edad]]&gt;=100, Titanic[[#This Row],[Edad]] / 10, Titanic[[#This Row],[Edad]]))</f>
        <v/>
      </c>
      <c r="Q465" s="8" t="str">
        <f>IFERROR(LOOKUP(Titanic[[#This Row],[Edad Corrigida]],'Práctica 1'!$K$231:$K$240,'Práctica 1'!$L$231:$L$240), "DESCONOCIDO")</f>
        <v>DESCONOCIDO</v>
      </c>
      <c r="R465" s="8">
        <f>Titanic[[#This Row],[Familia Horizontal]]+Titanic[[#This Row],[Familia Vertical]]</f>
        <v>0</v>
      </c>
      <c r="S465" s="8"/>
      <c r="T465" s="8"/>
      <c r="U465" s="8"/>
      <c r="V465" s="8"/>
    </row>
    <row r="466" spans="2:22" x14ac:dyDescent="0.2">
      <c r="B466" s="6">
        <v>461</v>
      </c>
      <c r="C466" s="7">
        <v>1</v>
      </c>
      <c r="D466" s="8">
        <v>1</v>
      </c>
      <c r="E466" s="8" t="s">
        <v>475</v>
      </c>
      <c r="F466" s="8" t="s">
        <v>11</v>
      </c>
      <c r="G466" s="8">
        <v>48</v>
      </c>
      <c r="H466" s="8">
        <v>0</v>
      </c>
      <c r="I466" s="8">
        <v>0</v>
      </c>
      <c r="J466" s="8">
        <v>2655</v>
      </c>
      <c r="K466" s="8">
        <v>1</v>
      </c>
      <c r="L466" s="8" t="s">
        <v>12</v>
      </c>
      <c r="M466" s="8" t="str">
        <f>IF(Titanic[[#This Row],[Sobrevive]]=1, "SOBREVIVE", "NO SOBREVIVE")</f>
        <v>SOBREVIVE</v>
      </c>
      <c r="N466" s="8" t="str">
        <f>LOOKUP(Titanic[[#This Row],[Clase]],{1,2,3}, {"PRIMERA","SEGUNDA","TERCERA"})</f>
        <v>PRIMERA</v>
      </c>
      <c r="O466" s="8" t="str">
        <f>IF(Titanic[[#This Row],[Sexo]]="Hombre", "HOMBRE", "MUJER")</f>
        <v>HOMBRE</v>
      </c>
      <c r="P466" s="8">
        <f>IF(Titanic[[#This Row],[Edad]]="", "", IF(Titanic[[#This Row],[Edad]]&gt;=100, Titanic[[#This Row],[Edad]] / 10, Titanic[[#This Row],[Edad]]))</f>
        <v>48</v>
      </c>
      <c r="Q466" s="8" t="str">
        <f>IFERROR(LOOKUP(Titanic[[#This Row],[Edad Corrigida]],'Práctica 1'!$K$231:$K$240,'Práctica 1'!$L$231:$L$240), "DESCONOCIDO")</f>
        <v>8. ADULTO 3</v>
      </c>
      <c r="R466" s="8">
        <f>Titanic[[#This Row],[Familia Horizontal]]+Titanic[[#This Row],[Familia Vertical]]</f>
        <v>0</v>
      </c>
      <c r="S466" s="8"/>
      <c r="T466" s="8"/>
      <c r="U466" s="8"/>
      <c r="V466" s="8"/>
    </row>
    <row r="467" spans="2:22" x14ac:dyDescent="0.2">
      <c r="B467" s="6">
        <v>462</v>
      </c>
      <c r="C467" s="7">
        <v>0</v>
      </c>
      <c r="D467" s="8">
        <v>3</v>
      </c>
      <c r="E467" s="8" t="s">
        <v>476</v>
      </c>
      <c r="F467" s="8" t="s">
        <v>11</v>
      </c>
      <c r="G467" s="8">
        <v>34</v>
      </c>
      <c r="H467" s="8">
        <v>0</v>
      </c>
      <c r="I467" s="8">
        <v>0</v>
      </c>
      <c r="J467" s="8">
        <v>805</v>
      </c>
      <c r="K467" s="8">
        <v>0</v>
      </c>
      <c r="L467" s="8" t="s">
        <v>12</v>
      </c>
      <c r="M467" s="8" t="str">
        <f>IF(Titanic[[#This Row],[Sobrevive]]=1, "SOBREVIVE", "NO SOBREVIVE")</f>
        <v>NO SOBREVIVE</v>
      </c>
      <c r="N467" s="8" t="str">
        <f>LOOKUP(Titanic[[#This Row],[Clase]],{1,2,3}, {"PRIMERA","SEGUNDA","TERCERA"})</f>
        <v>TERCERA</v>
      </c>
      <c r="O467" s="8" t="str">
        <f>IF(Titanic[[#This Row],[Sexo]]="Hombre", "HOMBRE", "MUJER")</f>
        <v>HOMBRE</v>
      </c>
      <c r="P467" s="8">
        <f>IF(Titanic[[#This Row],[Edad]]="", "", IF(Titanic[[#This Row],[Edad]]&gt;=100, Titanic[[#This Row],[Edad]] / 10, Titanic[[#This Row],[Edad]]))</f>
        <v>34</v>
      </c>
      <c r="Q467" s="8" t="str">
        <f>IFERROR(LOOKUP(Titanic[[#This Row],[Edad Corrigida]],'Práctica 1'!$K$231:$K$240,'Práctica 1'!$L$231:$L$240), "DESCONOCIDO")</f>
        <v>6. ADULTO 1</v>
      </c>
      <c r="R467" s="8">
        <f>Titanic[[#This Row],[Familia Horizontal]]+Titanic[[#This Row],[Familia Vertical]]</f>
        <v>0</v>
      </c>
      <c r="S467" s="8"/>
      <c r="T467" s="8"/>
      <c r="U467" s="8"/>
      <c r="V467" s="8"/>
    </row>
    <row r="468" spans="2:22" x14ac:dyDescent="0.2">
      <c r="B468" s="6">
        <v>463</v>
      </c>
      <c r="C468" s="7">
        <v>0</v>
      </c>
      <c r="D468" s="8">
        <v>1</v>
      </c>
      <c r="E468" s="8" t="s">
        <v>477</v>
      </c>
      <c r="F468" s="8" t="s">
        <v>11</v>
      </c>
      <c r="G468" s="8">
        <v>47</v>
      </c>
      <c r="H468" s="8">
        <v>0</v>
      </c>
      <c r="I468" s="8">
        <v>0</v>
      </c>
      <c r="J468" s="8">
        <v>385</v>
      </c>
      <c r="K468" s="8">
        <v>1</v>
      </c>
      <c r="L468" s="8" t="s">
        <v>12</v>
      </c>
      <c r="M468" s="8" t="str">
        <f>IF(Titanic[[#This Row],[Sobrevive]]=1, "SOBREVIVE", "NO SOBREVIVE")</f>
        <v>NO SOBREVIVE</v>
      </c>
      <c r="N468" s="8" t="str">
        <f>LOOKUP(Titanic[[#This Row],[Clase]],{1,2,3}, {"PRIMERA","SEGUNDA","TERCERA"})</f>
        <v>PRIMERA</v>
      </c>
      <c r="O468" s="8" t="str">
        <f>IF(Titanic[[#This Row],[Sexo]]="Hombre", "HOMBRE", "MUJER")</f>
        <v>HOMBRE</v>
      </c>
      <c r="P468" s="8">
        <f>IF(Titanic[[#This Row],[Edad]]="", "", IF(Titanic[[#This Row],[Edad]]&gt;=100, Titanic[[#This Row],[Edad]] / 10, Titanic[[#This Row],[Edad]]))</f>
        <v>47</v>
      </c>
      <c r="Q468" s="8" t="str">
        <f>IFERROR(LOOKUP(Titanic[[#This Row],[Edad Corrigida]],'Práctica 1'!$K$231:$K$240,'Práctica 1'!$L$231:$L$240), "DESCONOCIDO")</f>
        <v>8. ADULTO 3</v>
      </c>
      <c r="R468" s="8">
        <f>Titanic[[#This Row],[Familia Horizontal]]+Titanic[[#This Row],[Familia Vertical]]</f>
        <v>0</v>
      </c>
      <c r="S468" s="8"/>
      <c r="T468" s="8"/>
      <c r="U468" s="8"/>
      <c r="V468" s="8"/>
    </row>
    <row r="469" spans="2:22" x14ac:dyDescent="0.2">
      <c r="B469" s="6">
        <v>464</v>
      </c>
      <c r="C469" s="7">
        <v>0</v>
      </c>
      <c r="D469" s="8">
        <v>2</v>
      </c>
      <c r="E469" s="8" t="s">
        <v>478</v>
      </c>
      <c r="F469" s="8" t="s">
        <v>11</v>
      </c>
      <c r="G469" s="8">
        <v>48</v>
      </c>
      <c r="H469" s="8">
        <v>0</v>
      </c>
      <c r="I469" s="8">
        <v>0</v>
      </c>
      <c r="J469" s="8">
        <v>13</v>
      </c>
      <c r="K469" s="8">
        <v>0</v>
      </c>
      <c r="L469" s="8" t="s">
        <v>12</v>
      </c>
      <c r="M469" s="8" t="str">
        <f>IF(Titanic[[#This Row],[Sobrevive]]=1, "SOBREVIVE", "NO SOBREVIVE")</f>
        <v>NO SOBREVIVE</v>
      </c>
      <c r="N469" s="8" t="str">
        <f>LOOKUP(Titanic[[#This Row],[Clase]],{1,2,3}, {"PRIMERA","SEGUNDA","TERCERA"})</f>
        <v>SEGUNDA</v>
      </c>
      <c r="O469" s="8" t="str">
        <f>IF(Titanic[[#This Row],[Sexo]]="Hombre", "HOMBRE", "MUJER")</f>
        <v>HOMBRE</v>
      </c>
      <c r="P469" s="8">
        <f>IF(Titanic[[#This Row],[Edad]]="", "", IF(Titanic[[#This Row],[Edad]]&gt;=100, Titanic[[#This Row],[Edad]] / 10, Titanic[[#This Row],[Edad]]))</f>
        <v>48</v>
      </c>
      <c r="Q469" s="8" t="str">
        <f>IFERROR(LOOKUP(Titanic[[#This Row],[Edad Corrigida]],'Práctica 1'!$K$231:$K$240,'Práctica 1'!$L$231:$L$240), "DESCONOCIDO")</f>
        <v>8. ADULTO 3</v>
      </c>
      <c r="R469" s="8">
        <f>Titanic[[#This Row],[Familia Horizontal]]+Titanic[[#This Row],[Familia Vertical]]</f>
        <v>0</v>
      </c>
      <c r="S469" s="8"/>
      <c r="T469" s="8"/>
      <c r="U469" s="8"/>
      <c r="V469" s="8"/>
    </row>
    <row r="470" spans="2:22" x14ac:dyDescent="0.2">
      <c r="B470" s="6">
        <v>465</v>
      </c>
      <c r="C470" s="7">
        <v>0</v>
      </c>
      <c r="D470" s="8">
        <v>3</v>
      </c>
      <c r="E470" s="8" t="s">
        <v>479</v>
      </c>
      <c r="F470" s="8" t="s">
        <v>11</v>
      </c>
      <c r="G470" s="9"/>
      <c r="H470" s="8">
        <v>0</v>
      </c>
      <c r="I470" s="8">
        <v>0</v>
      </c>
      <c r="J470" s="8">
        <v>805</v>
      </c>
      <c r="K470" s="8">
        <v>0</v>
      </c>
      <c r="L470" s="8" t="s">
        <v>12</v>
      </c>
      <c r="M470" s="8" t="str">
        <f>IF(Titanic[[#This Row],[Sobrevive]]=1, "SOBREVIVE", "NO SOBREVIVE")</f>
        <v>NO SOBREVIVE</v>
      </c>
      <c r="N470" s="8" t="str">
        <f>LOOKUP(Titanic[[#This Row],[Clase]],{1,2,3}, {"PRIMERA","SEGUNDA","TERCERA"})</f>
        <v>TERCERA</v>
      </c>
      <c r="O470" s="8" t="str">
        <f>IF(Titanic[[#This Row],[Sexo]]="Hombre", "HOMBRE", "MUJER")</f>
        <v>HOMBRE</v>
      </c>
      <c r="P470" s="8" t="str">
        <f>IF(Titanic[[#This Row],[Edad]]="", "", IF(Titanic[[#This Row],[Edad]]&gt;=100, Titanic[[#This Row],[Edad]] / 10, Titanic[[#This Row],[Edad]]))</f>
        <v/>
      </c>
      <c r="Q470" s="8" t="str">
        <f>IFERROR(LOOKUP(Titanic[[#This Row],[Edad Corrigida]],'Práctica 1'!$K$231:$K$240,'Práctica 1'!$L$231:$L$240), "DESCONOCIDO")</f>
        <v>DESCONOCIDO</v>
      </c>
      <c r="R470" s="8">
        <f>Titanic[[#This Row],[Familia Horizontal]]+Titanic[[#This Row],[Familia Vertical]]</f>
        <v>0</v>
      </c>
      <c r="S470" s="8"/>
      <c r="T470" s="8"/>
      <c r="U470" s="8"/>
      <c r="V470" s="8"/>
    </row>
    <row r="471" spans="2:22" x14ac:dyDescent="0.2">
      <c r="B471" s="6">
        <v>466</v>
      </c>
      <c r="C471" s="7">
        <v>0</v>
      </c>
      <c r="D471" s="8">
        <v>3</v>
      </c>
      <c r="E471" s="8" t="s">
        <v>480</v>
      </c>
      <c r="F471" s="8" t="s">
        <v>11</v>
      </c>
      <c r="G471" s="8">
        <v>38</v>
      </c>
      <c r="H471" s="8">
        <v>0</v>
      </c>
      <c r="I471" s="8">
        <v>0</v>
      </c>
      <c r="J471" s="8">
        <v>705</v>
      </c>
      <c r="K471" s="8">
        <v>0</v>
      </c>
      <c r="L471" s="8" t="s">
        <v>12</v>
      </c>
      <c r="M471" s="8" t="str">
        <f>IF(Titanic[[#This Row],[Sobrevive]]=1, "SOBREVIVE", "NO SOBREVIVE")</f>
        <v>NO SOBREVIVE</v>
      </c>
      <c r="N471" s="8" t="str">
        <f>LOOKUP(Titanic[[#This Row],[Clase]],{1,2,3}, {"PRIMERA","SEGUNDA","TERCERA"})</f>
        <v>TERCERA</v>
      </c>
      <c r="O471" s="8" t="str">
        <f>IF(Titanic[[#This Row],[Sexo]]="Hombre", "HOMBRE", "MUJER")</f>
        <v>HOMBRE</v>
      </c>
      <c r="P471" s="8">
        <f>IF(Titanic[[#This Row],[Edad]]="", "", IF(Titanic[[#This Row],[Edad]]&gt;=100, Titanic[[#This Row],[Edad]] / 10, Titanic[[#This Row],[Edad]]))</f>
        <v>38</v>
      </c>
      <c r="Q471" s="8" t="str">
        <f>IFERROR(LOOKUP(Titanic[[#This Row],[Edad Corrigida]],'Práctica 1'!$K$231:$K$240,'Práctica 1'!$L$231:$L$240), "DESCONOCIDO")</f>
        <v>7. ADULTO 2</v>
      </c>
      <c r="R471" s="8">
        <f>Titanic[[#This Row],[Familia Horizontal]]+Titanic[[#This Row],[Familia Vertical]]</f>
        <v>0</v>
      </c>
      <c r="S471" s="8"/>
      <c r="T471" s="8"/>
      <c r="U471" s="8"/>
      <c r="V471" s="8"/>
    </row>
    <row r="472" spans="2:22" x14ac:dyDescent="0.2">
      <c r="B472" s="6">
        <v>467</v>
      </c>
      <c r="C472" s="7">
        <v>0</v>
      </c>
      <c r="D472" s="8">
        <v>2</v>
      </c>
      <c r="E472" s="8" t="s">
        <v>481</v>
      </c>
      <c r="F472" s="8" t="s">
        <v>11</v>
      </c>
      <c r="G472" s="9"/>
      <c r="H472" s="8">
        <v>0</v>
      </c>
      <c r="I472" s="8">
        <v>0</v>
      </c>
      <c r="J472" s="8">
        <v>0</v>
      </c>
      <c r="K472" s="8">
        <v>0</v>
      </c>
      <c r="L472" s="8" t="s">
        <v>12</v>
      </c>
      <c r="M472" s="8" t="str">
        <f>IF(Titanic[[#This Row],[Sobrevive]]=1, "SOBREVIVE", "NO SOBREVIVE")</f>
        <v>NO SOBREVIVE</v>
      </c>
      <c r="N472" s="8" t="str">
        <f>LOOKUP(Titanic[[#This Row],[Clase]],{1,2,3}, {"PRIMERA","SEGUNDA","TERCERA"})</f>
        <v>SEGUNDA</v>
      </c>
      <c r="O472" s="8" t="str">
        <f>IF(Titanic[[#This Row],[Sexo]]="Hombre", "HOMBRE", "MUJER")</f>
        <v>HOMBRE</v>
      </c>
      <c r="P472" s="8" t="str">
        <f>IF(Titanic[[#This Row],[Edad]]="", "", IF(Titanic[[#This Row],[Edad]]&gt;=100, Titanic[[#This Row],[Edad]] / 10, Titanic[[#This Row],[Edad]]))</f>
        <v/>
      </c>
      <c r="Q472" s="8" t="str">
        <f>IFERROR(LOOKUP(Titanic[[#This Row],[Edad Corrigida]],'Práctica 1'!$K$231:$K$240,'Práctica 1'!$L$231:$L$240), "DESCONOCIDO")</f>
        <v>DESCONOCIDO</v>
      </c>
      <c r="R472" s="8">
        <f>Titanic[[#This Row],[Familia Horizontal]]+Titanic[[#This Row],[Familia Vertical]]</f>
        <v>0</v>
      </c>
      <c r="S472" s="8"/>
      <c r="T472" s="8"/>
      <c r="U472" s="8"/>
      <c r="V472" s="8"/>
    </row>
    <row r="473" spans="2:22" x14ac:dyDescent="0.2">
      <c r="B473" s="6">
        <v>468</v>
      </c>
      <c r="C473" s="7">
        <v>0</v>
      </c>
      <c r="D473" s="8">
        <v>1</v>
      </c>
      <c r="E473" s="8" t="s">
        <v>482</v>
      </c>
      <c r="F473" s="8" t="s">
        <v>11</v>
      </c>
      <c r="G473" s="8">
        <v>56</v>
      </c>
      <c r="H473" s="8">
        <v>0</v>
      </c>
      <c r="I473" s="8">
        <v>0</v>
      </c>
      <c r="J473" s="8">
        <v>2655</v>
      </c>
      <c r="K473" s="8">
        <v>0</v>
      </c>
      <c r="L473" s="8" t="s">
        <v>12</v>
      </c>
      <c r="M473" s="8" t="str">
        <f>IF(Titanic[[#This Row],[Sobrevive]]=1, "SOBREVIVE", "NO SOBREVIVE")</f>
        <v>NO SOBREVIVE</v>
      </c>
      <c r="N473" s="8" t="str">
        <f>LOOKUP(Titanic[[#This Row],[Clase]],{1,2,3}, {"PRIMERA","SEGUNDA","TERCERA"})</f>
        <v>PRIMERA</v>
      </c>
      <c r="O473" s="8" t="str">
        <f>IF(Titanic[[#This Row],[Sexo]]="Hombre", "HOMBRE", "MUJER")</f>
        <v>HOMBRE</v>
      </c>
      <c r="P473" s="8">
        <f>IF(Titanic[[#This Row],[Edad]]="", "", IF(Titanic[[#This Row],[Edad]]&gt;=100, Titanic[[#This Row],[Edad]] / 10, Titanic[[#This Row],[Edad]]))</f>
        <v>56</v>
      </c>
      <c r="Q473" s="8" t="str">
        <f>IFERROR(LOOKUP(Titanic[[#This Row],[Edad Corrigida]],'Práctica 1'!$K$231:$K$240,'Práctica 1'!$L$231:$L$240), "DESCONOCIDO")</f>
        <v>9. ADULTO 4</v>
      </c>
      <c r="R473" s="8">
        <f>Titanic[[#This Row],[Familia Horizontal]]+Titanic[[#This Row],[Familia Vertical]]</f>
        <v>0</v>
      </c>
      <c r="S473" s="8"/>
      <c r="T473" s="8"/>
      <c r="U473" s="8"/>
      <c r="V473" s="8"/>
    </row>
    <row r="474" spans="2:22" x14ac:dyDescent="0.2">
      <c r="B474" s="6">
        <v>469</v>
      </c>
      <c r="C474" s="7">
        <v>0</v>
      </c>
      <c r="D474" s="8">
        <v>3</v>
      </c>
      <c r="E474" s="8" t="s">
        <v>483</v>
      </c>
      <c r="F474" s="8" t="s">
        <v>11</v>
      </c>
      <c r="G474" s="9"/>
      <c r="H474" s="8">
        <v>0</v>
      </c>
      <c r="I474" s="8">
        <v>0</v>
      </c>
      <c r="J474" s="8">
        <v>7725</v>
      </c>
      <c r="K474" s="8">
        <v>0</v>
      </c>
      <c r="L474" s="8" t="s">
        <v>20</v>
      </c>
      <c r="M474" s="8" t="str">
        <f>IF(Titanic[[#This Row],[Sobrevive]]=1, "SOBREVIVE", "NO SOBREVIVE")</f>
        <v>NO SOBREVIVE</v>
      </c>
      <c r="N474" s="8" t="str">
        <f>LOOKUP(Titanic[[#This Row],[Clase]],{1,2,3}, {"PRIMERA","SEGUNDA","TERCERA"})</f>
        <v>TERCERA</v>
      </c>
      <c r="O474" s="8" t="str">
        <f>IF(Titanic[[#This Row],[Sexo]]="Hombre", "HOMBRE", "MUJER")</f>
        <v>HOMBRE</v>
      </c>
      <c r="P474" s="8" t="str">
        <f>IF(Titanic[[#This Row],[Edad]]="", "", IF(Titanic[[#This Row],[Edad]]&gt;=100, Titanic[[#This Row],[Edad]] / 10, Titanic[[#This Row],[Edad]]))</f>
        <v/>
      </c>
      <c r="Q474" s="8" t="str">
        <f>IFERROR(LOOKUP(Titanic[[#This Row],[Edad Corrigida]],'Práctica 1'!$K$231:$K$240,'Práctica 1'!$L$231:$L$240), "DESCONOCIDO")</f>
        <v>DESCONOCIDO</v>
      </c>
      <c r="R474" s="8">
        <f>Titanic[[#This Row],[Familia Horizontal]]+Titanic[[#This Row],[Familia Vertical]]</f>
        <v>0</v>
      </c>
      <c r="S474" s="8"/>
      <c r="T474" s="8"/>
      <c r="U474" s="8"/>
      <c r="V474" s="8"/>
    </row>
    <row r="475" spans="2:22" x14ac:dyDescent="0.2">
      <c r="B475" s="6">
        <v>470</v>
      </c>
      <c r="C475" s="7">
        <v>1</v>
      </c>
      <c r="D475" s="8">
        <v>3</v>
      </c>
      <c r="E475" s="8" t="s">
        <v>484</v>
      </c>
      <c r="F475" s="8" t="s">
        <v>14</v>
      </c>
      <c r="G475" s="8">
        <v>75</v>
      </c>
      <c r="H475" s="8">
        <v>2</v>
      </c>
      <c r="I475" s="8">
        <v>1</v>
      </c>
      <c r="J475" s="8">
        <v>192583</v>
      </c>
      <c r="K475" s="8">
        <v>0</v>
      </c>
      <c r="L475" s="8" t="s">
        <v>15</v>
      </c>
      <c r="M475" s="8" t="str">
        <f>IF(Titanic[[#This Row],[Sobrevive]]=1, "SOBREVIVE", "NO SOBREVIVE")</f>
        <v>SOBREVIVE</v>
      </c>
      <c r="N475" s="8" t="str">
        <f>LOOKUP(Titanic[[#This Row],[Clase]],{1,2,3}, {"PRIMERA","SEGUNDA","TERCERA"})</f>
        <v>TERCERA</v>
      </c>
      <c r="O475" s="8" t="str">
        <f>IF(Titanic[[#This Row],[Sexo]]="Hombre", "HOMBRE", "MUJER")</f>
        <v>MUJER</v>
      </c>
      <c r="P475" s="8">
        <f>IF(Titanic[[#This Row],[Edad]]="", "", IF(Titanic[[#This Row],[Edad]]&gt;=100, Titanic[[#This Row],[Edad]] / 10, Titanic[[#This Row],[Edad]]))</f>
        <v>75</v>
      </c>
      <c r="Q475" s="8" t="str">
        <f>IFERROR(LOOKUP(Titanic[[#This Row],[Edad Corrigida]],'Práctica 1'!$K$231:$K$240,'Práctica 1'!$L$231:$L$240), "DESCONOCIDO")</f>
        <v>9. ADULTO 4</v>
      </c>
      <c r="R475" s="8">
        <f>Titanic[[#This Row],[Familia Horizontal]]+Titanic[[#This Row],[Familia Vertical]]</f>
        <v>3</v>
      </c>
      <c r="S475" s="8"/>
      <c r="T475" s="8"/>
      <c r="U475" s="8"/>
      <c r="V475" s="8"/>
    </row>
    <row r="476" spans="2:22" x14ac:dyDescent="0.2">
      <c r="B476" s="6">
        <v>471</v>
      </c>
      <c r="C476" s="7">
        <v>0</v>
      </c>
      <c r="D476" s="8">
        <v>3</v>
      </c>
      <c r="E476" s="8" t="s">
        <v>485</v>
      </c>
      <c r="F476" s="8" t="s">
        <v>11</v>
      </c>
      <c r="G476" s="9"/>
      <c r="H476" s="8">
        <v>0</v>
      </c>
      <c r="I476" s="8">
        <v>0</v>
      </c>
      <c r="J476" s="8">
        <v>725</v>
      </c>
      <c r="K476" s="8">
        <v>0</v>
      </c>
      <c r="L476" s="8" t="s">
        <v>12</v>
      </c>
      <c r="M476" s="8" t="str">
        <f>IF(Titanic[[#This Row],[Sobrevive]]=1, "SOBREVIVE", "NO SOBREVIVE")</f>
        <v>NO SOBREVIVE</v>
      </c>
      <c r="N476" s="8" t="str">
        <f>LOOKUP(Titanic[[#This Row],[Clase]],{1,2,3}, {"PRIMERA","SEGUNDA","TERCERA"})</f>
        <v>TERCERA</v>
      </c>
      <c r="O476" s="8" t="str">
        <f>IF(Titanic[[#This Row],[Sexo]]="Hombre", "HOMBRE", "MUJER")</f>
        <v>HOMBRE</v>
      </c>
      <c r="P476" s="8" t="str">
        <f>IF(Titanic[[#This Row],[Edad]]="", "", IF(Titanic[[#This Row],[Edad]]&gt;=100, Titanic[[#This Row],[Edad]] / 10, Titanic[[#This Row],[Edad]]))</f>
        <v/>
      </c>
      <c r="Q476" s="8" t="str">
        <f>IFERROR(LOOKUP(Titanic[[#This Row],[Edad Corrigida]],'Práctica 1'!$K$231:$K$240,'Práctica 1'!$L$231:$L$240), "DESCONOCIDO")</f>
        <v>DESCONOCIDO</v>
      </c>
      <c r="R476" s="8">
        <f>Titanic[[#This Row],[Familia Horizontal]]+Titanic[[#This Row],[Familia Vertical]]</f>
        <v>0</v>
      </c>
      <c r="S476" s="8"/>
      <c r="T476" s="8"/>
      <c r="U476" s="8"/>
      <c r="V476" s="8"/>
    </row>
    <row r="477" spans="2:22" x14ac:dyDescent="0.2">
      <c r="B477" s="6">
        <v>472</v>
      </c>
      <c r="C477" s="7">
        <v>0</v>
      </c>
      <c r="D477" s="8">
        <v>3</v>
      </c>
      <c r="E477" s="8" t="s">
        <v>486</v>
      </c>
      <c r="F477" s="8" t="s">
        <v>11</v>
      </c>
      <c r="G477" s="8">
        <v>38</v>
      </c>
      <c r="H477" s="8">
        <v>0</v>
      </c>
      <c r="I477" s="8">
        <v>0</v>
      </c>
      <c r="J477" s="8">
        <v>86625</v>
      </c>
      <c r="K477" s="8">
        <v>0</v>
      </c>
      <c r="L477" s="8" t="s">
        <v>12</v>
      </c>
      <c r="M477" s="8" t="str">
        <f>IF(Titanic[[#This Row],[Sobrevive]]=1, "SOBREVIVE", "NO SOBREVIVE")</f>
        <v>NO SOBREVIVE</v>
      </c>
      <c r="N477" s="8" t="str">
        <f>LOOKUP(Titanic[[#This Row],[Clase]],{1,2,3}, {"PRIMERA","SEGUNDA","TERCERA"})</f>
        <v>TERCERA</v>
      </c>
      <c r="O477" s="8" t="str">
        <f>IF(Titanic[[#This Row],[Sexo]]="Hombre", "HOMBRE", "MUJER")</f>
        <v>HOMBRE</v>
      </c>
      <c r="P477" s="8">
        <f>IF(Titanic[[#This Row],[Edad]]="", "", IF(Titanic[[#This Row],[Edad]]&gt;=100, Titanic[[#This Row],[Edad]] / 10, Titanic[[#This Row],[Edad]]))</f>
        <v>38</v>
      </c>
      <c r="Q477" s="8" t="str">
        <f>IFERROR(LOOKUP(Titanic[[#This Row],[Edad Corrigida]],'Práctica 1'!$K$231:$K$240,'Práctica 1'!$L$231:$L$240), "DESCONOCIDO")</f>
        <v>7. ADULTO 2</v>
      </c>
      <c r="R477" s="8">
        <f>Titanic[[#This Row],[Familia Horizontal]]+Titanic[[#This Row],[Familia Vertical]]</f>
        <v>0</v>
      </c>
      <c r="S477" s="8"/>
      <c r="T477" s="8"/>
      <c r="U477" s="8"/>
      <c r="V477" s="8"/>
    </row>
    <row r="478" spans="2:22" x14ac:dyDescent="0.2">
      <c r="B478" s="6">
        <v>473</v>
      </c>
      <c r="C478" s="7">
        <v>1</v>
      </c>
      <c r="D478" s="8">
        <v>2</v>
      </c>
      <c r="E478" s="8" t="s">
        <v>487</v>
      </c>
      <c r="F478" s="8" t="s">
        <v>14</v>
      </c>
      <c r="G478" s="8">
        <v>33</v>
      </c>
      <c r="H478" s="8">
        <v>1</v>
      </c>
      <c r="I478" s="8">
        <v>2</v>
      </c>
      <c r="J478" s="8">
        <v>2775</v>
      </c>
      <c r="K478" s="8">
        <v>0</v>
      </c>
      <c r="L478" s="8" t="s">
        <v>12</v>
      </c>
      <c r="M478" s="8" t="str">
        <f>IF(Titanic[[#This Row],[Sobrevive]]=1, "SOBREVIVE", "NO SOBREVIVE")</f>
        <v>SOBREVIVE</v>
      </c>
      <c r="N478" s="8" t="str">
        <f>LOOKUP(Titanic[[#This Row],[Clase]],{1,2,3}, {"PRIMERA","SEGUNDA","TERCERA"})</f>
        <v>SEGUNDA</v>
      </c>
      <c r="O478" s="8" t="str">
        <f>IF(Titanic[[#This Row],[Sexo]]="Hombre", "HOMBRE", "MUJER")</f>
        <v>MUJER</v>
      </c>
      <c r="P478" s="8">
        <f>IF(Titanic[[#This Row],[Edad]]="", "", IF(Titanic[[#This Row],[Edad]]&gt;=100, Titanic[[#This Row],[Edad]] / 10, Titanic[[#This Row],[Edad]]))</f>
        <v>33</v>
      </c>
      <c r="Q478" s="8" t="str">
        <f>IFERROR(LOOKUP(Titanic[[#This Row],[Edad Corrigida]],'Práctica 1'!$K$231:$K$240,'Práctica 1'!$L$231:$L$240), "DESCONOCIDO")</f>
        <v>6. ADULTO 1</v>
      </c>
      <c r="R478" s="8">
        <f>Titanic[[#This Row],[Familia Horizontal]]+Titanic[[#This Row],[Familia Vertical]]</f>
        <v>3</v>
      </c>
      <c r="S478" s="8"/>
      <c r="T478" s="8"/>
      <c r="U478" s="8"/>
      <c r="V478" s="8"/>
    </row>
    <row r="479" spans="2:22" x14ac:dyDescent="0.2">
      <c r="B479" s="6">
        <v>474</v>
      </c>
      <c r="C479" s="7">
        <v>1</v>
      </c>
      <c r="D479" s="8">
        <v>2</v>
      </c>
      <c r="E479" s="8" t="s">
        <v>488</v>
      </c>
      <c r="F479" s="8" t="s">
        <v>14</v>
      </c>
      <c r="G479" s="8">
        <v>23</v>
      </c>
      <c r="H479" s="8">
        <v>0</v>
      </c>
      <c r="I479" s="8">
        <v>0</v>
      </c>
      <c r="J479" s="8">
        <v>137917</v>
      </c>
      <c r="K479" s="8">
        <v>1</v>
      </c>
      <c r="L479" s="8" t="s">
        <v>15</v>
      </c>
      <c r="M479" s="8" t="str">
        <f>IF(Titanic[[#This Row],[Sobrevive]]=1, "SOBREVIVE", "NO SOBREVIVE")</f>
        <v>SOBREVIVE</v>
      </c>
      <c r="N479" s="8" t="str">
        <f>LOOKUP(Titanic[[#This Row],[Clase]],{1,2,3}, {"PRIMERA","SEGUNDA","TERCERA"})</f>
        <v>SEGUNDA</v>
      </c>
      <c r="O479" s="8" t="str">
        <f>IF(Titanic[[#This Row],[Sexo]]="Hombre", "HOMBRE", "MUJER")</f>
        <v>MUJER</v>
      </c>
      <c r="P479" s="8">
        <f>IF(Titanic[[#This Row],[Edad]]="", "", IF(Titanic[[#This Row],[Edad]]&gt;=100, Titanic[[#This Row],[Edad]] / 10, Titanic[[#This Row],[Edad]]))</f>
        <v>23</v>
      </c>
      <c r="Q479" s="8" t="str">
        <f>IFERROR(LOOKUP(Titanic[[#This Row],[Edad Corrigida]],'Práctica 1'!$K$231:$K$240,'Práctica 1'!$L$231:$L$240), "DESCONOCIDO")</f>
        <v>3. JOVEN</v>
      </c>
      <c r="R479" s="8">
        <f>Titanic[[#This Row],[Familia Horizontal]]+Titanic[[#This Row],[Familia Vertical]]</f>
        <v>0</v>
      </c>
      <c r="S479" s="8"/>
      <c r="T479" s="8"/>
      <c r="U479" s="8"/>
      <c r="V479" s="8"/>
    </row>
    <row r="480" spans="2:22" x14ac:dyDescent="0.2">
      <c r="B480" s="6">
        <v>475</v>
      </c>
      <c r="C480" s="7">
        <v>0</v>
      </c>
      <c r="D480" s="8">
        <v>3</v>
      </c>
      <c r="E480" s="8" t="s">
        <v>489</v>
      </c>
      <c r="F480" s="8" t="s">
        <v>14</v>
      </c>
      <c r="G480" s="8">
        <v>22</v>
      </c>
      <c r="H480" s="8">
        <v>0</v>
      </c>
      <c r="I480" s="8">
        <v>0</v>
      </c>
      <c r="J480" s="8">
        <v>98375</v>
      </c>
      <c r="K480" s="8">
        <v>0</v>
      </c>
      <c r="L480" s="8" t="s">
        <v>12</v>
      </c>
      <c r="M480" s="8" t="str">
        <f>IF(Titanic[[#This Row],[Sobrevive]]=1, "SOBREVIVE", "NO SOBREVIVE")</f>
        <v>NO SOBREVIVE</v>
      </c>
      <c r="N480" s="8" t="str">
        <f>LOOKUP(Titanic[[#This Row],[Clase]],{1,2,3}, {"PRIMERA","SEGUNDA","TERCERA"})</f>
        <v>TERCERA</v>
      </c>
      <c r="O480" s="8" t="str">
        <f>IF(Titanic[[#This Row],[Sexo]]="Hombre", "HOMBRE", "MUJER")</f>
        <v>MUJER</v>
      </c>
      <c r="P480" s="8">
        <f>IF(Titanic[[#This Row],[Edad]]="", "", IF(Titanic[[#This Row],[Edad]]&gt;=100, Titanic[[#This Row],[Edad]] / 10, Titanic[[#This Row],[Edad]]))</f>
        <v>22</v>
      </c>
      <c r="Q480" s="8" t="str">
        <f>IFERROR(LOOKUP(Titanic[[#This Row],[Edad Corrigida]],'Práctica 1'!$K$231:$K$240,'Práctica 1'!$L$231:$L$240), "DESCONOCIDO")</f>
        <v>3. JOVEN</v>
      </c>
      <c r="R480" s="8">
        <f>Titanic[[#This Row],[Familia Horizontal]]+Titanic[[#This Row],[Familia Vertical]]</f>
        <v>0</v>
      </c>
      <c r="S480" s="8"/>
      <c r="T480" s="8"/>
      <c r="U480" s="8"/>
      <c r="V480" s="8"/>
    </row>
    <row r="481" spans="2:22" x14ac:dyDescent="0.2">
      <c r="B481" s="6">
        <v>476</v>
      </c>
      <c r="C481" s="7">
        <v>0</v>
      </c>
      <c r="D481" s="8">
        <v>1</v>
      </c>
      <c r="E481" s="8" t="s">
        <v>490</v>
      </c>
      <c r="F481" s="8" t="s">
        <v>11</v>
      </c>
      <c r="G481" s="9"/>
      <c r="H481" s="8">
        <v>0</v>
      </c>
      <c r="I481" s="8">
        <v>0</v>
      </c>
      <c r="J481" s="8">
        <v>52</v>
      </c>
      <c r="K481" s="8">
        <v>1</v>
      </c>
      <c r="L481" s="8" t="s">
        <v>12</v>
      </c>
      <c r="M481" s="8" t="str">
        <f>IF(Titanic[[#This Row],[Sobrevive]]=1, "SOBREVIVE", "NO SOBREVIVE")</f>
        <v>NO SOBREVIVE</v>
      </c>
      <c r="N481" s="8" t="str">
        <f>LOOKUP(Titanic[[#This Row],[Clase]],{1,2,3}, {"PRIMERA","SEGUNDA","TERCERA"})</f>
        <v>PRIMERA</v>
      </c>
      <c r="O481" s="8" t="str">
        <f>IF(Titanic[[#This Row],[Sexo]]="Hombre", "HOMBRE", "MUJER")</f>
        <v>HOMBRE</v>
      </c>
      <c r="P481" s="8" t="str">
        <f>IF(Titanic[[#This Row],[Edad]]="", "", IF(Titanic[[#This Row],[Edad]]&gt;=100, Titanic[[#This Row],[Edad]] / 10, Titanic[[#This Row],[Edad]]))</f>
        <v/>
      </c>
      <c r="Q481" s="8" t="str">
        <f>IFERROR(LOOKUP(Titanic[[#This Row],[Edad Corrigida]],'Práctica 1'!$K$231:$K$240,'Práctica 1'!$L$231:$L$240), "DESCONOCIDO")</f>
        <v>DESCONOCIDO</v>
      </c>
      <c r="R481" s="8">
        <f>Titanic[[#This Row],[Familia Horizontal]]+Titanic[[#This Row],[Familia Vertical]]</f>
        <v>0</v>
      </c>
      <c r="S481" s="8"/>
      <c r="T481" s="8"/>
      <c r="U481" s="8"/>
      <c r="V481" s="8"/>
    </row>
    <row r="482" spans="2:22" x14ac:dyDescent="0.2">
      <c r="B482" s="6">
        <v>477</v>
      </c>
      <c r="C482" s="7">
        <v>0</v>
      </c>
      <c r="D482" s="8">
        <v>2</v>
      </c>
      <c r="E482" s="8" t="s">
        <v>491</v>
      </c>
      <c r="F482" s="8" t="s">
        <v>11</v>
      </c>
      <c r="G482" s="8">
        <v>34</v>
      </c>
      <c r="H482" s="8">
        <v>1</v>
      </c>
      <c r="I482" s="8">
        <v>0</v>
      </c>
      <c r="J482" s="8">
        <v>21</v>
      </c>
      <c r="K482" s="8">
        <v>0</v>
      </c>
      <c r="L482" s="8" t="s">
        <v>12</v>
      </c>
      <c r="M482" s="8" t="str">
        <f>IF(Titanic[[#This Row],[Sobrevive]]=1, "SOBREVIVE", "NO SOBREVIVE")</f>
        <v>NO SOBREVIVE</v>
      </c>
      <c r="N482" s="8" t="str">
        <f>LOOKUP(Titanic[[#This Row],[Clase]],{1,2,3}, {"PRIMERA","SEGUNDA","TERCERA"})</f>
        <v>SEGUNDA</v>
      </c>
      <c r="O482" s="8" t="str">
        <f>IF(Titanic[[#This Row],[Sexo]]="Hombre", "HOMBRE", "MUJER")</f>
        <v>HOMBRE</v>
      </c>
      <c r="P482" s="8">
        <f>IF(Titanic[[#This Row],[Edad]]="", "", IF(Titanic[[#This Row],[Edad]]&gt;=100, Titanic[[#This Row],[Edad]] / 10, Titanic[[#This Row],[Edad]]))</f>
        <v>34</v>
      </c>
      <c r="Q482" s="8" t="str">
        <f>IFERROR(LOOKUP(Titanic[[#This Row],[Edad Corrigida]],'Práctica 1'!$K$231:$K$240,'Práctica 1'!$L$231:$L$240), "DESCONOCIDO")</f>
        <v>6. ADULTO 1</v>
      </c>
      <c r="R482" s="8">
        <f>Titanic[[#This Row],[Familia Horizontal]]+Titanic[[#This Row],[Familia Vertical]]</f>
        <v>1</v>
      </c>
      <c r="S482" s="8"/>
      <c r="T482" s="8"/>
      <c r="U482" s="8"/>
      <c r="V482" s="8"/>
    </row>
    <row r="483" spans="2:22" x14ac:dyDescent="0.2">
      <c r="B483" s="6">
        <v>478</v>
      </c>
      <c r="C483" s="7">
        <v>0</v>
      </c>
      <c r="D483" s="8">
        <v>3</v>
      </c>
      <c r="E483" s="8" t="s">
        <v>492</v>
      </c>
      <c r="F483" s="8" t="s">
        <v>11</v>
      </c>
      <c r="G483" s="8">
        <v>29</v>
      </c>
      <c r="H483" s="8">
        <v>1</v>
      </c>
      <c r="I483" s="8">
        <v>0</v>
      </c>
      <c r="J483" s="8">
        <v>70458</v>
      </c>
      <c r="K483" s="8">
        <v>0</v>
      </c>
      <c r="L483" s="8" t="s">
        <v>12</v>
      </c>
      <c r="M483" s="8" t="str">
        <f>IF(Titanic[[#This Row],[Sobrevive]]=1, "SOBREVIVE", "NO SOBREVIVE")</f>
        <v>NO SOBREVIVE</v>
      </c>
      <c r="N483" s="8" t="str">
        <f>LOOKUP(Titanic[[#This Row],[Clase]],{1,2,3}, {"PRIMERA","SEGUNDA","TERCERA"})</f>
        <v>TERCERA</v>
      </c>
      <c r="O483" s="8" t="str">
        <f>IF(Titanic[[#This Row],[Sexo]]="Hombre", "HOMBRE", "MUJER")</f>
        <v>HOMBRE</v>
      </c>
      <c r="P483" s="8">
        <f>IF(Titanic[[#This Row],[Edad]]="", "", IF(Titanic[[#This Row],[Edad]]&gt;=100, Titanic[[#This Row],[Edad]] / 10, Titanic[[#This Row],[Edad]]))</f>
        <v>29</v>
      </c>
      <c r="Q483" s="8" t="str">
        <f>IFERROR(LOOKUP(Titanic[[#This Row],[Edad Corrigida]],'Práctica 1'!$K$231:$K$240,'Práctica 1'!$L$231:$L$240), "DESCONOCIDO")</f>
        <v>5. ADULTO</v>
      </c>
      <c r="R483" s="8">
        <f>Titanic[[#This Row],[Familia Horizontal]]+Titanic[[#This Row],[Familia Vertical]]</f>
        <v>1</v>
      </c>
      <c r="S483" s="8"/>
      <c r="T483" s="8"/>
      <c r="U483" s="8"/>
      <c r="V483" s="8"/>
    </row>
    <row r="484" spans="2:22" x14ac:dyDescent="0.2">
      <c r="B484" s="6">
        <v>479</v>
      </c>
      <c r="C484" s="7">
        <v>0</v>
      </c>
      <c r="D484" s="8">
        <v>3</v>
      </c>
      <c r="E484" s="8" t="s">
        <v>493</v>
      </c>
      <c r="F484" s="8" t="s">
        <v>11</v>
      </c>
      <c r="G484" s="8">
        <v>22</v>
      </c>
      <c r="H484" s="8">
        <v>0</v>
      </c>
      <c r="I484" s="8">
        <v>0</v>
      </c>
      <c r="J484" s="8">
        <v>75208</v>
      </c>
      <c r="K484" s="8">
        <v>0</v>
      </c>
      <c r="L484" s="8" t="s">
        <v>12</v>
      </c>
      <c r="M484" s="8" t="str">
        <f>IF(Titanic[[#This Row],[Sobrevive]]=1, "SOBREVIVE", "NO SOBREVIVE")</f>
        <v>NO SOBREVIVE</v>
      </c>
      <c r="N484" s="8" t="str">
        <f>LOOKUP(Titanic[[#This Row],[Clase]],{1,2,3}, {"PRIMERA","SEGUNDA","TERCERA"})</f>
        <v>TERCERA</v>
      </c>
      <c r="O484" s="8" t="str">
        <f>IF(Titanic[[#This Row],[Sexo]]="Hombre", "HOMBRE", "MUJER")</f>
        <v>HOMBRE</v>
      </c>
      <c r="P484" s="8">
        <f>IF(Titanic[[#This Row],[Edad]]="", "", IF(Titanic[[#This Row],[Edad]]&gt;=100, Titanic[[#This Row],[Edad]] / 10, Titanic[[#This Row],[Edad]]))</f>
        <v>22</v>
      </c>
      <c r="Q484" s="8" t="str">
        <f>IFERROR(LOOKUP(Titanic[[#This Row],[Edad Corrigida]],'Práctica 1'!$K$231:$K$240,'Práctica 1'!$L$231:$L$240), "DESCONOCIDO")</f>
        <v>3. JOVEN</v>
      </c>
      <c r="R484" s="8">
        <f>Titanic[[#This Row],[Familia Horizontal]]+Titanic[[#This Row],[Familia Vertical]]</f>
        <v>0</v>
      </c>
      <c r="S484" s="8"/>
      <c r="T484" s="8"/>
      <c r="U484" s="8"/>
      <c r="V484" s="8"/>
    </row>
    <row r="485" spans="2:22" x14ac:dyDescent="0.2">
      <c r="B485" s="6">
        <v>480</v>
      </c>
      <c r="C485" s="7">
        <v>1</v>
      </c>
      <c r="D485" s="8">
        <v>3</v>
      </c>
      <c r="E485" s="8" t="s">
        <v>494</v>
      </c>
      <c r="F485" s="8" t="s">
        <v>14</v>
      </c>
      <c r="G485" s="8">
        <v>2</v>
      </c>
      <c r="H485" s="8">
        <v>0</v>
      </c>
      <c r="I485" s="8">
        <v>1</v>
      </c>
      <c r="J485" s="8">
        <v>122875</v>
      </c>
      <c r="K485" s="8">
        <v>0</v>
      </c>
      <c r="L485" s="8" t="s">
        <v>12</v>
      </c>
      <c r="M485" s="8" t="str">
        <f>IF(Titanic[[#This Row],[Sobrevive]]=1, "SOBREVIVE", "NO SOBREVIVE")</f>
        <v>SOBREVIVE</v>
      </c>
      <c r="N485" s="8" t="str">
        <f>LOOKUP(Titanic[[#This Row],[Clase]],{1,2,3}, {"PRIMERA","SEGUNDA","TERCERA"})</f>
        <v>TERCERA</v>
      </c>
      <c r="O485" s="8" t="str">
        <f>IF(Titanic[[#This Row],[Sexo]]="Hombre", "HOMBRE", "MUJER")</f>
        <v>MUJER</v>
      </c>
      <c r="P485" s="8">
        <f>IF(Titanic[[#This Row],[Edad]]="", "", IF(Titanic[[#This Row],[Edad]]&gt;=100, Titanic[[#This Row],[Edad]] / 10, Titanic[[#This Row],[Edad]]))</f>
        <v>2</v>
      </c>
      <c r="Q485" s="8" t="str">
        <f>IFERROR(LOOKUP(Titanic[[#This Row],[Edad Corrigida]],'Práctica 1'!$K$231:$K$240,'Práctica 1'!$L$231:$L$240), "DESCONOCIDO")</f>
        <v>DESCONOCIDO</v>
      </c>
      <c r="R485" s="8">
        <f>Titanic[[#This Row],[Familia Horizontal]]+Titanic[[#This Row],[Familia Vertical]]</f>
        <v>1</v>
      </c>
      <c r="S485" s="8"/>
      <c r="T485" s="8"/>
      <c r="U485" s="8"/>
      <c r="V485" s="8"/>
    </row>
    <row r="486" spans="2:22" x14ac:dyDescent="0.2">
      <c r="B486" s="6">
        <v>481</v>
      </c>
      <c r="C486" s="7">
        <v>0</v>
      </c>
      <c r="D486" s="8">
        <v>3</v>
      </c>
      <c r="E486" s="8" t="s">
        <v>495</v>
      </c>
      <c r="F486" s="8" t="s">
        <v>11</v>
      </c>
      <c r="G486" s="8">
        <v>9</v>
      </c>
      <c r="H486" s="8">
        <v>5</v>
      </c>
      <c r="I486" s="8">
        <v>2</v>
      </c>
      <c r="J486" s="8">
        <v>469</v>
      </c>
      <c r="K486" s="8">
        <v>0</v>
      </c>
      <c r="L486" s="8" t="s">
        <v>12</v>
      </c>
      <c r="M486" s="8" t="str">
        <f>IF(Titanic[[#This Row],[Sobrevive]]=1, "SOBREVIVE", "NO SOBREVIVE")</f>
        <v>NO SOBREVIVE</v>
      </c>
      <c r="N486" s="8" t="str">
        <f>LOOKUP(Titanic[[#This Row],[Clase]],{1,2,3}, {"PRIMERA","SEGUNDA","TERCERA"})</f>
        <v>TERCERA</v>
      </c>
      <c r="O486" s="8" t="str">
        <f>IF(Titanic[[#This Row],[Sexo]]="Hombre", "HOMBRE", "MUJER")</f>
        <v>HOMBRE</v>
      </c>
      <c r="P486" s="8">
        <f>IF(Titanic[[#This Row],[Edad]]="", "", IF(Titanic[[#This Row],[Edad]]&gt;=100, Titanic[[#This Row],[Edad]] / 10, Titanic[[#This Row],[Edad]]))</f>
        <v>9</v>
      </c>
      <c r="Q486" s="8" t="str">
        <f>IFERROR(LOOKUP(Titanic[[#This Row],[Edad Corrigida]],'Práctica 1'!$K$231:$K$240,'Práctica 1'!$L$231:$L$240), "DESCONOCIDO")</f>
        <v>DESCONOCIDO</v>
      </c>
      <c r="R486" s="8">
        <f>Titanic[[#This Row],[Familia Horizontal]]+Titanic[[#This Row],[Familia Vertical]]</f>
        <v>7</v>
      </c>
      <c r="S486" s="8"/>
      <c r="T486" s="8"/>
      <c r="U486" s="8"/>
      <c r="V486" s="8"/>
    </row>
    <row r="487" spans="2:22" x14ac:dyDescent="0.2">
      <c r="B487" s="6">
        <v>482</v>
      </c>
      <c r="C487" s="7">
        <v>0</v>
      </c>
      <c r="D487" s="8">
        <v>2</v>
      </c>
      <c r="E487" s="8" t="s">
        <v>496</v>
      </c>
      <c r="F487" s="8" t="s">
        <v>11</v>
      </c>
      <c r="G487" s="9"/>
      <c r="H487" s="8">
        <v>0</v>
      </c>
      <c r="I487" s="8">
        <v>0</v>
      </c>
      <c r="J487" s="8">
        <v>0</v>
      </c>
      <c r="K487" s="8">
        <v>0</v>
      </c>
      <c r="L487" s="8" t="s">
        <v>12</v>
      </c>
      <c r="M487" s="8" t="str">
        <f>IF(Titanic[[#This Row],[Sobrevive]]=1, "SOBREVIVE", "NO SOBREVIVE")</f>
        <v>NO SOBREVIVE</v>
      </c>
      <c r="N487" s="8" t="str">
        <f>LOOKUP(Titanic[[#This Row],[Clase]],{1,2,3}, {"PRIMERA","SEGUNDA","TERCERA"})</f>
        <v>SEGUNDA</v>
      </c>
      <c r="O487" s="8" t="str">
        <f>IF(Titanic[[#This Row],[Sexo]]="Hombre", "HOMBRE", "MUJER")</f>
        <v>HOMBRE</v>
      </c>
      <c r="P487" s="8" t="str">
        <f>IF(Titanic[[#This Row],[Edad]]="", "", IF(Titanic[[#This Row],[Edad]]&gt;=100, Titanic[[#This Row],[Edad]] / 10, Titanic[[#This Row],[Edad]]))</f>
        <v/>
      </c>
      <c r="Q487" s="8" t="str">
        <f>IFERROR(LOOKUP(Titanic[[#This Row],[Edad Corrigida]],'Práctica 1'!$K$231:$K$240,'Práctica 1'!$L$231:$L$240), "DESCONOCIDO")</f>
        <v>DESCONOCIDO</v>
      </c>
      <c r="R487" s="8">
        <f>Titanic[[#This Row],[Familia Horizontal]]+Titanic[[#This Row],[Familia Vertical]]</f>
        <v>0</v>
      </c>
      <c r="S487" s="8"/>
      <c r="T487" s="8"/>
      <c r="U487" s="8"/>
      <c r="V487" s="8"/>
    </row>
    <row r="488" spans="2:22" x14ac:dyDescent="0.2">
      <c r="B488" s="6">
        <v>483</v>
      </c>
      <c r="C488" s="7">
        <v>0</v>
      </c>
      <c r="D488" s="8">
        <v>3</v>
      </c>
      <c r="E488" s="8" t="s">
        <v>497</v>
      </c>
      <c r="F488" s="8" t="s">
        <v>11</v>
      </c>
      <c r="G488" s="8">
        <v>50</v>
      </c>
      <c r="H488" s="8">
        <v>0</v>
      </c>
      <c r="I488" s="8">
        <v>0</v>
      </c>
      <c r="J488" s="8">
        <v>805</v>
      </c>
      <c r="K488" s="8">
        <v>0</v>
      </c>
      <c r="L488" s="8" t="s">
        <v>12</v>
      </c>
      <c r="M488" s="8" t="str">
        <f>IF(Titanic[[#This Row],[Sobrevive]]=1, "SOBREVIVE", "NO SOBREVIVE")</f>
        <v>NO SOBREVIVE</v>
      </c>
      <c r="N488" s="8" t="str">
        <f>LOOKUP(Titanic[[#This Row],[Clase]],{1,2,3}, {"PRIMERA","SEGUNDA","TERCERA"})</f>
        <v>TERCERA</v>
      </c>
      <c r="O488" s="8" t="str">
        <f>IF(Titanic[[#This Row],[Sexo]]="Hombre", "HOMBRE", "MUJER")</f>
        <v>HOMBRE</v>
      </c>
      <c r="P488" s="8">
        <f>IF(Titanic[[#This Row],[Edad]]="", "", IF(Titanic[[#This Row],[Edad]]&gt;=100, Titanic[[#This Row],[Edad]] / 10, Titanic[[#This Row],[Edad]]))</f>
        <v>50</v>
      </c>
      <c r="Q488" s="8" t="str">
        <f>IFERROR(LOOKUP(Titanic[[#This Row],[Edad Corrigida]],'Práctica 1'!$K$231:$K$240,'Práctica 1'!$L$231:$L$240), "DESCONOCIDO")</f>
        <v>9. ADULTO 4</v>
      </c>
      <c r="R488" s="8">
        <f>Titanic[[#This Row],[Familia Horizontal]]+Titanic[[#This Row],[Familia Vertical]]</f>
        <v>0</v>
      </c>
      <c r="S488" s="8"/>
      <c r="T488" s="8"/>
      <c r="U488" s="8"/>
      <c r="V488" s="8"/>
    </row>
    <row r="489" spans="2:22" x14ac:dyDescent="0.2">
      <c r="B489" s="6">
        <v>484</v>
      </c>
      <c r="C489" s="7">
        <v>1</v>
      </c>
      <c r="D489" s="8">
        <v>3</v>
      </c>
      <c r="E489" s="8" t="s">
        <v>498</v>
      </c>
      <c r="F489" s="8" t="s">
        <v>14</v>
      </c>
      <c r="G489" s="8">
        <v>63</v>
      </c>
      <c r="H489" s="8">
        <v>0</v>
      </c>
      <c r="I489" s="8">
        <v>0</v>
      </c>
      <c r="J489" s="8">
        <v>95875</v>
      </c>
      <c r="K489" s="8">
        <v>0</v>
      </c>
      <c r="L489" s="8" t="s">
        <v>12</v>
      </c>
      <c r="M489" s="8" t="str">
        <f>IF(Titanic[[#This Row],[Sobrevive]]=1, "SOBREVIVE", "NO SOBREVIVE")</f>
        <v>SOBREVIVE</v>
      </c>
      <c r="N489" s="8" t="str">
        <f>LOOKUP(Titanic[[#This Row],[Clase]],{1,2,3}, {"PRIMERA","SEGUNDA","TERCERA"})</f>
        <v>TERCERA</v>
      </c>
      <c r="O489" s="8" t="str">
        <f>IF(Titanic[[#This Row],[Sexo]]="Hombre", "HOMBRE", "MUJER")</f>
        <v>MUJER</v>
      </c>
      <c r="P489" s="8">
        <f>IF(Titanic[[#This Row],[Edad]]="", "", IF(Titanic[[#This Row],[Edad]]&gt;=100, Titanic[[#This Row],[Edad]] / 10, Titanic[[#This Row],[Edad]]))</f>
        <v>63</v>
      </c>
      <c r="Q489" s="8" t="str">
        <f>IFERROR(LOOKUP(Titanic[[#This Row],[Edad Corrigida]],'Práctica 1'!$K$231:$K$240,'Práctica 1'!$L$231:$L$240), "DESCONOCIDO")</f>
        <v>9. ADULTO 4</v>
      </c>
      <c r="R489" s="8">
        <f>Titanic[[#This Row],[Familia Horizontal]]+Titanic[[#This Row],[Familia Vertical]]</f>
        <v>0</v>
      </c>
      <c r="S489" s="8"/>
      <c r="T489" s="8"/>
      <c r="U489" s="8"/>
      <c r="V489" s="8"/>
    </row>
    <row r="490" spans="2:22" x14ac:dyDescent="0.2">
      <c r="B490" s="6">
        <v>485</v>
      </c>
      <c r="C490" s="7">
        <v>1</v>
      </c>
      <c r="D490" s="8">
        <v>1</v>
      </c>
      <c r="E490" s="8" t="s">
        <v>499</v>
      </c>
      <c r="F490" s="8" t="s">
        <v>11</v>
      </c>
      <c r="G490" s="8">
        <v>25</v>
      </c>
      <c r="H490" s="8">
        <v>1</v>
      </c>
      <c r="I490" s="8">
        <v>0</v>
      </c>
      <c r="J490" s="8">
        <v>910792</v>
      </c>
      <c r="K490" s="8">
        <v>1</v>
      </c>
      <c r="L490" s="8" t="s">
        <v>15</v>
      </c>
      <c r="M490" s="8" t="str">
        <f>IF(Titanic[[#This Row],[Sobrevive]]=1, "SOBREVIVE", "NO SOBREVIVE")</f>
        <v>SOBREVIVE</v>
      </c>
      <c r="N490" s="8" t="str">
        <f>LOOKUP(Titanic[[#This Row],[Clase]],{1,2,3}, {"PRIMERA","SEGUNDA","TERCERA"})</f>
        <v>PRIMERA</v>
      </c>
      <c r="O490" s="8" t="str">
        <f>IF(Titanic[[#This Row],[Sexo]]="Hombre", "HOMBRE", "MUJER")</f>
        <v>HOMBRE</v>
      </c>
      <c r="P490" s="8">
        <f>IF(Titanic[[#This Row],[Edad]]="", "", IF(Titanic[[#This Row],[Edad]]&gt;=100, Titanic[[#This Row],[Edad]] / 10, Titanic[[#This Row],[Edad]]))</f>
        <v>25</v>
      </c>
      <c r="Q490" s="8" t="str">
        <f>IFERROR(LOOKUP(Titanic[[#This Row],[Edad Corrigida]],'Práctica 1'!$K$231:$K$240,'Práctica 1'!$L$231:$L$240), "DESCONOCIDO")</f>
        <v>4. ADULTO JOVEN</v>
      </c>
      <c r="R490" s="8">
        <f>Titanic[[#This Row],[Familia Horizontal]]+Titanic[[#This Row],[Familia Vertical]]</f>
        <v>1</v>
      </c>
      <c r="S490" s="8"/>
      <c r="T490" s="8"/>
      <c r="U490" s="8"/>
      <c r="V490" s="8"/>
    </row>
    <row r="491" spans="2:22" x14ac:dyDescent="0.2">
      <c r="B491" s="6">
        <v>486</v>
      </c>
      <c r="C491" s="7">
        <v>0</v>
      </c>
      <c r="D491" s="8">
        <v>3</v>
      </c>
      <c r="E491" s="8" t="s">
        <v>500</v>
      </c>
      <c r="F491" s="8" t="s">
        <v>14</v>
      </c>
      <c r="G491" s="9"/>
      <c r="H491" s="8">
        <v>3</v>
      </c>
      <c r="I491" s="8">
        <v>1</v>
      </c>
      <c r="J491" s="8">
        <v>254667</v>
      </c>
      <c r="K491" s="8">
        <v>0</v>
      </c>
      <c r="L491" s="8" t="s">
        <v>12</v>
      </c>
      <c r="M491" s="8" t="str">
        <f>IF(Titanic[[#This Row],[Sobrevive]]=1, "SOBREVIVE", "NO SOBREVIVE")</f>
        <v>NO SOBREVIVE</v>
      </c>
      <c r="N491" s="8" t="str">
        <f>LOOKUP(Titanic[[#This Row],[Clase]],{1,2,3}, {"PRIMERA","SEGUNDA","TERCERA"})</f>
        <v>TERCERA</v>
      </c>
      <c r="O491" s="8" t="str">
        <f>IF(Titanic[[#This Row],[Sexo]]="Hombre", "HOMBRE", "MUJER")</f>
        <v>MUJER</v>
      </c>
      <c r="P491" s="8" t="str">
        <f>IF(Titanic[[#This Row],[Edad]]="", "", IF(Titanic[[#This Row],[Edad]]&gt;=100, Titanic[[#This Row],[Edad]] / 10, Titanic[[#This Row],[Edad]]))</f>
        <v/>
      </c>
      <c r="Q491" s="8" t="str">
        <f>IFERROR(LOOKUP(Titanic[[#This Row],[Edad Corrigida]],'Práctica 1'!$K$231:$K$240,'Práctica 1'!$L$231:$L$240), "DESCONOCIDO")</f>
        <v>DESCONOCIDO</v>
      </c>
      <c r="R491" s="8">
        <f>Titanic[[#This Row],[Familia Horizontal]]+Titanic[[#This Row],[Familia Vertical]]</f>
        <v>4</v>
      </c>
      <c r="S491" s="8"/>
      <c r="T491" s="8"/>
      <c r="U491" s="8"/>
      <c r="V491" s="8"/>
    </row>
    <row r="492" spans="2:22" x14ac:dyDescent="0.2">
      <c r="B492" s="6">
        <v>487</v>
      </c>
      <c r="C492" s="7">
        <v>1</v>
      </c>
      <c r="D492" s="8">
        <v>1</v>
      </c>
      <c r="E492" s="8" t="s">
        <v>501</v>
      </c>
      <c r="F492" s="8" t="s">
        <v>14</v>
      </c>
      <c r="G492" s="8">
        <v>35</v>
      </c>
      <c r="H492" s="8">
        <v>1</v>
      </c>
      <c r="I492" s="8">
        <v>0</v>
      </c>
      <c r="J492" s="8">
        <v>90</v>
      </c>
      <c r="K492" s="8">
        <v>1</v>
      </c>
      <c r="L492" s="8" t="s">
        <v>12</v>
      </c>
      <c r="M492" s="8" t="str">
        <f>IF(Titanic[[#This Row],[Sobrevive]]=1, "SOBREVIVE", "NO SOBREVIVE")</f>
        <v>SOBREVIVE</v>
      </c>
      <c r="N492" s="8" t="str">
        <f>LOOKUP(Titanic[[#This Row],[Clase]],{1,2,3}, {"PRIMERA","SEGUNDA","TERCERA"})</f>
        <v>PRIMERA</v>
      </c>
      <c r="O492" s="8" t="str">
        <f>IF(Titanic[[#This Row],[Sexo]]="Hombre", "HOMBRE", "MUJER")</f>
        <v>MUJER</v>
      </c>
      <c r="P492" s="8">
        <f>IF(Titanic[[#This Row],[Edad]]="", "", IF(Titanic[[#This Row],[Edad]]&gt;=100, Titanic[[#This Row],[Edad]] / 10, Titanic[[#This Row],[Edad]]))</f>
        <v>35</v>
      </c>
      <c r="Q492" s="8" t="str">
        <f>IFERROR(LOOKUP(Titanic[[#This Row],[Edad Corrigida]],'Práctica 1'!$K$231:$K$240,'Práctica 1'!$L$231:$L$240), "DESCONOCIDO")</f>
        <v>6. ADULTO 1</v>
      </c>
      <c r="R492" s="8">
        <f>Titanic[[#This Row],[Familia Horizontal]]+Titanic[[#This Row],[Familia Vertical]]</f>
        <v>1</v>
      </c>
      <c r="S492" s="8"/>
      <c r="T492" s="8"/>
      <c r="U492" s="8"/>
      <c r="V492" s="8"/>
    </row>
    <row r="493" spans="2:22" x14ac:dyDescent="0.2">
      <c r="B493" s="6">
        <v>488</v>
      </c>
      <c r="C493" s="7">
        <v>0</v>
      </c>
      <c r="D493" s="8">
        <v>1</v>
      </c>
      <c r="E493" s="8" t="s">
        <v>502</v>
      </c>
      <c r="F493" s="8" t="s">
        <v>11</v>
      </c>
      <c r="G493" s="8">
        <v>58</v>
      </c>
      <c r="H493" s="8">
        <v>0</v>
      </c>
      <c r="I493" s="8">
        <v>0</v>
      </c>
      <c r="J493" s="8">
        <v>297</v>
      </c>
      <c r="K493" s="8">
        <v>1</v>
      </c>
      <c r="L493" s="8" t="s">
        <v>15</v>
      </c>
      <c r="M493" s="8" t="str">
        <f>IF(Titanic[[#This Row],[Sobrevive]]=1, "SOBREVIVE", "NO SOBREVIVE")</f>
        <v>NO SOBREVIVE</v>
      </c>
      <c r="N493" s="8" t="str">
        <f>LOOKUP(Titanic[[#This Row],[Clase]],{1,2,3}, {"PRIMERA","SEGUNDA","TERCERA"})</f>
        <v>PRIMERA</v>
      </c>
      <c r="O493" s="8" t="str">
        <f>IF(Titanic[[#This Row],[Sexo]]="Hombre", "HOMBRE", "MUJER")</f>
        <v>HOMBRE</v>
      </c>
      <c r="P493" s="8">
        <f>IF(Titanic[[#This Row],[Edad]]="", "", IF(Titanic[[#This Row],[Edad]]&gt;=100, Titanic[[#This Row],[Edad]] / 10, Titanic[[#This Row],[Edad]]))</f>
        <v>58</v>
      </c>
      <c r="Q493" s="8" t="str">
        <f>IFERROR(LOOKUP(Titanic[[#This Row],[Edad Corrigida]],'Práctica 1'!$K$231:$K$240,'Práctica 1'!$L$231:$L$240), "DESCONOCIDO")</f>
        <v>9. ADULTO 4</v>
      </c>
      <c r="R493" s="8">
        <f>Titanic[[#This Row],[Familia Horizontal]]+Titanic[[#This Row],[Familia Vertical]]</f>
        <v>0</v>
      </c>
      <c r="S493" s="8"/>
      <c r="T493" s="8"/>
      <c r="U493" s="8"/>
      <c r="V493" s="8"/>
    </row>
    <row r="494" spans="2:22" x14ac:dyDescent="0.2">
      <c r="B494" s="6">
        <v>489</v>
      </c>
      <c r="C494" s="7">
        <v>0</v>
      </c>
      <c r="D494" s="8">
        <v>3</v>
      </c>
      <c r="E494" s="8" t="s">
        <v>503</v>
      </c>
      <c r="F494" s="8" t="s">
        <v>11</v>
      </c>
      <c r="G494" s="8">
        <v>30</v>
      </c>
      <c r="H494" s="8">
        <v>0</v>
      </c>
      <c r="I494" s="8">
        <v>0</v>
      </c>
      <c r="J494" s="8">
        <v>805</v>
      </c>
      <c r="K494" s="8">
        <v>0</v>
      </c>
      <c r="L494" s="8" t="s">
        <v>12</v>
      </c>
      <c r="M494" s="8" t="str">
        <f>IF(Titanic[[#This Row],[Sobrevive]]=1, "SOBREVIVE", "NO SOBREVIVE")</f>
        <v>NO SOBREVIVE</v>
      </c>
      <c r="N494" s="8" t="str">
        <f>LOOKUP(Titanic[[#This Row],[Clase]],{1,2,3}, {"PRIMERA","SEGUNDA","TERCERA"})</f>
        <v>TERCERA</v>
      </c>
      <c r="O494" s="8" t="str">
        <f>IF(Titanic[[#This Row],[Sexo]]="Hombre", "HOMBRE", "MUJER")</f>
        <v>HOMBRE</v>
      </c>
      <c r="P494" s="8">
        <f>IF(Titanic[[#This Row],[Edad]]="", "", IF(Titanic[[#This Row],[Edad]]&gt;=100, Titanic[[#This Row],[Edad]] / 10, Titanic[[#This Row],[Edad]]))</f>
        <v>30</v>
      </c>
      <c r="Q494" s="8" t="str">
        <f>IFERROR(LOOKUP(Titanic[[#This Row],[Edad Corrigida]],'Práctica 1'!$K$231:$K$240,'Práctica 1'!$L$231:$L$240), "DESCONOCIDO")</f>
        <v>5. ADULTO</v>
      </c>
      <c r="R494" s="8">
        <f>Titanic[[#This Row],[Familia Horizontal]]+Titanic[[#This Row],[Familia Vertical]]</f>
        <v>0</v>
      </c>
      <c r="S494" s="8"/>
      <c r="T494" s="8"/>
      <c r="U494" s="8"/>
      <c r="V494" s="8"/>
    </row>
    <row r="495" spans="2:22" x14ac:dyDescent="0.2">
      <c r="B495" s="6">
        <v>490</v>
      </c>
      <c r="C495" s="7">
        <v>1</v>
      </c>
      <c r="D495" s="8">
        <v>3</v>
      </c>
      <c r="E495" s="8" t="s">
        <v>504</v>
      </c>
      <c r="F495" s="8" t="s">
        <v>11</v>
      </c>
      <c r="G495" s="8">
        <v>9</v>
      </c>
      <c r="H495" s="8">
        <v>1</v>
      </c>
      <c r="I495" s="8">
        <v>1</v>
      </c>
      <c r="J495" s="8">
        <v>159</v>
      </c>
      <c r="K495" s="8">
        <v>0</v>
      </c>
      <c r="L495" s="8" t="s">
        <v>12</v>
      </c>
      <c r="M495" s="8" t="str">
        <f>IF(Titanic[[#This Row],[Sobrevive]]=1, "SOBREVIVE", "NO SOBREVIVE")</f>
        <v>SOBREVIVE</v>
      </c>
      <c r="N495" s="8" t="str">
        <f>LOOKUP(Titanic[[#This Row],[Clase]],{1,2,3}, {"PRIMERA","SEGUNDA","TERCERA"})</f>
        <v>TERCERA</v>
      </c>
      <c r="O495" s="8" t="str">
        <f>IF(Titanic[[#This Row],[Sexo]]="Hombre", "HOMBRE", "MUJER")</f>
        <v>HOMBRE</v>
      </c>
      <c r="P495" s="8">
        <f>IF(Titanic[[#This Row],[Edad]]="", "", IF(Titanic[[#This Row],[Edad]]&gt;=100, Titanic[[#This Row],[Edad]] / 10, Titanic[[#This Row],[Edad]]))</f>
        <v>9</v>
      </c>
      <c r="Q495" s="8" t="str">
        <f>IFERROR(LOOKUP(Titanic[[#This Row],[Edad Corrigida]],'Práctica 1'!$K$231:$K$240,'Práctica 1'!$L$231:$L$240), "DESCONOCIDO")</f>
        <v>DESCONOCIDO</v>
      </c>
      <c r="R495" s="8">
        <f>Titanic[[#This Row],[Familia Horizontal]]+Titanic[[#This Row],[Familia Vertical]]</f>
        <v>2</v>
      </c>
      <c r="S495" s="8"/>
      <c r="T495" s="8"/>
      <c r="U495" s="8"/>
      <c r="V495" s="8"/>
    </row>
    <row r="496" spans="2:22" x14ac:dyDescent="0.2">
      <c r="B496" s="6">
        <v>491</v>
      </c>
      <c r="C496" s="7">
        <v>0</v>
      </c>
      <c r="D496" s="8">
        <v>3</v>
      </c>
      <c r="E496" s="8" t="s">
        <v>505</v>
      </c>
      <c r="F496" s="8" t="s">
        <v>11</v>
      </c>
      <c r="G496" s="9"/>
      <c r="H496" s="8">
        <v>1</v>
      </c>
      <c r="I496" s="8">
        <v>0</v>
      </c>
      <c r="J496" s="8">
        <v>199667</v>
      </c>
      <c r="K496" s="8">
        <v>0</v>
      </c>
      <c r="L496" s="8" t="s">
        <v>12</v>
      </c>
      <c r="M496" s="8" t="str">
        <f>IF(Titanic[[#This Row],[Sobrevive]]=1, "SOBREVIVE", "NO SOBREVIVE")</f>
        <v>NO SOBREVIVE</v>
      </c>
      <c r="N496" s="8" t="str">
        <f>LOOKUP(Titanic[[#This Row],[Clase]],{1,2,3}, {"PRIMERA","SEGUNDA","TERCERA"})</f>
        <v>TERCERA</v>
      </c>
      <c r="O496" s="8" t="str">
        <f>IF(Titanic[[#This Row],[Sexo]]="Hombre", "HOMBRE", "MUJER")</f>
        <v>HOMBRE</v>
      </c>
      <c r="P496" s="8" t="str">
        <f>IF(Titanic[[#This Row],[Edad]]="", "", IF(Titanic[[#This Row],[Edad]]&gt;=100, Titanic[[#This Row],[Edad]] / 10, Titanic[[#This Row],[Edad]]))</f>
        <v/>
      </c>
      <c r="Q496" s="8" t="str">
        <f>IFERROR(LOOKUP(Titanic[[#This Row],[Edad Corrigida]],'Práctica 1'!$K$231:$K$240,'Práctica 1'!$L$231:$L$240), "DESCONOCIDO")</f>
        <v>DESCONOCIDO</v>
      </c>
      <c r="R496" s="8">
        <f>Titanic[[#This Row],[Familia Horizontal]]+Titanic[[#This Row],[Familia Vertical]]</f>
        <v>1</v>
      </c>
      <c r="S496" s="8"/>
      <c r="T496" s="8"/>
      <c r="U496" s="8"/>
      <c r="V496" s="8"/>
    </row>
    <row r="497" spans="2:22" x14ac:dyDescent="0.2">
      <c r="B497" s="6">
        <v>492</v>
      </c>
      <c r="C497" s="7">
        <v>0</v>
      </c>
      <c r="D497" s="8">
        <v>3</v>
      </c>
      <c r="E497" s="8" t="s">
        <v>506</v>
      </c>
      <c r="F497" s="8" t="s">
        <v>11</v>
      </c>
      <c r="G497" s="8">
        <v>21</v>
      </c>
      <c r="H497" s="8">
        <v>0</v>
      </c>
      <c r="I497" s="8">
        <v>0</v>
      </c>
      <c r="J497" s="8">
        <v>725</v>
      </c>
      <c r="K497" s="8">
        <v>0</v>
      </c>
      <c r="L497" s="8" t="s">
        <v>12</v>
      </c>
      <c r="M497" s="8" t="str">
        <f>IF(Titanic[[#This Row],[Sobrevive]]=1, "SOBREVIVE", "NO SOBREVIVE")</f>
        <v>NO SOBREVIVE</v>
      </c>
      <c r="N497" s="8" t="str">
        <f>LOOKUP(Titanic[[#This Row],[Clase]],{1,2,3}, {"PRIMERA","SEGUNDA","TERCERA"})</f>
        <v>TERCERA</v>
      </c>
      <c r="O497" s="8" t="str">
        <f>IF(Titanic[[#This Row],[Sexo]]="Hombre", "HOMBRE", "MUJER")</f>
        <v>HOMBRE</v>
      </c>
      <c r="P497" s="8">
        <f>IF(Titanic[[#This Row],[Edad]]="", "", IF(Titanic[[#This Row],[Edad]]&gt;=100, Titanic[[#This Row],[Edad]] / 10, Titanic[[#This Row],[Edad]]))</f>
        <v>21</v>
      </c>
      <c r="Q497" s="8" t="str">
        <f>IFERROR(LOOKUP(Titanic[[#This Row],[Edad Corrigida]],'Práctica 1'!$K$231:$K$240,'Práctica 1'!$L$231:$L$240), "DESCONOCIDO")</f>
        <v>2. ADOLESCENTE</v>
      </c>
      <c r="R497" s="8">
        <f>Titanic[[#This Row],[Familia Horizontal]]+Titanic[[#This Row],[Familia Vertical]]</f>
        <v>0</v>
      </c>
      <c r="S497" s="8"/>
      <c r="T497" s="8"/>
      <c r="U497" s="8"/>
      <c r="V497" s="8"/>
    </row>
    <row r="498" spans="2:22" x14ac:dyDescent="0.2">
      <c r="B498" s="6">
        <v>493</v>
      </c>
      <c r="C498" s="7">
        <v>0</v>
      </c>
      <c r="D498" s="8">
        <v>1</v>
      </c>
      <c r="E498" s="8" t="s">
        <v>507</v>
      </c>
      <c r="F498" s="8" t="s">
        <v>11</v>
      </c>
      <c r="G498" s="8">
        <v>55</v>
      </c>
      <c r="H498" s="8">
        <v>0</v>
      </c>
      <c r="I498" s="8">
        <v>0</v>
      </c>
      <c r="J498" s="8">
        <v>305</v>
      </c>
      <c r="K498" s="8">
        <v>1</v>
      </c>
      <c r="L498" s="8" t="s">
        <v>12</v>
      </c>
      <c r="M498" s="8" t="str">
        <f>IF(Titanic[[#This Row],[Sobrevive]]=1, "SOBREVIVE", "NO SOBREVIVE")</f>
        <v>NO SOBREVIVE</v>
      </c>
      <c r="N498" s="8" t="str">
        <f>LOOKUP(Titanic[[#This Row],[Clase]],{1,2,3}, {"PRIMERA","SEGUNDA","TERCERA"})</f>
        <v>PRIMERA</v>
      </c>
      <c r="O498" s="8" t="str">
        <f>IF(Titanic[[#This Row],[Sexo]]="Hombre", "HOMBRE", "MUJER")</f>
        <v>HOMBRE</v>
      </c>
      <c r="P498" s="8">
        <f>IF(Titanic[[#This Row],[Edad]]="", "", IF(Titanic[[#This Row],[Edad]]&gt;=100, Titanic[[#This Row],[Edad]] / 10, Titanic[[#This Row],[Edad]]))</f>
        <v>55</v>
      </c>
      <c r="Q498" s="8" t="str">
        <f>IFERROR(LOOKUP(Titanic[[#This Row],[Edad Corrigida]],'Práctica 1'!$K$231:$K$240,'Práctica 1'!$L$231:$L$240), "DESCONOCIDO")</f>
        <v>9. ADULTO 4</v>
      </c>
      <c r="R498" s="8">
        <f>Titanic[[#This Row],[Familia Horizontal]]+Titanic[[#This Row],[Familia Vertical]]</f>
        <v>0</v>
      </c>
      <c r="S498" s="8"/>
      <c r="T498" s="8"/>
      <c r="U498" s="8"/>
      <c r="V498" s="8"/>
    </row>
    <row r="499" spans="2:22" x14ac:dyDescent="0.2">
      <c r="B499" s="6">
        <v>494</v>
      </c>
      <c r="C499" s="7">
        <v>0</v>
      </c>
      <c r="D499" s="8">
        <v>1</v>
      </c>
      <c r="E499" s="8" t="s">
        <v>508</v>
      </c>
      <c r="F499" s="8" t="s">
        <v>11</v>
      </c>
      <c r="G499" s="8">
        <v>71</v>
      </c>
      <c r="H499" s="8">
        <v>0</v>
      </c>
      <c r="I499" s="8">
        <v>0</v>
      </c>
      <c r="J499" s="8">
        <v>495042</v>
      </c>
      <c r="K499" s="8">
        <v>0</v>
      </c>
      <c r="L499" s="8" t="s">
        <v>15</v>
      </c>
      <c r="M499" s="8" t="str">
        <f>IF(Titanic[[#This Row],[Sobrevive]]=1, "SOBREVIVE", "NO SOBREVIVE")</f>
        <v>NO SOBREVIVE</v>
      </c>
      <c r="N499" s="8" t="str">
        <f>LOOKUP(Titanic[[#This Row],[Clase]],{1,2,3}, {"PRIMERA","SEGUNDA","TERCERA"})</f>
        <v>PRIMERA</v>
      </c>
      <c r="O499" s="8" t="str">
        <f>IF(Titanic[[#This Row],[Sexo]]="Hombre", "HOMBRE", "MUJER")</f>
        <v>HOMBRE</v>
      </c>
      <c r="P499" s="8">
        <f>IF(Titanic[[#This Row],[Edad]]="", "", IF(Titanic[[#This Row],[Edad]]&gt;=100, Titanic[[#This Row],[Edad]] / 10, Titanic[[#This Row],[Edad]]))</f>
        <v>71</v>
      </c>
      <c r="Q499" s="8" t="str">
        <f>IFERROR(LOOKUP(Titanic[[#This Row],[Edad Corrigida]],'Práctica 1'!$K$231:$K$240,'Práctica 1'!$L$231:$L$240), "DESCONOCIDO")</f>
        <v>9. ADULTO 4</v>
      </c>
      <c r="R499" s="8">
        <f>Titanic[[#This Row],[Familia Horizontal]]+Titanic[[#This Row],[Familia Vertical]]</f>
        <v>0</v>
      </c>
      <c r="S499" s="8"/>
      <c r="T499" s="8"/>
      <c r="U499" s="8"/>
      <c r="V499" s="8"/>
    </row>
    <row r="500" spans="2:22" x14ac:dyDescent="0.2">
      <c r="B500" s="6">
        <v>495</v>
      </c>
      <c r="C500" s="7">
        <v>0</v>
      </c>
      <c r="D500" s="8">
        <v>3</v>
      </c>
      <c r="E500" s="8" t="s">
        <v>509</v>
      </c>
      <c r="F500" s="8" t="s">
        <v>11</v>
      </c>
      <c r="G500" s="8">
        <v>21</v>
      </c>
      <c r="H500" s="8">
        <v>0</v>
      </c>
      <c r="I500" s="8">
        <v>0</v>
      </c>
      <c r="J500" s="8">
        <v>805</v>
      </c>
      <c r="K500" s="8">
        <v>0</v>
      </c>
      <c r="L500" s="8" t="s">
        <v>12</v>
      </c>
      <c r="M500" s="8" t="str">
        <f>IF(Titanic[[#This Row],[Sobrevive]]=1, "SOBREVIVE", "NO SOBREVIVE")</f>
        <v>NO SOBREVIVE</v>
      </c>
      <c r="N500" s="8" t="str">
        <f>LOOKUP(Titanic[[#This Row],[Clase]],{1,2,3}, {"PRIMERA","SEGUNDA","TERCERA"})</f>
        <v>TERCERA</v>
      </c>
      <c r="O500" s="8" t="str">
        <f>IF(Titanic[[#This Row],[Sexo]]="Hombre", "HOMBRE", "MUJER")</f>
        <v>HOMBRE</v>
      </c>
      <c r="P500" s="8">
        <f>IF(Titanic[[#This Row],[Edad]]="", "", IF(Titanic[[#This Row],[Edad]]&gt;=100, Titanic[[#This Row],[Edad]] / 10, Titanic[[#This Row],[Edad]]))</f>
        <v>21</v>
      </c>
      <c r="Q500" s="8" t="str">
        <f>IFERROR(LOOKUP(Titanic[[#This Row],[Edad Corrigida]],'Práctica 1'!$K$231:$K$240,'Práctica 1'!$L$231:$L$240), "DESCONOCIDO")</f>
        <v>2. ADOLESCENTE</v>
      </c>
      <c r="R500" s="8">
        <f>Titanic[[#This Row],[Familia Horizontal]]+Titanic[[#This Row],[Familia Vertical]]</f>
        <v>0</v>
      </c>
      <c r="S500" s="8"/>
      <c r="T500" s="8"/>
      <c r="U500" s="8"/>
      <c r="V500" s="8"/>
    </row>
    <row r="501" spans="2:22" x14ac:dyDescent="0.2">
      <c r="B501" s="6">
        <v>496</v>
      </c>
      <c r="C501" s="7">
        <v>0</v>
      </c>
      <c r="D501" s="8">
        <v>3</v>
      </c>
      <c r="E501" s="8" t="s">
        <v>510</v>
      </c>
      <c r="F501" s="8" t="s">
        <v>11</v>
      </c>
      <c r="G501" s="9"/>
      <c r="H501" s="8">
        <v>0</v>
      </c>
      <c r="I501" s="8">
        <v>0</v>
      </c>
      <c r="J501" s="8">
        <v>144583</v>
      </c>
      <c r="K501" s="8">
        <v>0</v>
      </c>
      <c r="L501" s="8" t="s">
        <v>15</v>
      </c>
      <c r="M501" s="8" t="str">
        <f>IF(Titanic[[#This Row],[Sobrevive]]=1, "SOBREVIVE", "NO SOBREVIVE")</f>
        <v>NO SOBREVIVE</v>
      </c>
      <c r="N501" s="8" t="str">
        <f>LOOKUP(Titanic[[#This Row],[Clase]],{1,2,3}, {"PRIMERA","SEGUNDA","TERCERA"})</f>
        <v>TERCERA</v>
      </c>
      <c r="O501" s="8" t="str">
        <f>IF(Titanic[[#This Row],[Sexo]]="Hombre", "HOMBRE", "MUJER")</f>
        <v>HOMBRE</v>
      </c>
      <c r="P501" s="8" t="str">
        <f>IF(Titanic[[#This Row],[Edad]]="", "", IF(Titanic[[#This Row],[Edad]]&gt;=100, Titanic[[#This Row],[Edad]] / 10, Titanic[[#This Row],[Edad]]))</f>
        <v/>
      </c>
      <c r="Q501" s="8" t="str">
        <f>IFERROR(LOOKUP(Titanic[[#This Row],[Edad Corrigida]],'Práctica 1'!$K$231:$K$240,'Práctica 1'!$L$231:$L$240), "DESCONOCIDO")</f>
        <v>DESCONOCIDO</v>
      </c>
      <c r="R501" s="8">
        <f>Titanic[[#This Row],[Familia Horizontal]]+Titanic[[#This Row],[Familia Vertical]]</f>
        <v>0</v>
      </c>
      <c r="S501" s="8"/>
      <c r="T501" s="8"/>
      <c r="U501" s="8"/>
      <c r="V501" s="8"/>
    </row>
    <row r="502" spans="2:22" x14ac:dyDescent="0.2">
      <c r="B502" s="6">
        <v>497</v>
      </c>
      <c r="C502" s="7">
        <v>1</v>
      </c>
      <c r="D502" s="8">
        <v>1</v>
      </c>
      <c r="E502" s="8" t="s">
        <v>511</v>
      </c>
      <c r="F502" s="8" t="s">
        <v>14</v>
      </c>
      <c r="G502" s="8">
        <v>54</v>
      </c>
      <c r="H502" s="8">
        <v>1</v>
      </c>
      <c r="I502" s="8">
        <v>0</v>
      </c>
      <c r="J502" s="8">
        <v>782667</v>
      </c>
      <c r="K502" s="8">
        <v>1</v>
      </c>
      <c r="L502" s="8" t="s">
        <v>15</v>
      </c>
      <c r="M502" s="8" t="str">
        <f>IF(Titanic[[#This Row],[Sobrevive]]=1, "SOBREVIVE", "NO SOBREVIVE")</f>
        <v>SOBREVIVE</v>
      </c>
      <c r="N502" s="8" t="str">
        <f>LOOKUP(Titanic[[#This Row],[Clase]],{1,2,3}, {"PRIMERA","SEGUNDA","TERCERA"})</f>
        <v>PRIMERA</v>
      </c>
      <c r="O502" s="8" t="str">
        <f>IF(Titanic[[#This Row],[Sexo]]="Hombre", "HOMBRE", "MUJER")</f>
        <v>MUJER</v>
      </c>
      <c r="P502" s="8">
        <f>IF(Titanic[[#This Row],[Edad]]="", "", IF(Titanic[[#This Row],[Edad]]&gt;=100, Titanic[[#This Row],[Edad]] / 10, Titanic[[#This Row],[Edad]]))</f>
        <v>54</v>
      </c>
      <c r="Q502" s="8" t="str">
        <f>IFERROR(LOOKUP(Titanic[[#This Row],[Edad Corrigida]],'Práctica 1'!$K$231:$K$240,'Práctica 1'!$L$231:$L$240), "DESCONOCIDO")</f>
        <v>9. ADULTO 4</v>
      </c>
      <c r="R502" s="8">
        <f>Titanic[[#This Row],[Familia Horizontal]]+Titanic[[#This Row],[Familia Vertical]]</f>
        <v>1</v>
      </c>
      <c r="S502" s="8"/>
      <c r="T502" s="8"/>
      <c r="U502" s="8"/>
      <c r="V502" s="8"/>
    </row>
    <row r="503" spans="2:22" x14ac:dyDescent="0.2">
      <c r="B503" s="6">
        <v>498</v>
      </c>
      <c r="C503" s="7">
        <v>0</v>
      </c>
      <c r="D503" s="8">
        <v>3</v>
      </c>
      <c r="E503" s="8" t="s">
        <v>512</v>
      </c>
      <c r="F503" s="8" t="s">
        <v>11</v>
      </c>
      <c r="G503" s="9"/>
      <c r="H503" s="8">
        <v>0</v>
      </c>
      <c r="I503" s="8">
        <v>0</v>
      </c>
      <c r="J503" s="8">
        <v>151</v>
      </c>
      <c r="K503" s="8">
        <v>0</v>
      </c>
      <c r="L503" s="8" t="s">
        <v>12</v>
      </c>
      <c r="M503" s="8" t="str">
        <f>IF(Titanic[[#This Row],[Sobrevive]]=1, "SOBREVIVE", "NO SOBREVIVE")</f>
        <v>NO SOBREVIVE</v>
      </c>
      <c r="N503" s="8" t="str">
        <f>LOOKUP(Titanic[[#This Row],[Clase]],{1,2,3}, {"PRIMERA","SEGUNDA","TERCERA"})</f>
        <v>TERCERA</v>
      </c>
      <c r="O503" s="8" t="str">
        <f>IF(Titanic[[#This Row],[Sexo]]="Hombre", "HOMBRE", "MUJER")</f>
        <v>HOMBRE</v>
      </c>
      <c r="P503" s="8" t="str">
        <f>IF(Titanic[[#This Row],[Edad]]="", "", IF(Titanic[[#This Row],[Edad]]&gt;=100, Titanic[[#This Row],[Edad]] / 10, Titanic[[#This Row],[Edad]]))</f>
        <v/>
      </c>
      <c r="Q503" s="8" t="str">
        <f>IFERROR(LOOKUP(Titanic[[#This Row],[Edad Corrigida]],'Práctica 1'!$K$231:$K$240,'Práctica 1'!$L$231:$L$240), "DESCONOCIDO")</f>
        <v>DESCONOCIDO</v>
      </c>
      <c r="R503" s="8">
        <f>Titanic[[#This Row],[Familia Horizontal]]+Titanic[[#This Row],[Familia Vertical]]</f>
        <v>0</v>
      </c>
      <c r="S503" s="8"/>
      <c r="T503" s="8"/>
      <c r="U503" s="8"/>
      <c r="V503" s="8"/>
    </row>
    <row r="504" spans="2:22" x14ac:dyDescent="0.2">
      <c r="B504" s="6">
        <v>499</v>
      </c>
      <c r="C504" s="7">
        <v>0</v>
      </c>
      <c r="D504" s="8">
        <v>1</v>
      </c>
      <c r="E504" s="8" t="s">
        <v>513</v>
      </c>
      <c r="F504" s="8" t="s">
        <v>14</v>
      </c>
      <c r="G504" s="8">
        <v>25</v>
      </c>
      <c r="H504" s="8">
        <v>1</v>
      </c>
      <c r="I504" s="8">
        <v>2</v>
      </c>
      <c r="J504" s="8">
        <v>15155</v>
      </c>
      <c r="K504" s="8">
        <v>1</v>
      </c>
      <c r="L504" s="8" t="s">
        <v>12</v>
      </c>
      <c r="M504" s="8" t="str">
        <f>IF(Titanic[[#This Row],[Sobrevive]]=1, "SOBREVIVE", "NO SOBREVIVE")</f>
        <v>NO SOBREVIVE</v>
      </c>
      <c r="N504" s="8" t="str">
        <f>LOOKUP(Titanic[[#This Row],[Clase]],{1,2,3}, {"PRIMERA","SEGUNDA","TERCERA"})</f>
        <v>PRIMERA</v>
      </c>
      <c r="O504" s="8" t="str">
        <f>IF(Titanic[[#This Row],[Sexo]]="Hombre", "HOMBRE", "MUJER")</f>
        <v>MUJER</v>
      </c>
      <c r="P504" s="8">
        <f>IF(Titanic[[#This Row],[Edad]]="", "", IF(Titanic[[#This Row],[Edad]]&gt;=100, Titanic[[#This Row],[Edad]] / 10, Titanic[[#This Row],[Edad]]))</f>
        <v>25</v>
      </c>
      <c r="Q504" s="8" t="str">
        <f>IFERROR(LOOKUP(Titanic[[#This Row],[Edad Corrigida]],'Práctica 1'!$K$231:$K$240,'Práctica 1'!$L$231:$L$240), "DESCONOCIDO")</f>
        <v>4. ADULTO JOVEN</v>
      </c>
      <c r="R504" s="8">
        <f>Titanic[[#This Row],[Familia Horizontal]]+Titanic[[#This Row],[Familia Vertical]]</f>
        <v>3</v>
      </c>
      <c r="S504" s="8"/>
      <c r="T504" s="8"/>
      <c r="U504" s="8"/>
      <c r="V504" s="8"/>
    </row>
    <row r="505" spans="2:22" x14ac:dyDescent="0.2">
      <c r="B505" s="6">
        <v>500</v>
      </c>
      <c r="C505" s="7">
        <v>0</v>
      </c>
      <c r="D505" s="8">
        <v>3</v>
      </c>
      <c r="E505" s="8" t="s">
        <v>514</v>
      </c>
      <c r="F505" s="8" t="s">
        <v>11</v>
      </c>
      <c r="G505" s="8">
        <v>24</v>
      </c>
      <c r="H505" s="8">
        <v>0</v>
      </c>
      <c r="I505" s="8">
        <v>0</v>
      </c>
      <c r="J505" s="8">
        <v>77958</v>
      </c>
      <c r="K505" s="8">
        <v>0</v>
      </c>
      <c r="L505" s="8" t="s">
        <v>12</v>
      </c>
      <c r="M505" s="8" t="str">
        <f>IF(Titanic[[#This Row],[Sobrevive]]=1, "SOBREVIVE", "NO SOBREVIVE")</f>
        <v>NO SOBREVIVE</v>
      </c>
      <c r="N505" s="8" t="str">
        <f>LOOKUP(Titanic[[#This Row],[Clase]],{1,2,3}, {"PRIMERA","SEGUNDA","TERCERA"})</f>
        <v>TERCERA</v>
      </c>
      <c r="O505" s="8" t="str">
        <f>IF(Titanic[[#This Row],[Sexo]]="Hombre", "HOMBRE", "MUJER")</f>
        <v>HOMBRE</v>
      </c>
      <c r="P505" s="8">
        <f>IF(Titanic[[#This Row],[Edad]]="", "", IF(Titanic[[#This Row],[Edad]]&gt;=100, Titanic[[#This Row],[Edad]] / 10, Titanic[[#This Row],[Edad]]))</f>
        <v>24</v>
      </c>
      <c r="Q505" s="8" t="str">
        <f>IFERROR(LOOKUP(Titanic[[#This Row],[Edad Corrigida]],'Práctica 1'!$K$231:$K$240,'Práctica 1'!$L$231:$L$240), "DESCONOCIDO")</f>
        <v>3. JOVEN</v>
      </c>
      <c r="R505" s="8">
        <f>Titanic[[#This Row],[Familia Horizontal]]+Titanic[[#This Row],[Familia Vertical]]</f>
        <v>0</v>
      </c>
      <c r="S505" s="8"/>
      <c r="T505" s="8"/>
      <c r="U505" s="8"/>
      <c r="V505" s="8"/>
    </row>
    <row r="506" spans="2:22" x14ac:dyDescent="0.2">
      <c r="B506" s="6">
        <v>501</v>
      </c>
      <c r="C506" s="7">
        <v>0</v>
      </c>
      <c r="D506" s="8">
        <v>3</v>
      </c>
      <c r="E506" s="8" t="s">
        <v>515</v>
      </c>
      <c r="F506" s="8" t="s">
        <v>11</v>
      </c>
      <c r="G506" s="8">
        <v>17</v>
      </c>
      <c r="H506" s="8">
        <v>0</v>
      </c>
      <c r="I506" s="8">
        <v>0</v>
      </c>
      <c r="J506" s="8">
        <v>86625</v>
      </c>
      <c r="K506" s="8">
        <v>0</v>
      </c>
      <c r="L506" s="8" t="s">
        <v>12</v>
      </c>
      <c r="M506" s="8" t="str">
        <f>IF(Titanic[[#This Row],[Sobrevive]]=1, "SOBREVIVE", "NO SOBREVIVE")</f>
        <v>NO SOBREVIVE</v>
      </c>
      <c r="N506" s="8" t="str">
        <f>LOOKUP(Titanic[[#This Row],[Clase]],{1,2,3}, {"PRIMERA","SEGUNDA","TERCERA"})</f>
        <v>TERCERA</v>
      </c>
      <c r="O506" s="8" t="str">
        <f>IF(Titanic[[#This Row],[Sexo]]="Hombre", "HOMBRE", "MUJER")</f>
        <v>HOMBRE</v>
      </c>
      <c r="P506" s="8">
        <f>IF(Titanic[[#This Row],[Edad]]="", "", IF(Titanic[[#This Row],[Edad]]&gt;=100, Titanic[[#This Row],[Edad]] / 10, Titanic[[#This Row],[Edad]]))</f>
        <v>17</v>
      </c>
      <c r="Q506" s="8" t="str">
        <f>IFERROR(LOOKUP(Titanic[[#This Row],[Edad Corrigida]],'Práctica 1'!$K$231:$K$240,'Práctica 1'!$L$231:$L$240), "DESCONOCIDO")</f>
        <v>1. INFANTE</v>
      </c>
      <c r="R506" s="8">
        <f>Titanic[[#This Row],[Familia Horizontal]]+Titanic[[#This Row],[Familia Vertical]]</f>
        <v>0</v>
      </c>
      <c r="S506" s="8"/>
      <c r="T506" s="8"/>
      <c r="U506" s="8"/>
      <c r="V506" s="8"/>
    </row>
    <row r="507" spans="2:22" x14ac:dyDescent="0.2">
      <c r="B507" s="6">
        <v>502</v>
      </c>
      <c r="C507" s="7">
        <v>0</v>
      </c>
      <c r="D507" s="8">
        <v>3</v>
      </c>
      <c r="E507" s="8" t="s">
        <v>516</v>
      </c>
      <c r="F507" s="8" t="s">
        <v>14</v>
      </c>
      <c r="G507" s="8">
        <v>21</v>
      </c>
      <c r="H507" s="8">
        <v>0</v>
      </c>
      <c r="I507" s="8">
        <v>0</v>
      </c>
      <c r="J507" s="8">
        <v>775</v>
      </c>
      <c r="K507" s="8">
        <v>0</v>
      </c>
      <c r="L507" s="8" t="s">
        <v>20</v>
      </c>
      <c r="M507" s="8" t="str">
        <f>IF(Titanic[[#This Row],[Sobrevive]]=1, "SOBREVIVE", "NO SOBREVIVE")</f>
        <v>NO SOBREVIVE</v>
      </c>
      <c r="N507" s="8" t="str">
        <f>LOOKUP(Titanic[[#This Row],[Clase]],{1,2,3}, {"PRIMERA","SEGUNDA","TERCERA"})</f>
        <v>TERCERA</v>
      </c>
      <c r="O507" s="8" t="str">
        <f>IF(Titanic[[#This Row],[Sexo]]="Hombre", "HOMBRE", "MUJER")</f>
        <v>MUJER</v>
      </c>
      <c r="P507" s="8">
        <f>IF(Titanic[[#This Row],[Edad]]="", "", IF(Titanic[[#This Row],[Edad]]&gt;=100, Titanic[[#This Row],[Edad]] / 10, Titanic[[#This Row],[Edad]]))</f>
        <v>21</v>
      </c>
      <c r="Q507" s="8" t="str">
        <f>IFERROR(LOOKUP(Titanic[[#This Row],[Edad Corrigida]],'Práctica 1'!$K$231:$K$240,'Práctica 1'!$L$231:$L$240), "DESCONOCIDO")</f>
        <v>2. ADOLESCENTE</v>
      </c>
      <c r="R507" s="8">
        <f>Titanic[[#This Row],[Familia Horizontal]]+Titanic[[#This Row],[Familia Vertical]]</f>
        <v>0</v>
      </c>
      <c r="S507" s="8"/>
      <c r="T507" s="8"/>
      <c r="U507" s="8"/>
      <c r="V507" s="8"/>
    </row>
    <row r="508" spans="2:22" x14ac:dyDescent="0.2">
      <c r="B508" s="6">
        <v>503</v>
      </c>
      <c r="C508" s="7">
        <v>0</v>
      </c>
      <c r="D508" s="8">
        <v>3</v>
      </c>
      <c r="E508" s="8" t="s">
        <v>517</v>
      </c>
      <c r="F508" s="8" t="s">
        <v>14</v>
      </c>
      <c r="G508" s="9"/>
      <c r="H508" s="8">
        <v>0</v>
      </c>
      <c r="I508" s="8">
        <v>0</v>
      </c>
      <c r="J508" s="8">
        <v>76292</v>
      </c>
      <c r="K508" s="8">
        <v>0</v>
      </c>
      <c r="L508" s="8" t="s">
        <v>20</v>
      </c>
      <c r="M508" s="8" t="str">
        <f>IF(Titanic[[#This Row],[Sobrevive]]=1, "SOBREVIVE", "NO SOBREVIVE")</f>
        <v>NO SOBREVIVE</v>
      </c>
      <c r="N508" s="8" t="str">
        <f>LOOKUP(Titanic[[#This Row],[Clase]],{1,2,3}, {"PRIMERA","SEGUNDA","TERCERA"})</f>
        <v>TERCERA</v>
      </c>
      <c r="O508" s="8" t="str">
        <f>IF(Titanic[[#This Row],[Sexo]]="Hombre", "HOMBRE", "MUJER")</f>
        <v>MUJER</v>
      </c>
      <c r="P508" s="8" t="str">
        <f>IF(Titanic[[#This Row],[Edad]]="", "", IF(Titanic[[#This Row],[Edad]]&gt;=100, Titanic[[#This Row],[Edad]] / 10, Titanic[[#This Row],[Edad]]))</f>
        <v/>
      </c>
      <c r="Q508" s="8" t="str">
        <f>IFERROR(LOOKUP(Titanic[[#This Row],[Edad Corrigida]],'Práctica 1'!$K$231:$K$240,'Práctica 1'!$L$231:$L$240), "DESCONOCIDO")</f>
        <v>DESCONOCIDO</v>
      </c>
      <c r="R508" s="8">
        <f>Titanic[[#This Row],[Familia Horizontal]]+Titanic[[#This Row],[Familia Vertical]]</f>
        <v>0</v>
      </c>
      <c r="S508" s="8"/>
      <c r="T508" s="8"/>
      <c r="U508" s="8"/>
      <c r="V508" s="8"/>
    </row>
    <row r="509" spans="2:22" x14ac:dyDescent="0.2">
      <c r="B509" s="6">
        <v>504</v>
      </c>
      <c r="C509" s="7">
        <v>0</v>
      </c>
      <c r="D509" s="8">
        <v>3</v>
      </c>
      <c r="E509" s="8" t="s">
        <v>518</v>
      </c>
      <c r="F509" s="8" t="s">
        <v>14</v>
      </c>
      <c r="G509" s="8">
        <v>37</v>
      </c>
      <c r="H509" s="8">
        <v>0</v>
      </c>
      <c r="I509" s="8">
        <v>0</v>
      </c>
      <c r="J509" s="8">
        <v>95875</v>
      </c>
      <c r="K509" s="8">
        <v>0</v>
      </c>
      <c r="L509" s="8" t="s">
        <v>12</v>
      </c>
      <c r="M509" s="8" t="str">
        <f>IF(Titanic[[#This Row],[Sobrevive]]=1, "SOBREVIVE", "NO SOBREVIVE")</f>
        <v>NO SOBREVIVE</v>
      </c>
      <c r="N509" s="8" t="str">
        <f>LOOKUP(Titanic[[#This Row],[Clase]],{1,2,3}, {"PRIMERA","SEGUNDA","TERCERA"})</f>
        <v>TERCERA</v>
      </c>
      <c r="O509" s="8" t="str">
        <f>IF(Titanic[[#This Row],[Sexo]]="Hombre", "HOMBRE", "MUJER")</f>
        <v>MUJER</v>
      </c>
      <c r="P509" s="8">
        <f>IF(Titanic[[#This Row],[Edad]]="", "", IF(Titanic[[#This Row],[Edad]]&gt;=100, Titanic[[#This Row],[Edad]] / 10, Titanic[[#This Row],[Edad]]))</f>
        <v>37</v>
      </c>
      <c r="Q509" s="8" t="str">
        <f>IFERROR(LOOKUP(Titanic[[#This Row],[Edad Corrigida]],'Práctica 1'!$K$231:$K$240,'Práctica 1'!$L$231:$L$240), "DESCONOCIDO")</f>
        <v>7. ADULTO 2</v>
      </c>
      <c r="R509" s="8">
        <f>Titanic[[#This Row],[Familia Horizontal]]+Titanic[[#This Row],[Familia Vertical]]</f>
        <v>0</v>
      </c>
      <c r="S509" s="8"/>
      <c r="T509" s="8"/>
      <c r="U509" s="8"/>
      <c r="V509" s="8"/>
    </row>
    <row r="510" spans="2:22" x14ac:dyDescent="0.2">
      <c r="B510" s="6">
        <v>505</v>
      </c>
      <c r="C510" s="7">
        <v>1</v>
      </c>
      <c r="D510" s="8">
        <v>1</v>
      </c>
      <c r="E510" s="8" t="s">
        <v>519</v>
      </c>
      <c r="F510" s="8" t="s">
        <v>14</v>
      </c>
      <c r="G510" s="8">
        <v>16</v>
      </c>
      <c r="H510" s="8">
        <v>0</v>
      </c>
      <c r="I510" s="8">
        <v>0</v>
      </c>
      <c r="J510" s="8">
        <v>865</v>
      </c>
      <c r="K510" s="8">
        <v>1</v>
      </c>
      <c r="L510" s="8" t="s">
        <v>12</v>
      </c>
      <c r="M510" s="8" t="str">
        <f>IF(Titanic[[#This Row],[Sobrevive]]=1, "SOBREVIVE", "NO SOBREVIVE")</f>
        <v>SOBREVIVE</v>
      </c>
      <c r="N510" s="8" t="str">
        <f>LOOKUP(Titanic[[#This Row],[Clase]],{1,2,3}, {"PRIMERA","SEGUNDA","TERCERA"})</f>
        <v>PRIMERA</v>
      </c>
      <c r="O510" s="8" t="str">
        <f>IF(Titanic[[#This Row],[Sexo]]="Hombre", "HOMBRE", "MUJER")</f>
        <v>MUJER</v>
      </c>
      <c r="P510" s="8">
        <f>IF(Titanic[[#This Row],[Edad]]="", "", IF(Titanic[[#This Row],[Edad]]&gt;=100, Titanic[[#This Row],[Edad]] / 10, Titanic[[#This Row],[Edad]]))</f>
        <v>16</v>
      </c>
      <c r="Q510" s="8" t="str">
        <f>IFERROR(LOOKUP(Titanic[[#This Row],[Edad Corrigida]],'Práctica 1'!$K$231:$K$240,'Práctica 1'!$L$231:$L$240), "DESCONOCIDO")</f>
        <v>1. INFANTE</v>
      </c>
      <c r="R510" s="8">
        <f>Titanic[[#This Row],[Familia Horizontal]]+Titanic[[#This Row],[Familia Vertical]]</f>
        <v>0</v>
      </c>
      <c r="S510" s="8"/>
      <c r="T510" s="8"/>
      <c r="U510" s="8"/>
      <c r="V510" s="8"/>
    </row>
    <row r="511" spans="2:22" x14ac:dyDescent="0.2">
      <c r="B511" s="6">
        <v>506</v>
      </c>
      <c r="C511" s="7">
        <v>0</v>
      </c>
      <c r="D511" s="8">
        <v>1</v>
      </c>
      <c r="E511" s="8" t="s">
        <v>520</v>
      </c>
      <c r="F511" s="8" t="s">
        <v>11</v>
      </c>
      <c r="G511" s="8">
        <v>18</v>
      </c>
      <c r="H511" s="8">
        <v>1</v>
      </c>
      <c r="I511" s="8">
        <v>0</v>
      </c>
      <c r="J511" s="8">
        <v>1089</v>
      </c>
      <c r="K511" s="8">
        <v>1</v>
      </c>
      <c r="L511" s="8" t="s">
        <v>15</v>
      </c>
      <c r="M511" s="8" t="str">
        <f>IF(Titanic[[#This Row],[Sobrevive]]=1, "SOBREVIVE", "NO SOBREVIVE")</f>
        <v>NO SOBREVIVE</v>
      </c>
      <c r="N511" s="8" t="str">
        <f>LOOKUP(Titanic[[#This Row],[Clase]],{1,2,3}, {"PRIMERA","SEGUNDA","TERCERA"})</f>
        <v>PRIMERA</v>
      </c>
      <c r="O511" s="8" t="str">
        <f>IF(Titanic[[#This Row],[Sexo]]="Hombre", "HOMBRE", "MUJER")</f>
        <v>HOMBRE</v>
      </c>
      <c r="P511" s="8">
        <f>IF(Titanic[[#This Row],[Edad]]="", "", IF(Titanic[[#This Row],[Edad]]&gt;=100, Titanic[[#This Row],[Edad]] / 10, Titanic[[#This Row],[Edad]]))</f>
        <v>18</v>
      </c>
      <c r="Q511" s="8" t="str">
        <f>IFERROR(LOOKUP(Titanic[[#This Row],[Edad Corrigida]],'Práctica 1'!$K$231:$K$240,'Práctica 1'!$L$231:$L$240), "DESCONOCIDO")</f>
        <v>1. INFANTE</v>
      </c>
      <c r="R511" s="8">
        <f>Titanic[[#This Row],[Familia Horizontal]]+Titanic[[#This Row],[Familia Vertical]]</f>
        <v>1</v>
      </c>
      <c r="S511" s="8"/>
      <c r="T511" s="8"/>
      <c r="U511" s="8"/>
      <c r="V511" s="8"/>
    </row>
    <row r="512" spans="2:22" x14ac:dyDescent="0.2">
      <c r="B512" s="6">
        <v>507</v>
      </c>
      <c r="C512" s="7">
        <v>1</v>
      </c>
      <c r="D512" s="8">
        <v>2</v>
      </c>
      <c r="E512" s="8" t="s">
        <v>521</v>
      </c>
      <c r="F512" s="8" t="s">
        <v>14</v>
      </c>
      <c r="G512" s="8">
        <v>33</v>
      </c>
      <c r="H512" s="8">
        <v>0</v>
      </c>
      <c r="I512" s="8">
        <v>2</v>
      </c>
      <c r="J512" s="8">
        <v>26</v>
      </c>
      <c r="K512" s="8">
        <v>0</v>
      </c>
      <c r="L512" s="8" t="s">
        <v>12</v>
      </c>
      <c r="M512" s="8" t="str">
        <f>IF(Titanic[[#This Row],[Sobrevive]]=1, "SOBREVIVE", "NO SOBREVIVE")</f>
        <v>SOBREVIVE</v>
      </c>
      <c r="N512" s="8" t="str">
        <f>LOOKUP(Titanic[[#This Row],[Clase]],{1,2,3}, {"PRIMERA","SEGUNDA","TERCERA"})</f>
        <v>SEGUNDA</v>
      </c>
      <c r="O512" s="8" t="str">
        <f>IF(Titanic[[#This Row],[Sexo]]="Hombre", "HOMBRE", "MUJER")</f>
        <v>MUJER</v>
      </c>
      <c r="P512" s="8">
        <f>IF(Titanic[[#This Row],[Edad]]="", "", IF(Titanic[[#This Row],[Edad]]&gt;=100, Titanic[[#This Row],[Edad]] / 10, Titanic[[#This Row],[Edad]]))</f>
        <v>33</v>
      </c>
      <c r="Q512" s="8" t="str">
        <f>IFERROR(LOOKUP(Titanic[[#This Row],[Edad Corrigida]],'Práctica 1'!$K$231:$K$240,'Práctica 1'!$L$231:$L$240), "DESCONOCIDO")</f>
        <v>6. ADULTO 1</v>
      </c>
      <c r="R512" s="8">
        <f>Titanic[[#This Row],[Familia Horizontal]]+Titanic[[#This Row],[Familia Vertical]]</f>
        <v>2</v>
      </c>
      <c r="S512" s="8"/>
      <c r="T512" s="8"/>
      <c r="U512" s="8"/>
      <c r="V512" s="8"/>
    </row>
    <row r="513" spans="2:22" x14ac:dyDescent="0.2">
      <c r="B513" s="6">
        <v>508</v>
      </c>
      <c r="C513" s="7">
        <v>1</v>
      </c>
      <c r="D513" s="8">
        <v>1</v>
      </c>
      <c r="E513" s="8" t="s">
        <v>522</v>
      </c>
      <c r="F513" s="8" t="s">
        <v>11</v>
      </c>
      <c r="G513" s="9"/>
      <c r="H513" s="8">
        <v>0</v>
      </c>
      <c r="I513" s="8">
        <v>0</v>
      </c>
      <c r="J513" s="8">
        <v>2655</v>
      </c>
      <c r="K513" s="8">
        <v>0</v>
      </c>
      <c r="L513" s="8" t="s">
        <v>12</v>
      </c>
      <c r="M513" s="8" t="str">
        <f>IF(Titanic[[#This Row],[Sobrevive]]=1, "SOBREVIVE", "NO SOBREVIVE")</f>
        <v>SOBREVIVE</v>
      </c>
      <c r="N513" s="8" t="str">
        <f>LOOKUP(Titanic[[#This Row],[Clase]],{1,2,3}, {"PRIMERA","SEGUNDA","TERCERA"})</f>
        <v>PRIMERA</v>
      </c>
      <c r="O513" s="8" t="str">
        <f>IF(Titanic[[#This Row],[Sexo]]="Hombre", "HOMBRE", "MUJER")</f>
        <v>HOMBRE</v>
      </c>
      <c r="P513" s="8" t="str">
        <f>IF(Titanic[[#This Row],[Edad]]="", "", IF(Titanic[[#This Row],[Edad]]&gt;=100, Titanic[[#This Row],[Edad]] / 10, Titanic[[#This Row],[Edad]]))</f>
        <v/>
      </c>
      <c r="Q513" s="8" t="str">
        <f>IFERROR(LOOKUP(Titanic[[#This Row],[Edad Corrigida]],'Práctica 1'!$K$231:$K$240,'Práctica 1'!$L$231:$L$240), "DESCONOCIDO")</f>
        <v>DESCONOCIDO</v>
      </c>
      <c r="R513" s="8">
        <f>Titanic[[#This Row],[Familia Horizontal]]+Titanic[[#This Row],[Familia Vertical]]</f>
        <v>0</v>
      </c>
      <c r="S513" s="8"/>
      <c r="T513" s="8"/>
      <c r="U513" s="8"/>
      <c r="V513" s="8"/>
    </row>
    <row r="514" spans="2:22" x14ac:dyDescent="0.2">
      <c r="B514" s="6">
        <v>509</v>
      </c>
      <c r="C514" s="7">
        <v>0</v>
      </c>
      <c r="D514" s="8">
        <v>3</v>
      </c>
      <c r="E514" s="8" t="s">
        <v>523</v>
      </c>
      <c r="F514" s="8" t="s">
        <v>11</v>
      </c>
      <c r="G514" s="8">
        <v>28</v>
      </c>
      <c r="H514" s="8">
        <v>0</v>
      </c>
      <c r="I514" s="8">
        <v>0</v>
      </c>
      <c r="J514" s="8">
        <v>22525</v>
      </c>
      <c r="K514" s="8">
        <v>0</v>
      </c>
      <c r="L514" s="8" t="s">
        <v>12</v>
      </c>
      <c r="M514" s="8" t="str">
        <f>IF(Titanic[[#This Row],[Sobrevive]]=1, "SOBREVIVE", "NO SOBREVIVE")</f>
        <v>NO SOBREVIVE</v>
      </c>
      <c r="N514" s="8" t="str">
        <f>LOOKUP(Titanic[[#This Row],[Clase]],{1,2,3}, {"PRIMERA","SEGUNDA","TERCERA"})</f>
        <v>TERCERA</v>
      </c>
      <c r="O514" s="8" t="str">
        <f>IF(Titanic[[#This Row],[Sexo]]="Hombre", "HOMBRE", "MUJER")</f>
        <v>HOMBRE</v>
      </c>
      <c r="P514" s="8">
        <f>IF(Titanic[[#This Row],[Edad]]="", "", IF(Titanic[[#This Row],[Edad]]&gt;=100, Titanic[[#This Row],[Edad]] / 10, Titanic[[#This Row],[Edad]]))</f>
        <v>28</v>
      </c>
      <c r="Q514" s="8" t="str">
        <f>IFERROR(LOOKUP(Titanic[[#This Row],[Edad Corrigida]],'Práctica 1'!$K$231:$K$240,'Práctica 1'!$L$231:$L$240), "DESCONOCIDO")</f>
        <v>4. ADULTO JOVEN</v>
      </c>
      <c r="R514" s="8">
        <f>Titanic[[#This Row],[Familia Horizontal]]+Titanic[[#This Row],[Familia Vertical]]</f>
        <v>0</v>
      </c>
      <c r="S514" s="8"/>
      <c r="T514" s="8"/>
      <c r="U514" s="8"/>
      <c r="V514" s="8"/>
    </row>
    <row r="515" spans="2:22" x14ac:dyDescent="0.2">
      <c r="B515" s="6">
        <v>510</v>
      </c>
      <c r="C515" s="7">
        <v>1</v>
      </c>
      <c r="D515" s="8">
        <v>3</v>
      </c>
      <c r="E515" s="8" t="s">
        <v>524</v>
      </c>
      <c r="F515" s="8" t="s">
        <v>11</v>
      </c>
      <c r="G515" s="8">
        <v>26</v>
      </c>
      <c r="H515" s="8">
        <v>0</v>
      </c>
      <c r="I515" s="8">
        <v>0</v>
      </c>
      <c r="J515" s="8">
        <v>564958</v>
      </c>
      <c r="K515" s="8">
        <v>0</v>
      </c>
      <c r="L515" s="8" t="s">
        <v>12</v>
      </c>
      <c r="M515" s="8" t="str">
        <f>IF(Titanic[[#This Row],[Sobrevive]]=1, "SOBREVIVE", "NO SOBREVIVE")</f>
        <v>SOBREVIVE</v>
      </c>
      <c r="N515" s="8" t="str">
        <f>LOOKUP(Titanic[[#This Row],[Clase]],{1,2,3}, {"PRIMERA","SEGUNDA","TERCERA"})</f>
        <v>TERCERA</v>
      </c>
      <c r="O515" s="8" t="str">
        <f>IF(Titanic[[#This Row],[Sexo]]="Hombre", "HOMBRE", "MUJER")</f>
        <v>HOMBRE</v>
      </c>
      <c r="P515" s="8">
        <f>IF(Titanic[[#This Row],[Edad]]="", "", IF(Titanic[[#This Row],[Edad]]&gt;=100, Titanic[[#This Row],[Edad]] / 10, Titanic[[#This Row],[Edad]]))</f>
        <v>26</v>
      </c>
      <c r="Q515" s="8" t="str">
        <f>IFERROR(LOOKUP(Titanic[[#This Row],[Edad Corrigida]],'Práctica 1'!$K$231:$K$240,'Práctica 1'!$L$231:$L$240), "DESCONOCIDO")</f>
        <v>4. ADULTO JOVEN</v>
      </c>
      <c r="R515" s="8">
        <f>Titanic[[#This Row],[Familia Horizontal]]+Titanic[[#This Row],[Familia Vertical]]</f>
        <v>0</v>
      </c>
      <c r="S515" s="8"/>
      <c r="T515" s="8"/>
      <c r="U515" s="8"/>
      <c r="V515" s="8"/>
    </row>
    <row r="516" spans="2:22" x14ac:dyDescent="0.2">
      <c r="B516" s="6">
        <v>511</v>
      </c>
      <c r="C516" s="7">
        <v>1</v>
      </c>
      <c r="D516" s="8">
        <v>3</v>
      </c>
      <c r="E516" s="8" t="s">
        <v>525</v>
      </c>
      <c r="F516" s="8" t="s">
        <v>11</v>
      </c>
      <c r="G516" s="8">
        <v>29</v>
      </c>
      <c r="H516" s="8">
        <v>0</v>
      </c>
      <c r="I516" s="8">
        <v>0</v>
      </c>
      <c r="J516" s="8">
        <v>775</v>
      </c>
      <c r="K516" s="8">
        <v>0</v>
      </c>
      <c r="L516" s="8" t="s">
        <v>20</v>
      </c>
      <c r="M516" s="8" t="str">
        <f>IF(Titanic[[#This Row],[Sobrevive]]=1, "SOBREVIVE", "NO SOBREVIVE")</f>
        <v>SOBREVIVE</v>
      </c>
      <c r="N516" s="8" t="str">
        <f>LOOKUP(Titanic[[#This Row],[Clase]],{1,2,3}, {"PRIMERA","SEGUNDA","TERCERA"})</f>
        <v>TERCERA</v>
      </c>
      <c r="O516" s="8" t="str">
        <f>IF(Titanic[[#This Row],[Sexo]]="Hombre", "HOMBRE", "MUJER")</f>
        <v>HOMBRE</v>
      </c>
      <c r="P516" s="8">
        <f>IF(Titanic[[#This Row],[Edad]]="", "", IF(Titanic[[#This Row],[Edad]]&gt;=100, Titanic[[#This Row],[Edad]] / 10, Titanic[[#This Row],[Edad]]))</f>
        <v>29</v>
      </c>
      <c r="Q516" s="8" t="str">
        <f>IFERROR(LOOKUP(Titanic[[#This Row],[Edad Corrigida]],'Práctica 1'!$K$231:$K$240,'Práctica 1'!$L$231:$L$240), "DESCONOCIDO")</f>
        <v>5. ADULTO</v>
      </c>
      <c r="R516" s="8">
        <f>Titanic[[#This Row],[Familia Horizontal]]+Titanic[[#This Row],[Familia Vertical]]</f>
        <v>0</v>
      </c>
      <c r="S516" s="8"/>
      <c r="T516" s="8"/>
      <c r="U516" s="8"/>
      <c r="V516" s="8"/>
    </row>
    <row r="517" spans="2:22" x14ac:dyDescent="0.2">
      <c r="B517" s="6">
        <v>512</v>
      </c>
      <c r="C517" s="7">
        <v>0</v>
      </c>
      <c r="D517" s="8">
        <v>3</v>
      </c>
      <c r="E517" s="8" t="s">
        <v>526</v>
      </c>
      <c r="F517" s="8" t="s">
        <v>11</v>
      </c>
      <c r="G517" s="9"/>
      <c r="H517" s="8">
        <v>0</v>
      </c>
      <c r="I517" s="8">
        <v>0</v>
      </c>
      <c r="J517" s="8">
        <v>805</v>
      </c>
      <c r="K517" s="8">
        <v>0</v>
      </c>
      <c r="L517" s="8" t="s">
        <v>12</v>
      </c>
      <c r="M517" s="8" t="str">
        <f>IF(Titanic[[#This Row],[Sobrevive]]=1, "SOBREVIVE", "NO SOBREVIVE")</f>
        <v>NO SOBREVIVE</v>
      </c>
      <c r="N517" s="8" t="str">
        <f>LOOKUP(Titanic[[#This Row],[Clase]],{1,2,3}, {"PRIMERA","SEGUNDA","TERCERA"})</f>
        <v>TERCERA</v>
      </c>
      <c r="O517" s="8" t="str">
        <f>IF(Titanic[[#This Row],[Sexo]]="Hombre", "HOMBRE", "MUJER")</f>
        <v>HOMBRE</v>
      </c>
      <c r="P517" s="8" t="str">
        <f>IF(Titanic[[#This Row],[Edad]]="", "", IF(Titanic[[#This Row],[Edad]]&gt;=100, Titanic[[#This Row],[Edad]] / 10, Titanic[[#This Row],[Edad]]))</f>
        <v/>
      </c>
      <c r="Q517" s="8" t="str">
        <f>IFERROR(LOOKUP(Titanic[[#This Row],[Edad Corrigida]],'Práctica 1'!$K$231:$K$240,'Práctica 1'!$L$231:$L$240), "DESCONOCIDO")</f>
        <v>DESCONOCIDO</v>
      </c>
      <c r="R517" s="8">
        <f>Titanic[[#This Row],[Familia Horizontal]]+Titanic[[#This Row],[Familia Vertical]]</f>
        <v>0</v>
      </c>
      <c r="S517" s="8"/>
      <c r="T517" s="8"/>
      <c r="U517" s="8"/>
      <c r="V517" s="8"/>
    </row>
    <row r="518" spans="2:22" x14ac:dyDescent="0.2">
      <c r="B518" s="6">
        <v>513</v>
      </c>
      <c r="C518" s="7">
        <v>1</v>
      </c>
      <c r="D518" s="8">
        <v>1</v>
      </c>
      <c r="E518" s="8" t="s">
        <v>527</v>
      </c>
      <c r="F518" s="8" t="s">
        <v>11</v>
      </c>
      <c r="G518" s="8">
        <v>36</v>
      </c>
      <c r="H518" s="8">
        <v>0</v>
      </c>
      <c r="I518" s="8">
        <v>0</v>
      </c>
      <c r="J518" s="8">
        <v>262875</v>
      </c>
      <c r="K518" s="8">
        <v>1</v>
      </c>
      <c r="L518" s="8" t="s">
        <v>12</v>
      </c>
      <c r="M518" s="8" t="str">
        <f>IF(Titanic[[#This Row],[Sobrevive]]=1, "SOBREVIVE", "NO SOBREVIVE")</f>
        <v>SOBREVIVE</v>
      </c>
      <c r="N518" s="8" t="str">
        <f>LOOKUP(Titanic[[#This Row],[Clase]],{1,2,3}, {"PRIMERA","SEGUNDA","TERCERA"})</f>
        <v>PRIMERA</v>
      </c>
      <c r="O518" s="8" t="str">
        <f>IF(Titanic[[#This Row],[Sexo]]="Hombre", "HOMBRE", "MUJER")</f>
        <v>HOMBRE</v>
      </c>
      <c r="P518" s="8">
        <f>IF(Titanic[[#This Row],[Edad]]="", "", IF(Titanic[[#This Row],[Edad]]&gt;=100, Titanic[[#This Row],[Edad]] / 10, Titanic[[#This Row],[Edad]]))</f>
        <v>36</v>
      </c>
      <c r="Q518" s="8" t="str">
        <f>IFERROR(LOOKUP(Titanic[[#This Row],[Edad Corrigida]],'Práctica 1'!$K$231:$K$240,'Práctica 1'!$L$231:$L$240), "DESCONOCIDO")</f>
        <v>7. ADULTO 2</v>
      </c>
      <c r="R518" s="8">
        <f>Titanic[[#This Row],[Familia Horizontal]]+Titanic[[#This Row],[Familia Vertical]]</f>
        <v>0</v>
      </c>
      <c r="S518" s="8"/>
      <c r="T518" s="8"/>
      <c r="U518" s="8"/>
      <c r="V518" s="8"/>
    </row>
    <row r="519" spans="2:22" x14ac:dyDescent="0.2">
      <c r="B519" s="6">
        <v>514</v>
      </c>
      <c r="C519" s="7">
        <v>1</v>
      </c>
      <c r="D519" s="8">
        <v>1</v>
      </c>
      <c r="E519" s="8" t="s">
        <v>528</v>
      </c>
      <c r="F519" s="8" t="s">
        <v>14</v>
      </c>
      <c r="G519" s="8">
        <v>54</v>
      </c>
      <c r="H519" s="8">
        <v>1</v>
      </c>
      <c r="I519" s="8">
        <v>0</v>
      </c>
      <c r="J519" s="8">
        <v>594</v>
      </c>
      <c r="K519" s="8">
        <v>0</v>
      </c>
      <c r="L519" s="8" t="s">
        <v>15</v>
      </c>
      <c r="M519" s="8" t="str">
        <f>IF(Titanic[[#This Row],[Sobrevive]]=1, "SOBREVIVE", "NO SOBREVIVE")</f>
        <v>SOBREVIVE</v>
      </c>
      <c r="N519" s="8" t="str">
        <f>LOOKUP(Titanic[[#This Row],[Clase]],{1,2,3}, {"PRIMERA","SEGUNDA","TERCERA"})</f>
        <v>PRIMERA</v>
      </c>
      <c r="O519" s="8" t="str">
        <f>IF(Titanic[[#This Row],[Sexo]]="Hombre", "HOMBRE", "MUJER")</f>
        <v>MUJER</v>
      </c>
      <c r="P519" s="8">
        <f>IF(Titanic[[#This Row],[Edad]]="", "", IF(Titanic[[#This Row],[Edad]]&gt;=100, Titanic[[#This Row],[Edad]] / 10, Titanic[[#This Row],[Edad]]))</f>
        <v>54</v>
      </c>
      <c r="Q519" s="8" t="str">
        <f>IFERROR(LOOKUP(Titanic[[#This Row],[Edad Corrigida]],'Práctica 1'!$K$231:$K$240,'Práctica 1'!$L$231:$L$240), "DESCONOCIDO")</f>
        <v>9. ADULTO 4</v>
      </c>
      <c r="R519" s="8">
        <f>Titanic[[#This Row],[Familia Horizontal]]+Titanic[[#This Row],[Familia Vertical]]</f>
        <v>1</v>
      </c>
      <c r="S519" s="8"/>
      <c r="T519" s="8"/>
      <c r="U519" s="8"/>
      <c r="V519" s="8"/>
    </row>
    <row r="520" spans="2:22" x14ac:dyDescent="0.2">
      <c r="B520" s="6">
        <v>515</v>
      </c>
      <c r="C520" s="7">
        <v>0</v>
      </c>
      <c r="D520" s="8">
        <v>3</v>
      </c>
      <c r="E520" s="8" t="s">
        <v>529</v>
      </c>
      <c r="F520" s="8" t="s">
        <v>11</v>
      </c>
      <c r="G520" s="8">
        <v>24</v>
      </c>
      <c r="H520" s="8">
        <v>0</v>
      </c>
      <c r="I520" s="8">
        <v>0</v>
      </c>
      <c r="J520" s="8">
        <v>74958</v>
      </c>
      <c r="K520" s="8">
        <v>0</v>
      </c>
      <c r="L520" s="8" t="s">
        <v>12</v>
      </c>
      <c r="M520" s="8" t="str">
        <f>IF(Titanic[[#This Row],[Sobrevive]]=1, "SOBREVIVE", "NO SOBREVIVE")</f>
        <v>NO SOBREVIVE</v>
      </c>
      <c r="N520" s="8" t="str">
        <f>LOOKUP(Titanic[[#This Row],[Clase]],{1,2,3}, {"PRIMERA","SEGUNDA","TERCERA"})</f>
        <v>TERCERA</v>
      </c>
      <c r="O520" s="8" t="str">
        <f>IF(Titanic[[#This Row],[Sexo]]="Hombre", "HOMBRE", "MUJER")</f>
        <v>HOMBRE</v>
      </c>
      <c r="P520" s="8">
        <f>IF(Titanic[[#This Row],[Edad]]="", "", IF(Titanic[[#This Row],[Edad]]&gt;=100, Titanic[[#This Row],[Edad]] / 10, Titanic[[#This Row],[Edad]]))</f>
        <v>24</v>
      </c>
      <c r="Q520" s="8" t="str">
        <f>IFERROR(LOOKUP(Titanic[[#This Row],[Edad Corrigida]],'Práctica 1'!$K$231:$K$240,'Práctica 1'!$L$231:$L$240), "DESCONOCIDO")</f>
        <v>3. JOVEN</v>
      </c>
      <c r="R520" s="8">
        <f>Titanic[[#This Row],[Familia Horizontal]]+Titanic[[#This Row],[Familia Vertical]]</f>
        <v>0</v>
      </c>
      <c r="S520" s="8"/>
      <c r="T520" s="8"/>
      <c r="U520" s="8"/>
      <c r="V520" s="8"/>
    </row>
    <row r="521" spans="2:22" x14ac:dyDescent="0.2">
      <c r="B521" s="6">
        <v>516</v>
      </c>
      <c r="C521" s="7">
        <v>0</v>
      </c>
      <c r="D521" s="8">
        <v>1</v>
      </c>
      <c r="E521" s="8" t="s">
        <v>530</v>
      </c>
      <c r="F521" s="8" t="s">
        <v>11</v>
      </c>
      <c r="G521" s="8">
        <v>47</v>
      </c>
      <c r="H521" s="8">
        <v>0</v>
      </c>
      <c r="I521" s="8">
        <v>0</v>
      </c>
      <c r="J521" s="8">
        <v>340208</v>
      </c>
      <c r="K521" s="8">
        <v>1</v>
      </c>
      <c r="L521" s="8" t="s">
        <v>12</v>
      </c>
      <c r="M521" s="8" t="str">
        <f>IF(Titanic[[#This Row],[Sobrevive]]=1, "SOBREVIVE", "NO SOBREVIVE")</f>
        <v>NO SOBREVIVE</v>
      </c>
      <c r="N521" s="8" t="str">
        <f>LOOKUP(Titanic[[#This Row],[Clase]],{1,2,3}, {"PRIMERA","SEGUNDA","TERCERA"})</f>
        <v>PRIMERA</v>
      </c>
      <c r="O521" s="8" t="str">
        <f>IF(Titanic[[#This Row],[Sexo]]="Hombre", "HOMBRE", "MUJER")</f>
        <v>HOMBRE</v>
      </c>
      <c r="P521" s="8">
        <f>IF(Titanic[[#This Row],[Edad]]="", "", IF(Titanic[[#This Row],[Edad]]&gt;=100, Titanic[[#This Row],[Edad]] / 10, Titanic[[#This Row],[Edad]]))</f>
        <v>47</v>
      </c>
      <c r="Q521" s="8" t="str">
        <f>IFERROR(LOOKUP(Titanic[[#This Row],[Edad Corrigida]],'Práctica 1'!$K$231:$K$240,'Práctica 1'!$L$231:$L$240), "DESCONOCIDO")</f>
        <v>8. ADULTO 3</v>
      </c>
      <c r="R521" s="8">
        <f>Titanic[[#This Row],[Familia Horizontal]]+Titanic[[#This Row],[Familia Vertical]]</f>
        <v>0</v>
      </c>
      <c r="S521" s="8"/>
      <c r="T521" s="8"/>
      <c r="U521" s="8"/>
      <c r="V521" s="8"/>
    </row>
    <row r="522" spans="2:22" x14ac:dyDescent="0.2">
      <c r="B522" s="6">
        <v>517</v>
      </c>
      <c r="C522" s="7">
        <v>1</v>
      </c>
      <c r="D522" s="8">
        <v>2</v>
      </c>
      <c r="E522" s="8" t="s">
        <v>531</v>
      </c>
      <c r="F522" s="8" t="s">
        <v>14</v>
      </c>
      <c r="G522" s="8">
        <v>34</v>
      </c>
      <c r="H522" s="8">
        <v>0</v>
      </c>
      <c r="I522" s="8">
        <v>0</v>
      </c>
      <c r="J522" s="8">
        <v>105</v>
      </c>
      <c r="K522" s="8">
        <v>1</v>
      </c>
      <c r="L522" s="8" t="s">
        <v>12</v>
      </c>
      <c r="M522" s="8" t="str">
        <f>IF(Titanic[[#This Row],[Sobrevive]]=1, "SOBREVIVE", "NO SOBREVIVE")</f>
        <v>SOBREVIVE</v>
      </c>
      <c r="N522" s="8" t="str">
        <f>LOOKUP(Titanic[[#This Row],[Clase]],{1,2,3}, {"PRIMERA","SEGUNDA","TERCERA"})</f>
        <v>SEGUNDA</v>
      </c>
      <c r="O522" s="8" t="str">
        <f>IF(Titanic[[#This Row],[Sexo]]="Hombre", "HOMBRE", "MUJER")</f>
        <v>MUJER</v>
      </c>
      <c r="P522" s="8">
        <f>IF(Titanic[[#This Row],[Edad]]="", "", IF(Titanic[[#This Row],[Edad]]&gt;=100, Titanic[[#This Row],[Edad]] / 10, Titanic[[#This Row],[Edad]]))</f>
        <v>34</v>
      </c>
      <c r="Q522" s="8" t="str">
        <f>IFERROR(LOOKUP(Titanic[[#This Row],[Edad Corrigida]],'Práctica 1'!$K$231:$K$240,'Práctica 1'!$L$231:$L$240), "DESCONOCIDO")</f>
        <v>6. ADULTO 1</v>
      </c>
      <c r="R522" s="8">
        <f>Titanic[[#This Row],[Familia Horizontal]]+Titanic[[#This Row],[Familia Vertical]]</f>
        <v>0</v>
      </c>
      <c r="S522" s="8"/>
      <c r="T522" s="8"/>
      <c r="U522" s="8"/>
      <c r="V522" s="8"/>
    </row>
    <row r="523" spans="2:22" x14ac:dyDescent="0.2">
      <c r="B523" s="6">
        <v>518</v>
      </c>
      <c r="C523" s="7">
        <v>0</v>
      </c>
      <c r="D523" s="8">
        <v>3</v>
      </c>
      <c r="E523" s="8" t="s">
        <v>532</v>
      </c>
      <c r="F523" s="8" t="s">
        <v>11</v>
      </c>
      <c r="G523" s="9"/>
      <c r="H523" s="8">
        <v>0</v>
      </c>
      <c r="I523" s="8">
        <v>0</v>
      </c>
      <c r="J523" s="8">
        <v>2415</v>
      </c>
      <c r="K523" s="8">
        <v>0</v>
      </c>
      <c r="L523" s="8" t="s">
        <v>20</v>
      </c>
      <c r="M523" s="8" t="str">
        <f>IF(Titanic[[#This Row],[Sobrevive]]=1, "SOBREVIVE", "NO SOBREVIVE")</f>
        <v>NO SOBREVIVE</v>
      </c>
      <c r="N523" s="8" t="str">
        <f>LOOKUP(Titanic[[#This Row],[Clase]],{1,2,3}, {"PRIMERA","SEGUNDA","TERCERA"})</f>
        <v>TERCERA</v>
      </c>
      <c r="O523" s="8" t="str">
        <f>IF(Titanic[[#This Row],[Sexo]]="Hombre", "HOMBRE", "MUJER")</f>
        <v>HOMBRE</v>
      </c>
      <c r="P523" s="8" t="str">
        <f>IF(Titanic[[#This Row],[Edad]]="", "", IF(Titanic[[#This Row],[Edad]]&gt;=100, Titanic[[#This Row],[Edad]] / 10, Titanic[[#This Row],[Edad]]))</f>
        <v/>
      </c>
      <c r="Q523" s="8" t="str">
        <f>IFERROR(LOOKUP(Titanic[[#This Row],[Edad Corrigida]],'Práctica 1'!$K$231:$K$240,'Práctica 1'!$L$231:$L$240), "DESCONOCIDO")</f>
        <v>DESCONOCIDO</v>
      </c>
      <c r="R523" s="8">
        <f>Titanic[[#This Row],[Familia Horizontal]]+Titanic[[#This Row],[Familia Vertical]]</f>
        <v>0</v>
      </c>
      <c r="S523" s="8"/>
      <c r="T523" s="8"/>
      <c r="U523" s="8"/>
      <c r="V523" s="8"/>
    </row>
    <row r="524" spans="2:22" x14ac:dyDescent="0.2">
      <c r="B524" s="6">
        <v>519</v>
      </c>
      <c r="C524" s="7">
        <v>1</v>
      </c>
      <c r="D524" s="8">
        <v>2</v>
      </c>
      <c r="E524" s="8" t="s">
        <v>533</v>
      </c>
      <c r="F524" s="8" t="s">
        <v>14</v>
      </c>
      <c r="G524" s="8">
        <v>36</v>
      </c>
      <c r="H524" s="8">
        <v>1</v>
      </c>
      <c r="I524" s="8">
        <v>0</v>
      </c>
      <c r="J524" s="8">
        <v>26</v>
      </c>
      <c r="K524" s="8">
        <v>0</v>
      </c>
      <c r="L524" s="8" t="s">
        <v>12</v>
      </c>
      <c r="M524" s="8" t="str">
        <f>IF(Titanic[[#This Row],[Sobrevive]]=1, "SOBREVIVE", "NO SOBREVIVE")</f>
        <v>SOBREVIVE</v>
      </c>
      <c r="N524" s="8" t="str">
        <f>LOOKUP(Titanic[[#This Row],[Clase]],{1,2,3}, {"PRIMERA","SEGUNDA","TERCERA"})</f>
        <v>SEGUNDA</v>
      </c>
      <c r="O524" s="8" t="str">
        <f>IF(Titanic[[#This Row],[Sexo]]="Hombre", "HOMBRE", "MUJER")</f>
        <v>MUJER</v>
      </c>
      <c r="P524" s="8">
        <f>IF(Titanic[[#This Row],[Edad]]="", "", IF(Titanic[[#This Row],[Edad]]&gt;=100, Titanic[[#This Row],[Edad]] / 10, Titanic[[#This Row],[Edad]]))</f>
        <v>36</v>
      </c>
      <c r="Q524" s="8" t="str">
        <f>IFERROR(LOOKUP(Titanic[[#This Row],[Edad Corrigida]],'Práctica 1'!$K$231:$K$240,'Práctica 1'!$L$231:$L$240), "DESCONOCIDO")</f>
        <v>7. ADULTO 2</v>
      </c>
      <c r="R524" s="8">
        <f>Titanic[[#This Row],[Familia Horizontal]]+Titanic[[#This Row],[Familia Vertical]]</f>
        <v>1</v>
      </c>
      <c r="S524" s="8"/>
      <c r="T524" s="8"/>
      <c r="U524" s="8"/>
      <c r="V524" s="8"/>
    </row>
    <row r="525" spans="2:22" x14ac:dyDescent="0.2">
      <c r="B525" s="6">
        <v>520</v>
      </c>
      <c r="C525" s="7">
        <v>0</v>
      </c>
      <c r="D525" s="8">
        <v>3</v>
      </c>
      <c r="E525" s="8" t="s">
        <v>534</v>
      </c>
      <c r="F525" s="8" t="s">
        <v>11</v>
      </c>
      <c r="G525" s="8">
        <v>32</v>
      </c>
      <c r="H525" s="8">
        <v>0</v>
      </c>
      <c r="I525" s="8">
        <v>0</v>
      </c>
      <c r="J525" s="8">
        <v>78958</v>
      </c>
      <c r="K525" s="8">
        <v>0</v>
      </c>
      <c r="L525" s="8" t="s">
        <v>12</v>
      </c>
      <c r="M525" s="8" t="str">
        <f>IF(Titanic[[#This Row],[Sobrevive]]=1, "SOBREVIVE", "NO SOBREVIVE")</f>
        <v>NO SOBREVIVE</v>
      </c>
      <c r="N525" s="8" t="str">
        <f>LOOKUP(Titanic[[#This Row],[Clase]],{1,2,3}, {"PRIMERA","SEGUNDA","TERCERA"})</f>
        <v>TERCERA</v>
      </c>
      <c r="O525" s="8" t="str">
        <f>IF(Titanic[[#This Row],[Sexo]]="Hombre", "HOMBRE", "MUJER")</f>
        <v>HOMBRE</v>
      </c>
      <c r="P525" s="8">
        <f>IF(Titanic[[#This Row],[Edad]]="", "", IF(Titanic[[#This Row],[Edad]]&gt;=100, Titanic[[#This Row],[Edad]] / 10, Titanic[[#This Row],[Edad]]))</f>
        <v>32</v>
      </c>
      <c r="Q525" s="8" t="str">
        <f>IFERROR(LOOKUP(Titanic[[#This Row],[Edad Corrigida]],'Práctica 1'!$K$231:$K$240,'Práctica 1'!$L$231:$L$240), "DESCONOCIDO")</f>
        <v>6. ADULTO 1</v>
      </c>
      <c r="R525" s="8">
        <f>Titanic[[#This Row],[Familia Horizontal]]+Titanic[[#This Row],[Familia Vertical]]</f>
        <v>0</v>
      </c>
      <c r="S525" s="8"/>
      <c r="T525" s="8"/>
      <c r="U525" s="8"/>
      <c r="V525" s="8"/>
    </row>
    <row r="526" spans="2:22" x14ac:dyDescent="0.2">
      <c r="B526" s="6">
        <v>521</v>
      </c>
      <c r="C526" s="7">
        <v>1</v>
      </c>
      <c r="D526" s="8">
        <v>1</v>
      </c>
      <c r="E526" s="8" t="s">
        <v>535</v>
      </c>
      <c r="F526" s="8" t="s">
        <v>14</v>
      </c>
      <c r="G526" s="8">
        <v>30</v>
      </c>
      <c r="H526" s="8">
        <v>0</v>
      </c>
      <c r="I526" s="8">
        <v>0</v>
      </c>
      <c r="J526" s="8">
        <v>935</v>
      </c>
      <c r="K526" s="8">
        <v>1</v>
      </c>
      <c r="L526" s="8" t="s">
        <v>12</v>
      </c>
      <c r="M526" s="8" t="str">
        <f>IF(Titanic[[#This Row],[Sobrevive]]=1, "SOBREVIVE", "NO SOBREVIVE")</f>
        <v>SOBREVIVE</v>
      </c>
      <c r="N526" s="8" t="str">
        <f>LOOKUP(Titanic[[#This Row],[Clase]],{1,2,3}, {"PRIMERA","SEGUNDA","TERCERA"})</f>
        <v>PRIMERA</v>
      </c>
      <c r="O526" s="8" t="str">
        <f>IF(Titanic[[#This Row],[Sexo]]="Hombre", "HOMBRE", "MUJER")</f>
        <v>MUJER</v>
      </c>
      <c r="P526" s="8">
        <f>IF(Titanic[[#This Row],[Edad]]="", "", IF(Titanic[[#This Row],[Edad]]&gt;=100, Titanic[[#This Row],[Edad]] / 10, Titanic[[#This Row],[Edad]]))</f>
        <v>30</v>
      </c>
      <c r="Q526" s="8" t="str">
        <f>IFERROR(LOOKUP(Titanic[[#This Row],[Edad Corrigida]],'Práctica 1'!$K$231:$K$240,'Práctica 1'!$L$231:$L$240), "DESCONOCIDO")</f>
        <v>5. ADULTO</v>
      </c>
      <c r="R526" s="8">
        <f>Titanic[[#This Row],[Familia Horizontal]]+Titanic[[#This Row],[Familia Vertical]]</f>
        <v>0</v>
      </c>
      <c r="S526" s="8"/>
      <c r="T526" s="8"/>
      <c r="U526" s="8"/>
      <c r="V526" s="8"/>
    </row>
    <row r="527" spans="2:22" x14ac:dyDescent="0.2">
      <c r="B527" s="6">
        <v>522</v>
      </c>
      <c r="C527" s="7">
        <v>0</v>
      </c>
      <c r="D527" s="8">
        <v>3</v>
      </c>
      <c r="E527" s="8" t="s">
        <v>536</v>
      </c>
      <c r="F527" s="8" t="s">
        <v>11</v>
      </c>
      <c r="G527" s="8">
        <v>22</v>
      </c>
      <c r="H527" s="8">
        <v>0</v>
      </c>
      <c r="I527" s="8">
        <v>0</v>
      </c>
      <c r="J527" s="8">
        <v>78958</v>
      </c>
      <c r="K527" s="8">
        <v>0</v>
      </c>
      <c r="L527" s="8" t="s">
        <v>12</v>
      </c>
      <c r="M527" s="8" t="str">
        <f>IF(Titanic[[#This Row],[Sobrevive]]=1, "SOBREVIVE", "NO SOBREVIVE")</f>
        <v>NO SOBREVIVE</v>
      </c>
      <c r="N527" s="8" t="str">
        <f>LOOKUP(Titanic[[#This Row],[Clase]],{1,2,3}, {"PRIMERA","SEGUNDA","TERCERA"})</f>
        <v>TERCERA</v>
      </c>
      <c r="O527" s="8" t="str">
        <f>IF(Titanic[[#This Row],[Sexo]]="Hombre", "HOMBRE", "MUJER")</f>
        <v>HOMBRE</v>
      </c>
      <c r="P527" s="8">
        <f>IF(Titanic[[#This Row],[Edad]]="", "", IF(Titanic[[#This Row],[Edad]]&gt;=100, Titanic[[#This Row],[Edad]] / 10, Titanic[[#This Row],[Edad]]))</f>
        <v>22</v>
      </c>
      <c r="Q527" s="8" t="str">
        <f>IFERROR(LOOKUP(Titanic[[#This Row],[Edad Corrigida]],'Práctica 1'!$K$231:$K$240,'Práctica 1'!$L$231:$L$240), "DESCONOCIDO")</f>
        <v>3. JOVEN</v>
      </c>
      <c r="R527" s="8">
        <f>Titanic[[#This Row],[Familia Horizontal]]+Titanic[[#This Row],[Familia Vertical]]</f>
        <v>0</v>
      </c>
      <c r="S527" s="8"/>
      <c r="T527" s="8"/>
      <c r="U527" s="8"/>
      <c r="V527" s="8"/>
    </row>
    <row r="528" spans="2:22" x14ac:dyDescent="0.2">
      <c r="B528" s="6">
        <v>523</v>
      </c>
      <c r="C528" s="7">
        <v>0</v>
      </c>
      <c r="D528" s="8">
        <v>3</v>
      </c>
      <c r="E528" s="8" t="s">
        <v>537</v>
      </c>
      <c r="F528" s="8" t="s">
        <v>11</v>
      </c>
      <c r="G528" s="9"/>
      <c r="H528" s="8">
        <v>0</v>
      </c>
      <c r="I528" s="8">
        <v>0</v>
      </c>
      <c r="J528" s="8">
        <v>7225</v>
      </c>
      <c r="K528" s="8">
        <v>0</v>
      </c>
      <c r="L528" s="8" t="s">
        <v>15</v>
      </c>
      <c r="M528" s="8" t="str">
        <f>IF(Titanic[[#This Row],[Sobrevive]]=1, "SOBREVIVE", "NO SOBREVIVE")</f>
        <v>NO SOBREVIVE</v>
      </c>
      <c r="N528" s="8" t="str">
        <f>LOOKUP(Titanic[[#This Row],[Clase]],{1,2,3}, {"PRIMERA","SEGUNDA","TERCERA"})</f>
        <v>TERCERA</v>
      </c>
      <c r="O528" s="8" t="str">
        <f>IF(Titanic[[#This Row],[Sexo]]="Hombre", "HOMBRE", "MUJER")</f>
        <v>HOMBRE</v>
      </c>
      <c r="P528" s="8" t="str">
        <f>IF(Titanic[[#This Row],[Edad]]="", "", IF(Titanic[[#This Row],[Edad]]&gt;=100, Titanic[[#This Row],[Edad]] / 10, Titanic[[#This Row],[Edad]]))</f>
        <v/>
      </c>
      <c r="Q528" s="8" t="str">
        <f>IFERROR(LOOKUP(Titanic[[#This Row],[Edad Corrigida]],'Práctica 1'!$K$231:$K$240,'Práctica 1'!$L$231:$L$240), "DESCONOCIDO")</f>
        <v>DESCONOCIDO</v>
      </c>
      <c r="R528" s="8">
        <f>Titanic[[#This Row],[Familia Horizontal]]+Titanic[[#This Row],[Familia Vertical]]</f>
        <v>0</v>
      </c>
      <c r="S528" s="8"/>
      <c r="T528" s="8"/>
      <c r="U528" s="8"/>
      <c r="V528" s="8"/>
    </row>
    <row r="529" spans="2:22" x14ac:dyDescent="0.2">
      <c r="B529" s="6">
        <v>524</v>
      </c>
      <c r="C529" s="7">
        <v>1</v>
      </c>
      <c r="D529" s="8">
        <v>1</v>
      </c>
      <c r="E529" s="8" t="s">
        <v>538</v>
      </c>
      <c r="F529" s="8" t="s">
        <v>14</v>
      </c>
      <c r="G529" s="8">
        <v>44</v>
      </c>
      <c r="H529" s="8">
        <v>0</v>
      </c>
      <c r="I529" s="8">
        <v>1</v>
      </c>
      <c r="J529" s="8">
        <v>579792</v>
      </c>
      <c r="K529" s="8">
        <v>1</v>
      </c>
      <c r="L529" s="8" t="s">
        <v>15</v>
      </c>
      <c r="M529" s="8" t="str">
        <f>IF(Titanic[[#This Row],[Sobrevive]]=1, "SOBREVIVE", "NO SOBREVIVE")</f>
        <v>SOBREVIVE</v>
      </c>
      <c r="N529" s="8" t="str">
        <f>LOOKUP(Titanic[[#This Row],[Clase]],{1,2,3}, {"PRIMERA","SEGUNDA","TERCERA"})</f>
        <v>PRIMERA</v>
      </c>
      <c r="O529" s="8" t="str">
        <f>IF(Titanic[[#This Row],[Sexo]]="Hombre", "HOMBRE", "MUJER")</f>
        <v>MUJER</v>
      </c>
      <c r="P529" s="8">
        <f>IF(Titanic[[#This Row],[Edad]]="", "", IF(Titanic[[#This Row],[Edad]]&gt;=100, Titanic[[#This Row],[Edad]] / 10, Titanic[[#This Row],[Edad]]))</f>
        <v>44</v>
      </c>
      <c r="Q529" s="8" t="str">
        <f>IFERROR(LOOKUP(Titanic[[#This Row],[Edad Corrigida]],'Práctica 1'!$K$231:$K$240,'Práctica 1'!$L$231:$L$240), "DESCONOCIDO")</f>
        <v>8. ADULTO 3</v>
      </c>
      <c r="R529" s="8">
        <f>Titanic[[#This Row],[Familia Horizontal]]+Titanic[[#This Row],[Familia Vertical]]</f>
        <v>1</v>
      </c>
      <c r="S529" s="8"/>
      <c r="T529" s="8"/>
      <c r="U529" s="8"/>
      <c r="V529" s="8"/>
    </row>
    <row r="530" spans="2:22" x14ac:dyDescent="0.2">
      <c r="B530" s="6">
        <v>525</v>
      </c>
      <c r="C530" s="7">
        <v>0</v>
      </c>
      <c r="D530" s="8">
        <v>3</v>
      </c>
      <c r="E530" s="8" t="s">
        <v>539</v>
      </c>
      <c r="F530" s="8" t="s">
        <v>11</v>
      </c>
      <c r="G530" s="9"/>
      <c r="H530" s="8">
        <v>0</v>
      </c>
      <c r="I530" s="8">
        <v>0</v>
      </c>
      <c r="J530" s="8">
        <v>72292</v>
      </c>
      <c r="K530" s="8">
        <v>0</v>
      </c>
      <c r="L530" s="8" t="s">
        <v>15</v>
      </c>
      <c r="M530" s="8" t="str">
        <f>IF(Titanic[[#This Row],[Sobrevive]]=1, "SOBREVIVE", "NO SOBREVIVE")</f>
        <v>NO SOBREVIVE</v>
      </c>
      <c r="N530" s="8" t="str">
        <f>LOOKUP(Titanic[[#This Row],[Clase]],{1,2,3}, {"PRIMERA","SEGUNDA","TERCERA"})</f>
        <v>TERCERA</v>
      </c>
      <c r="O530" s="8" t="str">
        <f>IF(Titanic[[#This Row],[Sexo]]="Hombre", "HOMBRE", "MUJER")</f>
        <v>HOMBRE</v>
      </c>
      <c r="P530" s="8" t="str">
        <f>IF(Titanic[[#This Row],[Edad]]="", "", IF(Titanic[[#This Row],[Edad]]&gt;=100, Titanic[[#This Row],[Edad]] / 10, Titanic[[#This Row],[Edad]]))</f>
        <v/>
      </c>
      <c r="Q530" s="8" t="str">
        <f>IFERROR(LOOKUP(Titanic[[#This Row],[Edad Corrigida]],'Práctica 1'!$K$231:$K$240,'Práctica 1'!$L$231:$L$240), "DESCONOCIDO")</f>
        <v>DESCONOCIDO</v>
      </c>
      <c r="R530" s="8">
        <f>Titanic[[#This Row],[Familia Horizontal]]+Titanic[[#This Row],[Familia Vertical]]</f>
        <v>0</v>
      </c>
      <c r="S530" s="8"/>
      <c r="T530" s="8"/>
      <c r="U530" s="8"/>
      <c r="V530" s="8"/>
    </row>
    <row r="531" spans="2:22" x14ac:dyDescent="0.2">
      <c r="B531" s="6">
        <v>526</v>
      </c>
      <c r="C531" s="7">
        <v>0</v>
      </c>
      <c r="D531" s="8">
        <v>3</v>
      </c>
      <c r="E531" s="8" t="s">
        <v>540</v>
      </c>
      <c r="F531" s="8" t="s">
        <v>11</v>
      </c>
      <c r="G531" s="8">
        <v>405</v>
      </c>
      <c r="H531" s="8">
        <v>0</v>
      </c>
      <c r="I531" s="8">
        <v>0</v>
      </c>
      <c r="J531" s="8">
        <v>775</v>
      </c>
      <c r="K531" s="8">
        <v>0</v>
      </c>
      <c r="L531" s="8" t="s">
        <v>20</v>
      </c>
      <c r="M531" s="8" t="str">
        <f>IF(Titanic[[#This Row],[Sobrevive]]=1, "SOBREVIVE", "NO SOBREVIVE")</f>
        <v>NO SOBREVIVE</v>
      </c>
      <c r="N531" s="8" t="str">
        <f>LOOKUP(Titanic[[#This Row],[Clase]],{1,2,3}, {"PRIMERA","SEGUNDA","TERCERA"})</f>
        <v>TERCERA</v>
      </c>
      <c r="O531" s="8" t="str">
        <f>IF(Titanic[[#This Row],[Sexo]]="Hombre", "HOMBRE", "MUJER")</f>
        <v>HOMBRE</v>
      </c>
      <c r="P531" s="8">
        <f>IF(Titanic[[#This Row],[Edad]]="", "", IF(Titanic[[#This Row],[Edad]]&gt;=100, Titanic[[#This Row],[Edad]] / 10, Titanic[[#This Row],[Edad]]))</f>
        <v>40.5</v>
      </c>
      <c r="Q531" s="8" t="str">
        <f>IFERROR(LOOKUP(Titanic[[#This Row],[Edad Corrigida]],'Práctica 1'!$K$231:$K$240,'Práctica 1'!$L$231:$L$240), "DESCONOCIDO")</f>
        <v>7. ADULTO 2</v>
      </c>
      <c r="R531" s="8">
        <f>Titanic[[#This Row],[Familia Horizontal]]+Titanic[[#This Row],[Familia Vertical]]</f>
        <v>0</v>
      </c>
      <c r="S531" s="8"/>
      <c r="T531" s="8"/>
      <c r="U531" s="8"/>
      <c r="V531" s="8"/>
    </row>
    <row r="532" spans="2:22" x14ac:dyDescent="0.2">
      <c r="B532" s="6">
        <v>527</v>
      </c>
      <c r="C532" s="7">
        <v>1</v>
      </c>
      <c r="D532" s="8">
        <v>2</v>
      </c>
      <c r="E532" s="8" t="s">
        <v>541</v>
      </c>
      <c r="F532" s="8" t="s">
        <v>14</v>
      </c>
      <c r="G532" s="8">
        <v>50</v>
      </c>
      <c r="H532" s="8">
        <v>0</v>
      </c>
      <c r="I532" s="8">
        <v>0</v>
      </c>
      <c r="J532" s="8">
        <v>105</v>
      </c>
      <c r="K532" s="8">
        <v>0</v>
      </c>
      <c r="L532" s="8" t="s">
        <v>12</v>
      </c>
      <c r="M532" s="8" t="str">
        <f>IF(Titanic[[#This Row],[Sobrevive]]=1, "SOBREVIVE", "NO SOBREVIVE")</f>
        <v>SOBREVIVE</v>
      </c>
      <c r="N532" s="8" t="str">
        <f>LOOKUP(Titanic[[#This Row],[Clase]],{1,2,3}, {"PRIMERA","SEGUNDA","TERCERA"})</f>
        <v>SEGUNDA</v>
      </c>
      <c r="O532" s="8" t="str">
        <f>IF(Titanic[[#This Row],[Sexo]]="Hombre", "HOMBRE", "MUJER")</f>
        <v>MUJER</v>
      </c>
      <c r="P532" s="8">
        <f>IF(Titanic[[#This Row],[Edad]]="", "", IF(Titanic[[#This Row],[Edad]]&gt;=100, Titanic[[#This Row],[Edad]] / 10, Titanic[[#This Row],[Edad]]))</f>
        <v>50</v>
      </c>
      <c r="Q532" s="8" t="str">
        <f>IFERROR(LOOKUP(Titanic[[#This Row],[Edad Corrigida]],'Práctica 1'!$K$231:$K$240,'Práctica 1'!$L$231:$L$240), "DESCONOCIDO")</f>
        <v>9. ADULTO 4</v>
      </c>
      <c r="R532" s="8">
        <f>Titanic[[#This Row],[Familia Horizontal]]+Titanic[[#This Row],[Familia Vertical]]</f>
        <v>0</v>
      </c>
      <c r="S532" s="8"/>
      <c r="T532" s="8"/>
      <c r="U532" s="8"/>
      <c r="V532" s="8"/>
    </row>
    <row r="533" spans="2:22" x14ac:dyDescent="0.2">
      <c r="B533" s="6">
        <v>528</v>
      </c>
      <c r="C533" s="7">
        <v>0</v>
      </c>
      <c r="D533" s="8">
        <v>1</v>
      </c>
      <c r="E533" s="8" t="s">
        <v>542</v>
      </c>
      <c r="F533" s="8" t="s">
        <v>11</v>
      </c>
      <c r="G533" s="9"/>
      <c r="H533" s="8">
        <v>0</v>
      </c>
      <c r="I533" s="8">
        <v>0</v>
      </c>
      <c r="J533" s="8">
        <v>2217792</v>
      </c>
      <c r="K533" s="8">
        <v>1</v>
      </c>
      <c r="L533" s="8" t="s">
        <v>12</v>
      </c>
      <c r="M533" s="8" t="str">
        <f>IF(Titanic[[#This Row],[Sobrevive]]=1, "SOBREVIVE", "NO SOBREVIVE")</f>
        <v>NO SOBREVIVE</v>
      </c>
      <c r="N533" s="8" t="str">
        <f>LOOKUP(Titanic[[#This Row],[Clase]],{1,2,3}, {"PRIMERA","SEGUNDA","TERCERA"})</f>
        <v>PRIMERA</v>
      </c>
      <c r="O533" s="8" t="str">
        <f>IF(Titanic[[#This Row],[Sexo]]="Hombre", "HOMBRE", "MUJER")</f>
        <v>HOMBRE</v>
      </c>
      <c r="P533" s="8" t="str">
        <f>IF(Titanic[[#This Row],[Edad]]="", "", IF(Titanic[[#This Row],[Edad]]&gt;=100, Titanic[[#This Row],[Edad]] / 10, Titanic[[#This Row],[Edad]]))</f>
        <v/>
      </c>
      <c r="Q533" s="8" t="str">
        <f>IFERROR(LOOKUP(Titanic[[#This Row],[Edad Corrigida]],'Práctica 1'!$K$231:$K$240,'Práctica 1'!$L$231:$L$240), "DESCONOCIDO")</f>
        <v>DESCONOCIDO</v>
      </c>
      <c r="R533" s="8">
        <f>Titanic[[#This Row],[Familia Horizontal]]+Titanic[[#This Row],[Familia Vertical]]</f>
        <v>0</v>
      </c>
      <c r="S533" s="8"/>
      <c r="T533" s="8"/>
      <c r="U533" s="8"/>
      <c r="V533" s="8"/>
    </row>
    <row r="534" spans="2:22" x14ac:dyDescent="0.2">
      <c r="B534" s="6">
        <v>529</v>
      </c>
      <c r="C534" s="7">
        <v>0</v>
      </c>
      <c r="D534" s="8">
        <v>3</v>
      </c>
      <c r="E534" s="8" t="s">
        <v>543</v>
      </c>
      <c r="F534" s="8" t="s">
        <v>11</v>
      </c>
      <c r="G534" s="8">
        <v>39</v>
      </c>
      <c r="H534" s="8">
        <v>0</v>
      </c>
      <c r="I534" s="8">
        <v>0</v>
      </c>
      <c r="J534" s="8">
        <v>7925</v>
      </c>
      <c r="K534" s="8">
        <v>0</v>
      </c>
      <c r="L534" s="8" t="s">
        <v>12</v>
      </c>
      <c r="M534" s="8" t="str">
        <f>IF(Titanic[[#This Row],[Sobrevive]]=1, "SOBREVIVE", "NO SOBREVIVE")</f>
        <v>NO SOBREVIVE</v>
      </c>
      <c r="N534" s="8" t="str">
        <f>LOOKUP(Titanic[[#This Row],[Clase]],{1,2,3}, {"PRIMERA","SEGUNDA","TERCERA"})</f>
        <v>TERCERA</v>
      </c>
      <c r="O534" s="8" t="str">
        <f>IF(Titanic[[#This Row],[Sexo]]="Hombre", "HOMBRE", "MUJER")</f>
        <v>HOMBRE</v>
      </c>
      <c r="P534" s="8">
        <f>IF(Titanic[[#This Row],[Edad]]="", "", IF(Titanic[[#This Row],[Edad]]&gt;=100, Titanic[[#This Row],[Edad]] / 10, Titanic[[#This Row],[Edad]]))</f>
        <v>39</v>
      </c>
      <c r="Q534" s="8" t="str">
        <f>IFERROR(LOOKUP(Titanic[[#This Row],[Edad Corrigida]],'Práctica 1'!$K$231:$K$240,'Práctica 1'!$L$231:$L$240), "DESCONOCIDO")</f>
        <v>7. ADULTO 2</v>
      </c>
      <c r="R534" s="8">
        <f>Titanic[[#This Row],[Familia Horizontal]]+Titanic[[#This Row],[Familia Vertical]]</f>
        <v>0</v>
      </c>
      <c r="S534" s="8"/>
      <c r="T534" s="8"/>
      <c r="U534" s="8"/>
      <c r="V534" s="8"/>
    </row>
    <row r="535" spans="2:22" x14ac:dyDescent="0.2">
      <c r="B535" s="6">
        <v>530</v>
      </c>
      <c r="C535" s="7">
        <v>0</v>
      </c>
      <c r="D535" s="8">
        <v>2</v>
      </c>
      <c r="E535" s="8" t="s">
        <v>544</v>
      </c>
      <c r="F535" s="8" t="s">
        <v>11</v>
      </c>
      <c r="G535" s="8">
        <v>23</v>
      </c>
      <c r="H535" s="8">
        <v>2</v>
      </c>
      <c r="I535" s="8">
        <v>1</v>
      </c>
      <c r="J535" s="8">
        <v>115</v>
      </c>
      <c r="K535" s="8">
        <v>0</v>
      </c>
      <c r="L535" s="8" t="s">
        <v>12</v>
      </c>
      <c r="M535" s="8" t="str">
        <f>IF(Titanic[[#This Row],[Sobrevive]]=1, "SOBREVIVE", "NO SOBREVIVE")</f>
        <v>NO SOBREVIVE</v>
      </c>
      <c r="N535" s="8" t="str">
        <f>LOOKUP(Titanic[[#This Row],[Clase]],{1,2,3}, {"PRIMERA","SEGUNDA","TERCERA"})</f>
        <v>SEGUNDA</v>
      </c>
      <c r="O535" s="8" t="str">
        <f>IF(Titanic[[#This Row],[Sexo]]="Hombre", "HOMBRE", "MUJER")</f>
        <v>HOMBRE</v>
      </c>
      <c r="P535" s="8">
        <f>IF(Titanic[[#This Row],[Edad]]="", "", IF(Titanic[[#This Row],[Edad]]&gt;=100, Titanic[[#This Row],[Edad]] / 10, Titanic[[#This Row],[Edad]]))</f>
        <v>23</v>
      </c>
      <c r="Q535" s="8" t="str">
        <f>IFERROR(LOOKUP(Titanic[[#This Row],[Edad Corrigida]],'Práctica 1'!$K$231:$K$240,'Práctica 1'!$L$231:$L$240), "DESCONOCIDO")</f>
        <v>3. JOVEN</v>
      </c>
      <c r="R535" s="8">
        <f>Titanic[[#This Row],[Familia Horizontal]]+Titanic[[#This Row],[Familia Vertical]]</f>
        <v>3</v>
      </c>
      <c r="S535" s="8"/>
      <c r="T535" s="8"/>
      <c r="U535" s="8"/>
      <c r="V535" s="8"/>
    </row>
    <row r="536" spans="2:22" x14ac:dyDescent="0.2">
      <c r="B536" s="6">
        <v>531</v>
      </c>
      <c r="C536" s="7">
        <v>1</v>
      </c>
      <c r="D536" s="8">
        <v>2</v>
      </c>
      <c r="E536" s="8" t="s">
        <v>545</v>
      </c>
      <c r="F536" s="8" t="s">
        <v>14</v>
      </c>
      <c r="G536" s="8">
        <v>2</v>
      </c>
      <c r="H536" s="8">
        <v>1</v>
      </c>
      <c r="I536" s="8">
        <v>1</v>
      </c>
      <c r="J536" s="8">
        <v>26</v>
      </c>
      <c r="K536" s="8">
        <v>0</v>
      </c>
      <c r="L536" s="8" t="s">
        <v>12</v>
      </c>
      <c r="M536" s="8" t="str">
        <f>IF(Titanic[[#This Row],[Sobrevive]]=1, "SOBREVIVE", "NO SOBREVIVE")</f>
        <v>SOBREVIVE</v>
      </c>
      <c r="N536" s="8" t="str">
        <f>LOOKUP(Titanic[[#This Row],[Clase]],{1,2,3}, {"PRIMERA","SEGUNDA","TERCERA"})</f>
        <v>SEGUNDA</v>
      </c>
      <c r="O536" s="8" t="str">
        <f>IF(Titanic[[#This Row],[Sexo]]="Hombre", "HOMBRE", "MUJER")</f>
        <v>MUJER</v>
      </c>
      <c r="P536" s="8">
        <f>IF(Titanic[[#This Row],[Edad]]="", "", IF(Titanic[[#This Row],[Edad]]&gt;=100, Titanic[[#This Row],[Edad]] / 10, Titanic[[#This Row],[Edad]]))</f>
        <v>2</v>
      </c>
      <c r="Q536" s="8" t="str">
        <f>IFERROR(LOOKUP(Titanic[[#This Row],[Edad Corrigida]],'Práctica 1'!$K$231:$K$240,'Práctica 1'!$L$231:$L$240), "DESCONOCIDO")</f>
        <v>DESCONOCIDO</v>
      </c>
      <c r="R536" s="8">
        <f>Titanic[[#This Row],[Familia Horizontal]]+Titanic[[#This Row],[Familia Vertical]]</f>
        <v>2</v>
      </c>
      <c r="S536" s="8"/>
      <c r="T536" s="8"/>
      <c r="U536" s="8"/>
      <c r="V536" s="8"/>
    </row>
    <row r="537" spans="2:22" x14ac:dyDescent="0.2">
      <c r="B537" s="6">
        <v>532</v>
      </c>
      <c r="C537" s="7">
        <v>0</v>
      </c>
      <c r="D537" s="8">
        <v>3</v>
      </c>
      <c r="E537" s="8" t="s">
        <v>546</v>
      </c>
      <c r="F537" s="8" t="s">
        <v>11</v>
      </c>
      <c r="G537" s="9"/>
      <c r="H537" s="8">
        <v>0</v>
      </c>
      <c r="I537" s="8">
        <v>0</v>
      </c>
      <c r="J537" s="8">
        <v>72292</v>
      </c>
      <c r="K537" s="8">
        <v>0</v>
      </c>
      <c r="L537" s="8" t="s">
        <v>15</v>
      </c>
      <c r="M537" s="8" t="str">
        <f>IF(Titanic[[#This Row],[Sobrevive]]=1, "SOBREVIVE", "NO SOBREVIVE")</f>
        <v>NO SOBREVIVE</v>
      </c>
      <c r="N537" s="8" t="str">
        <f>LOOKUP(Titanic[[#This Row],[Clase]],{1,2,3}, {"PRIMERA","SEGUNDA","TERCERA"})</f>
        <v>TERCERA</v>
      </c>
      <c r="O537" s="8" t="str">
        <f>IF(Titanic[[#This Row],[Sexo]]="Hombre", "HOMBRE", "MUJER")</f>
        <v>HOMBRE</v>
      </c>
      <c r="P537" s="8" t="str">
        <f>IF(Titanic[[#This Row],[Edad]]="", "", IF(Titanic[[#This Row],[Edad]]&gt;=100, Titanic[[#This Row],[Edad]] / 10, Titanic[[#This Row],[Edad]]))</f>
        <v/>
      </c>
      <c r="Q537" s="8" t="str">
        <f>IFERROR(LOOKUP(Titanic[[#This Row],[Edad Corrigida]],'Práctica 1'!$K$231:$K$240,'Práctica 1'!$L$231:$L$240), "DESCONOCIDO")</f>
        <v>DESCONOCIDO</v>
      </c>
      <c r="R537" s="8">
        <f>Titanic[[#This Row],[Familia Horizontal]]+Titanic[[#This Row],[Familia Vertical]]</f>
        <v>0</v>
      </c>
      <c r="S537" s="8"/>
      <c r="T537" s="8"/>
      <c r="U537" s="8"/>
      <c r="V537" s="8"/>
    </row>
    <row r="538" spans="2:22" x14ac:dyDescent="0.2">
      <c r="B538" s="6">
        <v>533</v>
      </c>
      <c r="C538" s="7">
        <v>0</v>
      </c>
      <c r="D538" s="8">
        <v>3</v>
      </c>
      <c r="E538" s="8" t="s">
        <v>547</v>
      </c>
      <c r="F538" s="8" t="s">
        <v>11</v>
      </c>
      <c r="G538" s="8">
        <v>17</v>
      </c>
      <c r="H538" s="8">
        <v>1</v>
      </c>
      <c r="I538" s="8">
        <v>1</v>
      </c>
      <c r="J538" s="8">
        <v>72292</v>
      </c>
      <c r="K538" s="8">
        <v>0</v>
      </c>
      <c r="L538" s="8" t="s">
        <v>15</v>
      </c>
      <c r="M538" s="8" t="str">
        <f>IF(Titanic[[#This Row],[Sobrevive]]=1, "SOBREVIVE", "NO SOBREVIVE")</f>
        <v>NO SOBREVIVE</v>
      </c>
      <c r="N538" s="8" t="str">
        <f>LOOKUP(Titanic[[#This Row],[Clase]],{1,2,3}, {"PRIMERA","SEGUNDA","TERCERA"})</f>
        <v>TERCERA</v>
      </c>
      <c r="O538" s="8" t="str">
        <f>IF(Titanic[[#This Row],[Sexo]]="Hombre", "HOMBRE", "MUJER")</f>
        <v>HOMBRE</v>
      </c>
      <c r="P538" s="8">
        <f>IF(Titanic[[#This Row],[Edad]]="", "", IF(Titanic[[#This Row],[Edad]]&gt;=100, Titanic[[#This Row],[Edad]] / 10, Titanic[[#This Row],[Edad]]))</f>
        <v>17</v>
      </c>
      <c r="Q538" s="8" t="str">
        <f>IFERROR(LOOKUP(Titanic[[#This Row],[Edad Corrigida]],'Práctica 1'!$K$231:$K$240,'Práctica 1'!$L$231:$L$240), "DESCONOCIDO")</f>
        <v>1. INFANTE</v>
      </c>
      <c r="R538" s="8">
        <f>Titanic[[#This Row],[Familia Horizontal]]+Titanic[[#This Row],[Familia Vertical]]</f>
        <v>2</v>
      </c>
      <c r="S538" s="8"/>
      <c r="T538" s="8"/>
      <c r="U538" s="8"/>
      <c r="V538" s="8"/>
    </row>
    <row r="539" spans="2:22" x14ac:dyDescent="0.2">
      <c r="B539" s="6">
        <v>534</v>
      </c>
      <c r="C539" s="7">
        <v>1</v>
      </c>
      <c r="D539" s="8">
        <v>3</v>
      </c>
      <c r="E539" s="8" t="s">
        <v>548</v>
      </c>
      <c r="F539" s="8" t="s">
        <v>14</v>
      </c>
      <c r="G539" s="9"/>
      <c r="H539" s="8">
        <v>0</v>
      </c>
      <c r="I539" s="8">
        <v>2</v>
      </c>
      <c r="J539" s="8">
        <v>223583</v>
      </c>
      <c r="K539" s="8">
        <v>0</v>
      </c>
      <c r="L539" s="8" t="s">
        <v>15</v>
      </c>
      <c r="M539" s="8" t="str">
        <f>IF(Titanic[[#This Row],[Sobrevive]]=1, "SOBREVIVE", "NO SOBREVIVE")</f>
        <v>SOBREVIVE</v>
      </c>
      <c r="N539" s="8" t="str">
        <f>LOOKUP(Titanic[[#This Row],[Clase]],{1,2,3}, {"PRIMERA","SEGUNDA","TERCERA"})</f>
        <v>TERCERA</v>
      </c>
      <c r="O539" s="8" t="str">
        <f>IF(Titanic[[#This Row],[Sexo]]="Hombre", "HOMBRE", "MUJER")</f>
        <v>MUJER</v>
      </c>
      <c r="P539" s="8" t="str">
        <f>IF(Titanic[[#This Row],[Edad]]="", "", IF(Titanic[[#This Row],[Edad]]&gt;=100, Titanic[[#This Row],[Edad]] / 10, Titanic[[#This Row],[Edad]]))</f>
        <v/>
      </c>
      <c r="Q539" s="8" t="str">
        <f>IFERROR(LOOKUP(Titanic[[#This Row],[Edad Corrigida]],'Práctica 1'!$K$231:$K$240,'Práctica 1'!$L$231:$L$240), "DESCONOCIDO")</f>
        <v>DESCONOCIDO</v>
      </c>
      <c r="R539" s="8">
        <f>Titanic[[#This Row],[Familia Horizontal]]+Titanic[[#This Row],[Familia Vertical]]</f>
        <v>2</v>
      </c>
      <c r="S539" s="8"/>
      <c r="T539" s="8"/>
      <c r="U539" s="8"/>
      <c r="V539" s="8"/>
    </row>
    <row r="540" spans="2:22" x14ac:dyDescent="0.2">
      <c r="B540" s="6">
        <v>535</v>
      </c>
      <c r="C540" s="7">
        <v>0</v>
      </c>
      <c r="D540" s="8">
        <v>3</v>
      </c>
      <c r="E540" s="8" t="s">
        <v>549</v>
      </c>
      <c r="F540" s="8" t="s">
        <v>14</v>
      </c>
      <c r="G540" s="8">
        <v>30</v>
      </c>
      <c r="H540" s="8">
        <v>0</v>
      </c>
      <c r="I540" s="8">
        <v>0</v>
      </c>
      <c r="J540" s="8">
        <v>86625</v>
      </c>
      <c r="K540" s="8">
        <v>0</v>
      </c>
      <c r="L540" s="8" t="s">
        <v>12</v>
      </c>
      <c r="M540" s="8" t="str">
        <f>IF(Titanic[[#This Row],[Sobrevive]]=1, "SOBREVIVE", "NO SOBREVIVE")</f>
        <v>NO SOBREVIVE</v>
      </c>
      <c r="N540" s="8" t="str">
        <f>LOOKUP(Titanic[[#This Row],[Clase]],{1,2,3}, {"PRIMERA","SEGUNDA","TERCERA"})</f>
        <v>TERCERA</v>
      </c>
      <c r="O540" s="8" t="str">
        <f>IF(Titanic[[#This Row],[Sexo]]="Hombre", "HOMBRE", "MUJER")</f>
        <v>MUJER</v>
      </c>
      <c r="P540" s="8">
        <f>IF(Titanic[[#This Row],[Edad]]="", "", IF(Titanic[[#This Row],[Edad]]&gt;=100, Titanic[[#This Row],[Edad]] / 10, Titanic[[#This Row],[Edad]]))</f>
        <v>30</v>
      </c>
      <c r="Q540" s="8" t="str">
        <f>IFERROR(LOOKUP(Titanic[[#This Row],[Edad Corrigida]],'Práctica 1'!$K$231:$K$240,'Práctica 1'!$L$231:$L$240), "DESCONOCIDO")</f>
        <v>5. ADULTO</v>
      </c>
      <c r="R540" s="8">
        <f>Titanic[[#This Row],[Familia Horizontal]]+Titanic[[#This Row],[Familia Vertical]]</f>
        <v>0</v>
      </c>
      <c r="S540" s="8"/>
      <c r="T540" s="8"/>
      <c r="U540" s="8"/>
      <c r="V540" s="8"/>
    </row>
    <row r="541" spans="2:22" x14ac:dyDescent="0.2">
      <c r="B541" s="6">
        <v>536</v>
      </c>
      <c r="C541" s="7">
        <v>1</v>
      </c>
      <c r="D541" s="8">
        <v>2</v>
      </c>
      <c r="E541" s="8" t="s">
        <v>550</v>
      </c>
      <c r="F541" s="8" t="s">
        <v>14</v>
      </c>
      <c r="G541" s="8">
        <v>7</v>
      </c>
      <c r="H541" s="8">
        <v>0</v>
      </c>
      <c r="I541" s="8">
        <v>2</v>
      </c>
      <c r="J541" s="8">
        <v>2625</v>
      </c>
      <c r="K541" s="8">
        <v>0</v>
      </c>
      <c r="L541" s="8" t="s">
        <v>12</v>
      </c>
      <c r="M541" s="8" t="str">
        <f>IF(Titanic[[#This Row],[Sobrevive]]=1, "SOBREVIVE", "NO SOBREVIVE")</f>
        <v>SOBREVIVE</v>
      </c>
      <c r="N541" s="8" t="str">
        <f>LOOKUP(Titanic[[#This Row],[Clase]],{1,2,3}, {"PRIMERA","SEGUNDA","TERCERA"})</f>
        <v>SEGUNDA</v>
      </c>
      <c r="O541" s="8" t="str">
        <f>IF(Titanic[[#This Row],[Sexo]]="Hombre", "HOMBRE", "MUJER")</f>
        <v>MUJER</v>
      </c>
      <c r="P541" s="8">
        <f>IF(Titanic[[#This Row],[Edad]]="", "", IF(Titanic[[#This Row],[Edad]]&gt;=100, Titanic[[#This Row],[Edad]] / 10, Titanic[[#This Row],[Edad]]))</f>
        <v>7</v>
      </c>
      <c r="Q541" s="8" t="str">
        <f>IFERROR(LOOKUP(Titanic[[#This Row],[Edad Corrigida]],'Práctica 1'!$K$231:$K$240,'Práctica 1'!$L$231:$L$240), "DESCONOCIDO")</f>
        <v>DESCONOCIDO</v>
      </c>
      <c r="R541" s="8">
        <f>Titanic[[#This Row],[Familia Horizontal]]+Titanic[[#This Row],[Familia Vertical]]</f>
        <v>2</v>
      </c>
      <c r="S541" s="8"/>
      <c r="T541" s="8"/>
      <c r="U541" s="8"/>
      <c r="V541" s="8"/>
    </row>
    <row r="542" spans="2:22" x14ac:dyDescent="0.2">
      <c r="B542" s="6">
        <v>537</v>
      </c>
      <c r="C542" s="7">
        <v>0</v>
      </c>
      <c r="D542" s="8">
        <v>1</v>
      </c>
      <c r="E542" s="8" t="s">
        <v>551</v>
      </c>
      <c r="F542" s="8" t="s">
        <v>11</v>
      </c>
      <c r="G542" s="8">
        <v>45</v>
      </c>
      <c r="H542" s="8">
        <v>0</v>
      </c>
      <c r="I542" s="8">
        <v>0</v>
      </c>
      <c r="J542" s="8">
        <v>2655</v>
      </c>
      <c r="K542" s="8">
        <v>1</v>
      </c>
      <c r="L542" s="8" t="s">
        <v>12</v>
      </c>
      <c r="M542" s="8" t="str">
        <f>IF(Titanic[[#This Row],[Sobrevive]]=1, "SOBREVIVE", "NO SOBREVIVE")</f>
        <v>NO SOBREVIVE</v>
      </c>
      <c r="N542" s="8" t="str">
        <f>LOOKUP(Titanic[[#This Row],[Clase]],{1,2,3}, {"PRIMERA","SEGUNDA","TERCERA"})</f>
        <v>PRIMERA</v>
      </c>
      <c r="O542" s="8" t="str">
        <f>IF(Titanic[[#This Row],[Sexo]]="Hombre", "HOMBRE", "MUJER")</f>
        <v>HOMBRE</v>
      </c>
      <c r="P542" s="8">
        <f>IF(Titanic[[#This Row],[Edad]]="", "", IF(Titanic[[#This Row],[Edad]]&gt;=100, Titanic[[#This Row],[Edad]] / 10, Titanic[[#This Row],[Edad]]))</f>
        <v>45</v>
      </c>
      <c r="Q542" s="8" t="str">
        <f>IFERROR(LOOKUP(Titanic[[#This Row],[Edad Corrigida]],'Práctica 1'!$K$231:$K$240,'Práctica 1'!$L$231:$L$240), "DESCONOCIDO")</f>
        <v>8. ADULTO 3</v>
      </c>
      <c r="R542" s="8">
        <f>Titanic[[#This Row],[Familia Horizontal]]+Titanic[[#This Row],[Familia Vertical]]</f>
        <v>0</v>
      </c>
      <c r="S542" s="8"/>
      <c r="T542" s="8"/>
      <c r="U542" s="8"/>
      <c r="V542" s="8"/>
    </row>
    <row r="543" spans="2:22" x14ac:dyDescent="0.2">
      <c r="B543" s="6">
        <v>538</v>
      </c>
      <c r="C543" s="7">
        <v>1</v>
      </c>
      <c r="D543" s="8">
        <v>1</v>
      </c>
      <c r="E543" s="8" t="s">
        <v>552</v>
      </c>
      <c r="F543" s="8" t="s">
        <v>14</v>
      </c>
      <c r="G543" s="8">
        <v>30</v>
      </c>
      <c r="H543" s="8">
        <v>0</v>
      </c>
      <c r="I543" s="8">
        <v>0</v>
      </c>
      <c r="J543" s="8">
        <v>106425</v>
      </c>
      <c r="K543" s="8">
        <v>0</v>
      </c>
      <c r="L543" s="8" t="s">
        <v>15</v>
      </c>
      <c r="M543" s="8" t="str">
        <f>IF(Titanic[[#This Row],[Sobrevive]]=1, "SOBREVIVE", "NO SOBREVIVE")</f>
        <v>SOBREVIVE</v>
      </c>
      <c r="N543" s="8" t="str">
        <f>LOOKUP(Titanic[[#This Row],[Clase]],{1,2,3}, {"PRIMERA","SEGUNDA","TERCERA"})</f>
        <v>PRIMERA</v>
      </c>
      <c r="O543" s="8" t="str">
        <f>IF(Titanic[[#This Row],[Sexo]]="Hombre", "HOMBRE", "MUJER")</f>
        <v>MUJER</v>
      </c>
      <c r="P543" s="8">
        <f>IF(Titanic[[#This Row],[Edad]]="", "", IF(Titanic[[#This Row],[Edad]]&gt;=100, Titanic[[#This Row],[Edad]] / 10, Titanic[[#This Row],[Edad]]))</f>
        <v>30</v>
      </c>
      <c r="Q543" s="8" t="str">
        <f>IFERROR(LOOKUP(Titanic[[#This Row],[Edad Corrigida]],'Práctica 1'!$K$231:$K$240,'Práctica 1'!$L$231:$L$240), "DESCONOCIDO")</f>
        <v>5. ADULTO</v>
      </c>
      <c r="R543" s="8">
        <f>Titanic[[#This Row],[Familia Horizontal]]+Titanic[[#This Row],[Familia Vertical]]</f>
        <v>0</v>
      </c>
      <c r="S543" s="8"/>
      <c r="T543" s="8"/>
      <c r="U543" s="8"/>
      <c r="V543" s="8"/>
    </row>
    <row r="544" spans="2:22" x14ac:dyDescent="0.2">
      <c r="B544" s="6">
        <v>539</v>
      </c>
      <c r="C544" s="7">
        <v>0</v>
      </c>
      <c r="D544" s="8">
        <v>3</v>
      </c>
      <c r="E544" s="8" t="s">
        <v>553</v>
      </c>
      <c r="F544" s="8" t="s">
        <v>11</v>
      </c>
      <c r="G544" s="9"/>
      <c r="H544" s="8">
        <v>0</v>
      </c>
      <c r="I544" s="8">
        <v>0</v>
      </c>
      <c r="J544" s="8">
        <v>145</v>
      </c>
      <c r="K544" s="8">
        <v>0</v>
      </c>
      <c r="L544" s="8" t="s">
        <v>12</v>
      </c>
      <c r="M544" s="8" t="str">
        <f>IF(Titanic[[#This Row],[Sobrevive]]=1, "SOBREVIVE", "NO SOBREVIVE")</f>
        <v>NO SOBREVIVE</v>
      </c>
      <c r="N544" s="8" t="str">
        <f>LOOKUP(Titanic[[#This Row],[Clase]],{1,2,3}, {"PRIMERA","SEGUNDA","TERCERA"})</f>
        <v>TERCERA</v>
      </c>
      <c r="O544" s="8" t="str">
        <f>IF(Titanic[[#This Row],[Sexo]]="Hombre", "HOMBRE", "MUJER")</f>
        <v>HOMBRE</v>
      </c>
      <c r="P544" s="8" t="str">
        <f>IF(Titanic[[#This Row],[Edad]]="", "", IF(Titanic[[#This Row],[Edad]]&gt;=100, Titanic[[#This Row],[Edad]] / 10, Titanic[[#This Row],[Edad]]))</f>
        <v/>
      </c>
      <c r="Q544" s="8" t="str">
        <f>IFERROR(LOOKUP(Titanic[[#This Row],[Edad Corrigida]],'Práctica 1'!$K$231:$K$240,'Práctica 1'!$L$231:$L$240), "DESCONOCIDO")</f>
        <v>DESCONOCIDO</v>
      </c>
      <c r="R544" s="8">
        <f>Titanic[[#This Row],[Familia Horizontal]]+Titanic[[#This Row],[Familia Vertical]]</f>
        <v>0</v>
      </c>
      <c r="S544" s="8"/>
      <c r="T544" s="8"/>
      <c r="U544" s="8"/>
      <c r="V544" s="8"/>
    </row>
    <row r="545" spans="2:22" x14ac:dyDescent="0.2">
      <c r="B545" s="6">
        <v>540</v>
      </c>
      <c r="C545" s="7">
        <v>1</v>
      </c>
      <c r="D545" s="8">
        <v>1</v>
      </c>
      <c r="E545" s="8" t="s">
        <v>554</v>
      </c>
      <c r="F545" s="8" t="s">
        <v>14</v>
      </c>
      <c r="G545" s="8">
        <v>22</v>
      </c>
      <c r="H545" s="8">
        <v>0</v>
      </c>
      <c r="I545" s="8">
        <v>2</v>
      </c>
      <c r="J545" s="8">
        <v>495</v>
      </c>
      <c r="K545" s="8">
        <v>1</v>
      </c>
      <c r="L545" s="8" t="s">
        <v>15</v>
      </c>
      <c r="M545" s="8" t="str">
        <f>IF(Titanic[[#This Row],[Sobrevive]]=1, "SOBREVIVE", "NO SOBREVIVE")</f>
        <v>SOBREVIVE</v>
      </c>
      <c r="N545" s="8" t="str">
        <f>LOOKUP(Titanic[[#This Row],[Clase]],{1,2,3}, {"PRIMERA","SEGUNDA","TERCERA"})</f>
        <v>PRIMERA</v>
      </c>
      <c r="O545" s="8" t="str">
        <f>IF(Titanic[[#This Row],[Sexo]]="Hombre", "HOMBRE", "MUJER")</f>
        <v>MUJER</v>
      </c>
      <c r="P545" s="8">
        <f>IF(Titanic[[#This Row],[Edad]]="", "", IF(Titanic[[#This Row],[Edad]]&gt;=100, Titanic[[#This Row],[Edad]] / 10, Titanic[[#This Row],[Edad]]))</f>
        <v>22</v>
      </c>
      <c r="Q545" s="8" t="str">
        <f>IFERROR(LOOKUP(Titanic[[#This Row],[Edad Corrigida]],'Práctica 1'!$K$231:$K$240,'Práctica 1'!$L$231:$L$240), "DESCONOCIDO")</f>
        <v>3. JOVEN</v>
      </c>
      <c r="R545" s="8">
        <f>Titanic[[#This Row],[Familia Horizontal]]+Titanic[[#This Row],[Familia Vertical]]</f>
        <v>2</v>
      </c>
      <c r="S545" s="8"/>
      <c r="T545" s="8"/>
      <c r="U545" s="8"/>
      <c r="V545" s="8"/>
    </row>
    <row r="546" spans="2:22" x14ac:dyDescent="0.2">
      <c r="B546" s="6">
        <v>541</v>
      </c>
      <c r="C546" s="7">
        <v>1</v>
      </c>
      <c r="D546" s="8">
        <v>1</v>
      </c>
      <c r="E546" s="8" t="s">
        <v>555</v>
      </c>
      <c r="F546" s="8" t="s">
        <v>14</v>
      </c>
      <c r="G546" s="8">
        <v>36</v>
      </c>
      <c r="H546" s="8">
        <v>0</v>
      </c>
      <c r="I546" s="8">
        <v>2</v>
      </c>
      <c r="J546" s="8">
        <v>71</v>
      </c>
      <c r="K546" s="8">
        <v>1</v>
      </c>
      <c r="L546" s="8" t="s">
        <v>12</v>
      </c>
      <c r="M546" s="8" t="str">
        <f>IF(Titanic[[#This Row],[Sobrevive]]=1, "SOBREVIVE", "NO SOBREVIVE")</f>
        <v>SOBREVIVE</v>
      </c>
      <c r="N546" s="8" t="str">
        <f>LOOKUP(Titanic[[#This Row],[Clase]],{1,2,3}, {"PRIMERA","SEGUNDA","TERCERA"})</f>
        <v>PRIMERA</v>
      </c>
      <c r="O546" s="8" t="str">
        <f>IF(Titanic[[#This Row],[Sexo]]="Hombre", "HOMBRE", "MUJER")</f>
        <v>MUJER</v>
      </c>
      <c r="P546" s="8">
        <f>IF(Titanic[[#This Row],[Edad]]="", "", IF(Titanic[[#This Row],[Edad]]&gt;=100, Titanic[[#This Row],[Edad]] / 10, Titanic[[#This Row],[Edad]]))</f>
        <v>36</v>
      </c>
      <c r="Q546" s="8" t="str">
        <f>IFERROR(LOOKUP(Titanic[[#This Row],[Edad Corrigida]],'Práctica 1'!$K$231:$K$240,'Práctica 1'!$L$231:$L$240), "DESCONOCIDO")</f>
        <v>7. ADULTO 2</v>
      </c>
      <c r="R546" s="8">
        <f>Titanic[[#This Row],[Familia Horizontal]]+Titanic[[#This Row],[Familia Vertical]]</f>
        <v>2</v>
      </c>
      <c r="S546" s="8"/>
      <c r="T546" s="8"/>
      <c r="U546" s="8"/>
      <c r="V546" s="8"/>
    </row>
    <row r="547" spans="2:22" x14ac:dyDescent="0.2">
      <c r="B547" s="6">
        <v>542</v>
      </c>
      <c r="C547" s="7">
        <v>0</v>
      </c>
      <c r="D547" s="8">
        <v>3</v>
      </c>
      <c r="E547" s="8" t="s">
        <v>556</v>
      </c>
      <c r="F547" s="8" t="s">
        <v>14</v>
      </c>
      <c r="G547" s="8">
        <v>9</v>
      </c>
      <c r="H547" s="8">
        <v>4</v>
      </c>
      <c r="I547" s="8">
        <v>2</v>
      </c>
      <c r="J547" s="8">
        <v>31275</v>
      </c>
      <c r="K547" s="8">
        <v>0</v>
      </c>
      <c r="L547" s="8" t="s">
        <v>12</v>
      </c>
      <c r="M547" s="8" t="str">
        <f>IF(Titanic[[#This Row],[Sobrevive]]=1, "SOBREVIVE", "NO SOBREVIVE")</f>
        <v>NO SOBREVIVE</v>
      </c>
      <c r="N547" s="8" t="str">
        <f>LOOKUP(Titanic[[#This Row],[Clase]],{1,2,3}, {"PRIMERA","SEGUNDA","TERCERA"})</f>
        <v>TERCERA</v>
      </c>
      <c r="O547" s="8" t="str">
        <f>IF(Titanic[[#This Row],[Sexo]]="Hombre", "HOMBRE", "MUJER")</f>
        <v>MUJER</v>
      </c>
      <c r="P547" s="8">
        <f>IF(Titanic[[#This Row],[Edad]]="", "", IF(Titanic[[#This Row],[Edad]]&gt;=100, Titanic[[#This Row],[Edad]] / 10, Titanic[[#This Row],[Edad]]))</f>
        <v>9</v>
      </c>
      <c r="Q547" s="8" t="str">
        <f>IFERROR(LOOKUP(Titanic[[#This Row],[Edad Corrigida]],'Práctica 1'!$K$231:$K$240,'Práctica 1'!$L$231:$L$240), "DESCONOCIDO")</f>
        <v>DESCONOCIDO</v>
      </c>
      <c r="R547" s="8">
        <f>Titanic[[#This Row],[Familia Horizontal]]+Titanic[[#This Row],[Familia Vertical]]</f>
        <v>6</v>
      </c>
      <c r="S547" s="8"/>
      <c r="T547" s="8"/>
      <c r="U547" s="8"/>
      <c r="V547" s="8"/>
    </row>
    <row r="548" spans="2:22" x14ac:dyDescent="0.2">
      <c r="B548" s="6">
        <v>543</v>
      </c>
      <c r="C548" s="7">
        <v>0</v>
      </c>
      <c r="D548" s="8">
        <v>3</v>
      </c>
      <c r="E548" s="8" t="s">
        <v>557</v>
      </c>
      <c r="F548" s="8" t="s">
        <v>14</v>
      </c>
      <c r="G548" s="8">
        <v>11</v>
      </c>
      <c r="H548" s="8">
        <v>4</v>
      </c>
      <c r="I548" s="8">
        <v>2</v>
      </c>
      <c r="J548" s="8">
        <v>31275</v>
      </c>
      <c r="K548" s="8">
        <v>0</v>
      </c>
      <c r="L548" s="8" t="s">
        <v>12</v>
      </c>
      <c r="M548" s="8" t="str">
        <f>IF(Titanic[[#This Row],[Sobrevive]]=1, "SOBREVIVE", "NO SOBREVIVE")</f>
        <v>NO SOBREVIVE</v>
      </c>
      <c r="N548" s="8" t="str">
        <f>LOOKUP(Titanic[[#This Row],[Clase]],{1,2,3}, {"PRIMERA","SEGUNDA","TERCERA"})</f>
        <v>TERCERA</v>
      </c>
      <c r="O548" s="8" t="str">
        <f>IF(Titanic[[#This Row],[Sexo]]="Hombre", "HOMBRE", "MUJER")</f>
        <v>MUJER</v>
      </c>
      <c r="P548" s="8">
        <f>IF(Titanic[[#This Row],[Edad]]="", "", IF(Titanic[[#This Row],[Edad]]&gt;=100, Titanic[[#This Row],[Edad]] / 10, Titanic[[#This Row],[Edad]]))</f>
        <v>11</v>
      </c>
      <c r="Q548" s="8" t="str">
        <f>IFERROR(LOOKUP(Titanic[[#This Row],[Edad Corrigida]],'Práctica 1'!$K$231:$K$240,'Práctica 1'!$L$231:$L$240), "DESCONOCIDO")</f>
        <v>DESCONOCIDO</v>
      </c>
      <c r="R548" s="8">
        <f>Titanic[[#This Row],[Familia Horizontal]]+Titanic[[#This Row],[Familia Vertical]]</f>
        <v>6</v>
      </c>
      <c r="S548" s="8"/>
      <c r="T548" s="8"/>
      <c r="U548" s="8"/>
      <c r="V548" s="8"/>
    </row>
    <row r="549" spans="2:22" x14ac:dyDescent="0.2">
      <c r="B549" s="6">
        <v>544</v>
      </c>
      <c r="C549" s="7">
        <v>1</v>
      </c>
      <c r="D549" s="8">
        <v>2</v>
      </c>
      <c r="E549" s="8" t="s">
        <v>558</v>
      </c>
      <c r="F549" s="8" t="s">
        <v>11</v>
      </c>
      <c r="G549" s="8">
        <v>32</v>
      </c>
      <c r="H549" s="8">
        <v>1</v>
      </c>
      <c r="I549" s="8">
        <v>0</v>
      </c>
      <c r="J549" s="8">
        <v>26</v>
      </c>
      <c r="K549" s="8">
        <v>0</v>
      </c>
      <c r="L549" s="8" t="s">
        <v>12</v>
      </c>
      <c r="M549" s="8" t="str">
        <f>IF(Titanic[[#This Row],[Sobrevive]]=1, "SOBREVIVE", "NO SOBREVIVE")</f>
        <v>SOBREVIVE</v>
      </c>
      <c r="N549" s="8" t="str">
        <f>LOOKUP(Titanic[[#This Row],[Clase]],{1,2,3}, {"PRIMERA","SEGUNDA","TERCERA"})</f>
        <v>SEGUNDA</v>
      </c>
      <c r="O549" s="8" t="str">
        <f>IF(Titanic[[#This Row],[Sexo]]="Hombre", "HOMBRE", "MUJER")</f>
        <v>HOMBRE</v>
      </c>
      <c r="P549" s="8">
        <f>IF(Titanic[[#This Row],[Edad]]="", "", IF(Titanic[[#This Row],[Edad]]&gt;=100, Titanic[[#This Row],[Edad]] / 10, Titanic[[#This Row],[Edad]]))</f>
        <v>32</v>
      </c>
      <c r="Q549" s="8" t="str">
        <f>IFERROR(LOOKUP(Titanic[[#This Row],[Edad Corrigida]],'Práctica 1'!$K$231:$K$240,'Práctica 1'!$L$231:$L$240), "DESCONOCIDO")</f>
        <v>6. ADULTO 1</v>
      </c>
      <c r="R549" s="8">
        <f>Titanic[[#This Row],[Familia Horizontal]]+Titanic[[#This Row],[Familia Vertical]]</f>
        <v>1</v>
      </c>
      <c r="S549" s="8"/>
      <c r="T549" s="8"/>
      <c r="U549" s="8"/>
      <c r="V549" s="8"/>
    </row>
    <row r="550" spans="2:22" x14ac:dyDescent="0.2">
      <c r="B550" s="6">
        <v>545</v>
      </c>
      <c r="C550" s="7">
        <v>0</v>
      </c>
      <c r="D550" s="8">
        <v>1</v>
      </c>
      <c r="E550" s="8" t="s">
        <v>559</v>
      </c>
      <c r="F550" s="8" t="s">
        <v>11</v>
      </c>
      <c r="G550" s="8">
        <v>50</v>
      </c>
      <c r="H550" s="8">
        <v>1</v>
      </c>
      <c r="I550" s="8">
        <v>0</v>
      </c>
      <c r="J550" s="8">
        <v>106425</v>
      </c>
      <c r="K550" s="8">
        <v>1</v>
      </c>
      <c r="L550" s="8" t="s">
        <v>15</v>
      </c>
      <c r="M550" s="8" t="str">
        <f>IF(Titanic[[#This Row],[Sobrevive]]=1, "SOBREVIVE", "NO SOBREVIVE")</f>
        <v>NO SOBREVIVE</v>
      </c>
      <c r="N550" s="8" t="str">
        <f>LOOKUP(Titanic[[#This Row],[Clase]],{1,2,3}, {"PRIMERA","SEGUNDA","TERCERA"})</f>
        <v>PRIMERA</v>
      </c>
      <c r="O550" s="8" t="str">
        <f>IF(Titanic[[#This Row],[Sexo]]="Hombre", "HOMBRE", "MUJER")</f>
        <v>HOMBRE</v>
      </c>
      <c r="P550" s="8">
        <f>IF(Titanic[[#This Row],[Edad]]="", "", IF(Titanic[[#This Row],[Edad]]&gt;=100, Titanic[[#This Row],[Edad]] / 10, Titanic[[#This Row],[Edad]]))</f>
        <v>50</v>
      </c>
      <c r="Q550" s="8" t="str">
        <f>IFERROR(LOOKUP(Titanic[[#This Row],[Edad Corrigida]],'Práctica 1'!$K$231:$K$240,'Práctica 1'!$L$231:$L$240), "DESCONOCIDO")</f>
        <v>9. ADULTO 4</v>
      </c>
      <c r="R550" s="8">
        <f>Titanic[[#This Row],[Familia Horizontal]]+Titanic[[#This Row],[Familia Vertical]]</f>
        <v>1</v>
      </c>
      <c r="S550" s="8"/>
      <c r="T550" s="8"/>
      <c r="U550" s="8"/>
      <c r="V550" s="8"/>
    </row>
    <row r="551" spans="2:22" x14ac:dyDescent="0.2">
      <c r="B551" s="6">
        <v>546</v>
      </c>
      <c r="C551" s="7">
        <v>0</v>
      </c>
      <c r="D551" s="8">
        <v>1</v>
      </c>
      <c r="E551" s="8" t="s">
        <v>560</v>
      </c>
      <c r="F551" s="8" t="s">
        <v>11</v>
      </c>
      <c r="G551" s="8">
        <v>64</v>
      </c>
      <c r="H551" s="8">
        <v>0</v>
      </c>
      <c r="I551" s="8">
        <v>0</v>
      </c>
      <c r="J551" s="8">
        <v>26</v>
      </c>
      <c r="K551" s="8">
        <v>0</v>
      </c>
      <c r="L551" s="8" t="s">
        <v>12</v>
      </c>
      <c r="M551" s="8" t="str">
        <f>IF(Titanic[[#This Row],[Sobrevive]]=1, "SOBREVIVE", "NO SOBREVIVE")</f>
        <v>NO SOBREVIVE</v>
      </c>
      <c r="N551" s="8" t="str">
        <f>LOOKUP(Titanic[[#This Row],[Clase]],{1,2,3}, {"PRIMERA","SEGUNDA","TERCERA"})</f>
        <v>PRIMERA</v>
      </c>
      <c r="O551" s="8" t="str">
        <f>IF(Titanic[[#This Row],[Sexo]]="Hombre", "HOMBRE", "MUJER")</f>
        <v>HOMBRE</v>
      </c>
      <c r="P551" s="8">
        <f>IF(Titanic[[#This Row],[Edad]]="", "", IF(Titanic[[#This Row],[Edad]]&gt;=100, Titanic[[#This Row],[Edad]] / 10, Titanic[[#This Row],[Edad]]))</f>
        <v>64</v>
      </c>
      <c r="Q551" s="8" t="str">
        <f>IFERROR(LOOKUP(Titanic[[#This Row],[Edad Corrigida]],'Práctica 1'!$K$231:$K$240,'Práctica 1'!$L$231:$L$240), "DESCONOCIDO")</f>
        <v>9. ADULTO 4</v>
      </c>
      <c r="R551" s="8">
        <f>Titanic[[#This Row],[Familia Horizontal]]+Titanic[[#This Row],[Familia Vertical]]</f>
        <v>0</v>
      </c>
      <c r="S551" s="8"/>
      <c r="T551" s="8"/>
      <c r="U551" s="8"/>
      <c r="V551" s="8"/>
    </row>
    <row r="552" spans="2:22" x14ac:dyDescent="0.2">
      <c r="B552" s="6">
        <v>547</v>
      </c>
      <c r="C552" s="7">
        <v>1</v>
      </c>
      <c r="D552" s="8">
        <v>2</v>
      </c>
      <c r="E552" s="8" t="s">
        <v>561</v>
      </c>
      <c r="F552" s="8" t="s">
        <v>14</v>
      </c>
      <c r="G552" s="8">
        <v>19</v>
      </c>
      <c r="H552" s="8">
        <v>1</v>
      </c>
      <c r="I552" s="8">
        <v>0</v>
      </c>
      <c r="J552" s="8">
        <v>26</v>
      </c>
      <c r="K552" s="8">
        <v>0</v>
      </c>
      <c r="L552" s="8" t="s">
        <v>12</v>
      </c>
      <c r="M552" s="8" t="str">
        <f>IF(Titanic[[#This Row],[Sobrevive]]=1, "SOBREVIVE", "NO SOBREVIVE")</f>
        <v>SOBREVIVE</v>
      </c>
      <c r="N552" s="8" t="str">
        <f>LOOKUP(Titanic[[#This Row],[Clase]],{1,2,3}, {"PRIMERA","SEGUNDA","TERCERA"})</f>
        <v>SEGUNDA</v>
      </c>
      <c r="O552" s="8" t="str">
        <f>IF(Titanic[[#This Row],[Sexo]]="Hombre", "HOMBRE", "MUJER")</f>
        <v>MUJER</v>
      </c>
      <c r="P552" s="8">
        <f>IF(Titanic[[#This Row],[Edad]]="", "", IF(Titanic[[#This Row],[Edad]]&gt;=100, Titanic[[#This Row],[Edad]] / 10, Titanic[[#This Row],[Edad]]))</f>
        <v>19</v>
      </c>
      <c r="Q552" s="8" t="str">
        <f>IFERROR(LOOKUP(Titanic[[#This Row],[Edad Corrigida]],'Práctica 1'!$K$231:$K$240,'Práctica 1'!$L$231:$L$240), "DESCONOCIDO")</f>
        <v>2. ADOLESCENTE</v>
      </c>
      <c r="R552" s="8">
        <f>Titanic[[#This Row],[Familia Horizontal]]+Titanic[[#This Row],[Familia Vertical]]</f>
        <v>1</v>
      </c>
      <c r="S552" s="8"/>
      <c r="T552" s="8"/>
      <c r="U552" s="8"/>
      <c r="V552" s="8"/>
    </row>
    <row r="553" spans="2:22" x14ac:dyDescent="0.2">
      <c r="B553" s="6">
        <v>548</v>
      </c>
      <c r="C553" s="7">
        <v>1</v>
      </c>
      <c r="D553" s="8">
        <v>2</v>
      </c>
      <c r="E553" s="8" t="s">
        <v>562</v>
      </c>
      <c r="F553" s="8" t="s">
        <v>11</v>
      </c>
      <c r="G553" s="9"/>
      <c r="H553" s="8">
        <v>0</v>
      </c>
      <c r="I553" s="8">
        <v>0</v>
      </c>
      <c r="J553" s="8">
        <v>138625</v>
      </c>
      <c r="K553" s="8">
        <v>0</v>
      </c>
      <c r="L553" s="8" t="s">
        <v>15</v>
      </c>
      <c r="M553" s="8" t="str">
        <f>IF(Titanic[[#This Row],[Sobrevive]]=1, "SOBREVIVE", "NO SOBREVIVE")</f>
        <v>SOBREVIVE</v>
      </c>
      <c r="N553" s="8" t="str">
        <f>LOOKUP(Titanic[[#This Row],[Clase]],{1,2,3}, {"PRIMERA","SEGUNDA","TERCERA"})</f>
        <v>SEGUNDA</v>
      </c>
      <c r="O553" s="8" t="str">
        <f>IF(Titanic[[#This Row],[Sexo]]="Hombre", "HOMBRE", "MUJER")</f>
        <v>HOMBRE</v>
      </c>
      <c r="P553" s="8" t="str">
        <f>IF(Titanic[[#This Row],[Edad]]="", "", IF(Titanic[[#This Row],[Edad]]&gt;=100, Titanic[[#This Row],[Edad]] / 10, Titanic[[#This Row],[Edad]]))</f>
        <v/>
      </c>
      <c r="Q553" s="8" t="str">
        <f>IFERROR(LOOKUP(Titanic[[#This Row],[Edad Corrigida]],'Práctica 1'!$K$231:$K$240,'Práctica 1'!$L$231:$L$240), "DESCONOCIDO")</f>
        <v>DESCONOCIDO</v>
      </c>
      <c r="R553" s="8">
        <f>Titanic[[#This Row],[Familia Horizontal]]+Titanic[[#This Row],[Familia Vertical]]</f>
        <v>0</v>
      </c>
      <c r="S553" s="8"/>
      <c r="T553" s="8"/>
      <c r="U553" s="8"/>
      <c r="V553" s="8"/>
    </row>
    <row r="554" spans="2:22" x14ac:dyDescent="0.2">
      <c r="B554" s="6">
        <v>549</v>
      </c>
      <c r="C554" s="7">
        <v>0</v>
      </c>
      <c r="D554" s="8">
        <v>3</v>
      </c>
      <c r="E554" s="8" t="s">
        <v>563</v>
      </c>
      <c r="F554" s="8" t="s">
        <v>11</v>
      </c>
      <c r="G554" s="8">
        <v>33</v>
      </c>
      <c r="H554" s="8">
        <v>1</v>
      </c>
      <c r="I554" s="8">
        <v>1</v>
      </c>
      <c r="J554" s="8">
        <v>20525</v>
      </c>
      <c r="K554" s="8">
        <v>0</v>
      </c>
      <c r="L554" s="8" t="s">
        <v>12</v>
      </c>
      <c r="M554" s="8" t="str">
        <f>IF(Titanic[[#This Row],[Sobrevive]]=1, "SOBREVIVE", "NO SOBREVIVE")</f>
        <v>NO SOBREVIVE</v>
      </c>
      <c r="N554" s="8" t="str">
        <f>LOOKUP(Titanic[[#This Row],[Clase]],{1,2,3}, {"PRIMERA","SEGUNDA","TERCERA"})</f>
        <v>TERCERA</v>
      </c>
      <c r="O554" s="8" t="str">
        <f>IF(Titanic[[#This Row],[Sexo]]="Hombre", "HOMBRE", "MUJER")</f>
        <v>HOMBRE</v>
      </c>
      <c r="P554" s="8">
        <f>IF(Titanic[[#This Row],[Edad]]="", "", IF(Titanic[[#This Row],[Edad]]&gt;=100, Titanic[[#This Row],[Edad]] / 10, Titanic[[#This Row],[Edad]]))</f>
        <v>33</v>
      </c>
      <c r="Q554" s="8" t="str">
        <f>IFERROR(LOOKUP(Titanic[[#This Row],[Edad Corrigida]],'Práctica 1'!$K$231:$K$240,'Práctica 1'!$L$231:$L$240), "DESCONOCIDO")</f>
        <v>6. ADULTO 1</v>
      </c>
      <c r="R554" s="8">
        <f>Titanic[[#This Row],[Familia Horizontal]]+Titanic[[#This Row],[Familia Vertical]]</f>
        <v>2</v>
      </c>
      <c r="S554" s="8"/>
      <c r="T554" s="8"/>
      <c r="U554" s="8"/>
      <c r="V554" s="8"/>
    </row>
    <row r="555" spans="2:22" x14ac:dyDescent="0.2">
      <c r="B555" s="6">
        <v>550</v>
      </c>
      <c r="C555" s="7">
        <v>1</v>
      </c>
      <c r="D555" s="8">
        <v>2</v>
      </c>
      <c r="E555" s="8" t="s">
        <v>564</v>
      </c>
      <c r="F555" s="8" t="s">
        <v>11</v>
      </c>
      <c r="G555" s="8">
        <v>8</v>
      </c>
      <c r="H555" s="8">
        <v>1</v>
      </c>
      <c r="I555" s="8">
        <v>1</v>
      </c>
      <c r="J555" s="8">
        <v>3675</v>
      </c>
      <c r="K555" s="8">
        <v>0</v>
      </c>
      <c r="L555" s="8" t="s">
        <v>12</v>
      </c>
      <c r="M555" s="8" t="str">
        <f>IF(Titanic[[#This Row],[Sobrevive]]=1, "SOBREVIVE", "NO SOBREVIVE")</f>
        <v>SOBREVIVE</v>
      </c>
      <c r="N555" s="8" t="str">
        <f>LOOKUP(Titanic[[#This Row],[Clase]],{1,2,3}, {"PRIMERA","SEGUNDA","TERCERA"})</f>
        <v>SEGUNDA</v>
      </c>
      <c r="O555" s="8" t="str">
        <f>IF(Titanic[[#This Row],[Sexo]]="Hombre", "HOMBRE", "MUJER")</f>
        <v>HOMBRE</v>
      </c>
      <c r="P555" s="8">
        <f>IF(Titanic[[#This Row],[Edad]]="", "", IF(Titanic[[#This Row],[Edad]]&gt;=100, Titanic[[#This Row],[Edad]] / 10, Titanic[[#This Row],[Edad]]))</f>
        <v>8</v>
      </c>
      <c r="Q555" s="8" t="str">
        <f>IFERROR(LOOKUP(Titanic[[#This Row],[Edad Corrigida]],'Práctica 1'!$K$231:$K$240,'Práctica 1'!$L$231:$L$240), "DESCONOCIDO")</f>
        <v>DESCONOCIDO</v>
      </c>
      <c r="R555" s="8">
        <f>Titanic[[#This Row],[Familia Horizontal]]+Titanic[[#This Row],[Familia Vertical]]</f>
        <v>2</v>
      </c>
      <c r="S555" s="8"/>
      <c r="T555" s="8"/>
      <c r="U555" s="8"/>
      <c r="V555" s="8"/>
    </row>
    <row r="556" spans="2:22" x14ac:dyDescent="0.2">
      <c r="B556" s="6">
        <v>551</v>
      </c>
      <c r="C556" s="7">
        <v>1</v>
      </c>
      <c r="D556" s="8">
        <v>1</v>
      </c>
      <c r="E556" s="8" t="s">
        <v>565</v>
      </c>
      <c r="F556" s="8" t="s">
        <v>11</v>
      </c>
      <c r="G556" s="8">
        <v>17</v>
      </c>
      <c r="H556" s="8">
        <v>0</v>
      </c>
      <c r="I556" s="8">
        <v>2</v>
      </c>
      <c r="J556" s="8">
        <v>1108833</v>
      </c>
      <c r="K556" s="8">
        <v>1</v>
      </c>
      <c r="L556" s="8" t="s">
        <v>15</v>
      </c>
      <c r="M556" s="8" t="str">
        <f>IF(Titanic[[#This Row],[Sobrevive]]=1, "SOBREVIVE", "NO SOBREVIVE")</f>
        <v>SOBREVIVE</v>
      </c>
      <c r="N556" s="8" t="str">
        <f>LOOKUP(Titanic[[#This Row],[Clase]],{1,2,3}, {"PRIMERA","SEGUNDA","TERCERA"})</f>
        <v>PRIMERA</v>
      </c>
      <c r="O556" s="8" t="str">
        <f>IF(Titanic[[#This Row],[Sexo]]="Hombre", "HOMBRE", "MUJER")</f>
        <v>HOMBRE</v>
      </c>
      <c r="P556" s="8">
        <f>IF(Titanic[[#This Row],[Edad]]="", "", IF(Titanic[[#This Row],[Edad]]&gt;=100, Titanic[[#This Row],[Edad]] / 10, Titanic[[#This Row],[Edad]]))</f>
        <v>17</v>
      </c>
      <c r="Q556" s="8" t="str">
        <f>IFERROR(LOOKUP(Titanic[[#This Row],[Edad Corrigida]],'Práctica 1'!$K$231:$K$240,'Práctica 1'!$L$231:$L$240), "DESCONOCIDO")</f>
        <v>1. INFANTE</v>
      </c>
      <c r="R556" s="8">
        <f>Titanic[[#This Row],[Familia Horizontal]]+Titanic[[#This Row],[Familia Vertical]]</f>
        <v>2</v>
      </c>
      <c r="S556" s="8"/>
      <c r="T556" s="8"/>
      <c r="U556" s="8"/>
      <c r="V556" s="8"/>
    </row>
    <row r="557" spans="2:22" x14ac:dyDescent="0.2">
      <c r="B557" s="6">
        <v>552</v>
      </c>
      <c r="C557" s="7">
        <v>0</v>
      </c>
      <c r="D557" s="8">
        <v>2</v>
      </c>
      <c r="E557" s="8" t="s">
        <v>566</v>
      </c>
      <c r="F557" s="8" t="s">
        <v>11</v>
      </c>
      <c r="G557" s="8">
        <v>27</v>
      </c>
      <c r="H557" s="8">
        <v>0</v>
      </c>
      <c r="I557" s="8">
        <v>0</v>
      </c>
      <c r="J557" s="8">
        <v>26</v>
      </c>
      <c r="K557" s="8">
        <v>0</v>
      </c>
      <c r="L557" s="8" t="s">
        <v>12</v>
      </c>
      <c r="M557" s="8" t="str">
        <f>IF(Titanic[[#This Row],[Sobrevive]]=1, "SOBREVIVE", "NO SOBREVIVE")</f>
        <v>NO SOBREVIVE</v>
      </c>
      <c r="N557" s="8" t="str">
        <f>LOOKUP(Titanic[[#This Row],[Clase]],{1,2,3}, {"PRIMERA","SEGUNDA","TERCERA"})</f>
        <v>SEGUNDA</v>
      </c>
      <c r="O557" s="8" t="str">
        <f>IF(Titanic[[#This Row],[Sexo]]="Hombre", "HOMBRE", "MUJER")</f>
        <v>HOMBRE</v>
      </c>
      <c r="P557" s="8">
        <f>IF(Titanic[[#This Row],[Edad]]="", "", IF(Titanic[[#This Row],[Edad]]&gt;=100, Titanic[[#This Row],[Edad]] / 10, Titanic[[#This Row],[Edad]]))</f>
        <v>27</v>
      </c>
      <c r="Q557" s="8" t="str">
        <f>IFERROR(LOOKUP(Titanic[[#This Row],[Edad Corrigida]],'Práctica 1'!$K$231:$K$240,'Práctica 1'!$L$231:$L$240), "DESCONOCIDO")</f>
        <v>4. ADULTO JOVEN</v>
      </c>
      <c r="R557" s="8">
        <f>Titanic[[#This Row],[Familia Horizontal]]+Titanic[[#This Row],[Familia Vertical]]</f>
        <v>0</v>
      </c>
      <c r="S557" s="8"/>
      <c r="T557" s="8"/>
      <c r="U557" s="8"/>
      <c r="V557" s="8"/>
    </row>
    <row r="558" spans="2:22" x14ac:dyDescent="0.2">
      <c r="B558" s="6">
        <v>553</v>
      </c>
      <c r="C558" s="7">
        <v>0</v>
      </c>
      <c r="D558" s="8">
        <v>3</v>
      </c>
      <c r="E558" s="8" t="s">
        <v>567</v>
      </c>
      <c r="F558" s="8" t="s">
        <v>11</v>
      </c>
      <c r="G558" s="9"/>
      <c r="H558" s="8">
        <v>0</v>
      </c>
      <c r="I558" s="8">
        <v>0</v>
      </c>
      <c r="J558" s="8">
        <v>78292</v>
      </c>
      <c r="K558" s="8">
        <v>0</v>
      </c>
      <c r="L558" s="8" t="s">
        <v>20</v>
      </c>
      <c r="M558" s="8" t="str">
        <f>IF(Titanic[[#This Row],[Sobrevive]]=1, "SOBREVIVE", "NO SOBREVIVE")</f>
        <v>NO SOBREVIVE</v>
      </c>
      <c r="N558" s="8" t="str">
        <f>LOOKUP(Titanic[[#This Row],[Clase]],{1,2,3}, {"PRIMERA","SEGUNDA","TERCERA"})</f>
        <v>TERCERA</v>
      </c>
      <c r="O558" s="8" t="str">
        <f>IF(Titanic[[#This Row],[Sexo]]="Hombre", "HOMBRE", "MUJER")</f>
        <v>HOMBRE</v>
      </c>
      <c r="P558" s="8" t="str">
        <f>IF(Titanic[[#This Row],[Edad]]="", "", IF(Titanic[[#This Row],[Edad]]&gt;=100, Titanic[[#This Row],[Edad]] / 10, Titanic[[#This Row],[Edad]]))</f>
        <v/>
      </c>
      <c r="Q558" s="8" t="str">
        <f>IFERROR(LOOKUP(Titanic[[#This Row],[Edad Corrigida]],'Práctica 1'!$K$231:$K$240,'Práctica 1'!$L$231:$L$240), "DESCONOCIDO")</f>
        <v>DESCONOCIDO</v>
      </c>
      <c r="R558" s="8">
        <f>Titanic[[#This Row],[Familia Horizontal]]+Titanic[[#This Row],[Familia Vertical]]</f>
        <v>0</v>
      </c>
      <c r="S558" s="8"/>
      <c r="T558" s="8"/>
      <c r="U558" s="8"/>
      <c r="V558" s="8"/>
    </row>
    <row r="559" spans="2:22" x14ac:dyDescent="0.2">
      <c r="B559" s="6">
        <v>554</v>
      </c>
      <c r="C559" s="7">
        <v>1</v>
      </c>
      <c r="D559" s="8">
        <v>3</v>
      </c>
      <c r="E559" s="8" t="s">
        <v>568</v>
      </c>
      <c r="F559" s="8" t="s">
        <v>11</v>
      </c>
      <c r="G559" s="8">
        <v>22</v>
      </c>
      <c r="H559" s="8">
        <v>0</v>
      </c>
      <c r="I559" s="8">
        <v>0</v>
      </c>
      <c r="J559" s="8">
        <v>7225</v>
      </c>
      <c r="K559" s="8">
        <v>0</v>
      </c>
      <c r="L559" s="8" t="s">
        <v>15</v>
      </c>
      <c r="M559" s="8" t="str">
        <f>IF(Titanic[[#This Row],[Sobrevive]]=1, "SOBREVIVE", "NO SOBREVIVE")</f>
        <v>SOBREVIVE</v>
      </c>
      <c r="N559" s="8" t="str">
        <f>LOOKUP(Titanic[[#This Row],[Clase]],{1,2,3}, {"PRIMERA","SEGUNDA","TERCERA"})</f>
        <v>TERCERA</v>
      </c>
      <c r="O559" s="8" t="str">
        <f>IF(Titanic[[#This Row],[Sexo]]="Hombre", "HOMBRE", "MUJER")</f>
        <v>HOMBRE</v>
      </c>
      <c r="P559" s="8">
        <f>IF(Titanic[[#This Row],[Edad]]="", "", IF(Titanic[[#This Row],[Edad]]&gt;=100, Titanic[[#This Row],[Edad]] / 10, Titanic[[#This Row],[Edad]]))</f>
        <v>22</v>
      </c>
      <c r="Q559" s="8" t="str">
        <f>IFERROR(LOOKUP(Titanic[[#This Row],[Edad Corrigida]],'Práctica 1'!$K$231:$K$240,'Práctica 1'!$L$231:$L$240), "DESCONOCIDO")</f>
        <v>3. JOVEN</v>
      </c>
      <c r="R559" s="8">
        <f>Titanic[[#This Row],[Familia Horizontal]]+Titanic[[#This Row],[Familia Vertical]]</f>
        <v>0</v>
      </c>
      <c r="S559" s="8"/>
      <c r="T559" s="8"/>
      <c r="U559" s="8"/>
      <c r="V559" s="8"/>
    </row>
    <row r="560" spans="2:22" x14ac:dyDescent="0.2">
      <c r="B560" s="6">
        <v>555</v>
      </c>
      <c r="C560" s="7">
        <v>1</v>
      </c>
      <c r="D560" s="8">
        <v>3</v>
      </c>
      <c r="E560" s="8" t="s">
        <v>569</v>
      </c>
      <c r="F560" s="8" t="s">
        <v>14</v>
      </c>
      <c r="G560" s="8">
        <v>22</v>
      </c>
      <c r="H560" s="8">
        <v>0</v>
      </c>
      <c r="I560" s="8">
        <v>0</v>
      </c>
      <c r="J560" s="8">
        <v>7775</v>
      </c>
      <c r="K560" s="8">
        <v>0</v>
      </c>
      <c r="L560" s="8" t="s">
        <v>12</v>
      </c>
      <c r="M560" s="8" t="str">
        <f>IF(Titanic[[#This Row],[Sobrevive]]=1, "SOBREVIVE", "NO SOBREVIVE")</f>
        <v>SOBREVIVE</v>
      </c>
      <c r="N560" s="8" t="str">
        <f>LOOKUP(Titanic[[#This Row],[Clase]],{1,2,3}, {"PRIMERA","SEGUNDA","TERCERA"})</f>
        <v>TERCERA</v>
      </c>
      <c r="O560" s="8" t="str">
        <f>IF(Titanic[[#This Row],[Sexo]]="Hombre", "HOMBRE", "MUJER")</f>
        <v>MUJER</v>
      </c>
      <c r="P560" s="8">
        <f>IF(Titanic[[#This Row],[Edad]]="", "", IF(Titanic[[#This Row],[Edad]]&gt;=100, Titanic[[#This Row],[Edad]] / 10, Titanic[[#This Row],[Edad]]))</f>
        <v>22</v>
      </c>
      <c r="Q560" s="8" t="str">
        <f>IFERROR(LOOKUP(Titanic[[#This Row],[Edad Corrigida]],'Práctica 1'!$K$231:$K$240,'Práctica 1'!$L$231:$L$240), "DESCONOCIDO")</f>
        <v>3. JOVEN</v>
      </c>
      <c r="R560" s="8">
        <f>Titanic[[#This Row],[Familia Horizontal]]+Titanic[[#This Row],[Familia Vertical]]</f>
        <v>0</v>
      </c>
      <c r="S560" s="8"/>
      <c r="T560" s="8"/>
      <c r="U560" s="8"/>
      <c r="V560" s="8"/>
    </row>
    <row r="561" spans="2:22" x14ac:dyDescent="0.2">
      <c r="B561" s="6">
        <v>556</v>
      </c>
      <c r="C561" s="7">
        <v>0</v>
      </c>
      <c r="D561" s="8">
        <v>1</v>
      </c>
      <c r="E561" s="8" t="s">
        <v>570</v>
      </c>
      <c r="F561" s="8" t="s">
        <v>11</v>
      </c>
      <c r="G561" s="8">
        <v>62</v>
      </c>
      <c r="H561" s="8">
        <v>0</v>
      </c>
      <c r="I561" s="8">
        <v>0</v>
      </c>
      <c r="J561" s="8">
        <v>2655</v>
      </c>
      <c r="K561" s="8">
        <v>0</v>
      </c>
      <c r="L561" s="8" t="s">
        <v>12</v>
      </c>
      <c r="M561" s="8" t="str">
        <f>IF(Titanic[[#This Row],[Sobrevive]]=1, "SOBREVIVE", "NO SOBREVIVE")</f>
        <v>NO SOBREVIVE</v>
      </c>
      <c r="N561" s="8" t="str">
        <f>LOOKUP(Titanic[[#This Row],[Clase]],{1,2,3}, {"PRIMERA","SEGUNDA","TERCERA"})</f>
        <v>PRIMERA</v>
      </c>
      <c r="O561" s="8" t="str">
        <f>IF(Titanic[[#This Row],[Sexo]]="Hombre", "HOMBRE", "MUJER")</f>
        <v>HOMBRE</v>
      </c>
      <c r="P561" s="8">
        <f>IF(Titanic[[#This Row],[Edad]]="", "", IF(Titanic[[#This Row],[Edad]]&gt;=100, Titanic[[#This Row],[Edad]] / 10, Titanic[[#This Row],[Edad]]))</f>
        <v>62</v>
      </c>
      <c r="Q561" s="8" t="str">
        <f>IFERROR(LOOKUP(Titanic[[#This Row],[Edad Corrigida]],'Práctica 1'!$K$231:$K$240,'Práctica 1'!$L$231:$L$240), "DESCONOCIDO")</f>
        <v>9. ADULTO 4</v>
      </c>
      <c r="R561" s="8">
        <f>Titanic[[#This Row],[Familia Horizontal]]+Titanic[[#This Row],[Familia Vertical]]</f>
        <v>0</v>
      </c>
      <c r="S561" s="8"/>
      <c r="T561" s="8"/>
      <c r="U561" s="8"/>
      <c r="V561" s="8"/>
    </row>
    <row r="562" spans="2:22" x14ac:dyDescent="0.2">
      <c r="B562" s="6">
        <v>557</v>
      </c>
      <c r="C562" s="7">
        <v>1</v>
      </c>
      <c r="D562" s="8">
        <v>1</v>
      </c>
      <c r="E562" s="8" t="s">
        <v>571</v>
      </c>
      <c r="F562" s="8" t="s">
        <v>14</v>
      </c>
      <c r="G562" s="8">
        <v>48</v>
      </c>
      <c r="H562" s="8">
        <v>1</v>
      </c>
      <c r="I562" s="8">
        <v>0</v>
      </c>
      <c r="J562" s="8">
        <v>396</v>
      </c>
      <c r="K562" s="8">
        <v>1</v>
      </c>
      <c r="L562" s="8" t="s">
        <v>15</v>
      </c>
      <c r="M562" s="8" t="str">
        <f>IF(Titanic[[#This Row],[Sobrevive]]=1, "SOBREVIVE", "NO SOBREVIVE")</f>
        <v>SOBREVIVE</v>
      </c>
      <c r="N562" s="8" t="str">
        <f>LOOKUP(Titanic[[#This Row],[Clase]],{1,2,3}, {"PRIMERA","SEGUNDA","TERCERA"})</f>
        <v>PRIMERA</v>
      </c>
      <c r="O562" s="8" t="str">
        <f>IF(Titanic[[#This Row],[Sexo]]="Hombre", "HOMBRE", "MUJER")</f>
        <v>MUJER</v>
      </c>
      <c r="P562" s="8">
        <f>IF(Titanic[[#This Row],[Edad]]="", "", IF(Titanic[[#This Row],[Edad]]&gt;=100, Titanic[[#This Row],[Edad]] / 10, Titanic[[#This Row],[Edad]]))</f>
        <v>48</v>
      </c>
      <c r="Q562" s="8" t="str">
        <f>IFERROR(LOOKUP(Titanic[[#This Row],[Edad Corrigida]],'Práctica 1'!$K$231:$K$240,'Práctica 1'!$L$231:$L$240), "DESCONOCIDO")</f>
        <v>8. ADULTO 3</v>
      </c>
      <c r="R562" s="8">
        <f>Titanic[[#This Row],[Familia Horizontal]]+Titanic[[#This Row],[Familia Vertical]]</f>
        <v>1</v>
      </c>
      <c r="S562" s="8"/>
      <c r="T562" s="8"/>
      <c r="U562" s="8"/>
      <c r="V562" s="8"/>
    </row>
    <row r="563" spans="2:22" x14ac:dyDescent="0.2">
      <c r="B563" s="6">
        <v>558</v>
      </c>
      <c r="C563" s="7">
        <v>0</v>
      </c>
      <c r="D563" s="8">
        <v>1</v>
      </c>
      <c r="E563" s="8" t="s">
        <v>572</v>
      </c>
      <c r="F563" s="8" t="s">
        <v>11</v>
      </c>
      <c r="G563" s="9"/>
      <c r="H563" s="8">
        <v>0</v>
      </c>
      <c r="I563" s="8">
        <v>0</v>
      </c>
      <c r="J563" s="8">
        <v>227525</v>
      </c>
      <c r="K563" s="8">
        <v>0</v>
      </c>
      <c r="L563" s="8" t="s">
        <v>15</v>
      </c>
      <c r="M563" s="8" t="str">
        <f>IF(Titanic[[#This Row],[Sobrevive]]=1, "SOBREVIVE", "NO SOBREVIVE")</f>
        <v>NO SOBREVIVE</v>
      </c>
      <c r="N563" s="8" t="str">
        <f>LOOKUP(Titanic[[#This Row],[Clase]],{1,2,3}, {"PRIMERA","SEGUNDA","TERCERA"})</f>
        <v>PRIMERA</v>
      </c>
      <c r="O563" s="8" t="str">
        <f>IF(Titanic[[#This Row],[Sexo]]="Hombre", "HOMBRE", "MUJER")</f>
        <v>HOMBRE</v>
      </c>
      <c r="P563" s="8" t="str">
        <f>IF(Titanic[[#This Row],[Edad]]="", "", IF(Titanic[[#This Row],[Edad]]&gt;=100, Titanic[[#This Row],[Edad]] / 10, Titanic[[#This Row],[Edad]]))</f>
        <v/>
      </c>
      <c r="Q563" s="8" t="str">
        <f>IFERROR(LOOKUP(Titanic[[#This Row],[Edad Corrigida]],'Práctica 1'!$K$231:$K$240,'Práctica 1'!$L$231:$L$240), "DESCONOCIDO")</f>
        <v>DESCONOCIDO</v>
      </c>
      <c r="R563" s="8">
        <f>Titanic[[#This Row],[Familia Horizontal]]+Titanic[[#This Row],[Familia Vertical]]</f>
        <v>0</v>
      </c>
      <c r="S563" s="8"/>
      <c r="T563" s="8"/>
      <c r="U563" s="8"/>
      <c r="V563" s="8"/>
    </row>
    <row r="564" spans="2:22" x14ac:dyDescent="0.2">
      <c r="B564" s="6">
        <v>559</v>
      </c>
      <c r="C564" s="7">
        <v>1</v>
      </c>
      <c r="D564" s="8">
        <v>1</v>
      </c>
      <c r="E564" s="8" t="s">
        <v>573</v>
      </c>
      <c r="F564" s="8" t="s">
        <v>14</v>
      </c>
      <c r="G564" s="8">
        <v>39</v>
      </c>
      <c r="H564" s="8">
        <v>1</v>
      </c>
      <c r="I564" s="8">
        <v>1</v>
      </c>
      <c r="J564" s="8">
        <v>7965</v>
      </c>
      <c r="K564" s="8">
        <v>1</v>
      </c>
      <c r="L564" s="8" t="s">
        <v>12</v>
      </c>
      <c r="M564" s="8" t="str">
        <f>IF(Titanic[[#This Row],[Sobrevive]]=1, "SOBREVIVE", "NO SOBREVIVE")</f>
        <v>SOBREVIVE</v>
      </c>
      <c r="N564" s="8" t="str">
        <f>LOOKUP(Titanic[[#This Row],[Clase]],{1,2,3}, {"PRIMERA","SEGUNDA","TERCERA"})</f>
        <v>PRIMERA</v>
      </c>
      <c r="O564" s="8" t="str">
        <f>IF(Titanic[[#This Row],[Sexo]]="Hombre", "HOMBRE", "MUJER")</f>
        <v>MUJER</v>
      </c>
      <c r="P564" s="8">
        <f>IF(Titanic[[#This Row],[Edad]]="", "", IF(Titanic[[#This Row],[Edad]]&gt;=100, Titanic[[#This Row],[Edad]] / 10, Titanic[[#This Row],[Edad]]))</f>
        <v>39</v>
      </c>
      <c r="Q564" s="8" t="str">
        <f>IFERROR(LOOKUP(Titanic[[#This Row],[Edad Corrigida]],'Práctica 1'!$K$231:$K$240,'Práctica 1'!$L$231:$L$240), "DESCONOCIDO")</f>
        <v>7. ADULTO 2</v>
      </c>
      <c r="R564" s="8">
        <f>Titanic[[#This Row],[Familia Horizontal]]+Titanic[[#This Row],[Familia Vertical]]</f>
        <v>2</v>
      </c>
      <c r="S564" s="8"/>
      <c r="T564" s="8"/>
      <c r="U564" s="8"/>
      <c r="V564" s="8"/>
    </row>
    <row r="565" spans="2:22" x14ac:dyDescent="0.2">
      <c r="B565" s="6">
        <v>560</v>
      </c>
      <c r="C565" s="7">
        <v>1</v>
      </c>
      <c r="D565" s="8">
        <v>3</v>
      </c>
      <c r="E565" s="8" t="s">
        <v>574</v>
      </c>
      <c r="F565" s="8" t="s">
        <v>14</v>
      </c>
      <c r="G565" s="8">
        <v>36</v>
      </c>
      <c r="H565" s="8">
        <v>1</v>
      </c>
      <c r="I565" s="8">
        <v>0</v>
      </c>
      <c r="J565" s="8">
        <v>174</v>
      </c>
      <c r="K565" s="8">
        <v>0</v>
      </c>
      <c r="L565" s="8" t="s">
        <v>12</v>
      </c>
      <c r="M565" s="8" t="str">
        <f>IF(Titanic[[#This Row],[Sobrevive]]=1, "SOBREVIVE", "NO SOBREVIVE")</f>
        <v>SOBREVIVE</v>
      </c>
      <c r="N565" s="8" t="str">
        <f>LOOKUP(Titanic[[#This Row],[Clase]],{1,2,3}, {"PRIMERA","SEGUNDA","TERCERA"})</f>
        <v>TERCERA</v>
      </c>
      <c r="O565" s="8" t="str">
        <f>IF(Titanic[[#This Row],[Sexo]]="Hombre", "HOMBRE", "MUJER")</f>
        <v>MUJER</v>
      </c>
      <c r="P565" s="8">
        <f>IF(Titanic[[#This Row],[Edad]]="", "", IF(Titanic[[#This Row],[Edad]]&gt;=100, Titanic[[#This Row],[Edad]] / 10, Titanic[[#This Row],[Edad]]))</f>
        <v>36</v>
      </c>
      <c r="Q565" s="8" t="str">
        <f>IFERROR(LOOKUP(Titanic[[#This Row],[Edad Corrigida]],'Práctica 1'!$K$231:$K$240,'Práctica 1'!$L$231:$L$240), "DESCONOCIDO")</f>
        <v>7. ADULTO 2</v>
      </c>
      <c r="R565" s="8">
        <f>Titanic[[#This Row],[Familia Horizontal]]+Titanic[[#This Row],[Familia Vertical]]</f>
        <v>1</v>
      </c>
      <c r="S565" s="8"/>
      <c r="T565" s="8"/>
      <c r="U565" s="8"/>
      <c r="V565" s="8"/>
    </row>
    <row r="566" spans="2:22" x14ac:dyDescent="0.2">
      <c r="B566" s="6">
        <v>561</v>
      </c>
      <c r="C566" s="7">
        <v>0</v>
      </c>
      <c r="D566" s="8">
        <v>3</v>
      </c>
      <c r="E566" s="8" t="s">
        <v>575</v>
      </c>
      <c r="F566" s="8" t="s">
        <v>11</v>
      </c>
      <c r="G566" s="9"/>
      <c r="H566" s="8">
        <v>0</v>
      </c>
      <c r="I566" s="8">
        <v>0</v>
      </c>
      <c r="J566" s="8">
        <v>775</v>
      </c>
      <c r="K566" s="8">
        <v>0</v>
      </c>
      <c r="L566" s="8" t="s">
        <v>20</v>
      </c>
      <c r="M566" s="8" t="str">
        <f>IF(Titanic[[#This Row],[Sobrevive]]=1, "SOBREVIVE", "NO SOBREVIVE")</f>
        <v>NO SOBREVIVE</v>
      </c>
      <c r="N566" s="8" t="str">
        <f>LOOKUP(Titanic[[#This Row],[Clase]],{1,2,3}, {"PRIMERA","SEGUNDA","TERCERA"})</f>
        <v>TERCERA</v>
      </c>
      <c r="O566" s="8" t="str">
        <f>IF(Titanic[[#This Row],[Sexo]]="Hombre", "HOMBRE", "MUJER")</f>
        <v>HOMBRE</v>
      </c>
      <c r="P566" s="8" t="str">
        <f>IF(Titanic[[#This Row],[Edad]]="", "", IF(Titanic[[#This Row],[Edad]]&gt;=100, Titanic[[#This Row],[Edad]] / 10, Titanic[[#This Row],[Edad]]))</f>
        <v/>
      </c>
      <c r="Q566" s="8" t="str">
        <f>IFERROR(LOOKUP(Titanic[[#This Row],[Edad Corrigida]],'Práctica 1'!$K$231:$K$240,'Práctica 1'!$L$231:$L$240), "DESCONOCIDO")</f>
        <v>DESCONOCIDO</v>
      </c>
      <c r="R566" s="8">
        <f>Titanic[[#This Row],[Familia Horizontal]]+Titanic[[#This Row],[Familia Vertical]]</f>
        <v>0</v>
      </c>
      <c r="S566" s="8"/>
      <c r="T566" s="8"/>
      <c r="U566" s="8"/>
      <c r="V566" s="8"/>
    </row>
    <row r="567" spans="2:22" x14ac:dyDescent="0.2">
      <c r="B567" s="6">
        <v>562</v>
      </c>
      <c r="C567" s="7">
        <v>0</v>
      </c>
      <c r="D567" s="8">
        <v>3</v>
      </c>
      <c r="E567" s="8" t="s">
        <v>576</v>
      </c>
      <c r="F567" s="8" t="s">
        <v>11</v>
      </c>
      <c r="G567" s="8">
        <v>40</v>
      </c>
      <c r="H567" s="8">
        <v>0</v>
      </c>
      <c r="I567" s="8">
        <v>0</v>
      </c>
      <c r="J567" s="8">
        <v>78958</v>
      </c>
      <c r="K567" s="8">
        <v>0</v>
      </c>
      <c r="L567" s="8" t="s">
        <v>12</v>
      </c>
      <c r="M567" s="8" t="str">
        <f>IF(Titanic[[#This Row],[Sobrevive]]=1, "SOBREVIVE", "NO SOBREVIVE")</f>
        <v>NO SOBREVIVE</v>
      </c>
      <c r="N567" s="8" t="str">
        <f>LOOKUP(Titanic[[#This Row],[Clase]],{1,2,3}, {"PRIMERA","SEGUNDA","TERCERA"})</f>
        <v>TERCERA</v>
      </c>
      <c r="O567" s="8" t="str">
        <f>IF(Titanic[[#This Row],[Sexo]]="Hombre", "HOMBRE", "MUJER")</f>
        <v>HOMBRE</v>
      </c>
      <c r="P567" s="8">
        <f>IF(Titanic[[#This Row],[Edad]]="", "", IF(Titanic[[#This Row],[Edad]]&gt;=100, Titanic[[#This Row],[Edad]] / 10, Titanic[[#This Row],[Edad]]))</f>
        <v>40</v>
      </c>
      <c r="Q567" s="8" t="str">
        <f>IFERROR(LOOKUP(Titanic[[#This Row],[Edad Corrigida]],'Práctica 1'!$K$231:$K$240,'Práctica 1'!$L$231:$L$240), "DESCONOCIDO")</f>
        <v>7. ADULTO 2</v>
      </c>
      <c r="R567" s="8">
        <f>Titanic[[#This Row],[Familia Horizontal]]+Titanic[[#This Row],[Familia Vertical]]</f>
        <v>0</v>
      </c>
      <c r="S567" s="8"/>
      <c r="T567" s="8"/>
      <c r="U567" s="8"/>
      <c r="V567" s="8"/>
    </row>
    <row r="568" spans="2:22" x14ac:dyDescent="0.2">
      <c r="B568" s="6">
        <v>563</v>
      </c>
      <c r="C568" s="7">
        <v>0</v>
      </c>
      <c r="D568" s="8">
        <v>2</v>
      </c>
      <c r="E568" s="8" t="s">
        <v>577</v>
      </c>
      <c r="F568" s="8" t="s">
        <v>11</v>
      </c>
      <c r="G568" s="8">
        <v>28</v>
      </c>
      <c r="H568" s="8">
        <v>0</v>
      </c>
      <c r="I568" s="8">
        <v>0</v>
      </c>
      <c r="J568" s="8">
        <v>135</v>
      </c>
      <c r="K568" s="8">
        <v>0</v>
      </c>
      <c r="L568" s="8" t="s">
        <v>12</v>
      </c>
      <c r="M568" s="8" t="str">
        <f>IF(Titanic[[#This Row],[Sobrevive]]=1, "SOBREVIVE", "NO SOBREVIVE")</f>
        <v>NO SOBREVIVE</v>
      </c>
      <c r="N568" s="8" t="str">
        <f>LOOKUP(Titanic[[#This Row],[Clase]],{1,2,3}, {"PRIMERA","SEGUNDA","TERCERA"})</f>
        <v>SEGUNDA</v>
      </c>
      <c r="O568" s="8" t="str">
        <f>IF(Titanic[[#This Row],[Sexo]]="Hombre", "HOMBRE", "MUJER")</f>
        <v>HOMBRE</v>
      </c>
      <c r="P568" s="8">
        <f>IF(Titanic[[#This Row],[Edad]]="", "", IF(Titanic[[#This Row],[Edad]]&gt;=100, Titanic[[#This Row],[Edad]] / 10, Titanic[[#This Row],[Edad]]))</f>
        <v>28</v>
      </c>
      <c r="Q568" s="8" t="str">
        <f>IFERROR(LOOKUP(Titanic[[#This Row],[Edad Corrigida]],'Práctica 1'!$K$231:$K$240,'Práctica 1'!$L$231:$L$240), "DESCONOCIDO")</f>
        <v>4. ADULTO JOVEN</v>
      </c>
      <c r="R568" s="8">
        <f>Titanic[[#This Row],[Familia Horizontal]]+Titanic[[#This Row],[Familia Vertical]]</f>
        <v>0</v>
      </c>
      <c r="S568" s="8"/>
      <c r="T568" s="8"/>
      <c r="U568" s="8"/>
      <c r="V568" s="8"/>
    </row>
    <row r="569" spans="2:22" x14ac:dyDescent="0.2">
      <c r="B569" s="6">
        <v>564</v>
      </c>
      <c r="C569" s="7">
        <v>0</v>
      </c>
      <c r="D569" s="8">
        <v>3</v>
      </c>
      <c r="E569" s="8" t="s">
        <v>578</v>
      </c>
      <c r="F569" s="8" t="s">
        <v>11</v>
      </c>
      <c r="G569" s="9"/>
      <c r="H569" s="8">
        <v>0</v>
      </c>
      <c r="I569" s="8">
        <v>0</v>
      </c>
      <c r="J569" s="8">
        <v>805</v>
      </c>
      <c r="K569" s="8">
        <v>0</v>
      </c>
      <c r="L569" s="8" t="s">
        <v>12</v>
      </c>
      <c r="M569" s="8" t="str">
        <f>IF(Titanic[[#This Row],[Sobrevive]]=1, "SOBREVIVE", "NO SOBREVIVE")</f>
        <v>NO SOBREVIVE</v>
      </c>
      <c r="N569" s="8" t="str">
        <f>LOOKUP(Titanic[[#This Row],[Clase]],{1,2,3}, {"PRIMERA","SEGUNDA","TERCERA"})</f>
        <v>TERCERA</v>
      </c>
      <c r="O569" s="8" t="str">
        <f>IF(Titanic[[#This Row],[Sexo]]="Hombre", "HOMBRE", "MUJER")</f>
        <v>HOMBRE</v>
      </c>
      <c r="P569" s="8" t="str">
        <f>IF(Titanic[[#This Row],[Edad]]="", "", IF(Titanic[[#This Row],[Edad]]&gt;=100, Titanic[[#This Row],[Edad]] / 10, Titanic[[#This Row],[Edad]]))</f>
        <v/>
      </c>
      <c r="Q569" s="8" t="str">
        <f>IFERROR(LOOKUP(Titanic[[#This Row],[Edad Corrigida]],'Práctica 1'!$K$231:$K$240,'Práctica 1'!$L$231:$L$240), "DESCONOCIDO")</f>
        <v>DESCONOCIDO</v>
      </c>
      <c r="R569" s="8">
        <f>Titanic[[#This Row],[Familia Horizontal]]+Titanic[[#This Row],[Familia Vertical]]</f>
        <v>0</v>
      </c>
      <c r="S569" s="8"/>
      <c r="T569" s="8"/>
      <c r="U569" s="8"/>
      <c r="V569" s="8"/>
    </row>
    <row r="570" spans="2:22" x14ac:dyDescent="0.2">
      <c r="B570" s="6">
        <v>565</v>
      </c>
      <c r="C570" s="7">
        <v>0</v>
      </c>
      <c r="D570" s="8">
        <v>3</v>
      </c>
      <c r="E570" s="8" t="s">
        <v>579</v>
      </c>
      <c r="F570" s="8" t="s">
        <v>14</v>
      </c>
      <c r="G570" s="9"/>
      <c r="H570" s="8">
        <v>0</v>
      </c>
      <c r="I570" s="8">
        <v>0</v>
      </c>
      <c r="J570" s="8">
        <v>805</v>
      </c>
      <c r="K570" s="8">
        <v>0</v>
      </c>
      <c r="L570" s="8" t="s">
        <v>12</v>
      </c>
      <c r="M570" s="8" t="str">
        <f>IF(Titanic[[#This Row],[Sobrevive]]=1, "SOBREVIVE", "NO SOBREVIVE")</f>
        <v>NO SOBREVIVE</v>
      </c>
      <c r="N570" s="8" t="str">
        <f>LOOKUP(Titanic[[#This Row],[Clase]],{1,2,3}, {"PRIMERA","SEGUNDA","TERCERA"})</f>
        <v>TERCERA</v>
      </c>
      <c r="O570" s="8" t="str">
        <f>IF(Titanic[[#This Row],[Sexo]]="Hombre", "HOMBRE", "MUJER")</f>
        <v>MUJER</v>
      </c>
      <c r="P570" s="8" t="str">
        <f>IF(Titanic[[#This Row],[Edad]]="", "", IF(Titanic[[#This Row],[Edad]]&gt;=100, Titanic[[#This Row],[Edad]] / 10, Titanic[[#This Row],[Edad]]))</f>
        <v/>
      </c>
      <c r="Q570" s="8" t="str">
        <f>IFERROR(LOOKUP(Titanic[[#This Row],[Edad Corrigida]],'Práctica 1'!$K$231:$K$240,'Práctica 1'!$L$231:$L$240), "DESCONOCIDO")</f>
        <v>DESCONOCIDO</v>
      </c>
      <c r="R570" s="8">
        <f>Titanic[[#This Row],[Familia Horizontal]]+Titanic[[#This Row],[Familia Vertical]]</f>
        <v>0</v>
      </c>
      <c r="S570" s="8"/>
      <c r="T570" s="8"/>
      <c r="U570" s="8"/>
      <c r="V570" s="8"/>
    </row>
    <row r="571" spans="2:22" x14ac:dyDescent="0.2">
      <c r="B571" s="6">
        <v>566</v>
      </c>
      <c r="C571" s="7">
        <v>0</v>
      </c>
      <c r="D571" s="8">
        <v>3</v>
      </c>
      <c r="E571" s="8" t="s">
        <v>580</v>
      </c>
      <c r="F571" s="8" t="s">
        <v>11</v>
      </c>
      <c r="G571" s="8">
        <v>24</v>
      </c>
      <c r="H571" s="8">
        <v>2</v>
      </c>
      <c r="I571" s="8">
        <v>0</v>
      </c>
      <c r="J571" s="8">
        <v>2415</v>
      </c>
      <c r="K571" s="8">
        <v>0</v>
      </c>
      <c r="L571" s="8" t="s">
        <v>12</v>
      </c>
      <c r="M571" s="8" t="str">
        <f>IF(Titanic[[#This Row],[Sobrevive]]=1, "SOBREVIVE", "NO SOBREVIVE")</f>
        <v>NO SOBREVIVE</v>
      </c>
      <c r="N571" s="8" t="str">
        <f>LOOKUP(Titanic[[#This Row],[Clase]],{1,2,3}, {"PRIMERA","SEGUNDA","TERCERA"})</f>
        <v>TERCERA</v>
      </c>
      <c r="O571" s="8" t="str">
        <f>IF(Titanic[[#This Row],[Sexo]]="Hombre", "HOMBRE", "MUJER")</f>
        <v>HOMBRE</v>
      </c>
      <c r="P571" s="8">
        <f>IF(Titanic[[#This Row],[Edad]]="", "", IF(Titanic[[#This Row],[Edad]]&gt;=100, Titanic[[#This Row],[Edad]] / 10, Titanic[[#This Row],[Edad]]))</f>
        <v>24</v>
      </c>
      <c r="Q571" s="8" t="str">
        <f>IFERROR(LOOKUP(Titanic[[#This Row],[Edad Corrigida]],'Práctica 1'!$K$231:$K$240,'Práctica 1'!$L$231:$L$240), "DESCONOCIDO")</f>
        <v>3. JOVEN</v>
      </c>
      <c r="R571" s="8">
        <f>Titanic[[#This Row],[Familia Horizontal]]+Titanic[[#This Row],[Familia Vertical]]</f>
        <v>2</v>
      </c>
      <c r="S571" s="8"/>
      <c r="T571" s="8"/>
      <c r="U571" s="8"/>
      <c r="V571" s="8"/>
    </row>
    <row r="572" spans="2:22" x14ac:dyDescent="0.2">
      <c r="B572" s="6">
        <v>567</v>
      </c>
      <c r="C572" s="7">
        <v>0</v>
      </c>
      <c r="D572" s="8">
        <v>3</v>
      </c>
      <c r="E572" s="8" t="s">
        <v>581</v>
      </c>
      <c r="F572" s="8" t="s">
        <v>11</v>
      </c>
      <c r="G572" s="8">
        <v>19</v>
      </c>
      <c r="H572" s="8">
        <v>0</v>
      </c>
      <c r="I572" s="8">
        <v>0</v>
      </c>
      <c r="J572" s="8">
        <v>78958</v>
      </c>
      <c r="K572" s="8">
        <v>0</v>
      </c>
      <c r="L572" s="8" t="s">
        <v>12</v>
      </c>
      <c r="M572" s="8" t="str">
        <f>IF(Titanic[[#This Row],[Sobrevive]]=1, "SOBREVIVE", "NO SOBREVIVE")</f>
        <v>NO SOBREVIVE</v>
      </c>
      <c r="N572" s="8" t="str">
        <f>LOOKUP(Titanic[[#This Row],[Clase]],{1,2,3}, {"PRIMERA","SEGUNDA","TERCERA"})</f>
        <v>TERCERA</v>
      </c>
      <c r="O572" s="8" t="str">
        <f>IF(Titanic[[#This Row],[Sexo]]="Hombre", "HOMBRE", "MUJER")</f>
        <v>HOMBRE</v>
      </c>
      <c r="P572" s="8">
        <f>IF(Titanic[[#This Row],[Edad]]="", "", IF(Titanic[[#This Row],[Edad]]&gt;=100, Titanic[[#This Row],[Edad]] / 10, Titanic[[#This Row],[Edad]]))</f>
        <v>19</v>
      </c>
      <c r="Q572" s="8" t="str">
        <f>IFERROR(LOOKUP(Titanic[[#This Row],[Edad Corrigida]],'Práctica 1'!$K$231:$K$240,'Práctica 1'!$L$231:$L$240), "DESCONOCIDO")</f>
        <v>2. ADOLESCENTE</v>
      </c>
      <c r="R572" s="8">
        <f>Titanic[[#This Row],[Familia Horizontal]]+Titanic[[#This Row],[Familia Vertical]]</f>
        <v>0</v>
      </c>
      <c r="S572" s="8"/>
      <c r="T572" s="8"/>
      <c r="U572" s="8"/>
      <c r="V572" s="8"/>
    </row>
    <row r="573" spans="2:22" x14ac:dyDescent="0.2">
      <c r="B573" s="6">
        <v>568</v>
      </c>
      <c r="C573" s="7">
        <v>0</v>
      </c>
      <c r="D573" s="8">
        <v>3</v>
      </c>
      <c r="E573" s="8" t="s">
        <v>582</v>
      </c>
      <c r="F573" s="8" t="s">
        <v>14</v>
      </c>
      <c r="G573" s="8">
        <v>29</v>
      </c>
      <c r="H573" s="8">
        <v>0</v>
      </c>
      <c r="I573" s="8">
        <v>4</v>
      </c>
      <c r="J573" s="8">
        <v>21075</v>
      </c>
      <c r="K573" s="8">
        <v>0</v>
      </c>
      <c r="L573" s="8" t="s">
        <v>12</v>
      </c>
      <c r="M573" s="8" t="str">
        <f>IF(Titanic[[#This Row],[Sobrevive]]=1, "SOBREVIVE", "NO SOBREVIVE")</f>
        <v>NO SOBREVIVE</v>
      </c>
      <c r="N573" s="8" t="str">
        <f>LOOKUP(Titanic[[#This Row],[Clase]],{1,2,3}, {"PRIMERA","SEGUNDA","TERCERA"})</f>
        <v>TERCERA</v>
      </c>
      <c r="O573" s="8" t="str">
        <f>IF(Titanic[[#This Row],[Sexo]]="Hombre", "HOMBRE", "MUJER")</f>
        <v>MUJER</v>
      </c>
      <c r="P573" s="8">
        <f>IF(Titanic[[#This Row],[Edad]]="", "", IF(Titanic[[#This Row],[Edad]]&gt;=100, Titanic[[#This Row],[Edad]] / 10, Titanic[[#This Row],[Edad]]))</f>
        <v>29</v>
      </c>
      <c r="Q573" s="8" t="str">
        <f>IFERROR(LOOKUP(Titanic[[#This Row],[Edad Corrigida]],'Práctica 1'!$K$231:$K$240,'Práctica 1'!$L$231:$L$240), "DESCONOCIDO")</f>
        <v>5. ADULTO</v>
      </c>
      <c r="R573" s="8">
        <f>Titanic[[#This Row],[Familia Horizontal]]+Titanic[[#This Row],[Familia Vertical]]</f>
        <v>4</v>
      </c>
      <c r="S573" s="8"/>
      <c r="T573" s="8"/>
      <c r="U573" s="8"/>
      <c r="V573" s="8"/>
    </row>
    <row r="574" spans="2:22" x14ac:dyDescent="0.2">
      <c r="B574" s="6">
        <v>569</v>
      </c>
      <c r="C574" s="7">
        <v>0</v>
      </c>
      <c r="D574" s="8">
        <v>3</v>
      </c>
      <c r="E574" s="8" t="s">
        <v>583</v>
      </c>
      <c r="F574" s="8" t="s">
        <v>11</v>
      </c>
      <c r="G574" s="9"/>
      <c r="H574" s="8">
        <v>0</v>
      </c>
      <c r="I574" s="8">
        <v>0</v>
      </c>
      <c r="J574" s="8">
        <v>72292</v>
      </c>
      <c r="K574" s="8">
        <v>0</v>
      </c>
      <c r="L574" s="8" t="s">
        <v>15</v>
      </c>
      <c r="M574" s="8" t="str">
        <f>IF(Titanic[[#This Row],[Sobrevive]]=1, "SOBREVIVE", "NO SOBREVIVE")</f>
        <v>NO SOBREVIVE</v>
      </c>
      <c r="N574" s="8" t="str">
        <f>LOOKUP(Titanic[[#This Row],[Clase]],{1,2,3}, {"PRIMERA","SEGUNDA","TERCERA"})</f>
        <v>TERCERA</v>
      </c>
      <c r="O574" s="8" t="str">
        <f>IF(Titanic[[#This Row],[Sexo]]="Hombre", "HOMBRE", "MUJER")</f>
        <v>HOMBRE</v>
      </c>
      <c r="P574" s="8" t="str">
        <f>IF(Titanic[[#This Row],[Edad]]="", "", IF(Titanic[[#This Row],[Edad]]&gt;=100, Titanic[[#This Row],[Edad]] / 10, Titanic[[#This Row],[Edad]]))</f>
        <v/>
      </c>
      <c r="Q574" s="8" t="str">
        <f>IFERROR(LOOKUP(Titanic[[#This Row],[Edad Corrigida]],'Práctica 1'!$K$231:$K$240,'Práctica 1'!$L$231:$L$240), "DESCONOCIDO")</f>
        <v>DESCONOCIDO</v>
      </c>
      <c r="R574" s="8">
        <f>Titanic[[#This Row],[Familia Horizontal]]+Titanic[[#This Row],[Familia Vertical]]</f>
        <v>0</v>
      </c>
      <c r="S574" s="8"/>
      <c r="T574" s="8"/>
      <c r="U574" s="8"/>
      <c r="V574" s="8"/>
    </row>
    <row r="575" spans="2:22" x14ac:dyDescent="0.2">
      <c r="B575" s="6">
        <v>570</v>
      </c>
      <c r="C575" s="7">
        <v>1</v>
      </c>
      <c r="D575" s="8">
        <v>3</v>
      </c>
      <c r="E575" s="8" t="s">
        <v>584</v>
      </c>
      <c r="F575" s="8" t="s">
        <v>11</v>
      </c>
      <c r="G575" s="8">
        <v>32</v>
      </c>
      <c r="H575" s="8">
        <v>0</v>
      </c>
      <c r="I575" s="8">
        <v>0</v>
      </c>
      <c r="J575" s="8">
        <v>78542</v>
      </c>
      <c r="K575" s="8">
        <v>0</v>
      </c>
      <c r="L575" s="8" t="s">
        <v>12</v>
      </c>
      <c r="M575" s="8" t="str">
        <f>IF(Titanic[[#This Row],[Sobrevive]]=1, "SOBREVIVE", "NO SOBREVIVE")</f>
        <v>SOBREVIVE</v>
      </c>
      <c r="N575" s="8" t="str">
        <f>LOOKUP(Titanic[[#This Row],[Clase]],{1,2,3}, {"PRIMERA","SEGUNDA","TERCERA"})</f>
        <v>TERCERA</v>
      </c>
      <c r="O575" s="8" t="str">
        <f>IF(Titanic[[#This Row],[Sexo]]="Hombre", "HOMBRE", "MUJER")</f>
        <v>HOMBRE</v>
      </c>
      <c r="P575" s="8">
        <f>IF(Titanic[[#This Row],[Edad]]="", "", IF(Titanic[[#This Row],[Edad]]&gt;=100, Titanic[[#This Row],[Edad]] / 10, Titanic[[#This Row],[Edad]]))</f>
        <v>32</v>
      </c>
      <c r="Q575" s="8" t="str">
        <f>IFERROR(LOOKUP(Titanic[[#This Row],[Edad Corrigida]],'Práctica 1'!$K$231:$K$240,'Práctica 1'!$L$231:$L$240), "DESCONOCIDO")</f>
        <v>6. ADULTO 1</v>
      </c>
      <c r="R575" s="8">
        <f>Titanic[[#This Row],[Familia Horizontal]]+Titanic[[#This Row],[Familia Vertical]]</f>
        <v>0</v>
      </c>
      <c r="S575" s="8"/>
      <c r="T575" s="8"/>
      <c r="U575" s="8"/>
      <c r="V575" s="8"/>
    </row>
    <row r="576" spans="2:22" x14ac:dyDescent="0.2">
      <c r="B576" s="6">
        <v>571</v>
      </c>
      <c r="C576" s="7">
        <v>1</v>
      </c>
      <c r="D576" s="8">
        <v>2</v>
      </c>
      <c r="E576" s="8" t="s">
        <v>585</v>
      </c>
      <c r="F576" s="8" t="s">
        <v>11</v>
      </c>
      <c r="G576" s="8">
        <v>62</v>
      </c>
      <c r="H576" s="8">
        <v>0</v>
      </c>
      <c r="I576" s="8">
        <v>0</v>
      </c>
      <c r="J576" s="8">
        <v>105</v>
      </c>
      <c r="K576" s="8">
        <v>0</v>
      </c>
      <c r="L576" s="8" t="s">
        <v>12</v>
      </c>
      <c r="M576" s="8" t="str">
        <f>IF(Titanic[[#This Row],[Sobrevive]]=1, "SOBREVIVE", "NO SOBREVIVE")</f>
        <v>SOBREVIVE</v>
      </c>
      <c r="N576" s="8" t="str">
        <f>LOOKUP(Titanic[[#This Row],[Clase]],{1,2,3}, {"PRIMERA","SEGUNDA","TERCERA"})</f>
        <v>SEGUNDA</v>
      </c>
      <c r="O576" s="8" t="str">
        <f>IF(Titanic[[#This Row],[Sexo]]="Hombre", "HOMBRE", "MUJER")</f>
        <v>HOMBRE</v>
      </c>
      <c r="P576" s="8">
        <f>IF(Titanic[[#This Row],[Edad]]="", "", IF(Titanic[[#This Row],[Edad]]&gt;=100, Titanic[[#This Row],[Edad]] / 10, Titanic[[#This Row],[Edad]]))</f>
        <v>62</v>
      </c>
      <c r="Q576" s="8" t="str">
        <f>IFERROR(LOOKUP(Titanic[[#This Row],[Edad Corrigida]],'Práctica 1'!$K$231:$K$240,'Práctica 1'!$L$231:$L$240), "DESCONOCIDO")</f>
        <v>9. ADULTO 4</v>
      </c>
      <c r="R576" s="8">
        <f>Titanic[[#This Row],[Familia Horizontal]]+Titanic[[#This Row],[Familia Vertical]]</f>
        <v>0</v>
      </c>
      <c r="S576" s="8"/>
      <c r="T576" s="8"/>
      <c r="U576" s="8"/>
      <c r="V576" s="8"/>
    </row>
    <row r="577" spans="2:22" x14ac:dyDescent="0.2">
      <c r="B577" s="6">
        <v>572</v>
      </c>
      <c r="C577" s="7">
        <v>1</v>
      </c>
      <c r="D577" s="8">
        <v>1</v>
      </c>
      <c r="E577" s="8" t="s">
        <v>586</v>
      </c>
      <c r="F577" s="8" t="s">
        <v>14</v>
      </c>
      <c r="G577" s="8">
        <v>53</v>
      </c>
      <c r="H577" s="8">
        <v>2</v>
      </c>
      <c r="I577" s="8">
        <v>0</v>
      </c>
      <c r="J577" s="8">
        <v>514792</v>
      </c>
      <c r="K577" s="8">
        <v>1</v>
      </c>
      <c r="L577" s="8" t="s">
        <v>12</v>
      </c>
      <c r="M577" s="8" t="str">
        <f>IF(Titanic[[#This Row],[Sobrevive]]=1, "SOBREVIVE", "NO SOBREVIVE")</f>
        <v>SOBREVIVE</v>
      </c>
      <c r="N577" s="8" t="str">
        <f>LOOKUP(Titanic[[#This Row],[Clase]],{1,2,3}, {"PRIMERA","SEGUNDA","TERCERA"})</f>
        <v>PRIMERA</v>
      </c>
      <c r="O577" s="8" t="str">
        <f>IF(Titanic[[#This Row],[Sexo]]="Hombre", "HOMBRE", "MUJER")</f>
        <v>MUJER</v>
      </c>
      <c r="P577" s="8">
        <f>IF(Titanic[[#This Row],[Edad]]="", "", IF(Titanic[[#This Row],[Edad]]&gt;=100, Titanic[[#This Row],[Edad]] / 10, Titanic[[#This Row],[Edad]]))</f>
        <v>53</v>
      </c>
      <c r="Q577" s="8" t="str">
        <f>IFERROR(LOOKUP(Titanic[[#This Row],[Edad Corrigida]],'Práctica 1'!$K$231:$K$240,'Práctica 1'!$L$231:$L$240), "DESCONOCIDO")</f>
        <v>9. ADULTO 4</v>
      </c>
      <c r="R577" s="8">
        <f>Titanic[[#This Row],[Familia Horizontal]]+Titanic[[#This Row],[Familia Vertical]]</f>
        <v>2</v>
      </c>
      <c r="S577" s="8"/>
      <c r="T577" s="8"/>
      <c r="U577" s="8"/>
      <c r="V577" s="8"/>
    </row>
    <row r="578" spans="2:22" x14ac:dyDescent="0.2">
      <c r="B578" s="6">
        <v>573</v>
      </c>
      <c r="C578" s="7">
        <v>1</v>
      </c>
      <c r="D578" s="8">
        <v>1</v>
      </c>
      <c r="E578" s="8" t="s">
        <v>587</v>
      </c>
      <c r="F578" s="8" t="s">
        <v>11</v>
      </c>
      <c r="G578" s="8">
        <v>36</v>
      </c>
      <c r="H578" s="8">
        <v>0</v>
      </c>
      <c r="I578" s="8">
        <v>0</v>
      </c>
      <c r="J578" s="8">
        <v>263875</v>
      </c>
      <c r="K578" s="8">
        <v>1</v>
      </c>
      <c r="L578" s="8" t="s">
        <v>12</v>
      </c>
      <c r="M578" s="8" t="str">
        <f>IF(Titanic[[#This Row],[Sobrevive]]=1, "SOBREVIVE", "NO SOBREVIVE")</f>
        <v>SOBREVIVE</v>
      </c>
      <c r="N578" s="8" t="str">
        <f>LOOKUP(Titanic[[#This Row],[Clase]],{1,2,3}, {"PRIMERA","SEGUNDA","TERCERA"})</f>
        <v>PRIMERA</v>
      </c>
      <c r="O578" s="8" t="str">
        <f>IF(Titanic[[#This Row],[Sexo]]="Hombre", "HOMBRE", "MUJER")</f>
        <v>HOMBRE</v>
      </c>
      <c r="P578" s="8">
        <f>IF(Titanic[[#This Row],[Edad]]="", "", IF(Titanic[[#This Row],[Edad]]&gt;=100, Titanic[[#This Row],[Edad]] / 10, Titanic[[#This Row],[Edad]]))</f>
        <v>36</v>
      </c>
      <c r="Q578" s="8" t="str">
        <f>IFERROR(LOOKUP(Titanic[[#This Row],[Edad Corrigida]],'Práctica 1'!$K$231:$K$240,'Práctica 1'!$L$231:$L$240), "DESCONOCIDO")</f>
        <v>7. ADULTO 2</v>
      </c>
      <c r="R578" s="8">
        <f>Titanic[[#This Row],[Familia Horizontal]]+Titanic[[#This Row],[Familia Vertical]]</f>
        <v>0</v>
      </c>
      <c r="S578" s="8"/>
      <c r="T578" s="8"/>
      <c r="U578" s="8"/>
      <c r="V578" s="8"/>
    </row>
    <row r="579" spans="2:22" x14ac:dyDescent="0.2">
      <c r="B579" s="6">
        <v>574</v>
      </c>
      <c r="C579" s="7">
        <v>1</v>
      </c>
      <c r="D579" s="8">
        <v>3</v>
      </c>
      <c r="E579" s="8" t="s">
        <v>588</v>
      </c>
      <c r="F579" s="8" t="s">
        <v>14</v>
      </c>
      <c r="G579" s="9"/>
      <c r="H579" s="8">
        <v>0</v>
      </c>
      <c r="I579" s="8">
        <v>0</v>
      </c>
      <c r="J579" s="8">
        <v>775</v>
      </c>
      <c r="K579" s="8">
        <v>0</v>
      </c>
      <c r="L579" s="8" t="s">
        <v>20</v>
      </c>
      <c r="M579" s="8" t="str">
        <f>IF(Titanic[[#This Row],[Sobrevive]]=1, "SOBREVIVE", "NO SOBREVIVE")</f>
        <v>SOBREVIVE</v>
      </c>
      <c r="N579" s="8" t="str">
        <f>LOOKUP(Titanic[[#This Row],[Clase]],{1,2,3}, {"PRIMERA","SEGUNDA","TERCERA"})</f>
        <v>TERCERA</v>
      </c>
      <c r="O579" s="8" t="str">
        <f>IF(Titanic[[#This Row],[Sexo]]="Hombre", "HOMBRE", "MUJER")</f>
        <v>MUJER</v>
      </c>
      <c r="P579" s="8" t="str">
        <f>IF(Titanic[[#This Row],[Edad]]="", "", IF(Titanic[[#This Row],[Edad]]&gt;=100, Titanic[[#This Row],[Edad]] / 10, Titanic[[#This Row],[Edad]]))</f>
        <v/>
      </c>
      <c r="Q579" s="8" t="str">
        <f>IFERROR(LOOKUP(Titanic[[#This Row],[Edad Corrigida]],'Práctica 1'!$K$231:$K$240,'Práctica 1'!$L$231:$L$240), "DESCONOCIDO")</f>
        <v>DESCONOCIDO</v>
      </c>
      <c r="R579" s="8">
        <f>Titanic[[#This Row],[Familia Horizontal]]+Titanic[[#This Row],[Familia Vertical]]</f>
        <v>0</v>
      </c>
      <c r="S579" s="8"/>
      <c r="T579" s="8"/>
      <c r="U579" s="8"/>
      <c r="V579" s="8"/>
    </row>
    <row r="580" spans="2:22" x14ac:dyDescent="0.2">
      <c r="B580" s="6">
        <v>575</v>
      </c>
      <c r="C580" s="7">
        <v>0</v>
      </c>
      <c r="D580" s="8">
        <v>3</v>
      </c>
      <c r="E580" s="8" t="s">
        <v>589</v>
      </c>
      <c r="F580" s="8" t="s">
        <v>11</v>
      </c>
      <c r="G580" s="8">
        <v>16</v>
      </c>
      <c r="H580" s="8">
        <v>0</v>
      </c>
      <c r="I580" s="8">
        <v>0</v>
      </c>
      <c r="J580" s="8">
        <v>805</v>
      </c>
      <c r="K580" s="8">
        <v>0</v>
      </c>
      <c r="L580" s="8" t="s">
        <v>12</v>
      </c>
      <c r="M580" s="8" t="str">
        <f>IF(Titanic[[#This Row],[Sobrevive]]=1, "SOBREVIVE", "NO SOBREVIVE")</f>
        <v>NO SOBREVIVE</v>
      </c>
      <c r="N580" s="8" t="str">
        <f>LOOKUP(Titanic[[#This Row],[Clase]],{1,2,3}, {"PRIMERA","SEGUNDA","TERCERA"})</f>
        <v>TERCERA</v>
      </c>
      <c r="O580" s="8" t="str">
        <f>IF(Titanic[[#This Row],[Sexo]]="Hombre", "HOMBRE", "MUJER")</f>
        <v>HOMBRE</v>
      </c>
      <c r="P580" s="8">
        <f>IF(Titanic[[#This Row],[Edad]]="", "", IF(Titanic[[#This Row],[Edad]]&gt;=100, Titanic[[#This Row],[Edad]] / 10, Titanic[[#This Row],[Edad]]))</f>
        <v>16</v>
      </c>
      <c r="Q580" s="8" t="str">
        <f>IFERROR(LOOKUP(Titanic[[#This Row],[Edad Corrigida]],'Práctica 1'!$K$231:$K$240,'Práctica 1'!$L$231:$L$240), "DESCONOCIDO")</f>
        <v>1. INFANTE</v>
      </c>
      <c r="R580" s="8">
        <f>Titanic[[#This Row],[Familia Horizontal]]+Titanic[[#This Row],[Familia Vertical]]</f>
        <v>0</v>
      </c>
      <c r="S580" s="8"/>
      <c r="T580" s="8"/>
      <c r="U580" s="8"/>
      <c r="V580" s="8"/>
    </row>
    <row r="581" spans="2:22" x14ac:dyDescent="0.2">
      <c r="B581" s="6">
        <v>576</v>
      </c>
      <c r="C581" s="7">
        <v>0</v>
      </c>
      <c r="D581" s="8">
        <v>3</v>
      </c>
      <c r="E581" s="8" t="s">
        <v>590</v>
      </c>
      <c r="F581" s="8" t="s">
        <v>11</v>
      </c>
      <c r="G581" s="8">
        <v>19</v>
      </c>
      <c r="H581" s="8">
        <v>0</v>
      </c>
      <c r="I581" s="8">
        <v>0</v>
      </c>
      <c r="J581" s="8">
        <v>145</v>
      </c>
      <c r="K581" s="8">
        <v>0</v>
      </c>
      <c r="L581" s="8" t="s">
        <v>12</v>
      </c>
      <c r="M581" s="8" t="str">
        <f>IF(Titanic[[#This Row],[Sobrevive]]=1, "SOBREVIVE", "NO SOBREVIVE")</f>
        <v>NO SOBREVIVE</v>
      </c>
      <c r="N581" s="8" t="str">
        <f>LOOKUP(Titanic[[#This Row],[Clase]],{1,2,3}, {"PRIMERA","SEGUNDA","TERCERA"})</f>
        <v>TERCERA</v>
      </c>
      <c r="O581" s="8" t="str">
        <f>IF(Titanic[[#This Row],[Sexo]]="Hombre", "HOMBRE", "MUJER")</f>
        <v>HOMBRE</v>
      </c>
      <c r="P581" s="8">
        <f>IF(Titanic[[#This Row],[Edad]]="", "", IF(Titanic[[#This Row],[Edad]]&gt;=100, Titanic[[#This Row],[Edad]] / 10, Titanic[[#This Row],[Edad]]))</f>
        <v>19</v>
      </c>
      <c r="Q581" s="8" t="str">
        <f>IFERROR(LOOKUP(Titanic[[#This Row],[Edad Corrigida]],'Práctica 1'!$K$231:$K$240,'Práctica 1'!$L$231:$L$240), "DESCONOCIDO")</f>
        <v>2. ADOLESCENTE</v>
      </c>
      <c r="R581" s="8">
        <f>Titanic[[#This Row],[Familia Horizontal]]+Titanic[[#This Row],[Familia Vertical]]</f>
        <v>0</v>
      </c>
      <c r="S581" s="8"/>
      <c r="T581" s="8"/>
      <c r="U581" s="8"/>
      <c r="V581" s="8"/>
    </row>
    <row r="582" spans="2:22" x14ac:dyDescent="0.2">
      <c r="B582" s="6">
        <v>577</v>
      </c>
      <c r="C582" s="7">
        <v>1</v>
      </c>
      <c r="D582" s="8">
        <v>2</v>
      </c>
      <c r="E582" s="8" t="s">
        <v>591</v>
      </c>
      <c r="F582" s="8" t="s">
        <v>14</v>
      </c>
      <c r="G582" s="8">
        <v>34</v>
      </c>
      <c r="H582" s="8">
        <v>0</v>
      </c>
      <c r="I582" s="8">
        <v>0</v>
      </c>
      <c r="J582" s="8">
        <v>13</v>
      </c>
      <c r="K582" s="8">
        <v>0</v>
      </c>
      <c r="L582" s="8" t="s">
        <v>12</v>
      </c>
      <c r="M582" s="8" t="str">
        <f>IF(Titanic[[#This Row],[Sobrevive]]=1, "SOBREVIVE", "NO SOBREVIVE")</f>
        <v>SOBREVIVE</v>
      </c>
      <c r="N582" s="8" t="str">
        <f>LOOKUP(Titanic[[#This Row],[Clase]],{1,2,3}, {"PRIMERA","SEGUNDA","TERCERA"})</f>
        <v>SEGUNDA</v>
      </c>
      <c r="O582" s="8" t="str">
        <f>IF(Titanic[[#This Row],[Sexo]]="Hombre", "HOMBRE", "MUJER")</f>
        <v>MUJER</v>
      </c>
      <c r="P582" s="8">
        <f>IF(Titanic[[#This Row],[Edad]]="", "", IF(Titanic[[#This Row],[Edad]]&gt;=100, Titanic[[#This Row],[Edad]] / 10, Titanic[[#This Row],[Edad]]))</f>
        <v>34</v>
      </c>
      <c r="Q582" s="8" t="str">
        <f>IFERROR(LOOKUP(Titanic[[#This Row],[Edad Corrigida]],'Práctica 1'!$K$231:$K$240,'Práctica 1'!$L$231:$L$240), "DESCONOCIDO")</f>
        <v>6. ADULTO 1</v>
      </c>
      <c r="R582" s="8">
        <f>Titanic[[#This Row],[Familia Horizontal]]+Titanic[[#This Row],[Familia Vertical]]</f>
        <v>0</v>
      </c>
      <c r="S582" s="8"/>
      <c r="T582" s="8"/>
      <c r="U582" s="8"/>
      <c r="V582" s="8"/>
    </row>
    <row r="583" spans="2:22" x14ac:dyDescent="0.2">
      <c r="B583" s="6">
        <v>578</v>
      </c>
      <c r="C583" s="7">
        <v>1</v>
      </c>
      <c r="D583" s="8">
        <v>1</v>
      </c>
      <c r="E583" s="8" t="s">
        <v>592</v>
      </c>
      <c r="F583" s="8" t="s">
        <v>14</v>
      </c>
      <c r="G583" s="8">
        <v>39</v>
      </c>
      <c r="H583" s="8">
        <v>1</v>
      </c>
      <c r="I583" s="8">
        <v>0</v>
      </c>
      <c r="J583" s="8">
        <v>559</v>
      </c>
      <c r="K583" s="8">
        <v>1</v>
      </c>
      <c r="L583" s="8" t="s">
        <v>12</v>
      </c>
      <c r="M583" s="8" t="str">
        <f>IF(Titanic[[#This Row],[Sobrevive]]=1, "SOBREVIVE", "NO SOBREVIVE")</f>
        <v>SOBREVIVE</v>
      </c>
      <c r="N583" s="8" t="str">
        <f>LOOKUP(Titanic[[#This Row],[Clase]],{1,2,3}, {"PRIMERA","SEGUNDA","TERCERA"})</f>
        <v>PRIMERA</v>
      </c>
      <c r="O583" s="8" t="str">
        <f>IF(Titanic[[#This Row],[Sexo]]="Hombre", "HOMBRE", "MUJER")</f>
        <v>MUJER</v>
      </c>
      <c r="P583" s="8">
        <f>IF(Titanic[[#This Row],[Edad]]="", "", IF(Titanic[[#This Row],[Edad]]&gt;=100, Titanic[[#This Row],[Edad]] / 10, Titanic[[#This Row],[Edad]]))</f>
        <v>39</v>
      </c>
      <c r="Q583" s="8" t="str">
        <f>IFERROR(LOOKUP(Titanic[[#This Row],[Edad Corrigida]],'Práctica 1'!$K$231:$K$240,'Práctica 1'!$L$231:$L$240), "DESCONOCIDO")</f>
        <v>7. ADULTO 2</v>
      </c>
      <c r="R583" s="8">
        <f>Titanic[[#This Row],[Familia Horizontal]]+Titanic[[#This Row],[Familia Vertical]]</f>
        <v>1</v>
      </c>
      <c r="S583" s="8"/>
      <c r="T583" s="8"/>
      <c r="U583" s="8"/>
      <c r="V583" s="8"/>
    </row>
    <row r="584" spans="2:22" x14ac:dyDescent="0.2">
      <c r="B584" s="6">
        <v>579</v>
      </c>
      <c r="C584" s="7">
        <v>0</v>
      </c>
      <c r="D584" s="8">
        <v>3</v>
      </c>
      <c r="E584" s="8" t="s">
        <v>593</v>
      </c>
      <c r="F584" s="8" t="s">
        <v>14</v>
      </c>
      <c r="G584" s="9"/>
      <c r="H584" s="8">
        <v>1</v>
      </c>
      <c r="I584" s="8">
        <v>0</v>
      </c>
      <c r="J584" s="8">
        <v>144583</v>
      </c>
      <c r="K584" s="8">
        <v>0</v>
      </c>
      <c r="L584" s="8" t="s">
        <v>15</v>
      </c>
      <c r="M584" s="8" t="str">
        <f>IF(Titanic[[#This Row],[Sobrevive]]=1, "SOBREVIVE", "NO SOBREVIVE")</f>
        <v>NO SOBREVIVE</v>
      </c>
      <c r="N584" s="8" t="str">
        <f>LOOKUP(Titanic[[#This Row],[Clase]],{1,2,3}, {"PRIMERA","SEGUNDA","TERCERA"})</f>
        <v>TERCERA</v>
      </c>
      <c r="O584" s="8" t="str">
        <f>IF(Titanic[[#This Row],[Sexo]]="Hombre", "HOMBRE", "MUJER")</f>
        <v>MUJER</v>
      </c>
      <c r="P584" s="8" t="str">
        <f>IF(Titanic[[#This Row],[Edad]]="", "", IF(Titanic[[#This Row],[Edad]]&gt;=100, Titanic[[#This Row],[Edad]] / 10, Titanic[[#This Row],[Edad]]))</f>
        <v/>
      </c>
      <c r="Q584" s="8" t="str">
        <f>IFERROR(LOOKUP(Titanic[[#This Row],[Edad Corrigida]],'Práctica 1'!$K$231:$K$240,'Práctica 1'!$L$231:$L$240), "DESCONOCIDO")</f>
        <v>DESCONOCIDO</v>
      </c>
      <c r="R584" s="8">
        <f>Titanic[[#This Row],[Familia Horizontal]]+Titanic[[#This Row],[Familia Vertical]]</f>
        <v>1</v>
      </c>
      <c r="S584" s="8"/>
      <c r="T584" s="8"/>
      <c r="U584" s="8"/>
      <c r="V584" s="8"/>
    </row>
    <row r="585" spans="2:22" x14ac:dyDescent="0.2">
      <c r="B585" s="6">
        <v>580</v>
      </c>
      <c r="C585" s="7">
        <v>1</v>
      </c>
      <c r="D585" s="8">
        <v>3</v>
      </c>
      <c r="E585" s="8" t="s">
        <v>594</v>
      </c>
      <c r="F585" s="8" t="s">
        <v>11</v>
      </c>
      <c r="G585" s="8">
        <v>32</v>
      </c>
      <c r="H585" s="8">
        <v>0</v>
      </c>
      <c r="I585" s="8">
        <v>0</v>
      </c>
      <c r="J585" s="8">
        <v>7925</v>
      </c>
      <c r="K585" s="8">
        <v>0</v>
      </c>
      <c r="L585" s="8" t="s">
        <v>12</v>
      </c>
      <c r="M585" s="8" t="str">
        <f>IF(Titanic[[#This Row],[Sobrevive]]=1, "SOBREVIVE", "NO SOBREVIVE")</f>
        <v>SOBREVIVE</v>
      </c>
      <c r="N585" s="8" t="str">
        <f>LOOKUP(Titanic[[#This Row],[Clase]],{1,2,3}, {"PRIMERA","SEGUNDA","TERCERA"})</f>
        <v>TERCERA</v>
      </c>
      <c r="O585" s="8" t="str">
        <f>IF(Titanic[[#This Row],[Sexo]]="Hombre", "HOMBRE", "MUJER")</f>
        <v>HOMBRE</v>
      </c>
      <c r="P585" s="8">
        <f>IF(Titanic[[#This Row],[Edad]]="", "", IF(Titanic[[#This Row],[Edad]]&gt;=100, Titanic[[#This Row],[Edad]] / 10, Titanic[[#This Row],[Edad]]))</f>
        <v>32</v>
      </c>
      <c r="Q585" s="8" t="str">
        <f>IFERROR(LOOKUP(Titanic[[#This Row],[Edad Corrigida]],'Práctica 1'!$K$231:$K$240,'Práctica 1'!$L$231:$L$240), "DESCONOCIDO")</f>
        <v>6. ADULTO 1</v>
      </c>
      <c r="R585" s="8">
        <f>Titanic[[#This Row],[Familia Horizontal]]+Titanic[[#This Row],[Familia Vertical]]</f>
        <v>0</v>
      </c>
      <c r="S585" s="8"/>
      <c r="T585" s="8"/>
      <c r="U585" s="8"/>
      <c r="V585" s="8"/>
    </row>
    <row r="586" spans="2:22" x14ac:dyDescent="0.2">
      <c r="B586" s="6">
        <v>581</v>
      </c>
      <c r="C586" s="7">
        <v>1</v>
      </c>
      <c r="D586" s="8">
        <v>2</v>
      </c>
      <c r="E586" s="8" t="s">
        <v>595</v>
      </c>
      <c r="F586" s="8" t="s">
        <v>14</v>
      </c>
      <c r="G586" s="8">
        <v>25</v>
      </c>
      <c r="H586" s="8">
        <v>1</v>
      </c>
      <c r="I586" s="8">
        <v>1</v>
      </c>
      <c r="J586" s="8">
        <v>30</v>
      </c>
      <c r="K586" s="8">
        <v>0</v>
      </c>
      <c r="L586" s="8" t="s">
        <v>12</v>
      </c>
      <c r="M586" s="8" t="str">
        <f>IF(Titanic[[#This Row],[Sobrevive]]=1, "SOBREVIVE", "NO SOBREVIVE")</f>
        <v>SOBREVIVE</v>
      </c>
      <c r="N586" s="8" t="str">
        <f>LOOKUP(Titanic[[#This Row],[Clase]],{1,2,3}, {"PRIMERA","SEGUNDA","TERCERA"})</f>
        <v>SEGUNDA</v>
      </c>
      <c r="O586" s="8" t="str">
        <f>IF(Titanic[[#This Row],[Sexo]]="Hombre", "HOMBRE", "MUJER")</f>
        <v>MUJER</v>
      </c>
      <c r="P586" s="8">
        <f>IF(Titanic[[#This Row],[Edad]]="", "", IF(Titanic[[#This Row],[Edad]]&gt;=100, Titanic[[#This Row],[Edad]] / 10, Titanic[[#This Row],[Edad]]))</f>
        <v>25</v>
      </c>
      <c r="Q586" s="8" t="str">
        <f>IFERROR(LOOKUP(Titanic[[#This Row],[Edad Corrigida]],'Práctica 1'!$K$231:$K$240,'Práctica 1'!$L$231:$L$240), "DESCONOCIDO")</f>
        <v>4. ADULTO JOVEN</v>
      </c>
      <c r="R586" s="8">
        <f>Titanic[[#This Row],[Familia Horizontal]]+Titanic[[#This Row],[Familia Vertical]]</f>
        <v>2</v>
      </c>
      <c r="S586" s="8"/>
      <c r="T586" s="8"/>
      <c r="U586" s="8"/>
      <c r="V586" s="8"/>
    </row>
    <row r="587" spans="2:22" x14ac:dyDescent="0.2">
      <c r="B587" s="6">
        <v>582</v>
      </c>
      <c r="C587" s="7">
        <v>1</v>
      </c>
      <c r="D587" s="8">
        <v>1</v>
      </c>
      <c r="E587" s="8" t="s">
        <v>596</v>
      </c>
      <c r="F587" s="8" t="s">
        <v>14</v>
      </c>
      <c r="G587" s="8">
        <v>39</v>
      </c>
      <c r="H587" s="8">
        <v>1</v>
      </c>
      <c r="I587" s="8">
        <v>1</v>
      </c>
      <c r="J587" s="8">
        <v>1108833</v>
      </c>
      <c r="K587" s="8">
        <v>1</v>
      </c>
      <c r="L587" s="8" t="s">
        <v>15</v>
      </c>
      <c r="M587" s="8" t="str">
        <f>IF(Titanic[[#This Row],[Sobrevive]]=1, "SOBREVIVE", "NO SOBREVIVE")</f>
        <v>SOBREVIVE</v>
      </c>
      <c r="N587" s="8" t="str">
        <f>LOOKUP(Titanic[[#This Row],[Clase]],{1,2,3}, {"PRIMERA","SEGUNDA","TERCERA"})</f>
        <v>PRIMERA</v>
      </c>
      <c r="O587" s="8" t="str">
        <f>IF(Titanic[[#This Row],[Sexo]]="Hombre", "HOMBRE", "MUJER")</f>
        <v>MUJER</v>
      </c>
      <c r="P587" s="8">
        <f>IF(Titanic[[#This Row],[Edad]]="", "", IF(Titanic[[#This Row],[Edad]]&gt;=100, Titanic[[#This Row],[Edad]] / 10, Titanic[[#This Row],[Edad]]))</f>
        <v>39</v>
      </c>
      <c r="Q587" s="8" t="str">
        <f>IFERROR(LOOKUP(Titanic[[#This Row],[Edad Corrigida]],'Práctica 1'!$K$231:$K$240,'Práctica 1'!$L$231:$L$240), "DESCONOCIDO")</f>
        <v>7. ADULTO 2</v>
      </c>
      <c r="R587" s="8">
        <f>Titanic[[#This Row],[Familia Horizontal]]+Titanic[[#This Row],[Familia Vertical]]</f>
        <v>2</v>
      </c>
      <c r="S587" s="8"/>
      <c r="T587" s="8"/>
      <c r="U587" s="8"/>
      <c r="V587" s="8"/>
    </row>
    <row r="588" spans="2:22" x14ac:dyDescent="0.2">
      <c r="B588" s="6">
        <v>583</v>
      </c>
      <c r="C588" s="7">
        <v>0</v>
      </c>
      <c r="D588" s="8">
        <v>2</v>
      </c>
      <c r="E588" s="8" t="s">
        <v>597</v>
      </c>
      <c r="F588" s="8" t="s">
        <v>11</v>
      </c>
      <c r="G588" s="8">
        <v>54</v>
      </c>
      <c r="H588" s="8">
        <v>0</v>
      </c>
      <c r="I588" s="8">
        <v>0</v>
      </c>
      <c r="J588" s="8">
        <v>26</v>
      </c>
      <c r="K588" s="8">
        <v>0</v>
      </c>
      <c r="L588" s="8" t="s">
        <v>12</v>
      </c>
      <c r="M588" s="8" t="str">
        <f>IF(Titanic[[#This Row],[Sobrevive]]=1, "SOBREVIVE", "NO SOBREVIVE")</f>
        <v>NO SOBREVIVE</v>
      </c>
      <c r="N588" s="8" t="str">
        <f>LOOKUP(Titanic[[#This Row],[Clase]],{1,2,3}, {"PRIMERA","SEGUNDA","TERCERA"})</f>
        <v>SEGUNDA</v>
      </c>
      <c r="O588" s="8" t="str">
        <f>IF(Titanic[[#This Row],[Sexo]]="Hombre", "HOMBRE", "MUJER")</f>
        <v>HOMBRE</v>
      </c>
      <c r="P588" s="8">
        <f>IF(Titanic[[#This Row],[Edad]]="", "", IF(Titanic[[#This Row],[Edad]]&gt;=100, Titanic[[#This Row],[Edad]] / 10, Titanic[[#This Row],[Edad]]))</f>
        <v>54</v>
      </c>
      <c r="Q588" s="8" t="str">
        <f>IFERROR(LOOKUP(Titanic[[#This Row],[Edad Corrigida]],'Práctica 1'!$K$231:$K$240,'Práctica 1'!$L$231:$L$240), "DESCONOCIDO")</f>
        <v>9. ADULTO 4</v>
      </c>
      <c r="R588" s="8">
        <f>Titanic[[#This Row],[Familia Horizontal]]+Titanic[[#This Row],[Familia Vertical]]</f>
        <v>0</v>
      </c>
      <c r="S588" s="8"/>
      <c r="T588" s="8"/>
      <c r="U588" s="8"/>
      <c r="V588" s="8"/>
    </row>
    <row r="589" spans="2:22" x14ac:dyDescent="0.2">
      <c r="B589" s="6">
        <v>584</v>
      </c>
      <c r="C589" s="7">
        <v>0</v>
      </c>
      <c r="D589" s="8">
        <v>1</v>
      </c>
      <c r="E589" s="8" t="s">
        <v>598</v>
      </c>
      <c r="F589" s="8" t="s">
        <v>11</v>
      </c>
      <c r="G589" s="8">
        <v>36</v>
      </c>
      <c r="H589" s="8">
        <v>0</v>
      </c>
      <c r="I589" s="8">
        <v>0</v>
      </c>
      <c r="J589" s="8">
        <v>40125</v>
      </c>
      <c r="K589" s="8">
        <v>1</v>
      </c>
      <c r="L589" s="8" t="s">
        <v>15</v>
      </c>
      <c r="M589" s="8" t="str">
        <f>IF(Titanic[[#This Row],[Sobrevive]]=1, "SOBREVIVE", "NO SOBREVIVE")</f>
        <v>NO SOBREVIVE</v>
      </c>
      <c r="N589" s="8" t="str">
        <f>LOOKUP(Titanic[[#This Row],[Clase]],{1,2,3}, {"PRIMERA","SEGUNDA","TERCERA"})</f>
        <v>PRIMERA</v>
      </c>
      <c r="O589" s="8" t="str">
        <f>IF(Titanic[[#This Row],[Sexo]]="Hombre", "HOMBRE", "MUJER")</f>
        <v>HOMBRE</v>
      </c>
      <c r="P589" s="8">
        <f>IF(Titanic[[#This Row],[Edad]]="", "", IF(Titanic[[#This Row],[Edad]]&gt;=100, Titanic[[#This Row],[Edad]] / 10, Titanic[[#This Row],[Edad]]))</f>
        <v>36</v>
      </c>
      <c r="Q589" s="8" t="str">
        <f>IFERROR(LOOKUP(Titanic[[#This Row],[Edad Corrigida]],'Práctica 1'!$K$231:$K$240,'Práctica 1'!$L$231:$L$240), "DESCONOCIDO")</f>
        <v>7. ADULTO 2</v>
      </c>
      <c r="R589" s="8">
        <f>Titanic[[#This Row],[Familia Horizontal]]+Titanic[[#This Row],[Familia Vertical]]</f>
        <v>0</v>
      </c>
      <c r="S589" s="8"/>
      <c r="T589" s="8"/>
      <c r="U589" s="8"/>
      <c r="V589" s="8"/>
    </row>
    <row r="590" spans="2:22" x14ac:dyDescent="0.2">
      <c r="B590" s="6">
        <v>585</v>
      </c>
      <c r="C590" s="7">
        <v>0</v>
      </c>
      <c r="D590" s="8">
        <v>3</v>
      </c>
      <c r="E590" s="8" t="s">
        <v>599</v>
      </c>
      <c r="F590" s="8" t="s">
        <v>11</v>
      </c>
      <c r="G590" s="9"/>
      <c r="H590" s="8">
        <v>0</v>
      </c>
      <c r="I590" s="8">
        <v>0</v>
      </c>
      <c r="J590" s="8">
        <v>87125</v>
      </c>
      <c r="K590" s="8">
        <v>0</v>
      </c>
      <c r="L590" s="8" t="s">
        <v>15</v>
      </c>
      <c r="M590" s="8" t="str">
        <f>IF(Titanic[[#This Row],[Sobrevive]]=1, "SOBREVIVE", "NO SOBREVIVE")</f>
        <v>NO SOBREVIVE</v>
      </c>
      <c r="N590" s="8" t="str">
        <f>LOOKUP(Titanic[[#This Row],[Clase]],{1,2,3}, {"PRIMERA","SEGUNDA","TERCERA"})</f>
        <v>TERCERA</v>
      </c>
      <c r="O590" s="8" t="str">
        <f>IF(Titanic[[#This Row],[Sexo]]="Hombre", "HOMBRE", "MUJER")</f>
        <v>HOMBRE</v>
      </c>
      <c r="P590" s="8" t="str">
        <f>IF(Titanic[[#This Row],[Edad]]="", "", IF(Titanic[[#This Row],[Edad]]&gt;=100, Titanic[[#This Row],[Edad]] / 10, Titanic[[#This Row],[Edad]]))</f>
        <v/>
      </c>
      <c r="Q590" s="8" t="str">
        <f>IFERROR(LOOKUP(Titanic[[#This Row],[Edad Corrigida]],'Práctica 1'!$K$231:$K$240,'Práctica 1'!$L$231:$L$240), "DESCONOCIDO")</f>
        <v>DESCONOCIDO</v>
      </c>
      <c r="R590" s="8">
        <f>Titanic[[#This Row],[Familia Horizontal]]+Titanic[[#This Row],[Familia Vertical]]</f>
        <v>0</v>
      </c>
      <c r="S590" s="8"/>
      <c r="T590" s="8"/>
      <c r="U590" s="8"/>
      <c r="V590" s="8"/>
    </row>
    <row r="591" spans="2:22" x14ac:dyDescent="0.2">
      <c r="B591" s="6">
        <v>586</v>
      </c>
      <c r="C591" s="7">
        <v>1</v>
      </c>
      <c r="D591" s="8">
        <v>1</v>
      </c>
      <c r="E591" s="8" t="s">
        <v>600</v>
      </c>
      <c r="F591" s="8" t="s">
        <v>14</v>
      </c>
      <c r="G591" s="8">
        <v>18</v>
      </c>
      <c r="H591" s="8">
        <v>0</v>
      </c>
      <c r="I591" s="8">
        <v>2</v>
      </c>
      <c r="J591" s="8">
        <v>7965</v>
      </c>
      <c r="K591" s="8">
        <v>1</v>
      </c>
      <c r="L591" s="8" t="s">
        <v>12</v>
      </c>
      <c r="M591" s="8" t="str">
        <f>IF(Titanic[[#This Row],[Sobrevive]]=1, "SOBREVIVE", "NO SOBREVIVE")</f>
        <v>SOBREVIVE</v>
      </c>
      <c r="N591" s="8" t="str">
        <f>LOOKUP(Titanic[[#This Row],[Clase]],{1,2,3}, {"PRIMERA","SEGUNDA","TERCERA"})</f>
        <v>PRIMERA</v>
      </c>
      <c r="O591" s="8" t="str">
        <f>IF(Titanic[[#This Row],[Sexo]]="Hombre", "HOMBRE", "MUJER")</f>
        <v>MUJER</v>
      </c>
      <c r="P591" s="8">
        <f>IF(Titanic[[#This Row],[Edad]]="", "", IF(Titanic[[#This Row],[Edad]]&gt;=100, Titanic[[#This Row],[Edad]] / 10, Titanic[[#This Row],[Edad]]))</f>
        <v>18</v>
      </c>
      <c r="Q591" s="8" t="str">
        <f>IFERROR(LOOKUP(Titanic[[#This Row],[Edad Corrigida]],'Práctica 1'!$K$231:$K$240,'Práctica 1'!$L$231:$L$240), "DESCONOCIDO")</f>
        <v>1. INFANTE</v>
      </c>
      <c r="R591" s="8">
        <f>Titanic[[#This Row],[Familia Horizontal]]+Titanic[[#This Row],[Familia Vertical]]</f>
        <v>2</v>
      </c>
      <c r="S591" s="8"/>
      <c r="T591" s="8"/>
      <c r="U591" s="8"/>
      <c r="V591" s="8"/>
    </row>
    <row r="592" spans="2:22" x14ac:dyDescent="0.2">
      <c r="B592" s="6">
        <v>587</v>
      </c>
      <c r="C592" s="7">
        <v>0</v>
      </c>
      <c r="D592" s="8">
        <v>2</v>
      </c>
      <c r="E592" s="8" t="s">
        <v>601</v>
      </c>
      <c r="F592" s="8" t="s">
        <v>11</v>
      </c>
      <c r="G592" s="8">
        <v>47</v>
      </c>
      <c r="H592" s="8">
        <v>0</v>
      </c>
      <c r="I592" s="8">
        <v>0</v>
      </c>
      <c r="J592" s="8">
        <v>15</v>
      </c>
      <c r="K592" s="8">
        <v>0</v>
      </c>
      <c r="L592" s="8" t="s">
        <v>12</v>
      </c>
      <c r="M592" s="8" t="str">
        <f>IF(Titanic[[#This Row],[Sobrevive]]=1, "SOBREVIVE", "NO SOBREVIVE")</f>
        <v>NO SOBREVIVE</v>
      </c>
      <c r="N592" s="8" t="str">
        <f>LOOKUP(Titanic[[#This Row],[Clase]],{1,2,3}, {"PRIMERA","SEGUNDA","TERCERA"})</f>
        <v>SEGUNDA</v>
      </c>
      <c r="O592" s="8" t="str">
        <f>IF(Titanic[[#This Row],[Sexo]]="Hombre", "HOMBRE", "MUJER")</f>
        <v>HOMBRE</v>
      </c>
      <c r="P592" s="8">
        <f>IF(Titanic[[#This Row],[Edad]]="", "", IF(Titanic[[#This Row],[Edad]]&gt;=100, Titanic[[#This Row],[Edad]] / 10, Titanic[[#This Row],[Edad]]))</f>
        <v>47</v>
      </c>
      <c r="Q592" s="8" t="str">
        <f>IFERROR(LOOKUP(Titanic[[#This Row],[Edad Corrigida]],'Práctica 1'!$K$231:$K$240,'Práctica 1'!$L$231:$L$240), "DESCONOCIDO")</f>
        <v>8. ADULTO 3</v>
      </c>
      <c r="R592" s="8">
        <f>Titanic[[#This Row],[Familia Horizontal]]+Titanic[[#This Row],[Familia Vertical]]</f>
        <v>0</v>
      </c>
      <c r="S592" s="8"/>
      <c r="T592" s="8"/>
      <c r="U592" s="8"/>
      <c r="V592" s="8"/>
    </row>
    <row r="593" spans="2:22" x14ac:dyDescent="0.2">
      <c r="B593" s="6">
        <v>588</v>
      </c>
      <c r="C593" s="7">
        <v>1</v>
      </c>
      <c r="D593" s="8">
        <v>1</v>
      </c>
      <c r="E593" s="8" t="s">
        <v>602</v>
      </c>
      <c r="F593" s="8" t="s">
        <v>11</v>
      </c>
      <c r="G593" s="8">
        <v>60</v>
      </c>
      <c r="H593" s="8">
        <v>1</v>
      </c>
      <c r="I593" s="8">
        <v>1</v>
      </c>
      <c r="J593" s="8">
        <v>792</v>
      </c>
      <c r="K593" s="8">
        <v>1</v>
      </c>
      <c r="L593" s="8" t="s">
        <v>15</v>
      </c>
      <c r="M593" s="8" t="str">
        <f>IF(Titanic[[#This Row],[Sobrevive]]=1, "SOBREVIVE", "NO SOBREVIVE")</f>
        <v>SOBREVIVE</v>
      </c>
      <c r="N593" s="8" t="str">
        <f>LOOKUP(Titanic[[#This Row],[Clase]],{1,2,3}, {"PRIMERA","SEGUNDA","TERCERA"})</f>
        <v>PRIMERA</v>
      </c>
      <c r="O593" s="8" t="str">
        <f>IF(Titanic[[#This Row],[Sexo]]="Hombre", "HOMBRE", "MUJER")</f>
        <v>HOMBRE</v>
      </c>
      <c r="P593" s="8">
        <f>IF(Titanic[[#This Row],[Edad]]="", "", IF(Titanic[[#This Row],[Edad]]&gt;=100, Titanic[[#This Row],[Edad]] / 10, Titanic[[#This Row],[Edad]]))</f>
        <v>60</v>
      </c>
      <c r="Q593" s="8" t="str">
        <f>IFERROR(LOOKUP(Titanic[[#This Row],[Edad Corrigida]],'Práctica 1'!$K$231:$K$240,'Práctica 1'!$L$231:$L$240), "DESCONOCIDO")</f>
        <v>9. ADULTO 4</v>
      </c>
      <c r="R593" s="8">
        <f>Titanic[[#This Row],[Familia Horizontal]]+Titanic[[#This Row],[Familia Vertical]]</f>
        <v>2</v>
      </c>
      <c r="S593" s="8"/>
      <c r="T593" s="8"/>
      <c r="U593" s="8"/>
      <c r="V593" s="8"/>
    </row>
    <row r="594" spans="2:22" x14ac:dyDescent="0.2">
      <c r="B594" s="6">
        <v>589</v>
      </c>
      <c r="C594" s="7">
        <v>0</v>
      </c>
      <c r="D594" s="8">
        <v>3</v>
      </c>
      <c r="E594" s="8" t="s">
        <v>603</v>
      </c>
      <c r="F594" s="8" t="s">
        <v>11</v>
      </c>
      <c r="G594" s="8">
        <v>22</v>
      </c>
      <c r="H594" s="8">
        <v>0</v>
      </c>
      <c r="I594" s="8">
        <v>0</v>
      </c>
      <c r="J594" s="8">
        <v>805</v>
      </c>
      <c r="K594" s="8">
        <v>0</v>
      </c>
      <c r="L594" s="8" t="s">
        <v>12</v>
      </c>
      <c r="M594" s="8" t="str">
        <f>IF(Titanic[[#This Row],[Sobrevive]]=1, "SOBREVIVE", "NO SOBREVIVE")</f>
        <v>NO SOBREVIVE</v>
      </c>
      <c r="N594" s="8" t="str">
        <f>LOOKUP(Titanic[[#This Row],[Clase]],{1,2,3}, {"PRIMERA","SEGUNDA","TERCERA"})</f>
        <v>TERCERA</v>
      </c>
      <c r="O594" s="8" t="str">
        <f>IF(Titanic[[#This Row],[Sexo]]="Hombre", "HOMBRE", "MUJER")</f>
        <v>HOMBRE</v>
      </c>
      <c r="P594" s="8">
        <f>IF(Titanic[[#This Row],[Edad]]="", "", IF(Titanic[[#This Row],[Edad]]&gt;=100, Titanic[[#This Row],[Edad]] / 10, Titanic[[#This Row],[Edad]]))</f>
        <v>22</v>
      </c>
      <c r="Q594" s="8" t="str">
        <f>IFERROR(LOOKUP(Titanic[[#This Row],[Edad Corrigida]],'Práctica 1'!$K$231:$K$240,'Práctica 1'!$L$231:$L$240), "DESCONOCIDO")</f>
        <v>3. JOVEN</v>
      </c>
      <c r="R594" s="8">
        <f>Titanic[[#This Row],[Familia Horizontal]]+Titanic[[#This Row],[Familia Vertical]]</f>
        <v>0</v>
      </c>
      <c r="S594" s="8"/>
      <c r="T594" s="8"/>
      <c r="U594" s="8"/>
      <c r="V594" s="8"/>
    </row>
    <row r="595" spans="2:22" x14ac:dyDescent="0.2">
      <c r="B595" s="6">
        <v>590</v>
      </c>
      <c r="C595" s="7">
        <v>0</v>
      </c>
      <c r="D595" s="8">
        <v>3</v>
      </c>
      <c r="E595" s="8" t="s">
        <v>604</v>
      </c>
      <c r="F595" s="8" t="s">
        <v>11</v>
      </c>
      <c r="G595" s="9"/>
      <c r="H595" s="8">
        <v>0</v>
      </c>
      <c r="I595" s="8">
        <v>0</v>
      </c>
      <c r="J595" s="8">
        <v>805</v>
      </c>
      <c r="K595" s="8">
        <v>0</v>
      </c>
      <c r="L595" s="8" t="s">
        <v>12</v>
      </c>
      <c r="M595" s="8" t="str">
        <f>IF(Titanic[[#This Row],[Sobrevive]]=1, "SOBREVIVE", "NO SOBREVIVE")</f>
        <v>NO SOBREVIVE</v>
      </c>
      <c r="N595" s="8" t="str">
        <f>LOOKUP(Titanic[[#This Row],[Clase]],{1,2,3}, {"PRIMERA","SEGUNDA","TERCERA"})</f>
        <v>TERCERA</v>
      </c>
      <c r="O595" s="8" t="str">
        <f>IF(Titanic[[#This Row],[Sexo]]="Hombre", "HOMBRE", "MUJER")</f>
        <v>HOMBRE</v>
      </c>
      <c r="P595" s="8" t="str">
        <f>IF(Titanic[[#This Row],[Edad]]="", "", IF(Titanic[[#This Row],[Edad]]&gt;=100, Titanic[[#This Row],[Edad]] / 10, Titanic[[#This Row],[Edad]]))</f>
        <v/>
      </c>
      <c r="Q595" s="8" t="str">
        <f>IFERROR(LOOKUP(Titanic[[#This Row],[Edad Corrigida]],'Práctica 1'!$K$231:$K$240,'Práctica 1'!$L$231:$L$240), "DESCONOCIDO")</f>
        <v>DESCONOCIDO</v>
      </c>
      <c r="R595" s="8">
        <f>Titanic[[#This Row],[Familia Horizontal]]+Titanic[[#This Row],[Familia Vertical]]</f>
        <v>0</v>
      </c>
      <c r="S595" s="8"/>
      <c r="T595" s="8"/>
      <c r="U595" s="8"/>
      <c r="V595" s="8"/>
    </row>
    <row r="596" spans="2:22" x14ac:dyDescent="0.2">
      <c r="B596" s="6">
        <v>591</v>
      </c>
      <c r="C596" s="7">
        <v>0</v>
      </c>
      <c r="D596" s="8">
        <v>3</v>
      </c>
      <c r="E596" s="8" t="s">
        <v>605</v>
      </c>
      <c r="F596" s="8" t="s">
        <v>11</v>
      </c>
      <c r="G596" s="8">
        <v>35</v>
      </c>
      <c r="H596" s="8">
        <v>0</v>
      </c>
      <c r="I596" s="8">
        <v>0</v>
      </c>
      <c r="J596" s="8">
        <v>7125</v>
      </c>
      <c r="K596" s="8">
        <v>0</v>
      </c>
      <c r="L596" s="8" t="s">
        <v>12</v>
      </c>
      <c r="M596" s="8" t="str">
        <f>IF(Titanic[[#This Row],[Sobrevive]]=1, "SOBREVIVE", "NO SOBREVIVE")</f>
        <v>NO SOBREVIVE</v>
      </c>
      <c r="N596" s="8" t="str">
        <f>LOOKUP(Titanic[[#This Row],[Clase]],{1,2,3}, {"PRIMERA","SEGUNDA","TERCERA"})</f>
        <v>TERCERA</v>
      </c>
      <c r="O596" s="8" t="str">
        <f>IF(Titanic[[#This Row],[Sexo]]="Hombre", "HOMBRE", "MUJER")</f>
        <v>HOMBRE</v>
      </c>
      <c r="P596" s="8">
        <f>IF(Titanic[[#This Row],[Edad]]="", "", IF(Titanic[[#This Row],[Edad]]&gt;=100, Titanic[[#This Row],[Edad]] / 10, Titanic[[#This Row],[Edad]]))</f>
        <v>35</v>
      </c>
      <c r="Q596" s="8" t="str">
        <f>IFERROR(LOOKUP(Titanic[[#This Row],[Edad Corrigida]],'Práctica 1'!$K$231:$K$240,'Práctica 1'!$L$231:$L$240), "DESCONOCIDO")</f>
        <v>6. ADULTO 1</v>
      </c>
      <c r="R596" s="8">
        <f>Titanic[[#This Row],[Familia Horizontal]]+Titanic[[#This Row],[Familia Vertical]]</f>
        <v>0</v>
      </c>
      <c r="S596" s="8"/>
      <c r="T596" s="8"/>
      <c r="U596" s="8"/>
      <c r="V596" s="8"/>
    </row>
    <row r="597" spans="2:22" x14ac:dyDescent="0.2">
      <c r="B597" s="6">
        <v>592</v>
      </c>
      <c r="C597" s="7">
        <v>1</v>
      </c>
      <c r="D597" s="8">
        <v>1</v>
      </c>
      <c r="E597" s="8" t="s">
        <v>606</v>
      </c>
      <c r="F597" s="8" t="s">
        <v>14</v>
      </c>
      <c r="G597" s="8">
        <v>52</v>
      </c>
      <c r="H597" s="8">
        <v>1</v>
      </c>
      <c r="I597" s="8">
        <v>0</v>
      </c>
      <c r="J597" s="8">
        <v>782667</v>
      </c>
      <c r="K597" s="8">
        <v>1</v>
      </c>
      <c r="L597" s="8" t="s">
        <v>15</v>
      </c>
      <c r="M597" s="8" t="str">
        <f>IF(Titanic[[#This Row],[Sobrevive]]=1, "SOBREVIVE", "NO SOBREVIVE")</f>
        <v>SOBREVIVE</v>
      </c>
      <c r="N597" s="8" t="str">
        <f>LOOKUP(Titanic[[#This Row],[Clase]],{1,2,3}, {"PRIMERA","SEGUNDA","TERCERA"})</f>
        <v>PRIMERA</v>
      </c>
      <c r="O597" s="8" t="str">
        <f>IF(Titanic[[#This Row],[Sexo]]="Hombre", "HOMBRE", "MUJER")</f>
        <v>MUJER</v>
      </c>
      <c r="P597" s="8">
        <f>IF(Titanic[[#This Row],[Edad]]="", "", IF(Titanic[[#This Row],[Edad]]&gt;=100, Titanic[[#This Row],[Edad]] / 10, Titanic[[#This Row],[Edad]]))</f>
        <v>52</v>
      </c>
      <c r="Q597" s="8" t="str">
        <f>IFERROR(LOOKUP(Titanic[[#This Row],[Edad Corrigida]],'Práctica 1'!$K$231:$K$240,'Práctica 1'!$L$231:$L$240), "DESCONOCIDO")</f>
        <v>9. ADULTO 4</v>
      </c>
      <c r="R597" s="8">
        <f>Titanic[[#This Row],[Familia Horizontal]]+Titanic[[#This Row],[Familia Vertical]]</f>
        <v>1</v>
      </c>
      <c r="S597" s="8"/>
      <c r="T597" s="8"/>
      <c r="U597" s="8"/>
      <c r="V597" s="8"/>
    </row>
    <row r="598" spans="2:22" x14ac:dyDescent="0.2">
      <c r="B598" s="6">
        <v>593</v>
      </c>
      <c r="C598" s="7">
        <v>0</v>
      </c>
      <c r="D598" s="8">
        <v>3</v>
      </c>
      <c r="E598" s="8" t="s">
        <v>607</v>
      </c>
      <c r="F598" s="8" t="s">
        <v>11</v>
      </c>
      <c r="G598" s="8">
        <v>47</v>
      </c>
      <c r="H598" s="8">
        <v>0</v>
      </c>
      <c r="I598" s="8">
        <v>0</v>
      </c>
      <c r="J598" s="8">
        <v>725</v>
      </c>
      <c r="K598" s="8">
        <v>0</v>
      </c>
      <c r="L598" s="8" t="s">
        <v>12</v>
      </c>
      <c r="M598" s="8" t="str">
        <f>IF(Titanic[[#This Row],[Sobrevive]]=1, "SOBREVIVE", "NO SOBREVIVE")</f>
        <v>NO SOBREVIVE</v>
      </c>
      <c r="N598" s="8" t="str">
        <f>LOOKUP(Titanic[[#This Row],[Clase]],{1,2,3}, {"PRIMERA","SEGUNDA","TERCERA"})</f>
        <v>TERCERA</v>
      </c>
      <c r="O598" s="8" t="str">
        <f>IF(Titanic[[#This Row],[Sexo]]="Hombre", "HOMBRE", "MUJER")</f>
        <v>HOMBRE</v>
      </c>
      <c r="P598" s="8">
        <f>IF(Titanic[[#This Row],[Edad]]="", "", IF(Titanic[[#This Row],[Edad]]&gt;=100, Titanic[[#This Row],[Edad]] / 10, Titanic[[#This Row],[Edad]]))</f>
        <v>47</v>
      </c>
      <c r="Q598" s="8" t="str">
        <f>IFERROR(LOOKUP(Titanic[[#This Row],[Edad Corrigida]],'Práctica 1'!$K$231:$K$240,'Práctica 1'!$L$231:$L$240), "DESCONOCIDO")</f>
        <v>8. ADULTO 3</v>
      </c>
      <c r="R598" s="8">
        <f>Titanic[[#This Row],[Familia Horizontal]]+Titanic[[#This Row],[Familia Vertical]]</f>
        <v>0</v>
      </c>
      <c r="S598" s="8"/>
      <c r="T598" s="8"/>
      <c r="U598" s="8"/>
      <c r="V598" s="8"/>
    </row>
    <row r="599" spans="2:22" x14ac:dyDescent="0.2">
      <c r="B599" s="6">
        <v>594</v>
      </c>
      <c r="C599" s="7">
        <v>0</v>
      </c>
      <c r="D599" s="8">
        <v>3</v>
      </c>
      <c r="E599" s="8" t="s">
        <v>608</v>
      </c>
      <c r="F599" s="8" t="s">
        <v>14</v>
      </c>
      <c r="G599" s="9"/>
      <c r="H599" s="8">
        <v>0</v>
      </c>
      <c r="I599" s="8">
        <v>2</v>
      </c>
      <c r="J599" s="8">
        <v>775</v>
      </c>
      <c r="K599" s="8">
        <v>0</v>
      </c>
      <c r="L599" s="8" t="s">
        <v>20</v>
      </c>
      <c r="M599" s="8" t="str">
        <f>IF(Titanic[[#This Row],[Sobrevive]]=1, "SOBREVIVE", "NO SOBREVIVE")</f>
        <v>NO SOBREVIVE</v>
      </c>
      <c r="N599" s="8" t="str">
        <f>LOOKUP(Titanic[[#This Row],[Clase]],{1,2,3}, {"PRIMERA","SEGUNDA","TERCERA"})</f>
        <v>TERCERA</v>
      </c>
      <c r="O599" s="8" t="str">
        <f>IF(Titanic[[#This Row],[Sexo]]="Hombre", "HOMBRE", "MUJER")</f>
        <v>MUJER</v>
      </c>
      <c r="P599" s="8" t="str">
        <f>IF(Titanic[[#This Row],[Edad]]="", "", IF(Titanic[[#This Row],[Edad]]&gt;=100, Titanic[[#This Row],[Edad]] / 10, Titanic[[#This Row],[Edad]]))</f>
        <v/>
      </c>
      <c r="Q599" s="8" t="str">
        <f>IFERROR(LOOKUP(Titanic[[#This Row],[Edad Corrigida]],'Práctica 1'!$K$231:$K$240,'Práctica 1'!$L$231:$L$240), "DESCONOCIDO")</f>
        <v>DESCONOCIDO</v>
      </c>
      <c r="R599" s="8">
        <f>Titanic[[#This Row],[Familia Horizontal]]+Titanic[[#This Row],[Familia Vertical]]</f>
        <v>2</v>
      </c>
      <c r="S599" s="8"/>
      <c r="T599" s="8"/>
      <c r="U599" s="8"/>
      <c r="V599" s="8"/>
    </row>
    <row r="600" spans="2:22" x14ac:dyDescent="0.2">
      <c r="B600" s="6">
        <v>595</v>
      </c>
      <c r="C600" s="7">
        <v>0</v>
      </c>
      <c r="D600" s="8">
        <v>2</v>
      </c>
      <c r="E600" s="8" t="s">
        <v>609</v>
      </c>
      <c r="F600" s="8" t="s">
        <v>11</v>
      </c>
      <c r="G600" s="8">
        <v>37</v>
      </c>
      <c r="H600" s="8">
        <v>1</v>
      </c>
      <c r="I600" s="8">
        <v>0</v>
      </c>
      <c r="J600" s="8">
        <v>26</v>
      </c>
      <c r="K600" s="8">
        <v>0</v>
      </c>
      <c r="L600" s="8" t="s">
        <v>12</v>
      </c>
      <c r="M600" s="8" t="str">
        <f>IF(Titanic[[#This Row],[Sobrevive]]=1, "SOBREVIVE", "NO SOBREVIVE")</f>
        <v>NO SOBREVIVE</v>
      </c>
      <c r="N600" s="8" t="str">
        <f>LOOKUP(Titanic[[#This Row],[Clase]],{1,2,3}, {"PRIMERA","SEGUNDA","TERCERA"})</f>
        <v>SEGUNDA</v>
      </c>
      <c r="O600" s="8" t="str">
        <f>IF(Titanic[[#This Row],[Sexo]]="Hombre", "HOMBRE", "MUJER")</f>
        <v>HOMBRE</v>
      </c>
      <c r="P600" s="8">
        <f>IF(Titanic[[#This Row],[Edad]]="", "", IF(Titanic[[#This Row],[Edad]]&gt;=100, Titanic[[#This Row],[Edad]] / 10, Titanic[[#This Row],[Edad]]))</f>
        <v>37</v>
      </c>
      <c r="Q600" s="8" t="str">
        <f>IFERROR(LOOKUP(Titanic[[#This Row],[Edad Corrigida]],'Práctica 1'!$K$231:$K$240,'Práctica 1'!$L$231:$L$240), "DESCONOCIDO")</f>
        <v>7. ADULTO 2</v>
      </c>
      <c r="R600" s="8">
        <f>Titanic[[#This Row],[Familia Horizontal]]+Titanic[[#This Row],[Familia Vertical]]</f>
        <v>1</v>
      </c>
      <c r="S600" s="8"/>
      <c r="T600" s="8"/>
      <c r="U600" s="8"/>
      <c r="V600" s="8"/>
    </row>
    <row r="601" spans="2:22" x14ac:dyDescent="0.2">
      <c r="B601" s="6">
        <v>596</v>
      </c>
      <c r="C601" s="7">
        <v>0</v>
      </c>
      <c r="D601" s="8">
        <v>3</v>
      </c>
      <c r="E601" s="8" t="s">
        <v>610</v>
      </c>
      <c r="F601" s="8" t="s">
        <v>11</v>
      </c>
      <c r="G601" s="8">
        <v>36</v>
      </c>
      <c r="H601" s="8">
        <v>1</v>
      </c>
      <c r="I601" s="8">
        <v>1</v>
      </c>
      <c r="J601" s="8">
        <v>2415</v>
      </c>
      <c r="K601" s="8">
        <v>0</v>
      </c>
      <c r="L601" s="8" t="s">
        <v>12</v>
      </c>
      <c r="M601" s="8" t="str">
        <f>IF(Titanic[[#This Row],[Sobrevive]]=1, "SOBREVIVE", "NO SOBREVIVE")</f>
        <v>NO SOBREVIVE</v>
      </c>
      <c r="N601" s="8" t="str">
        <f>LOOKUP(Titanic[[#This Row],[Clase]],{1,2,3}, {"PRIMERA","SEGUNDA","TERCERA"})</f>
        <v>TERCERA</v>
      </c>
      <c r="O601" s="8" t="str">
        <f>IF(Titanic[[#This Row],[Sexo]]="Hombre", "HOMBRE", "MUJER")</f>
        <v>HOMBRE</v>
      </c>
      <c r="P601" s="8">
        <f>IF(Titanic[[#This Row],[Edad]]="", "", IF(Titanic[[#This Row],[Edad]]&gt;=100, Titanic[[#This Row],[Edad]] / 10, Titanic[[#This Row],[Edad]]))</f>
        <v>36</v>
      </c>
      <c r="Q601" s="8" t="str">
        <f>IFERROR(LOOKUP(Titanic[[#This Row],[Edad Corrigida]],'Práctica 1'!$K$231:$K$240,'Práctica 1'!$L$231:$L$240), "DESCONOCIDO")</f>
        <v>7. ADULTO 2</v>
      </c>
      <c r="R601" s="8">
        <f>Titanic[[#This Row],[Familia Horizontal]]+Titanic[[#This Row],[Familia Vertical]]</f>
        <v>2</v>
      </c>
      <c r="S601" s="8"/>
      <c r="T601" s="8"/>
      <c r="U601" s="8"/>
      <c r="V601" s="8"/>
    </row>
    <row r="602" spans="2:22" x14ac:dyDescent="0.2">
      <c r="B602" s="6">
        <v>597</v>
      </c>
      <c r="C602" s="7">
        <v>1</v>
      </c>
      <c r="D602" s="8">
        <v>2</v>
      </c>
      <c r="E602" s="8" t="s">
        <v>611</v>
      </c>
      <c r="F602" s="8" t="s">
        <v>14</v>
      </c>
      <c r="G602" s="9"/>
      <c r="H602" s="8">
        <v>0</v>
      </c>
      <c r="I602" s="8">
        <v>0</v>
      </c>
      <c r="J602" s="8">
        <v>33</v>
      </c>
      <c r="K602" s="8">
        <v>0</v>
      </c>
      <c r="L602" s="8" t="s">
        <v>12</v>
      </c>
      <c r="M602" s="8" t="str">
        <f>IF(Titanic[[#This Row],[Sobrevive]]=1, "SOBREVIVE", "NO SOBREVIVE")</f>
        <v>SOBREVIVE</v>
      </c>
      <c r="N602" s="8" t="str">
        <f>LOOKUP(Titanic[[#This Row],[Clase]],{1,2,3}, {"PRIMERA","SEGUNDA","TERCERA"})</f>
        <v>SEGUNDA</v>
      </c>
      <c r="O602" s="8" t="str">
        <f>IF(Titanic[[#This Row],[Sexo]]="Hombre", "HOMBRE", "MUJER")</f>
        <v>MUJER</v>
      </c>
      <c r="P602" s="8" t="str">
        <f>IF(Titanic[[#This Row],[Edad]]="", "", IF(Titanic[[#This Row],[Edad]]&gt;=100, Titanic[[#This Row],[Edad]] / 10, Titanic[[#This Row],[Edad]]))</f>
        <v/>
      </c>
      <c r="Q602" s="8" t="str">
        <f>IFERROR(LOOKUP(Titanic[[#This Row],[Edad Corrigida]],'Práctica 1'!$K$231:$K$240,'Práctica 1'!$L$231:$L$240), "DESCONOCIDO")</f>
        <v>DESCONOCIDO</v>
      </c>
      <c r="R602" s="8">
        <f>Titanic[[#This Row],[Familia Horizontal]]+Titanic[[#This Row],[Familia Vertical]]</f>
        <v>0</v>
      </c>
      <c r="S602" s="8"/>
      <c r="T602" s="8"/>
      <c r="U602" s="8"/>
      <c r="V602" s="8"/>
    </row>
    <row r="603" spans="2:22" x14ac:dyDescent="0.2">
      <c r="B603" s="6">
        <v>598</v>
      </c>
      <c r="C603" s="7">
        <v>0</v>
      </c>
      <c r="D603" s="8">
        <v>3</v>
      </c>
      <c r="E603" s="8" t="s">
        <v>612</v>
      </c>
      <c r="F603" s="8" t="s">
        <v>11</v>
      </c>
      <c r="G603" s="8">
        <v>49</v>
      </c>
      <c r="H603" s="8">
        <v>0</v>
      </c>
      <c r="I603" s="8">
        <v>0</v>
      </c>
      <c r="J603" s="8">
        <v>0</v>
      </c>
      <c r="K603" s="8">
        <v>0</v>
      </c>
      <c r="L603" s="8" t="s">
        <v>12</v>
      </c>
      <c r="M603" s="8" t="str">
        <f>IF(Titanic[[#This Row],[Sobrevive]]=1, "SOBREVIVE", "NO SOBREVIVE")</f>
        <v>NO SOBREVIVE</v>
      </c>
      <c r="N603" s="8" t="str">
        <f>LOOKUP(Titanic[[#This Row],[Clase]],{1,2,3}, {"PRIMERA","SEGUNDA","TERCERA"})</f>
        <v>TERCERA</v>
      </c>
      <c r="O603" s="8" t="str">
        <f>IF(Titanic[[#This Row],[Sexo]]="Hombre", "HOMBRE", "MUJER")</f>
        <v>HOMBRE</v>
      </c>
      <c r="P603" s="8">
        <f>IF(Titanic[[#This Row],[Edad]]="", "", IF(Titanic[[#This Row],[Edad]]&gt;=100, Titanic[[#This Row],[Edad]] / 10, Titanic[[#This Row],[Edad]]))</f>
        <v>49</v>
      </c>
      <c r="Q603" s="8" t="str">
        <f>IFERROR(LOOKUP(Titanic[[#This Row],[Edad Corrigida]],'Práctica 1'!$K$231:$K$240,'Práctica 1'!$L$231:$L$240), "DESCONOCIDO")</f>
        <v>8. ADULTO 3</v>
      </c>
      <c r="R603" s="8">
        <f>Titanic[[#This Row],[Familia Horizontal]]+Titanic[[#This Row],[Familia Vertical]]</f>
        <v>0</v>
      </c>
      <c r="S603" s="8"/>
      <c r="T603" s="8"/>
      <c r="U603" s="8"/>
      <c r="V603" s="8"/>
    </row>
    <row r="604" spans="2:22" x14ac:dyDescent="0.2">
      <c r="B604" s="6">
        <v>599</v>
      </c>
      <c r="C604" s="7">
        <v>0</v>
      </c>
      <c r="D604" s="8">
        <v>3</v>
      </c>
      <c r="E604" s="8" t="s">
        <v>613</v>
      </c>
      <c r="F604" s="8" t="s">
        <v>11</v>
      </c>
      <c r="G604" s="9"/>
      <c r="H604" s="8">
        <v>0</v>
      </c>
      <c r="I604" s="8">
        <v>0</v>
      </c>
      <c r="J604" s="8">
        <v>7225</v>
      </c>
      <c r="K604" s="8">
        <v>0</v>
      </c>
      <c r="L604" s="8" t="s">
        <v>15</v>
      </c>
      <c r="M604" s="8" t="str">
        <f>IF(Titanic[[#This Row],[Sobrevive]]=1, "SOBREVIVE", "NO SOBREVIVE")</f>
        <v>NO SOBREVIVE</v>
      </c>
      <c r="N604" s="8" t="str">
        <f>LOOKUP(Titanic[[#This Row],[Clase]],{1,2,3}, {"PRIMERA","SEGUNDA","TERCERA"})</f>
        <v>TERCERA</v>
      </c>
      <c r="O604" s="8" t="str">
        <f>IF(Titanic[[#This Row],[Sexo]]="Hombre", "HOMBRE", "MUJER")</f>
        <v>HOMBRE</v>
      </c>
      <c r="P604" s="8" t="str">
        <f>IF(Titanic[[#This Row],[Edad]]="", "", IF(Titanic[[#This Row],[Edad]]&gt;=100, Titanic[[#This Row],[Edad]] / 10, Titanic[[#This Row],[Edad]]))</f>
        <v/>
      </c>
      <c r="Q604" s="8" t="str">
        <f>IFERROR(LOOKUP(Titanic[[#This Row],[Edad Corrigida]],'Práctica 1'!$K$231:$K$240,'Práctica 1'!$L$231:$L$240), "DESCONOCIDO")</f>
        <v>DESCONOCIDO</v>
      </c>
      <c r="R604" s="8">
        <f>Titanic[[#This Row],[Familia Horizontal]]+Titanic[[#This Row],[Familia Vertical]]</f>
        <v>0</v>
      </c>
      <c r="S604" s="8"/>
      <c r="T604" s="8"/>
      <c r="U604" s="8"/>
      <c r="V604" s="8"/>
    </row>
    <row r="605" spans="2:22" x14ac:dyDescent="0.2">
      <c r="B605" s="6">
        <v>600</v>
      </c>
      <c r="C605" s="7">
        <v>1</v>
      </c>
      <c r="D605" s="8">
        <v>1</v>
      </c>
      <c r="E605" s="8" t="s">
        <v>614</v>
      </c>
      <c r="F605" s="8" t="s">
        <v>11</v>
      </c>
      <c r="G605" s="8">
        <v>49</v>
      </c>
      <c r="H605" s="8">
        <v>1</v>
      </c>
      <c r="I605" s="8">
        <v>0</v>
      </c>
      <c r="J605" s="8">
        <v>569292</v>
      </c>
      <c r="K605" s="8">
        <v>1</v>
      </c>
      <c r="L605" s="8" t="s">
        <v>15</v>
      </c>
      <c r="M605" s="8" t="str">
        <f>IF(Titanic[[#This Row],[Sobrevive]]=1, "SOBREVIVE", "NO SOBREVIVE")</f>
        <v>SOBREVIVE</v>
      </c>
      <c r="N605" s="8" t="str">
        <f>LOOKUP(Titanic[[#This Row],[Clase]],{1,2,3}, {"PRIMERA","SEGUNDA","TERCERA"})</f>
        <v>PRIMERA</v>
      </c>
      <c r="O605" s="8" t="str">
        <f>IF(Titanic[[#This Row],[Sexo]]="Hombre", "HOMBRE", "MUJER")</f>
        <v>HOMBRE</v>
      </c>
      <c r="P605" s="8">
        <f>IF(Titanic[[#This Row],[Edad]]="", "", IF(Titanic[[#This Row],[Edad]]&gt;=100, Titanic[[#This Row],[Edad]] / 10, Titanic[[#This Row],[Edad]]))</f>
        <v>49</v>
      </c>
      <c r="Q605" s="8" t="str">
        <f>IFERROR(LOOKUP(Titanic[[#This Row],[Edad Corrigida]],'Práctica 1'!$K$231:$K$240,'Práctica 1'!$L$231:$L$240), "DESCONOCIDO")</f>
        <v>8. ADULTO 3</v>
      </c>
      <c r="R605" s="8">
        <f>Titanic[[#This Row],[Familia Horizontal]]+Titanic[[#This Row],[Familia Vertical]]</f>
        <v>1</v>
      </c>
      <c r="S605" s="8"/>
      <c r="T605" s="8"/>
      <c r="U605" s="8"/>
      <c r="V605" s="8"/>
    </row>
    <row r="606" spans="2:22" x14ac:dyDescent="0.2">
      <c r="B606" s="6">
        <v>601</v>
      </c>
      <c r="C606" s="7">
        <v>1</v>
      </c>
      <c r="D606" s="8">
        <v>2</v>
      </c>
      <c r="E606" s="8" t="s">
        <v>615</v>
      </c>
      <c r="F606" s="8" t="s">
        <v>14</v>
      </c>
      <c r="G606" s="8">
        <v>24</v>
      </c>
      <c r="H606" s="8">
        <v>2</v>
      </c>
      <c r="I606" s="8">
        <v>1</v>
      </c>
      <c r="J606" s="8">
        <v>27</v>
      </c>
      <c r="K606" s="8">
        <v>0</v>
      </c>
      <c r="L606" s="8" t="s">
        <v>12</v>
      </c>
      <c r="M606" s="8" t="str">
        <f>IF(Titanic[[#This Row],[Sobrevive]]=1, "SOBREVIVE", "NO SOBREVIVE")</f>
        <v>SOBREVIVE</v>
      </c>
      <c r="N606" s="8" t="str">
        <f>LOOKUP(Titanic[[#This Row],[Clase]],{1,2,3}, {"PRIMERA","SEGUNDA","TERCERA"})</f>
        <v>SEGUNDA</v>
      </c>
      <c r="O606" s="8" t="str">
        <f>IF(Titanic[[#This Row],[Sexo]]="Hombre", "HOMBRE", "MUJER")</f>
        <v>MUJER</v>
      </c>
      <c r="P606" s="8">
        <f>IF(Titanic[[#This Row],[Edad]]="", "", IF(Titanic[[#This Row],[Edad]]&gt;=100, Titanic[[#This Row],[Edad]] / 10, Titanic[[#This Row],[Edad]]))</f>
        <v>24</v>
      </c>
      <c r="Q606" s="8" t="str">
        <f>IFERROR(LOOKUP(Titanic[[#This Row],[Edad Corrigida]],'Práctica 1'!$K$231:$K$240,'Práctica 1'!$L$231:$L$240), "DESCONOCIDO")</f>
        <v>3. JOVEN</v>
      </c>
      <c r="R606" s="8">
        <f>Titanic[[#This Row],[Familia Horizontal]]+Titanic[[#This Row],[Familia Vertical]]</f>
        <v>3</v>
      </c>
      <c r="S606" s="8"/>
      <c r="T606" s="8"/>
      <c r="U606" s="8"/>
      <c r="V606" s="8"/>
    </row>
    <row r="607" spans="2:22" x14ac:dyDescent="0.2">
      <c r="B607" s="6">
        <v>602</v>
      </c>
      <c r="C607" s="7">
        <v>0</v>
      </c>
      <c r="D607" s="8">
        <v>3</v>
      </c>
      <c r="E607" s="8" t="s">
        <v>616</v>
      </c>
      <c r="F607" s="8" t="s">
        <v>11</v>
      </c>
      <c r="G607" s="9"/>
      <c r="H607" s="8">
        <v>0</v>
      </c>
      <c r="I607" s="8">
        <v>0</v>
      </c>
      <c r="J607" s="8">
        <v>78958</v>
      </c>
      <c r="K607" s="8">
        <v>0</v>
      </c>
      <c r="L607" s="8" t="s">
        <v>12</v>
      </c>
      <c r="M607" s="8" t="str">
        <f>IF(Titanic[[#This Row],[Sobrevive]]=1, "SOBREVIVE", "NO SOBREVIVE")</f>
        <v>NO SOBREVIVE</v>
      </c>
      <c r="N607" s="8" t="str">
        <f>LOOKUP(Titanic[[#This Row],[Clase]],{1,2,3}, {"PRIMERA","SEGUNDA","TERCERA"})</f>
        <v>TERCERA</v>
      </c>
      <c r="O607" s="8" t="str">
        <f>IF(Titanic[[#This Row],[Sexo]]="Hombre", "HOMBRE", "MUJER")</f>
        <v>HOMBRE</v>
      </c>
      <c r="P607" s="8" t="str">
        <f>IF(Titanic[[#This Row],[Edad]]="", "", IF(Titanic[[#This Row],[Edad]]&gt;=100, Titanic[[#This Row],[Edad]] / 10, Titanic[[#This Row],[Edad]]))</f>
        <v/>
      </c>
      <c r="Q607" s="8" t="str">
        <f>IFERROR(LOOKUP(Titanic[[#This Row],[Edad Corrigida]],'Práctica 1'!$K$231:$K$240,'Práctica 1'!$L$231:$L$240), "DESCONOCIDO")</f>
        <v>DESCONOCIDO</v>
      </c>
      <c r="R607" s="8">
        <f>Titanic[[#This Row],[Familia Horizontal]]+Titanic[[#This Row],[Familia Vertical]]</f>
        <v>0</v>
      </c>
      <c r="S607" s="8"/>
      <c r="T607" s="8"/>
      <c r="U607" s="8"/>
      <c r="V607" s="8"/>
    </row>
    <row r="608" spans="2:22" x14ac:dyDescent="0.2">
      <c r="B608" s="6">
        <v>603</v>
      </c>
      <c r="C608" s="7">
        <v>0</v>
      </c>
      <c r="D608" s="8">
        <v>1</v>
      </c>
      <c r="E608" s="8" t="s">
        <v>617</v>
      </c>
      <c r="F608" s="8" t="s">
        <v>11</v>
      </c>
      <c r="G608" s="9"/>
      <c r="H608" s="8">
        <v>0</v>
      </c>
      <c r="I608" s="8">
        <v>0</v>
      </c>
      <c r="J608" s="8">
        <v>424</v>
      </c>
      <c r="K608" s="8">
        <v>0</v>
      </c>
      <c r="L608" s="8" t="s">
        <v>12</v>
      </c>
      <c r="M608" s="8" t="str">
        <f>IF(Titanic[[#This Row],[Sobrevive]]=1, "SOBREVIVE", "NO SOBREVIVE")</f>
        <v>NO SOBREVIVE</v>
      </c>
      <c r="N608" s="8" t="str">
        <f>LOOKUP(Titanic[[#This Row],[Clase]],{1,2,3}, {"PRIMERA","SEGUNDA","TERCERA"})</f>
        <v>PRIMERA</v>
      </c>
      <c r="O608" s="8" t="str">
        <f>IF(Titanic[[#This Row],[Sexo]]="Hombre", "HOMBRE", "MUJER")</f>
        <v>HOMBRE</v>
      </c>
      <c r="P608" s="8" t="str">
        <f>IF(Titanic[[#This Row],[Edad]]="", "", IF(Titanic[[#This Row],[Edad]]&gt;=100, Titanic[[#This Row],[Edad]] / 10, Titanic[[#This Row],[Edad]]))</f>
        <v/>
      </c>
      <c r="Q608" s="8" t="str">
        <f>IFERROR(LOOKUP(Titanic[[#This Row],[Edad Corrigida]],'Práctica 1'!$K$231:$K$240,'Práctica 1'!$L$231:$L$240), "DESCONOCIDO")</f>
        <v>DESCONOCIDO</v>
      </c>
      <c r="R608" s="8">
        <f>Titanic[[#This Row],[Familia Horizontal]]+Titanic[[#This Row],[Familia Vertical]]</f>
        <v>0</v>
      </c>
      <c r="S608" s="8"/>
      <c r="T608" s="8"/>
      <c r="U608" s="8"/>
      <c r="V608" s="8"/>
    </row>
    <row r="609" spans="2:22" x14ac:dyDescent="0.2">
      <c r="B609" s="6">
        <v>604</v>
      </c>
      <c r="C609" s="7">
        <v>0</v>
      </c>
      <c r="D609" s="8">
        <v>3</v>
      </c>
      <c r="E609" s="8" t="s">
        <v>618</v>
      </c>
      <c r="F609" s="8" t="s">
        <v>11</v>
      </c>
      <c r="G609" s="8">
        <v>44</v>
      </c>
      <c r="H609" s="8">
        <v>0</v>
      </c>
      <c r="I609" s="8">
        <v>0</v>
      </c>
      <c r="J609" s="8">
        <v>805</v>
      </c>
      <c r="K609" s="8">
        <v>0</v>
      </c>
      <c r="L609" s="8" t="s">
        <v>12</v>
      </c>
      <c r="M609" s="8" t="str">
        <f>IF(Titanic[[#This Row],[Sobrevive]]=1, "SOBREVIVE", "NO SOBREVIVE")</f>
        <v>NO SOBREVIVE</v>
      </c>
      <c r="N609" s="8" t="str">
        <f>LOOKUP(Titanic[[#This Row],[Clase]],{1,2,3}, {"PRIMERA","SEGUNDA","TERCERA"})</f>
        <v>TERCERA</v>
      </c>
      <c r="O609" s="8" t="str">
        <f>IF(Titanic[[#This Row],[Sexo]]="Hombre", "HOMBRE", "MUJER")</f>
        <v>HOMBRE</v>
      </c>
      <c r="P609" s="8">
        <f>IF(Titanic[[#This Row],[Edad]]="", "", IF(Titanic[[#This Row],[Edad]]&gt;=100, Titanic[[#This Row],[Edad]] / 10, Titanic[[#This Row],[Edad]]))</f>
        <v>44</v>
      </c>
      <c r="Q609" s="8" t="str">
        <f>IFERROR(LOOKUP(Titanic[[#This Row],[Edad Corrigida]],'Práctica 1'!$K$231:$K$240,'Práctica 1'!$L$231:$L$240), "DESCONOCIDO")</f>
        <v>8. ADULTO 3</v>
      </c>
      <c r="R609" s="8">
        <f>Titanic[[#This Row],[Familia Horizontal]]+Titanic[[#This Row],[Familia Vertical]]</f>
        <v>0</v>
      </c>
      <c r="S609" s="8"/>
      <c r="T609" s="8"/>
      <c r="U609" s="8"/>
      <c r="V609" s="8"/>
    </row>
    <row r="610" spans="2:22" x14ac:dyDescent="0.2">
      <c r="B610" s="6">
        <v>605</v>
      </c>
      <c r="C610" s="7">
        <v>1</v>
      </c>
      <c r="D610" s="8">
        <v>1</v>
      </c>
      <c r="E610" s="8" t="s">
        <v>619</v>
      </c>
      <c r="F610" s="8" t="s">
        <v>11</v>
      </c>
      <c r="G610" s="8">
        <v>35</v>
      </c>
      <c r="H610" s="8">
        <v>0</v>
      </c>
      <c r="I610" s="8">
        <v>0</v>
      </c>
      <c r="J610" s="8">
        <v>2655</v>
      </c>
      <c r="K610" s="8">
        <v>0</v>
      </c>
      <c r="L610" s="8" t="s">
        <v>15</v>
      </c>
      <c r="M610" s="8" t="str">
        <f>IF(Titanic[[#This Row],[Sobrevive]]=1, "SOBREVIVE", "NO SOBREVIVE")</f>
        <v>SOBREVIVE</v>
      </c>
      <c r="N610" s="8" t="str">
        <f>LOOKUP(Titanic[[#This Row],[Clase]],{1,2,3}, {"PRIMERA","SEGUNDA","TERCERA"})</f>
        <v>PRIMERA</v>
      </c>
      <c r="O610" s="8" t="str">
        <f>IF(Titanic[[#This Row],[Sexo]]="Hombre", "HOMBRE", "MUJER")</f>
        <v>HOMBRE</v>
      </c>
      <c r="P610" s="8">
        <f>IF(Titanic[[#This Row],[Edad]]="", "", IF(Titanic[[#This Row],[Edad]]&gt;=100, Titanic[[#This Row],[Edad]] / 10, Titanic[[#This Row],[Edad]]))</f>
        <v>35</v>
      </c>
      <c r="Q610" s="8" t="str">
        <f>IFERROR(LOOKUP(Titanic[[#This Row],[Edad Corrigida]],'Práctica 1'!$K$231:$K$240,'Práctica 1'!$L$231:$L$240), "DESCONOCIDO")</f>
        <v>6. ADULTO 1</v>
      </c>
      <c r="R610" s="8">
        <f>Titanic[[#This Row],[Familia Horizontal]]+Titanic[[#This Row],[Familia Vertical]]</f>
        <v>0</v>
      </c>
      <c r="S610" s="8"/>
      <c r="T610" s="8"/>
      <c r="U610" s="8"/>
      <c r="V610" s="8"/>
    </row>
    <row r="611" spans="2:22" x14ac:dyDescent="0.2">
      <c r="B611" s="6">
        <v>606</v>
      </c>
      <c r="C611" s="7">
        <v>0</v>
      </c>
      <c r="D611" s="8">
        <v>3</v>
      </c>
      <c r="E611" s="8" t="s">
        <v>620</v>
      </c>
      <c r="F611" s="8" t="s">
        <v>11</v>
      </c>
      <c r="G611" s="8">
        <v>36</v>
      </c>
      <c r="H611" s="8">
        <v>1</v>
      </c>
      <c r="I611" s="8">
        <v>0</v>
      </c>
      <c r="J611" s="8">
        <v>1555</v>
      </c>
      <c r="K611" s="8">
        <v>0</v>
      </c>
      <c r="L611" s="8" t="s">
        <v>12</v>
      </c>
      <c r="M611" s="8" t="str">
        <f>IF(Titanic[[#This Row],[Sobrevive]]=1, "SOBREVIVE", "NO SOBREVIVE")</f>
        <v>NO SOBREVIVE</v>
      </c>
      <c r="N611" s="8" t="str">
        <f>LOOKUP(Titanic[[#This Row],[Clase]],{1,2,3}, {"PRIMERA","SEGUNDA","TERCERA"})</f>
        <v>TERCERA</v>
      </c>
      <c r="O611" s="8" t="str">
        <f>IF(Titanic[[#This Row],[Sexo]]="Hombre", "HOMBRE", "MUJER")</f>
        <v>HOMBRE</v>
      </c>
      <c r="P611" s="8">
        <f>IF(Titanic[[#This Row],[Edad]]="", "", IF(Titanic[[#This Row],[Edad]]&gt;=100, Titanic[[#This Row],[Edad]] / 10, Titanic[[#This Row],[Edad]]))</f>
        <v>36</v>
      </c>
      <c r="Q611" s="8" t="str">
        <f>IFERROR(LOOKUP(Titanic[[#This Row],[Edad Corrigida]],'Práctica 1'!$K$231:$K$240,'Práctica 1'!$L$231:$L$240), "DESCONOCIDO")</f>
        <v>7. ADULTO 2</v>
      </c>
      <c r="R611" s="8">
        <f>Titanic[[#This Row],[Familia Horizontal]]+Titanic[[#This Row],[Familia Vertical]]</f>
        <v>1</v>
      </c>
      <c r="S611" s="8"/>
      <c r="T611" s="8"/>
      <c r="U611" s="8"/>
      <c r="V611" s="8"/>
    </row>
    <row r="612" spans="2:22" x14ac:dyDescent="0.2">
      <c r="B612" s="6">
        <v>607</v>
      </c>
      <c r="C612" s="7">
        <v>0</v>
      </c>
      <c r="D612" s="8">
        <v>3</v>
      </c>
      <c r="E612" s="8" t="s">
        <v>621</v>
      </c>
      <c r="F612" s="8" t="s">
        <v>11</v>
      </c>
      <c r="G612" s="8">
        <v>30</v>
      </c>
      <c r="H612" s="8">
        <v>0</v>
      </c>
      <c r="I612" s="8">
        <v>0</v>
      </c>
      <c r="J612" s="8">
        <v>78958</v>
      </c>
      <c r="K612" s="8">
        <v>0</v>
      </c>
      <c r="L612" s="8" t="s">
        <v>12</v>
      </c>
      <c r="M612" s="8" t="str">
        <f>IF(Titanic[[#This Row],[Sobrevive]]=1, "SOBREVIVE", "NO SOBREVIVE")</f>
        <v>NO SOBREVIVE</v>
      </c>
      <c r="N612" s="8" t="str">
        <f>LOOKUP(Titanic[[#This Row],[Clase]],{1,2,3}, {"PRIMERA","SEGUNDA","TERCERA"})</f>
        <v>TERCERA</v>
      </c>
      <c r="O612" s="8" t="str">
        <f>IF(Titanic[[#This Row],[Sexo]]="Hombre", "HOMBRE", "MUJER")</f>
        <v>HOMBRE</v>
      </c>
      <c r="P612" s="8">
        <f>IF(Titanic[[#This Row],[Edad]]="", "", IF(Titanic[[#This Row],[Edad]]&gt;=100, Titanic[[#This Row],[Edad]] / 10, Titanic[[#This Row],[Edad]]))</f>
        <v>30</v>
      </c>
      <c r="Q612" s="8" t="str">
        <f>IFERROR(LOOKUP(Titanic[[#This Row],[Edad Corrigida]],'Práctica 1'!$K$231:$K$240,'Práctica 1'!$L$231:$L$240), "DESCONOCIDO")</f>
        <v>5. ADULTO</v>
      </c>
      <c r="R612" s="8">
        <f>Titanic[[#This Row],[Familia Horizontal]]+Titanic[[#This Row],[Familia Vertical]]</f>
        <v>0</v>
      </c>
      <c r="S612" s="8"/>
      <c r="T612" s="8"/>
      <c r="U612" s="8"/>
      <c r="V612" s="8"/>
    </row>
    <row r="613" spans="2:22" x14ac:dyDescent="0.2">
      <c r="B613" s="6">
        <v>608</v>
      </c>
      <c r="C613" s="7">
        <v>1</v>
      </c>
      <c r="D613" s="8">
        <v>1</v>
      </c>
      <c r="E613" s="8" t="s">
        <v>622</v>
      </c>
      <c r="F613" s="8" t="s">
        <v>11</v>
      </c>
      <c r="G613" s="8">
        <v>27</v>
      </c>
      <c r="H613" s="8">
        <v>0</v>
      </c>
      <c r="I613" s="8">
        <v>0</v>
      </c>
      <c r="J613" s="8">
        <v>305</v>
      </c>
      <c r="K613" s="8">
        <v>0</v>
      </c>
      <c r="L613" s="8" t="s">
        <v>12</v>
      </c>
      <c r="M613" s="8" t="str">
        <f>IF(Titanic[[#This Row],[Sobrevive]]=1, "SOBREVIVE", "NO SOBREVIVE")</f>
        <v>SOBREVIVE</v>
      </c>
      <c r="N613" s="8" t="str">
        <f>LOOKUP(Titanic[[#This Row],[Clase]],{1,2,3}, {"PRIMERA","SEGUNDA","TERCERA"})</f>
        <v>PRIMERA</v>
      </c>
      <c r="O613" s="8" t="str">
        <f>IF(Titanic[[#This Row],[Sexo]]="Hombre", "HOMBRE", "MUJER")</f>
        <v>HOMBRE</v>
      </c>
      <c r="P613" s="8">
        <f>IF(Titanic[[#This Row],[Edad]]="", "", IF(Titanic[[#This Row],[Edad]]&gt;=100, Titanic[[#This Row],[Edad]] / 10, Titanic[[#This Row],[Edad]]))</f>
        <v>27</v>
      </c>
      <c r="Q613" s="8" t="str">
        <f>IFERROR(LOOKUP(Titanic[[#This Row],[Edad Corrigida]],'Práctica 1'!$K$231:$K$240,'Práctica 1'!$L$231:$L$240), "DESCONOCIDO")</f>
        <v>4. ADULTO JOVEN</v>
      </c>
      <c r="R613" s="8">
        <f>Titanic[[#This Row],[Familia Horizontal]]+Titanic[[#This Row],[Familia Vertical]]</f>
        <v>0</v>
      </c>
      <c r="S613" s="8"/>
      <c r="T613" s="8"/>
      <c r="U613" s="8"/>
      <c r="V613" s="8"/>
    </row>
    <row r="614" spans="2:22" x14ac:dyDescent="0.2">
      <c r="B614" s="6">
        <v>609</v>
      </c>
      <c r="C614" s="7">
        <v>1</v>
      </c>
      <c r="D614" s="8">
        <v>2</v>
      </c>
      <c r="E614" s="8" t="s">
        <v>623</v>
      </c>
      <c r="F614" s="8" t="s">
        <v>14</v>
      </c>
      <c r="G614" s="8">
        <v>22</v>
      </c>
      <c r="H614" s="8">
        <v>1</v>
      </c>
      <c r="I614" s="8">
        <v>2</v>
      </c>
      <c r="J614" s="8">
        <v>415792</v>
      </c>
      <c r="K614" s="8">
        <v>0</v>
      </c>
      <c r="L614" s="8" t="s">
        <v>15</v>
      </c>
      <c r="M614" s="8" t="str">
        <f>IF(Titanic[[#This Row],[Sobrevive]]=1, "SOBREVIVE", "NO SOBREVIVE")</f>
        <v>SOBREVIVE</v>
      </c>
      <c r="N614" s="8" t="str">
        <f>LOOKUP(Titanic[[#This Row],[Clase]],{1,2,3}, {"PRIMERA","SEGUNDA","TERCERA"})</f>
        <v>SEGUNDA</v>
      </c>
      <c r="O614" s="8" t="str">
        <f>IF(Titanic[[#This Row],[Sexo]]="Hombre", "HOMBRE", "MUJER")</f>
        <v>MUJER</v>
      </c>
      <c r="P614" s="8">
        <f>IF(Titanic[[#This Row],[Edad]]="", "", IF(Titanic[[#This Row],[Edad]]&gt;=100, Titanic[[#This Row],[Edad]] / 10, Titanic[[#This Row],[Edad]]))</f>
        <v>22</v>
      </c>
      <c r="Q614" s="8" t="str">
        <f>IFERROR(LOOKUP(Titanic[[#This Row],[Edad Corrigida]],'Práctica 1'!$K$231:$K$240,'Práctica 1'!$L$231:$L$240), "DESCONOCIDO")</f>
        <v>3. JOVEN</v>
      </c>
      <c r="R614" s="8">
        <f>Titanic[[#This Row],[Familia Horizontal]]+Titanic[[#This Row],[Familia Vertical]]</f>
        <v>3</v>
      </c>
      <c r="S614" s="8"/>
      <c r="T614" s="8"/>
      <c r="U614" s="8"/>
      <c r="V614" s="8"/>
    </row>
    <row r="615" spans="2:22" x14ac:dyDescent="0.2">
      <c r="B615" s="6">
        <v>610</v>
      </c>
      <c r="C615" s="7">
        <v>1</v>
      </c>
      <c r="D615" s="8">
        <v>1</v>
      </c>
      <c r="E615" s="8" t="s">
        <v>624</v>
      </c>
      <c r="F615" s="8" t="s">
        <v>14</v>
      </c>
      <c r="G615" s="8">
        <v>40</v>
      </c>
      <c r="H615" s="8">
        <v>0</v>
      </c>
      <c r="I615" s="8">
        <v>0</v>
      </c>
      <c r="J615" s="8">
        <v>1534625</v>
      </c>
      <c r="K615" s="8">
        <v>1</v>
      </c>
      <c r="L615" s="8" t="s">
        <v>12</v>
      </c>
      <c r="M615" s="8" t="str">
        <f>IF(Titanic[[#This Row],[Sobrevive]]=1, "SOBREVIVE", "NO SOBREVIVE")</f>
        <v>SOBREVIVE</v>
      </c>
      <c r="N615" s="8" t="str">
        <f>LOOKUP(Titanic[[#This Row],[Clase]],{1,2,3}, {"PRIMERA","SEGUNDA","TERCERA"})</f>
        <v>PRIMERA</v>
      </c>
      <c r="O615" s="8" t="str">
        <f>IF(Titanic[[#This Row],[Sexo]]="Hombre", "HOMBRE", "MUJER")</f>
        <v>MUJER</v>
      </c>
      <c r="P615" s="8">
        <f>IF(Titanic[[#This Row],[Edad]]="", "", IF(Titanic[[#This Row],[Edad]]&gt;=100, Titanic[[#This Row],[Edad]] / 10, Titanic[[#This Row],[Edad]]))</f>
        <v>40</v>
      </c>
      <c r="Q615" s="8" t="str">
        <f>IFERROR(LOOKUP(Titanic[[#This Row],[Edad Corrigida]],'Práctica 1'!$K$231:$K$240,'Práctica 1'!$L$231:$L$240), "DESCONOCIDO")</f>
        <v>7. ADULTO 2</v>
      </c>
      <c r="R615" s="8">
        <f>Titanic[[#This Row],[Familia Horizontal]]+Titanic[[#This Row],[Familia Vertical]]</f>
        <v>0</v>
      </c>
      <c r="S615" s="8"/>
      <c r="T615" s="8"/>
      <c r="U615" s="8"/>
      <c r="V615" s="8"/>
    </row>
    <row r="616" spans="2:22" x14ac:dyDescent="0.2">
      <c r="B616" s="6">
        <v>611</v>
      </c>
      <c r="C616" s="7">
        <v>0</v>
      </c>
      <c r="D616" s="8">
        <v>3</v>
      </c>
      <c r="E616" s="8" t="s">
        <v>625</v>
      </c>
      <c r="F616" s="8" t="s">
        <v>14</v>
      </c>
      <c r="G616" s="8">
        <v>39</v>
      </c>
      <c r="H616" s="8">
        <v>1</v>
      </c>
      <c r="I616" s="8">
        <v>5</v>
      </c>
      <c r="J616" s="8">
        <v>31275</v>
      </c>
      <c r="K616" s="8">
        <v>0</v>
      </c>
      <c r="L616" s="8" t="s">
        <v>12</v>
      </c>
      <c r="M616" s="8" t="str">
        <f>IF(Titanic[[#This Row],[Sobrevive]]=1, "SOBREVIVE", "NO SOBREVIVE")</f>
        <v>NO SOBREVIVE</v>
      </c>
      <c r="N616" s="8" t="str">
        <f>LOOKUP(Titanic[[#This Row],[Clase]],{1,2,3}, {"PRIMERA","SEGUNDA","TERCERA"})</f>
        <v>TERCERA</v>
      </c>
      <c r="O616" s="8" t="str">
        <f>IF(Titanic[[#This Row],[Sexo]]="Hombre", "HOMBRE", "MUJER")</f>
        <v>MUJER</v>
      </c>
      <c r="P616" s="8">
        <f>IF(Titanic[[#This Row],[Edad]]="", "", IF(Titanic[[#This Row],[Edad]]&gt;=100, Titanic[[#This Row],[Edad]] / 10, Titanic[[#This Row],[Edad]]))</f>
        <v>39</v>
      </c>
      <c r="Q616" s="8" t="str">
        <f>IFERROR(LOOKUP(Titanic[[#This Row],[Edad Corrigida]],'Práctica 1'!$K$231:$K$240,'Práctica 1'!$L$231:$L$240), "DESCONOCIDO")</f>
        <v>7. ADULTO 2</v>
      </c>
      <c r="R616" s="8">
        <f>Titanic[[#This Row],[Familia Horizontal]]+Titanic[[#This Row],[Familia Vertical]]</f>
        <v>6</v>
      </c>
      <c r="S616" s="8"/>
      <c r="T616" s="8"/>
      <c r="U616" s="8"/>
      <c r="V616" s="8"/>
    </row>
    <row r="617" spans="2:22" x14ac:dyDescent="0.2">
      <c r="B617" s="6">
        <v>612</v>
      </c>
      <c r="C617" s="7">
        <v>0</v>
      </c>
      <c r="D617" s="8">
        <v>3</v>
      </c>
      <c r="E617" s="8" t="s">
        <v>626</v>
      </c>
      <c r="F617" s="8" t="s">
        <v>11</v>
      </c>
      <c r="G617" s="9"/>
      <c r="H617" s="8">
        <v>0</v>
      </c>
      <c r="I617" s="8">
        <v>0</v>
      </c>
      <c r="J617" s="8">
        <v>705</v>
      </c>
      <c r="K617" s="8">
        <v>0</v>
      </c>
      <c r="L617" s="8" t="s">
        <v>12</v>
      </c>
      <c r="M617" s="8" t="str">
        <f>IF(Titanic[[#This Row],[Sobrevive]]=1, "SOBREVIVE", "NO SOBREVIVE")</f>
        <v>NO SOBREVIVE</v>
      </c>
      <c r="N617" s="8" t="str">
        <f>LOOKUP(Titanic[[#This Row],[Clase]],{1,2,3}, {"PRIMERA","SEGUNDA","TERCERA"})</f>
        <v>TERCERA</v>
      </c>
      <c r="O617" s="8" t="str">
        <f>IF(Titanic[[#This Row],[Sexo]]="Hombre", "HOMBRE", "MUJER")</f>
        <v>HOMBRE</v>
      </c>
      <c r="P617" s="8" t="str">
        <f>IF(Titanic[[#This Row],[Edad]]="", "", IF(Titanic[[#This Row],[Edad]]&gt;=100, Titanic[[#This Row],[Edad]] / 10, Titanic[[#This Row],[Edad]]))</f>
        <v/>
      </c>
      <c r="Q617" s="8" t="str">
        <f>IFERROR(LOOKUP(Titanic[[#This Row],[Edad Corrigida]],'Práctica 1'!$K$231:$K$240,'Práctica 1'!$L$231:$L$240), "DESCONOCIDO")</f>
        <v>DESCONOCIDO</v>
      </c>
      <c r="R617" s="8">
        <f>Titanic[[#This Row],[Familia Horizontal]]+Titanic[[#This Row],[Familia Vertical]]</f>
        <v>0</v>
      </c>
      <c r="S617" s="8"/>
      <c r="T617" s="8"/>
      <c r="U617" s="8"/>
      <c r="V617" s="8"/>
    </row>
    <row r="618" spans="2:22" x14ac:dyDescent="0.2">
      <c r="B618" s="6">
        <v>613</v>
      </c>
      <c r="C618" s="7">
        <v>1</v>
      </c>
      <c r="D618" s="8">
        <v>3</v>
      </c>
      <c r="E618" s="8" t="s">
        <v>627</v>
      </c>
      <c r="F618" s="8" t="s">
        <v>14</v>
      </c>
      <c r="G618" s="9"/>
      <c r="H618" s="8">
        <v>1</v>
      </c>
      <c r="I618" s="8">
        <v>0</v>
      </c>
      <c r="J618" s="8">
        <v>155</v>
      </c>
      <c r="K618" s="8">
        <v>0</v>
      </c>
      <c r="L618" s="8" t="s">
        <v>20</v>
      </c>
      <c r="M618" s="8" t="str">
        <f>IF(Titanic[[#This Row],[Sobrevive]]=1, "SOBREVIVE", "NO SOBREVIVE")</f>
        <v>SOBREVIVE</v>
      </c>
      <c r="N618" s="8" t="str">
        <f>LOOKUP(Titanic[[#This Row],[Clase]],{1,2,3}, {"PRIMERA","SEGUNDA","TERCERA"})</f>
        <v>TERCERA</v>
      </c>
      <c r="O618" s="8" t="str">
        <f>IF(Titanic[[#This Row],[Sexo]]="Hombre", "HOMBRE", "MUJER")</f>
        <v>MUJER</v>
      </c>
      <c r="P618" s="8" t="str">
        <f>IF(Titanic[[#This Row],[Edad]]="", "", IF(Titanic[[#This Row],[Edad]]&gt;=100, Titanic[[#This Row],[Edad]] / 10, Titanic[[#This Row],[Edad]]))</f>
        <v/>
      </c>
      <c r="Q618" s="8" t="str">
        <f>IFERROR(LOOKUP(Titanic[[#This Row],[Edad Corrigida]],'Práctica 1'!$K$231:$K$240,'Práctica 1'!$L$231:$L$240), "DESCONOCIDO")</f>
        <v>DESCONOCIDO</v>
      </c>
      <c r="R618" s="8">
        <f>Titanic[[#This Row],[Familia Horizontal]]+Titanic[[#This Row],[Familia Vertical]]</f>
        <v>1</v>
      </c>
      <c r="S618" s="8"/>
      <c r="T618" s="8"/>
      <c r="U618" s="8"/>
      <c r="V618" s="8"/>
    </row>
    <row r="619" spans="2:22" x14ac:dyDescent="0.2">
      <c r="B619" s="6">
        <v>614</v>
      </c>
      <c r="C619" s="7">
        <v>0</v>
      </c>
      <c r="D619" s="8">
        <v>3</v>
      </c>
      <c r="E619" s="8" t="s">
        <v>628</v>
      </c>
      <c r="F619" s="8" t="s">
        <v>11</v>
      </c>
      <c r="G619" s="9"/>
      <c r="H619" s="8">
        <v>0</v>
      </c>
      <c r="I619" s="8">
        <v>0</v>
      </c>
      <c r="J619" s="8">
        <v>775</v>
      </c>
      <c r="K619" s="8">
        <v>0</v>
      </c>
      <c r="L619" s="8" t="s">
        <v>20</v>
      </c>
      <c r="M619" s="8" t="str">
        <f>IF(Titanic[[#This Row],[Sobrevive]]=1, "SOBREVIVE", "NO SOBREVIVE")</f>
        <v>NO SOBREVIVE</v>
      </c>
      <c r="N619" s="8" t="str">
        <f>LOOKUP(Titanic[[#This Row],[Clase]],{1,2,3}, {"PRIMERA","SEGUNDA","TERCERA"})</f>
        <v>TERCERA</v>
      </c>
      <c r="O619" s="8" t="str">
        <f>IF(Titanic[[#This Row],[Sexo]]="Hombre", "HOMBRE", "MUJER")</f>
        <v>HOMBRE</v>
      </c>
      <c r="P619" s="8" t="str">
        <f>IF(Titanic[[#This Row],[Edad]]="", "", IF(Titanic[[#This Row],[Edad]]&gt;=100, Titanic[[#This Row],[Edad]] / 10, Titanic[[#This Row],[Edad]]))</f>
        <v/>
      </c>
      <c r="Q619" s="8" t="str">
        <f>IFERROR(LOOKUP(Titanic[[#This Row],[Edad Corrigida]],'Práctica 1'!$K$231:$K$240,'Práctica 1'!$L$231:$L$240), "DESCONOCIDO")</f>
        <v>DESCONOCIDO</v>
      </c>
      <c r="R619" s="8">
        <f>Titanic[[#This Row],[Familia Horizontal]]+Titanic[[#This Row],[Familia Vertical]]</f>
        <v>0</v>
      </c>
      <c r="S619" s="8"/>
      <c r="T619" s="8"/>
      <c r="U619" s="8"/>
      <c r="V619" s="8"/>
    </row>
    <row r="620" spans="2:22" x14ac:dyDescent="0.2">
      <c r="B620" s="6">
        <v>615</v>
      </c>
      <c r="C620" s="7">
        <v>0</v>
      </c>
      <c r="D620" s="8">
        <v>3</v>
      </c>
      <c r="E620" s="8" t="s">
        <v>629</v>
      </c>
      <c r="F620" s="8" t="s">
        <v>11</v>
      </c>
      <c r="G620" s="8">
        <v>35</v>
      </c>
      <c r="H620" s="8">
        <v>0</v>
      </c>
      <c r="I620" s="8">
        <v>0</v>
      </c>
      <c r="J620" s="8">
        <v>805</v>
      </c>
      <c r="K620" s="8">
        <v>0</v>
      </c>
      <c r="L620" s="8" t="s">
        <v>12</v>
      </c>
      <c r="M620" s="8" t="str">
        <f>IF(Titanic[[#This Row],[Sobrevive]]=1, "SOBREVIVE", "NO SOBREVIVE")</f>
        <v>NO SOBREVIVE</v>
      </c>
      <c r="N620" s="8" t="str">
        <f>LOOKUP(Titanic[[#This Row],[Clase]],{1,2,3}, {"PRIMERA","SEGUNDA","TERCERA"})</f>
        <v>TERCERA</v>
      </c>
      <c r="O620" s="8" t="str">
        <f>IF(Titanic[[#This Row],[Sexo]]="Hombre", "HOMBRE", "MUJER")</f>
        <v>HOMBRE</v>
      </c>
      <c r="P620" s="8">
        <f>IF(Titanic[[#This Row],[Edad]]="", "", IF(Titanic[[#This Row],[Edad]]&gt;=100, Titanic[[#This Row],[Edad]] / 10, Titanic[[#This Row],[Edad]]))</f>
        <v>35</v>
      </c>
      <c r="Q620" s="8" t="str">
        <f>IFERROR(LOOKUP(Titanic[[#This Row],[Edad Corrigida]],'Práctica 1'!$K$231:$K$240,'Práctica 1'!$L$231:$L$240), "DESCONOCIDO")</f>
        <v>6. ADULTO 1</v>
      </c>
      <c r="R620" s="8">
        <f>Titanic[[#This Row],[Familia Horizontal]]+Titanic[[#This Row],[Familia Vertical]]</f>
        <v>0</v>
      </c>
      <c r="S620" s="8"/>
      <c r="T620" s="8"/>
      <c r="U620" s="8"/>
      <c r="V620" s="8"/>
    </row>
    <row r="621" spans="2:22" x14ac:dyDescent="0.2">
      <c r="B621" s="6">
        <v>616</v>
      </c>
      <c r="C621" s="7">
        <v>1</v>
      </c>
      <c r="D621" s="8">
        <v>2</v>
      </c>
      <c r="E621" s="8" t="s">
        <v>630</v>
      </c>
      <c r="F621" s="8" t="s">
        <v>14</v>
      </c>
      <c r="G621" s="8">
        <v>24</v>
      </c>
      <c r="H621" s="8">
        <v>1</v>
      </c>
      <c r="I621" s="8">
        <v>2</v>
      </c>
      <c r="J621" s="8">
        <v>65</v>
      </c>
      <c r="K621" s="8">
        <v>0</v>
      </c>
      <c r="L621" s="8" t="s">
        <v>12</v>
      </c>
      <c r="M621" s="8" t="str">
        <f>IF(Titanic[[#This Row],[Sobrevive]]=1, "SOBREVIVE", "NO SOBREVIVE")</f>
        <v>SOBREVIVE</v>
      </c>
      <c r="N621" s="8" t="str">
        <f>LOOKUP(Titanic[[#This Row],[Clase]],{1,2,3}, {"PRIMERA","SEGUNDA","TERCERA"})</f>
        <v>SEGUNDA</v>
      </c>
      <c r="O621" s="8" t="str">
        <f>IF(Titanic[[#This Row],[Sexo]]="Hombre", "HOMBRE", "MUJER")</f>
        <v>MUJER</v>
      </c>
      <c r="P621" s="8">
        <f>IF(Titanic[[#This Row],[Edad]]="", "", IF(Titanic[[#This Row],[Edad]]&gt;=100, Titanic[[#This Row],[Edad]] / 10, Titanic[[#This Row],[Edad]]))</f>
        <v>24</v>
      </c>
      <c r="Q621" s="8" t="str">
        <f>IFERROR(LOOKUP(Titanic[[#This Row],[Edad Corrigida]],'Práctica 1'!$K$231:$K$240,'Práctica 1'!$L$231:$L$240), "DESCONOCIDO")</f>
        <v>3. JOVEN</v>
      </c>
      <c r="R621" s="8">
        <f>Titanic[[#This Row],[Familia Horizontal]]+Titanic[[#This Row],[Familia Vertical]]</f>
        <v>3</v>
      </c>
      <c r="S621" s="8"/>
      <c r="T621" s="8"/>
      <c r="U621" s="8"/>
      <c r="V621" s="8"/>
    </row>
    <row r="622" spans="2:22" x14ac:dyDescent="0.2">
      <c r="B622" s="6">
        <v>617</v>
      </c>
      <c r="C622" s="7">
        <v>0</v>
      </c>
      <c r="D622" s="8">
        <v>3</v>
      </c>
      <c r="E622" s="8" t="s">
        <v>631</v>
      </c>
      <c r="F622" s="8" t="s">
        <v>11</v>
      </c>
      <c r="G622" s="8">
        <v>34</v>
      </c>
      <c r="H622" s="8">
        <v>1</v>
      </c>
      <c r="I622" s="8">
        <v>1</v>
      </c>
      <c r="J622" s="8">
        <v>144</v>
      </c>
      <c r="K622" s="8">
        <v>0</v>
      </c>
      <c r="L622" s="8" t="s">
        <v>12</v>
      </c>
      <c r="M622" s="8" t="str">
        <f>IF(Titanic[[#This Row],[Sobrevive]]=1, "SOBREVIVE", "NO SOBREVIVE")</f>
        <v>NO SOBREVIVE</v>
      </c>
      <c r="N622" s="8" t="str">
        <f>LOOKUP(Titanic[[#This Row],[Clase]],{1,2,3}, {"PRIMERA","SEGUNDA","TERCERA"})</f>
        <v>TERCERA</v>
      </c>
      <c r="O622" s="8" t="str">
        <f>IF(Titanic[[#This Row],[Sexo]]="Hombre", "HOMBRE", "MUJER")</f>
        <v>HOMBRE</v>
      </c>
      <c r="P622" s="8">
        <f>IF(Titanic[[#This Row],[Edad]]="", "", IF(Titanic[[#This Row],[Edad]]&gt;=100, Titanic[[#This Row],[Edad]] / 10, Titanic[[#This Row],[Edad]]))</f>
        <v>34</v>
      </c>
      <c r="Q622" s="8" t="str">
        <f>IFERROR(LOOKUP(Titanic[[#This Row],[Edad Corrigida]],'Práctica 1'!$K$231:$K$240,'Práctica 1'!$L$231:$L$240), "DESCONOCIDO")</f>
        <v>6. ADULTO 1</v>
      </c>
      <c r="R622" s="8">
        <f>Titanic[[#This Row],[Familia Horizontal]]+Titanic[[#This Row],[Familia Vertical]]</f>
        <v>2</v>
      </c>
      <c r="S622" s="8"/>
      <c r="T622" s="8"/>
      <c r="U622" s="8"/>
      <c r="V622" s="8"/>
    </row>
    <row r="623" spans="2:22" x14ac:dyDescent="0.2">
      <c r="B623" s="6">
        <v>618</v>
      </c>
      <c r="C623" s="7">
        <v>0</v>
      </c>
      <c r="D623" s="8">
        <v>3</v>
      </c>
      <c r="E623" s="8" t="s">
        <v>632</v>
      </c>
      <c r="F623" s="8" t="s">
        <v>14</v>
      </c>
      <c r="G623" s="8">
        <v>26</v>
      </c>
      <c r="H623" s="8">
        <v>1</v>
      </c>
      <c r="I623" s="8">
        <v>0</v>
      </c>
      <c r="J623" s="8">
        <v>161</v>
      </c>
      <c r="K623" s="8">
        <v>0</v>
      </c>
      <c r="L623" s="8" t="s">
        <v>12</v>
      </c>
      <c r="M623" s="8" t="str">
        <f>IF(Titanic[[#This Row],[Sobrevive]]=1, "SOBREVIVE", "NO SOBREVIVE")</f>
        <v>NO SOBREVIVE</v>
      </c>
      <c r="N623" s="8" t="str">
        <f>LOOKUP(Titanic[[#This Row],[Clase]],{1,2,3}, {"PRIMERA","SEGUNDA","TERCERA"})</f>
        <v>TERCERA</v>
      </c>
      <c r="O623" s="8" t="str">
        <f>IF(Titanic[[#This Row],[Sexo]]="Hombre", "HOMBRE", "MUJER")</f>
        <v>MUJER</v>
      </c>
      <c r="P623" s="8">
        <f>IF(Titanic[[#This Row],[Edad]]="", "", IF(Titanic[[#This Row],[Edad]]&gt;=100, Titanic[[#This Row],[Edad]] / 10, Titanic[[#This Row],[Edad]]))</f>
        <v>26</v>
      </c>
      <c r="Q623" s="8" t="str">
        <f>IFERROR(LOOKUP(Titanic[[#This Row],[Edad Corrigida]],'Práctica 1'!$K$231:$K$240,'Práctica 1'!$L$231:$L$240), "DESCONOCIDO")</f>
        <v>4. ADULTO JOVEN</v>
      </c>
      <c r="R623" s="8">
        <f>Titanic[[#This Row],[Familia Horizontal]]+Titanic[[#This Row],[Familia Vertical]]</f>
        <v>1</v>
      </c>
      <c r="S623" s="8"/>
      <c r="T623" s="8"/>
      <c r="U623" s="8"/>
      <c r="V623" s="8"/>
    </row>
    <row r="624" spans="2:22" x14ac:dyDescent="0.2">
      <c r="B624" s="6">
        <v>619</v>
      </c>
      <c r="C624" s="7">
        <v>1</v>
      </c>
      <c r="D624" s="8">
        <v>2</v>
      </c>
      <c r="E624" s="8" t="s">
        <v>633</v>
      </c>
      <c r="F624" s="8" t="s">
        <v>14</v>
      </c>
      <c r="G624" s="8">
        <v>4</v>
      </c>
      <c r="H624" s="8">
        <v>2</v>
      </c>
      <c r="I624" s="8">
        <v>1</v>
      </c>
      <c r="J624" s="8">
        <v>39</v>
      </c>
      <c r="K624" s="8">
        <v>1</v>
      </c>
      <c r="L624" s="8" t="s">
        <v>12</v>
      </c>
      <c r="M624" s="8" t="str">
        <f>IF(Titanic[[#This Row],[Sobrevive]]=1, "SOBREVIVE", "NO SOBREVIVE")</f>
        <v>SOBREVIVE</v>
      </c>
      <c r="N624" s="8" t="str">
        <f>LOOKUP(Titanic[[#This Row],[Clase]],{1,2,3}, {"PRIMERA","SEGUNDA","TERCERA"})</f>
        <v>SEGUNDA</v>
      </c>
      <c r="O624" s="8" t="str">
        <f>IF(Titanic[[#This Row],[Sexo]]="Hombre", "HOMBRE", "MUJER")</f>
        <v>MUJER</v>
      </c>
      <c r="P624" s="8">
        <f>IF(Titanic[[#This Row],[Edad]]="", "", IF(Titanic[[#This Row],[Edad]]&gt;=100, Titanic[[#This Row],[Edad]] / 10, Titanic[[#This Row],[Edad]]))</f>
        <v>4</v>
      </c>
      <c r="Q624" s="8" t="str">
        <f>IFERROR(LOOKUP(Titanic[[#This Row],[Edad Corrigida]],'Práctica 1'!$K$231:$K$240,'Práctica 1'!$L$231:$L$240), "DESCONOCIDO")</f>
        <v>DESCONOCIDO</v>
      </c>
      <c r="R624" s="8">
        <f>Titanic[[#This Row],[Familia Horizontal]]+Titanic[[#This Row],[Familia Vertical]]</f>
        <v>3</v>
      </c>
      <c r="S624" s="8"/>
      <c r="T624" s="8"/>
      <c r="U624" s="8"/>
      <c r="V624" s="8"/>
    </row>
    <row r="625" spans="2:22" x14ac:dyDescent="0.2">
      <c r="B625" s="6">
        <v>620</v>
      </c>
      <c r="C625" s="7">
        <v>0</v>
      </c>
      <c r="D625" s="8">
        <v>2</v>
      </c>
      <c r="E625" s="8" t="s">
        <v>634</v>
      </c>
      <c r="F625" s="8" t="s">
        <v>11</v>
      </c>
      <c r="G625" s="8">
        <v>26</v>
      </c>
      <c r="H625" s="8">
        <v>0</v>
      </c>
      <c r="I625" s="8">
        <v>0</v>
      </c>
      <c r="J625" s="8">
        <v>105</v>
      </c>
      <c r="K625" s="8">
        <v>0</v>
      </c>
      <c r="L625" s="8" t="s">
        <v>12</v>
      </c>
      <c r="M625" s="8" t="str">
        <f>IF(Titanic[[#This Row],[Sobrevive]]=1, "SOBREVIVE", "NO SOBREVIVE")</f>
        <v>NO SOBREVIVE</v>
      </c>
      <c r="N625" s="8" t="str">
        <f>LOOKUP(Titanic[[#This Row],[Clase]],{1,2,3}, {"PRIMERA","SEGUNDA","TERCERA"})</f>
        <v>SEGUNDA</v>
      </c>
      <c r="O625" s="8" t="str">
        <f>IF(Titanic[[#This Row],[Sexo]]="Hombre", "HOMBRE", "MUJER")</f>
        <v>HOMBRE</v>
      </c>
      <c r="P625" s="8">
        <f>IF(Titanic[[#This Row],[Edad]]="", "", IF(Titanic[[#This Row],[Edad]]&gt;=100, Titanic[[#This Row],[Edad]] / 10, Titanic[[#This Row],[Edad]]))</f>
        <v>26</v>
      </c>
      <c r="Q625" s="8" t="str">
        <f>IFERROR(LOOKUP(Titanic[[#This Row],[Edad Corrigida]],'Práctica 1'!$K$231:$K$240,'Práctica 1'!$L$231:$L$240), "DESCONOCIDO")</f>
        <v>4. ADULTO JOVEN</v>
      </c>
      <c r="R625" s="8">
        <f>Titanic[[#This Row],[Familia Horizontal]]+Titanic[[#This Row],[Familia Vertical]]</f>
        <v>0</v>
      </c>
      <c r="S625" s="8"/>
      <c r="T625" s="8"/>
      <c r="U625" s="8"/>
      <c r="V625" s="8"/>
    </row>
    <row r="626" spans="2:22" x14ac:dyDescent="0.2">
      <c r="B626" s="6">
        <v>621</v>
      </c>
      <c r="C626" s="7">
        <v>0</v>
      </c>
      <c r="D626" s="8">
        <v>3</v>
      </c>
      <c r="E626" s="8" t="s">
        <v>635</v>
      </c>
      <c r="F626" s="8" t="s">
        <v>11</v>
      </c>
      <c r="G626" s="8">
        <v>27</v>
      </c>
      <c r="H626" s="8">
        <v>1</v>
      </c>
      <c r="I626" s="8">
        <v>0</v>
      </c>
      <c r="J626" s="8">
        <v>144542</v>
      </c>
      <c r="K626" s="8">
        <v>0</v>
      </c>
      <c r="L626" s="8" t="s">
        <v>15</v>
      </c>
      <c r="M626" s="8" t="str">
        <f>IF(Titanic[[#This Row],[Sobrevive]]=1, "SOBREVIVE", "NO SOBREVIVE")</f>
        <v>NO SOBREVIVE</v>
      </c>
      <c r="N626" s="8" t="str">
        <f>LOOKUP(Titanic[[#This Row],[Clase]],{1,2,3}, {"PRIMERA","SEGUNDA","TERCERA"})</f>
        <v>TERCERA</v>
      </c>
      <c r="O626" s="8" t="str">
        <f>IF(Titanic[[#This Row],[Sexo]]="Hombre", "HOMBRE", "MUJER")</f>
        <v>HOMBRE</v>
      </c>
      <c r="P626" s="8">
        <f>IF(Titanic[[#This Row],[Edad]]="", "", IF(Titanic[[#This Row],[Edad]]&gt;=100, Titanic[[#This Row],[Edad]] / 10, Titanic[[#This Row],[Edad]]))</f>
        <v>27</v>
      </c>
      <c r="Q626" s="8" t="str">
        <f>IFERROR(LOOKUP(Titanic[[#This Row],[Edad Corrigida]],'Práctica 1'!$K$231:$K$240,'Práctica 1'!$L$231:$L$240), "DESCONOCIDO")</f>
        <v>4. ADULTO JOVEN</v>
      </c>
      <c r="R626" s="8">
        <f>Titanic[[#This Row],[Familia Horizontal]]+Titanic[[#This Row],[Familia Vertical]]</f>
        <v>1</v>
      </c>
      <c r="S626" s="8"/>
      <c r="T626" s="8"/>
      <c r="U626" s="8"/>
      <c r="V626" s="8"/>
    </row>
    <row r="627" spans="2:22" x14ac:dyDescent="0.2">
      <c r="B627" s="6">
        <v>622</v>
      </c>
      <c r="C627" s="7">
        <v>1</v>
      </c>
      <c r="D627" s="8">
        <v>1</v>
      </c>
      <c r="E627" s="8" t="s">
        <v>636</v>
      </c>
      <c r="F627" s="8" t="s">
        <v>11</v>
      </c>
      <c r="G627" s="8">
        <v>42</v>
      </c>
      <c r="H627" s="8">
        <v>1</v>
      </c>
      <c r="I627" s="8">
        <v>0</v>
      </c>
      <c r="J627" s="8">
        <v>525542</v>
      </c>
      <c r="K627" s="8">
        <v>1</v>
      </c>
      <c r="L627" s="8" t="s">
        <v>12</v>
      </c>
      <c r="M627" s="8" t="str">
        <f>IF(Titanic[[#This Row],[Sobrevive]]=1, "SOBREVIVE", "NO SOBREVIVE")</f>
        <v>SOBREVIVE</v>
      </c>
      <c r="N627" s="8" t="str">
        <f>LOOKUP(Titanic[[#This Row],[Clase]],{1,2,3}, {"PRIMERA","SEGUNDA","TERCERA"})</f>
        <v>PRIMERA</v>
      </c>
      <c r="O627" s="8" t="str">
        <f>IF(Titanic[[#This Row],[Sexo]]="Hombre", "HOMBRE", "MUJER")</f>
        <v>HOMBRE</v>
      </c>
      <c r="P627" s="8">
        <f>IF(Titanic[[#This Row],[Edad]]="", "", IF(Titanic[[#This Row],[Edad]]&gt;=100, Titanic[[#This Row],[Edad]] / 10, Titanic[[#This Row],[Edad]]))</f>
        <v>42</v>
      </c>
      <c r="Q627" s="8" t="str">
        <f>IFERROR(LOOKUP(Titanic[[#This Row],[Edad Corrigida]],'Práctica 1'!$K$231:$K$240,'Práctica 1'!$L$231:$L$240), "DESCONOCIDO")</f>
        <v>8. ADULTO 3</v>
      </c>
      <c r="R627" s="8">
        <f>Titanic[[#This Row],[Familia Horizontal]]+Titanic[[#This Row],[Familia Vertical]]</f>
        <v>1</v>
      </c>
      <c r="S627" s="8"/>
      <c r="T627" s="8"/>
      <c r="U627" s="8"/>
      <c r="V627" s="8"/>
    </row>
    <row r="628" spans="2:22" x14ac:dyDescent="0.2">
      <c r="B628" s="6">
        <v>623</v>
      </c>
      <c r="C628" s="7">
        <v>1</v>
      </c>
      <c r="D628" s="8">
        <v>3</v>
      </c>
      <c r="E628" s="8" t="s">
        <v>637</v>
      </c>
      <c r="F628" s="8" t="s">
        <v>11</v>
      </c>
      <c r="G628" s="8">
        <v>20</v>
      </c>
      <c r="H628" s="8">
        <v>1</v>
      </c>
      <c r="I628" s="8">
        <v>1</v>
      </c>
      <c r="J628" s="8">
        <v>157417</v>
      </c>
      <c r="K628" s="8">
        <v>0</v>
      </c>
      <c r="L628" s="8" t="s">
        <v>15</v>
      </c>
      <c r="M628" s="8" t="str">
        <f>IF(Titanic[[#This Row],[Sobrevive]]=1, "SOBREVIVE", "NO SOBREVIVE")</f>
        <v>SOBREVIVE</v>
      </c>
      <c r="N628" s="8" t="str">
        <f>LOOKUP(Titanic[[#This Row],[Clase]],{1,2,3}, {"PRIMERA","SEGUNDA","TERCERA"})</f>
        <v>TERCERA</v>
      </c>
      <c r="O628" s="8" t="str">
        <f>IF(Titanic[[#This Row],[Sexo]]="Hombre", "HOMBRE", "MUJER")</f>
        <v>HOMBRE</v>
      </c>
      <c r="P628" s="8">
        <f>IF(Titanic[[#This Row],[Edad]]="", "", IF(Titanic[[#This Row],[Edad]]&gt;=100, Titanic[[#This Row],[Edad]] / 10, Titanic[[#This Row],[Edad]]))</f>
        <v>20</v>
      </c>
      <c r="Q628" s="8" t="str">
        <f>IFERROR(LOOKUP(Titanic[[#This Row],[Edad Corrigida]],'Práctica 1'!$K$231:$K$240,'Práctica 1'!$L$231:$L$240), "DESCONOCIDO")</f>
        <v>2. ADOLESCENTE</v>
      </c>
      <c r="R628" s="8">
        <f>Titanic[[#This Row],[Familia Horizontal]]+Titanic[[#This Row],[Familia Vertical]]</f>
        <v>2</v>
      </c>
      <c r="S628" s="8"/>
      <c r="T628" s="8"/>
      <c r="U628" s="8"/>
      <c r="V628" s="8"/>
    </row>
    <row r="629" spans="2:22" x14ac:dyDescent="0.2">
      <c r="B629" s="6">
        <v>624</v>
      </c>
      <c r="C629" s="7">
        <v>0</v>
      </c>
      <c r="D629" s="8">
        <v>3</v>
      </c>
      <c r="E629" s="8" t="s">
        <v>638</v>
      </c>
      <c r="F629" s="8" t="s">
        <v>11</v>
      </c>
      <c r="G629" s="8">
        <v>21</v>
      </c>
      <c r="H629" s="8">
        <v>0</v>
      </c>
      <c r="I629" s="8">
        <v>0</v>
      </c>
      <c r="J629" s="8">
        <v>78542</v>
      </c>
      <c r="K629" s="8">
        <v>0</v>
      </c>
      <c r="L629" s="8" t="s">
        <v>12</v>
      </c>
      <c r="M629" s="8" t="str">
        <f>IF(Titanic[[#This Row],[Sobrevive]]=1, "SOBREVIVE", "NO SOBREVIVE")</f>
        <v>NO SOBREVIVE</v>
      </c>
      <c r="N629" s="8" t="str">
        <f>LOOKUP(Titanic[[#This Row],[Clase]],{1,2,3}, {"PRIMERA","SEGUNDA","TERCERA"})</f>
        <v>TERCERA</v>
      </c>
      <c r="O629" s="8" t="str">
        <f>IF(Titanic[[#This Row],[Sexo]]="Hombre", "HOMBRE", "MUJER")</f>
        <v>HOMBRE</v>
      </c>
      <c r="P629" s="8">
        <f>IF(Titanic[[#This Row],[Edad]]="", "", IF(Titanic[[#This Row],[Edad]]&gt;=100, Titanic[[#This Row],[Edad]] / 10, Titanic[[#This Row],[Edad]]))</f>
        <v>21</v>
      </c>
      <c r="Q629" s="8" t="str">
        <f>IFERROR(LOOKUP(Titanic[[#This Row],[Edad Corrigida]],'Práctica 1'!$K$231:$K$240,'Práctica 1'!$L$231:$L$240), "DESCONOCIDO")</f>
        <v>2. ADOLESCENTE</v>
      </c>
      <c r="R629" s="8">
        <f>Titanic[[#This Row],[Familia Horizontal]]+Titanic[[#This Row],[Familia Vertical]]</f>
        <v>0</v>
      </c>
      <c r="S629" s="8"/>
      <c r="T629" s="8"/>
      <c r="U629" s="8"/>
      <c r="V629" s="8"/>
    </row>
    <row r="630" spans="2:22" x14ac:dyDescent="0.2">
      <c r="B630" s="6">
        <v>625</v>
      </c>
      <c r="C630" s="7">
        <v>0</v>
      </c>
      <c r="D630" s="8">
        <v>3</v>
      </c>
      <c r="E630" s="8" t="s">
        <v>639</v>
      </c>
      <c r="F630" s="8" t="s">
        <v>11</v>
      </c>
      <c r="G630" s="8">
        <v>21</v>
      </c>
      <c r="H630" s="8">
        <v>0</v>
      </c>
      <c r="I630" s="8">
        <v>0</v>
      </c>
      <c r="J630" s="8">
        <v>161</v>
      </c>
      <c r="K630" s="8">
        <v>0</v>
      </c>
      <c r="L630" s="8" t="s">
        <v>12</v>
      </c>
      <c r="M630" s="8" t="str">
        <f>IF(Titanic[[#This Row],[Sobrevive]]=1, "SOBREVIVE", "NO SOBREVIVE")</f>
        <v>NO SOBREVIVE</v>
      </c>
      <c r="N630" s="8" t="str">
        <f>LOOKUP(Titanic[[#This Row],[Clase]],{1,2,3}, {"PRIMERA","SEGUNDA","TERCERA"})</f>
        <v>TERCERA</v>
      </c>
      <c r="O630" s="8" t="str">
        <f>IF(Titanic[[#This Row],[Sexo]]="Hombre", "HOMBRE", "MUJER")</f>
        <v>HOMBRE</v>
      </c>
      <c r="P630" s="8">
        <f>IF(Titanic[[#This Row],[Edad]]="", "", IF(Titanic[[#This Row],[Edad]]&gt;=100, Titanic[[#This Row],[Edad]] / 10, Titanic[[#This Row],[Edad]]))</f>
        <v>21</v>
      </c>
      <c r="Q630" s="8" t="str">
        <f>IFERROR(LOOKUP(Titanic[[#This Row],[Edad Corrigida]],'Práctica 1'!$K$231:$K$240,'Práctica 1'!$L$231:$L$240), "DESCONOCIDO")</f>
        <v>2. ADOLESCENTE</v>
      </c>
      <c r="R630" s="8">
        <f>Titanic[[#This Row],[Familia Horizontal]]+Titanic[[#This Row],[Familia Vertical]]</f>
        <v>0</v>
      </c>
      <c r="S630" s="8"/>
      <c r="T630" s="8"/>
      <c r="U630" s="8"/>
      <c r="V630" s="8"/>
    </row>
    <row r="631" spans="2:22" x14ac:dyDescent="0.2">
      <c r="B631" s="6">
        <v>626</v>
      </c>
      <c r="C631" s="7">
        <v>0</v>
      </c>
      <c r="D631" s="8">
        <v>1</v>
      </c>
      <c r="E631" s="8" t="s">
        <v>640</v>
      </c>
      <c r="F631" s="8" t="s">
        <v>11</v>
      </c>
      <c r="G631" s="8">
        <v>61</v>
      </c>
      <c r="H631" s="8">
        <v>0</v>
      </c>
      <c r="I631" s="8">
        <v>0</v>
      </c>
      <c r="J631" s="8">
        <v>323208</v>
      </c>
      <c r="K631" s="8">
        <v>1</v>
      </c>
      <c r="L631" s="8" t="s">
        <v>12</v>
      </c>
      <c r="M631" s="8" t="str">
        <f>IF(Titanic[[#This Row],[Sobrevive]]=1, "SOBREVIVE", "NO SOBREVIVE")</f>
        <v>NO SOBREVIVE</v>
      </c>
      <c r="N631" s="8" t="str">
        <f>LOOKUP(Titanic[[#This Row],[Clase]],{1,2,3}, {"PRIMERA","SEGUNDA","TERCERA"})</f>
        <v>PRIMERA</v>
      </c>
      <c r="O631" s="8" t="str">
        <f>IF(Titanic[[#This Row],[Sexo]]="Hombre", "HOMBRE", "MUJER")</f>
        <v>HOMBRE</v>
      </c>
      <c r="P631" s="8">
        <f>IF(Titanic[[#This Row],[Edad]]="", "", IF(Titanic[[#This Row],[Edad]]&gt;=100, Titanic[[#This Row],[Edad]] / 10, Titanic[[#This Row],[Edad]]))</f>
        <v>61</v>
      </c>
      <c r="Q631" s="8" t="str">
        <f>IFERROR(LOOKUP(Titanic[[#This Row],[Edad Corrigida]],'Práctica 1'!$K$231:$K$240,'Práctica 1'!$L$231:$L$240), "DESCONOCIDO")</f>
        <v>9. ADULTO 4</v>
      </c>
      <c r="R631" s="8">
        <f>Titanic[[#This Row],[Familia Horizontal]]+Titanic[[#This Row],[Familia Vertical]]</f>
        <v>0</v>
      </c>
      <c r="S631" s="8"/>
      <c r="T631" s="8"/>
      <c r="U631" s="8"/>
      <c r="V631" s="8"/>
    </row>
    <row r="632" spans="2:22" x14ac:dyDescent="0.2">
      <c r="B632" s="6">
        <v>627</v>
      </c>
      <c r="C632" s="7">
        <v>0</v>
      </c>
      <c r="D632" s="8">
        <v>2</v>
      </c>
      <c r="E632" s="8" t="s">
        <v>641</v>
      </c>
      <c r="F632" s="8" t="s">
        <v>11</v>
      </c>
      <c r="G632" s="8">
        <v>57</v>
      </c>
      <c r="H632" s="8">
        <v>0</v>
      </c>
      <c r="I632" s="8">
        <v>0</v>
      </c>
      <c r="J632" s="8">
        <v>1235</v>
      </c>
      <c r="K632" s="8">
        <v>0</v>
      </c>
      <c r="L632" s="8" t="s">
        <v>20</v>
      </c>
      <c r="M632" s="8" t="str">
        <f>IF(Titanic[[#This Row],[Sobrevive]]=1, "SOBREVIVE", "NO SOBREVIVE")</f>
        <v>NO SOBREVIVE</v>
      </c>
      <c r="N632" s="8" t="str">
        <f>LOOKUP(Titanic[[#This Row],[Clase]],{1,2,3}, {"PRIMERA","SEGUNDA","TERCERA"})</f>
        <v>SEGUNDA</v>
      </c>
      <c r="O632" s="8" t="str">
        <f>IF(Titanic[[#This Row],[Sexo]]="Hombre", "HOMBRE", "MUJER")</f>
        <v>HOMBRE</v>
      </c>
      <c r="P632" s="8">
        <f>IF(Titanic[[#This Row],[Edad]]="", "", IF(Titanic[[#This Row],[Edad]]&gt;=100, Titanic[[#This Row],[Edad]] / 10, Titanic[[#This Row],[Edad]]))</f>
        <v>57</v>
      </c>
      <c r="Q632" s="8" t="str">
        <f>IFERROR(LOOKUP(Titanic[[#This Row],[Edad Corrigida]],'Práctica 1'!$K$231:$K$240,'Práctica 1'!$L$231:$L$240), "DESCONOCIDO")</f>
        <v>9. ADULTO 4</v>
      </c>
      <c r="R632" s="8">
        <f>Titanic[[#This Row],[Familia Horizontal]]+Titanic[[#This Row],[Familia Vertical]]</f>
        <v>0</v>
      </c>
      <c r="S632" s="8"/>
      <c r="T632" s="8"/>
      <c r="U632" s="8"/>
      <c r="V632" s="8"/>
    </row>
    <row r="633" spans="2:22" x14ac:dyDescent="0.2">
      <c r="B633" s="6">
        <v>628</v>
      </c>
      <c r="C633" s="7">
        <v>1</v>
      </c>
      <c r="D633" s="8">
        <v>1</v>
      </c>
      <c r="E633" s="8" t="s">
        <v>642</v>
      </c>
      <c r="F633" s="8" t="s">
        <v>14</v>
      </c>
      <c r="G633" s="8">
        <v>21</v>
      </c>
      <c r="H633" s="8">
        <v>0</v>
      </c>
      <c r="I633" s="8">
        <v>0</v>
      </c>
      <c r="J633" s="8">
        <v>779583</v>
      </c>
      <c r="K633" s="8">
        <v>1</v>
      </c>
      <c r="L633" s="8" t="s">
        <v>12</v>
      </c>
      <c r="M633" s="8" t="str">
        <f>IF(Titanic[[#This Row],[Sobrevive]]=1, "SOBREVIVE", "NO SOBREVIVE")</f>
        <v>SOBREVIVE</v>
      </c>
      <c r="N633" s="8" t="str">
        <f>LOOKUP(Titanic[[#This Row],[Clase]],{1,2,3}, {"PRIMERA","SEGUNDA","TERCERA"})</f>
        <v>PRIMERA</v>
      </c>
      <c r="O633" s="8" t="str">
        <f>IF(Titanic[[#This Row],[Sexo]]="Hombre", "HOMBRE", "MUJER")</f>
        <v>MUJER</v>
      </c>
      <c r="P633" s="8">
        <f>IF(Titanic[[#This Row],[Edad]]="", "", IF(Titanic[[#This Row],[Edad]]&gt;=100, Titanic[[#This Row],[Edad]] / 10, Titanic[[#This Row],[Edad]]))</f>
        <v>21</v>
      </c>
      <c r="Q633" s="8" t="str">
        <f>IFERROR(LOOKUP(Titanic[[#This Row],[Edad Corrigida]],'Práctica 1'!$K$231:$K$240,'Práctica 1'!$L$231:$L$240), "DESCONOCIDO")</f>
        <v>2. ADOLESCENTE</v>
      </c>
      <c r="R633" s="8">
        <f>Titanic[[#This Row],[Familia Horizontal]]+Titanic[[#This Row],[Familia Vertical]]</f>
        <v>0</v>
      </c>
      <c r="S633" s="8"/>
      <c r="T633" s="8"/>
      <c r="U633" s="8"/>
      <c r="V633" s="8"/>
    </row>
    <row r="634" spans="2:22" x14ac:dyDescent="0.2">
      <c r="B634" s="6">
        <v>629</v>
      </c>
      <c r="C634" s="7">
        <v>0</v>
      </c>
      <c r="D634" s="8">
        <v>3</v>
      </c>
      <c r="E634" s="8" t="s">
        <v>643</v>
      </c>
      <c r="F634" s="8" t="s">
        <v>11</v>
      </c>
      <c r="G634" s="8">
        <v>26</v>
      </c>
      <c r="H634" s="8">
        <v>0</v>
      </c>
      <c r="I634" s="8">
        <v>0</v>
      </c>
      <c r="J634" s="8">
        <v>78958</v>
      </c>
      <c r="K634" s="8">
        <v>0</v>
      </c>
      <c r="L634" s="8" t="s">
        <v>12</v>
      </c>
      <c r="M634" s="8" t="str">
        <f>IF(Titanic[[#This Row],[Sobrevive]]=1, "SOBREVIVE", "NO SOBREVIVE")</f>
        <v>NO SOBREVIVE</v>
      </c>
      <c r="N634" s="8" t="str">
        <f>LOOKUP(Titanic[[#This Row],[Clase]],{1,2,3}, {"PRIMERA","SEGUNDA","TERCERA"})</f>
        <v>TERCERA</v>
      </c>
      <c r="O634" s="8" t="str">
        <f>IF(Titanic[[#This Row],[Sexo]]="Hombre", "HOMBRE", "MUJER")</f>
        <v>HOMBRE</v>
      </c>
      <c r="P634" s="8">
        <f>IF(Titanic[[#This Row],[Edad]]="", "", IF(Titanic[[#This Row],[Edad]]&gt;=100, Titanic[[#This Row],[Edad]] / 10, Titanic[[#This Row],[Edad]]))</f>
        <v>26</v>
      </c>
      <c r="Q634" s="8" t="str">
        <f>IFERROR(LOOKUP(Titanic[[#This Row],[Edad Corrigida]],'Práctica 1'!$K$231:$K$240,'Práctica 1'!$L$231:$L$240), "DESCONOCIDO")</f>
        <v>4. ADULTO JOVEN</v>
      </c>
      <c r="R634" s="8">
        <f>Titanic[[#This Row],[Familia Horizontal]]+Titanic[[#This Row],[Familia Vertical]]</f>
        <v>0</v>
      </c>
      <c r="S634" s="8"/>
      <c r="T634" s="8"/>
      <c r="U634" s="8"/>
      <c r="V634" s="8"/>
    </row>
    <row r="635" spans="2:22" x14ac:dyDescent="0.2">
      <c r="B635" s="6">
        <v>630</v>
      </c>
      <c r="C635" s="7">
        <v>0</v>
      </c>
      <c r="D635" s="8">
        <v>3</v>
      </c>
      <c r="E635" s="8" t="s">
        <v>644</v>
      </c>
      <c r="F635" s="8" t="s">
        <v>11</v>
      </c>
      <c r="G635" s="9"/>
      <c r="H635" s="8">
        <v>0</v>
      </c>
      <c r="I635" s="8">
        <v>0</v>
      </c>
      <c r="J635" s="8">
        <v>77333</v>
      </c>
      <c r="K635" s="8">
        <v>0</v>
      </c>
      <c r="L635" s="8" t="s">
        <v>20</v>
      </c>
      <c r="M635" s="8" t="str">
        <f>IF(Titanic[[#This Row],[Sobrevive]]=1, "SOBREVIVE", "NO SOBREVIVE")</f>
        <v>NO SOBREVIVE</v>
      </c>
      <c r="N635" s="8" t="str">
        <f>LOOKUP(Titanic[[#This Row],[Clase]],{1,2,3}, {"PRIMERA","SEGUNDA","TERCERA"})</f>
        <v>TERCERA</v>
      </c>
      <c r="O635" s="8" t="str">
        <f>IF(Titanic[[#This Row],[Sexo]]="Hombre", "HOMBRE", "MUJER")</f>
        <v>HOMBRE</v>
      </c>
      <c r="P635" s="8" t="str">
        <f>IF(Titanic[[#This Row],[Edad]]="", "", IF(Titanic[[#This Row],[Edad]]&gt;=100, Titanic[[#This Row],[Edad]] / 10, Titanic[[#This Row],[Edad]]))</f>
        <v/>
      </c>
      <c r="Q635" s="8" t="str">
        <f>IFERROR(LOOKUP(Titanic[[#This Row],[Edad Corrigida]],'Práctica 1'!$K$231:$K$240,'Práctica 1'!$L$231:$L$240), "DESCONOCIDO")</f>
        <v>DESCONOCIDO</v>
      </c>
      <c r="R635" s="8">
        <f>Titanic[[#This Row],[Familia Horizontal]]+Titanic[[#This Row],[Familia Vertical]]</f>
        <v>0</v>
      </c>
      <c r="S635" s="8"/>
      <c r="T635" s="8"/>
      <c r="U635" s="8"/>
      <c r="V635" s="8"/>
    </row>
    <row r="636" spans="2:22" x14ac:dyDescent="0.2">
      <c r="B636" s="6">
        <v>631</v>
      </c>
      <c r="C636" s="7">
        <v>1</v>
      </c>
      <c r="D636" s="8">
        <v>1</v>
      </c>
      <c r="E636" s="8" t="s">
        <v>645</v>
      </c>
      <c r="F636" s="8" t="s">
        <v>11</v>
      </c>
      <c r="G636" s="8">
        <v>80</v>
      </c>
      <c r="H636" s="8">
        <v>0</v>
      </c>
      <c r="I636" s="8">
        <v>0</v>
      </c>
      <c r="J636" s="8">
        <v>30</v>
      </c>
      <c r="K636" s="8">
        <v>1</v>
      </c>
      <c r="L636" s="8" t="s">
        <v>12</v>
      </c>
      <c r="M636" s="8" t="str">
        <f>IF(Titanic[[#This Row],[Sobrevive]]=1, "SOBREVIVE", "NO SOBREVIVE")</f>
        <v>SOBREVIVE</v>
      </c>
      <c r="N636" s="8" t="str">
        <f>LOOKUP(Titanic[[#This Row],[Clase]],{1,2,3}, {"PRIMERA","SEGUNDA","TERCERA"})</f>
        <v>PRIMERA</v>
      </c>
      <c r="O636" s="8" t="str">
        <f>IF(Titanic[[#This Row],[Sexo]]="Hombre", "HOMBRE", "MUJER")</f>
        <v>HOMBRE</v>
      </c>
      <c r="P636" s="8">
        <f>IF(Titanic[[#This Row],[Edad]]="", "", IF(Titanic[[#This Row],[Edad]]&gt;=100, Titanic[[#This Row],[Edad]] / 10, Titanic[[#This Row],[Edad]]))</f>
        <v>80</v>
      </c>
      <c r="Q636" s="8" t="str">
        <f>IFERROR(LOOKUP(Titanic[[#This Row],[Edad Corrigida]],'Práctica 1'!$K$231:$K$240,'Práctica 1'!$L$231:$L$240), "DESCONOCIDO")</f>
        <v>9. ADULTO 4</v>
      </c>
      <c r="R636" s="8">
        <f>Titanic[[#This Row],[Familia Horizontal]]+Titanic[[#This Row],[Familia Vertical]]</f>
        <v>0</v>
      </c>
      <c r="S636" s="8"/>
      <c r="T636" s="8"/>
      <c r="U636" s="8"/>
      <c r="V636" s="8"/>
    </row>
    <row r="637" spans="2:22" x14ac:dyDescent="0.2">
      <c r="B637" s="6">
        <v>632</v>
      </c>
      <c r="C637" s="7">
        <v>0</v>
      </c>
      <c r="D637" s="8">
        <v>3</v>
      </c>
      <c r="E637" s="8" t="s">
        <v>646</v>
      </c>
      <c r="F637" s="8" t="s">
        <v>11</v>
      </c>
      <c r="G637" s="8">
        <v>51</v>
      </c>
      <c r="H637" s="8">
        <v>0</v>
      </c>
      <c r="I637" s="8">
        <v>0</v>
      </c>
      <c r="J637" s="8">
        <v>70542</v>
      </c>
      <c r="K637" s="8">
        <v>0</v>
      </c>
      <c r="L637" s="8" t="s">
        <v>12</v>
      </c>
      <c r="M637" s="8" t="str">
        <f>IF(Titanic[[#This Row],[Sobrevive]]=1, "SOBREVIVE", "NO SOBREVIVE")</f>
        <v>NO SOBREVIVE</v>
      </c>
      <c r="N637" s="8" t="str">
        <f>LOOKUP(Titanic[[#This Row],[Clase]],{1,2,3}, {"PRIMERA","SEGUNDA","TERCERA"})</f>
        <v>TERCERA</v>
      </c>
      <c r="O637" s="8" t="str">
        <f>IF(Titanic[[#This Row],[Sexo]]="Hombre", "HOMBRE", "MUJER")</f>
        <v>HOMBRE</v>
      </c>
      <c r="P637" s="8">
        <f>IF(Titanic[[#This Row],[Edad]]="", "", IF(Titanic[[#This Row],[Edad]]&gt;=100, Titanic[[#This Row],[Edad]] / 10, Titanic[[#This Row],[Edad]]))</f>
        <v>51</v>
      </c>
      <c r="Q637" s="8" t="str">
        <f>IFERROR(LOOKUP(Titanic[[#This Row],[Edad Corrigida]],'Práctica 1'!$K$231:$K$240,'Práctica 1'!$L$231:$L$240), "DESCONOCIDO")</f>
        <v>9. ADULTO 4</v>
      </c>
      <c r="R637" s="8">
        <f>Titanic[[#This Row],[Familia Horizontal]]+Titanic[[#This Row],[Familia Vertical]]</f>
        <v>0</v>
      </c>
      <c r="S637" s="8"/>
      <c r="T637" s="8"/>
      <c r="U637" s="8"/>
      <c r="V637" s="8"/>
    </row>
    <row r="638" spans="2:22" x14ac:dyDescent="0.2">
      <c r="B638" s="6">
        <v>633</v>
      </c>
      <c r="C638" s="7">
        <v>1</v>
      </c>
      <c r="D638" s="8">
        <v>1</v>
      </c>
      <c r="E638" s="8" t="s">
        <v>647</v>
      </c>
      <c r="F638" s="8" t="s">
        <v>11</v>
      </c>
      <c r="G638" s="8">
        <v>32</v>
      </c>
      <c r="H638" s="8">
        <v>0</v>
      </c>
      <c r="I638" s="8">
        <v>0</v>
      </c>
      <c r="J638" s="8">
        <v>305</v>
      </c>
      <c r="K638" s="8">
        <v>1</v>
      </c>
      <c r="L638" s="8" t="s">
        <v>15</v>
      </c>
      <c r="M638" s="8" t="str">
        <f>IF(Titanic[[#This Row],[Sobrevive]]=1, "SOBREVIVE", "NO SOBREVIVE")</f>
        <v>SOBREVIVE</v>
      </c>
      <c r="N638" s="8" t="str">
        <f>LOOKUP(Titanic[[#This Row],[Clase]],{1,2,3}, {"PRIMERA","SEGUNDA","TERCERA"})</f>
        <v>PRIMERA</v>
      </c>
      <c r="O638" s="8" t="str">
        <f>IF(Titanic[[#This Row],[Sexo]]="Hombre", "HOMBRE", "MUJER")</f>
        <v>HOMBRE</v>
      </c>
      <c r="P638" s="8">
        <f>IF(Titanic[[#This Row],[Edad]]="", "", IF(Titanic[[#This Row],[Edad]]&gt;=100, Titanic[[#This Row],[Edad]] / 10, Titanic[[#This Row],[Edad]]))</f>
        <v>32</v>
      </c>
      <c r="Q638" s="8" t="str">
        <f>IFERROR(LOOKUP(Titanic[[#This Row],[Edad Corrigida]],'Práctica 1'!$K$231:$K$240,'Práctica 1'!$L$231:$L$240), "DESCONOCIDO")</f>
        <v>6. ADULTO 1</v>
      </c>
      <c r="R638" s="8">
        <f>Titanic[[#This Row],[Familia Horizontal]]+Titanic[[#This Row],[Familia Vertical]]</f>
        <v>0</v>
      </c>
      <c r="S638" s="8"/>
      <c r="T638" s="8"/>
      <c r="U638" s="8"/>
      <c r="V638" s="8"/>
    </row>
    <row r="639" spans="2:22" x14ac:dyDescent="0.2">
      <c r="B639" s="6">
        <v>634</v>
      </c>
      <c r="C639" s="7">
        <v>0</v>
      </c>
      <c r="D639" s="8">
        <v>1</v>
      </c>
      <c r="E639" s="8" t="s">
        <v>648</v>
      </c>
      <c r="F639" s="8" t="s">
        <v>11</v>
      </c>
      <c r="G639" s="9"/>
      <c r="H639" s="8">
        <v>0</v>
      </c>
      <c r="I639" s="8">
        <v>0</v>
      </c>
      <c r="J639" s="8">
        <v>0</v>
      </c>
      <c r="K639" s="8">
        <v>0</v>
      </c>
      <c r="L639" s="8" t="s">
        <v>12</v>
      </c>
      <c r="M639" s="8" t="str">
        <f>IF(Titanic[[#This Row],[Sobrevive]]=1, "SOBREVIVE", "NO SOBREVIVE")</f>
        <v>NO SOBREVIVE</v>
      </c>
      <c r="N639" s="8" t="str">
        <f>LOOKUP(Titanic[[#This Row],[Clase]],{1,2,3}, {"PRIMERA","SEGUNDA","TERCERA"})</f>
        <v>PRIMERA</v>
      </c>
      <c r="O639" s="8" t="str">
        <f>IF(Titanic[[#This Row],[Sexo]]="Hombre", "HOMBRE", "MUJER")</f>
        <v>HOMBRE</v>
      </c>
      <c r="P639" s="8" t="str">
        <f>IF(Titanic[[#This Row],[Edad]]="", "", IF(Titanic[[#This Row],[Edad]]&gt;=100, Titanic[[#This Row],[Edad]] / 10, Titanic[[#This Row],[Edad]]))</f>
        <v/>
      </c>
      <c r="Q639" s="8" t="str">
        <f>IFERROR(LOOKUP(Titanic[[#This Row],[Edad Corrigida]],'Práctica 1'!$K$231:$K$240,'Práctica 1'!$L$231:$L$240), "DESCONOCIDO")</f>
        <v>DESCONOCIDO</v>
      </c>
      <c r="R639" s="8">
        <f>Titanic[[#This Row],[Familia Horizontal]]+Titanic[[#This Row],[Familia Vertical]]</f>
        <v>0</v>
      </c>
      <c r="S639" s="8"/>
      <c r="T639" s="8"/>
      <c r="U639" s="8"/>
      <c r="V639" s="8"/>
    </row>
    <row r="640" spans="2:22" x14ac:dyDescent="0.2">
      <c r="B640" s="6">
        <v>635</v>
      </c>
      <c r="C640" s="7">
        <v>0</v>
      </c>
      <c r="D640" s="8">
        <v>3</v>
      </c>
      <c r="E640" s="8" t="s">
        <v>649</v>
      </c>
      <c r="F640" s="8" t="s">
        <v>14</v>
      </c>
      <c r="G640" s="8">
        <v>9</v>
      </c>
      <c r="H640" s="8">
        <v>3</v>
      </c>
      <c r="I640" s="8">
        <v>2</v>
      </c>
      <c r="J640" s="8">
        <v>279</v>
      </c>
      <c r="K640" s="8">
        <v>0</v>
      </c>
      <c r="L640" s="8" t="s">
        <v>12</v>
      </c>
      <c r="M640" s="8" t="str">
        <f>IF(Titanic[[#This Row],[Sobrevive]]=1, "SOBREVIVE", "NO SOBREVIVE")</f>
        <v>NO SOBREVIVE</v>
      </c>
      <c r="N640" s="8" t="str">
        <f>LOOKUP(Titanic[[#This Row],[Clase]],{1,2,3}, {"PRIMERA","SEGUNDA","TERCERA"})</f>
        <v>TERCERA</v>
      </c>
      <c r="O640" s="8" t="str">
        <f>IF(Titanic[[#This Row],[Sexo]]="Hombre", "HOMBRE", "MUJER")</f>
        <v>MUJER</v>
      </c>
      <c r="P640" s="8">
        <f>IF(Titanic[[#This Row],[Edad]]="", "", IF(Titanic[[#This Row],[Edad]]&gt;=100, Titanic[[#This Row],[Edad]] / 10, Titanic[[#This Row],[Edad]]))</f>
        <v>9</v>
      </c>
      <c r="Q640" s="8" t="str">
        <f>IFERROR(LOOKUP(Titanic[[#This Row],[Edad Corrigida]],'Práctica 1'!$K$231:$K$240,'Práctica 1'!$L$231:$L$240), "DESCONOCIDO")</f>
        <v>DESCONOCIDO</v>
      </c>
      <c r="R640" s="8">
        <f>Titanic[[#This Row],[Familia Horizontal]]+Titanic[[#This Row],[Familia Vertical]]</f>
        <v>5</v>
      </c>
      <c r="S640" s="8"/>
      <c r="T640" s="8"/>
      <c r="U640" s="8"/>
      <c r="V640" s="8"/>
    </row>
    <row r="641" spans="2:22" x14ac:dyDescent="0.2">
      <c r="B641" s="6">
        <v>636</v>
      </c>
      <c r="C641" s="7">
        <v>1</v>
      </c>
      <c r="D641" s="8">
        <v>2</v>
      </c>
      <c r="E641" s="8" t="s">
        <v>650</v>
      </c>
      <c r="F641" s="8" t="s">
        <v>14</v>
      </c>
      <c r="G641" s="8">
        <v>28</v>
      </c>
      <c r="H641" s="8">
        <v>0</v>
      </c>
      <c r="I641" s="8">
        <v>0</v>
      </c>
      <c r="J641" s="8">
        <v>13</v>
      </c>
      <c r="K641" s="8">
        <v>0</v>
      </c>
      <c r="L641" s="8" t="s">
        <v>12</v>
      </c>
      <c r="M641" s="8" t="str">
        <f>IF(Titanic[[#This Row],[Sobrevive]]=1, "SOBREVIVE", "NO SOBREVIVE")</f>
        <v>SOBREVIVE</v>
      </c>
      <c r="N641" s="8" t="str">
        <f>LOOKUP(Titanic[[#This Row],[Clase]],{1,2,3}, {"PRIMERA","SEGUNDA","TERCERA"})</f>
        <v>SEGUNDA</v>
      </c>
      <c r="O641" s="8" t="str">
        <f>IF(Titanic[[#This Row],[Sexo]]="Hombre", "HOMBRE", "MUJER")</f>
        <v>MUJER</v>
      </c>
      <c r="P641" s="8">
        <f>IF(Titanic[[#This Row],[Edad]]="", "", IF(Titanic[[#This Row],[Edad]]&gt;=100, Titanic[[#This Row],[Edad]] / 10, Titanic[[#This Row],[Edad]]))</f>
        <v>28</v>
      </c>
      <c r="Q641" s="8" t="str">
        <f>IFERROR(LOOKUP(Titanic[[#This Row],[Edad Corrigida]],'Práctica 1'!$K$231:$K$240,'Práctica 1'!$L$231:$L$240), "DESCONOCIDO")</f>
        <v>4. ADULTO JOVEN</v>
      </c>
      <c r="R641" s="8">
        <f>Titanic[[#This Row],[Familia Horizontal]]+Titanic[[#This Row],[Familia Vertical]]</f>
        <v>0</v>
      </c>
      <c r="S641" s="8"/>
      <c r="T641" s="8"/>
      <c r="U641" s="8"/>
      <c r="V641" s="8"/>
    </row>
    <row r="642" spans="2:22" x14ac:dyDescent="0.2">
      <c r="B642" s="6">
        <v>637</v>
      </c>
      <c r="C642" s="7">
        <v>0</v>
      </c>
      <c r="D642" s="8">
        <v>3</v>
      </c>
      <c r="E642" s="8" t="s">
        <v>651</v>
      </c>
      <c r="F642" s="8" t="s">
        <v>11</v>
      </c>
      <c r="G642" s="8">
        <v>32</v>
      </c>
      <c r="H642" s="8">
        <v>0</v>
      </c>
      <c r="I642" s="8">
        <v>0</v>
      </c>
      <c r="J642" s="8">
        <v>7925</v>
      </c>
      <c r="K642" s="8">
        <v>0</v>
      </c>
      <c r="L642" s="8" t="s">
        <v>12</v>
      </c>
      <c r="M642" s="8" t="str">
        <f>IF(Titanic[[#This Row],[Sobrevive]]=1, "SOBREVIVE", "NO SOBREVIVE")</f>
        <v>NO SOBREVIVE</v>
      </c>
      <c r="N642" s="8" t="str">
        <f>LOOKUP(Titanic[[#This Row],[Clase]],{1,2,3}, {"PRIMERA","SEGUNDA","TERCERA"})</f>
        <v>TERCERA</v>
      </c>
      <c r="O642" s="8" t="str">
        <f>IF(Titanic[[#This Row],[Sexo]]="Hombre", "HOMBRE", "MUJER")</f>
        <v>HOMBRE</v>
      </c>
      <c r="P642" s="8">
        <f>IF(Titanic[[#This Row],[Edad]]="", "", IF(Titanic[[#This Row],[Edad]]&gt;=100, Titanic[[#This Row],[Edad]] / 10, Titanic[[#This Row],[Edad]]))</f>
        <v>32</v>
      </c>
      <c r="Q642" s="8" t="str">
        <f>IFERROR(LOOKUP(Titanic[[#This Row],[Edad Corrigida]],'Práctica 1'!$K$231:$K$240,'Práctica 1'!$L$231:$L$240), "DESCONOCIDO")</f>
        <v>6. ADULTO 1</v>
      </c>
      <c r="R642" s="8">
        <f>Titanic[[#This Row],[Familia Horizontal]]+Titanic[[#This Row],[Familia Vertical]]</f>
        <v>0</v>
      </c>
      <c r="S642" s="8"/>
      <c r="T642" s="8"/>
      <c r="U642" s="8"/>
      <c r="V642" s="8"/>
    </row>
    <row r="643" spans="2:22" x14ac:dyDescent="0.2">
      <c r="B643" s="6">
        <v>638</v>
      </c>
      <c r="C643" s="7">
        <v>0</v>
      </c>
      <c r="D643" s="8">
        <v>2</v>
      </c>
      <c r="E643" s="8" t="s">
        <v>652</v>
      </c>
      <c r="F643" s="8" t="s">
        <v>11</v>
      </c>
      <c r="G643" s="8">
        <v>31</v>
      </c>
      <c r="H643" s="8">
        <v>1</v>
      </c>
      <c r="I643" s="8">
        <v>1</v>
      </c>
      <c r="J643" s="8">
        <v>2625</v>
      </c>
      <c r="K643" s="8">
        <v>0</v>
      </c>
      <c r="L643" s="8" t="s">
        <v>12</v>
      </c>
      <c r="M643" s="8" t="str">
        <f>IF(Titanic[[#This Row],[Sobrevive]]=1, "SOBREVIVE", "NO SOBREVIVE")</f>
        <v>NO SOBREVIVE</v>
      </c>
      <c r="N643" s="8" t="str">
        <f>LOOKUP(Titanic[[#This Row],[Clase]],{1,2,3}, {"PRIMERA","SEGUNDA","TERCERA"})</f>
        <v>SEGUNDA</v>
      </c>
      <c r="O643" s="8" t="str">
        <f>IF(Titanic[[#This Row],[Sexo]]="Hombre", "HOMBRE", "MUJER")</f>
        <v>HOMBRE</v>
      </c>
      <c r="P643" s="8">
        <f>IF(Titanic[[#This Row],[Edad]]="", "", IF(Titanic[[#This Row],[Edad]]&gt;=100, Titanic[[#This Row],[Edad]] / 10, Titanic[[#This Row],[Edad]]))</f>
        <v>31</v>
      </c>
      <c r="Q643" s="8" t="str">
        <f>IFERROR(LOOKUP(Titanic[[#This Row],[Edad Corrigida]],'Práctica 1'!$K$231:$K$240,'Práctica 1'!$L$231:$L$240), "DESCONOCIDO")</f>
        <v>5. ADULTO</v>
      </c>
      <c r="R643" s="8">
        <f>Titanic[[#This Row],[Familia Horizontal]]+Titanic[[#This Row],[Familia Vertical]]</f>
        <v>2</v>
      </c>
      <c r="S643" s="8"/>
      <c r="T643" s="8"/>
      <c r="U643" s="8"/>
      <c r="V643" s="8"/>
    </row>
    <row r="644" spans="2:22" x14ac:dyDescent="0.2">
      <c r="B644" s="6">
        <v>639</v>
      </c>
      <c r="C644" s="7">
        <v>0</v>
      </c>
      <c r="D644" s="8">
        <v>3</v>
      </c>
      <c r="E644" s="8" t="s">
        <v>653</v>
      </c>
      <c r="F644" s="8" t="s">
        <v>14</v>
      </c>
      <c r="G644" s="8">
        <v>41</v>
      </c>
      <c r="H644" s="8">
        <v>0</v>
      </c>
      <c r="I644" s="8">
        <v>5</v>
      </c>
      <c r="J644" s="8">
        <v>396875</v>
      </c>
      <c r="K644" s="8">
        <v>0</v>
      </c>
      <c r="L644" s="8" t="s">
        <v>12</v>
      </c>
      <c r="M644" s="8" t="str">
        <f>IF(Titanic[[#This Row],[Sobrevive]]=1, "SOBREVIVE", "NO SOBREVIVE")</f>
        <v>NO SOBREVIVE</v>
      </c>
      <c r="N644" s="8" t="str">
        <f>LOOKUP(Titanic[[#This Row],[Clase]],{1,2,3}, {"PRIMERA","SEGUNDA","TERCERA"})</f>
        <v>TERCERA</v>
      </c>
      <c r="O644" s="8" t="str">
        <f>IF(Titanic[[#This Row],[Sexo]]="Hombre", "HOMBRE", "MUJER")</f>
        <v>MUJER</v>
      </c>
      <c r="P644" s="8">
        <f>IF(Titanic[[#This Row],[Edad]]="", "", IF(Titanic[[#This Row],[Edad]]&gt;=100, Titanic[[#This Row],[Edad]] / 10, Titanic[[#This Row],[Edad]]))</f>
        <v>41</v>
      </c>
      <c r="Q644" s="8" t="str">
        <f>IFERROR(LOOKUP(Titanic[[#This Row],[Edad Corrigida]],'Práctica 1'!$K$231:$K$240,'Práctica 1'!$L$231:$L$240), "DESCONOCIDO")</f>
        <v>7. ADULTO 2</v>
      </c>
      <c r="R644" s="8">
        <f>Titanic[[#This Row],[Familia Horizontal]]+Titanic[[#This Row],[Familia Vertical]]</f>
        <v>5</v>
      </c>
      <c r="S644" s="8"/>
      <c r="T644" s="8"/>
      <c r="U644" s="8"/>
      <c r="V644" s="8"/>
    </row>
    <row r="645" spans="2:22" x14ac:dyDescent="0.2">
      <c r="B645" s="6">
        <v>640</v>
      </c>
      <c r="C645" s="7">
        <v>0</v>
      </c>
      <c r="D645" s="8">
        <v>3</v>
      </c>
      <c r="E645" s="8" t="s">
        <v>654</v>
      </c>
      <c r="F645" s="8" t="s">
        <v>11</v>
      </c>
      <c r="G645" s="9"/>
      <c r="H645" s="8">
        <v>1</v>
      </c>
      <c r="I645" s="8">
        <v>0</v>
      </c>
      <c r="J645" s="8">
        <v>161</v>
      </c>
      <c r="K645" s="8">
        <v>0</v>
      </c>
      <c r="L645" s="8" t="s">
        <v>12</v>
      </c>
      <c r="M645" s="8" t="str">
        <f>IF(Titanic[[#This Row],[Sobrevive]]=1, "SOBREVIVE", "NO SOBREVIVE")</f>
        <v>NO SOBREVIVE</v>
      </c>
      <c r="N645" s="8" t="str">
        <f>LOOKUP(Titanic[[#This Row],[Clase]],{1,2,3}, {"PRIMERA","SEGUNDA","TERCERA"})</f>
        <v>TERCERA</v>
      </c>
      <c r="O645" s="8" t="str">
        <f>IF(Titanic[[#This Row],[Sexo]]="Hombre", "HOMBRE", "MUJER")</f>
        <v>HOMBRE</v>
      </c>
      <c r="P645" s="8" t="str">
        <f>IF(Titanic[[#This Row],[Edad]]="", "", IF(Titanic[[#This Row],[Edad]]&gt;=100, Titanic[[#This Row],[Edad]] / 10, Titanic[[#This Row],[Edad]]))</f>
        <v/>
      </c>
      <c r="Q645" s="8" t="str">
        <f>IFERROR(LOOKUP(Titanic[[#This Row],[Edad Corrigida]],'Práctica 1'!$K$231:$K$240,'Práctica 1'!$L$231:$L$240), "DESCONOCIDO")</f>
        <v>DESCONOCIDO</v>
      </c>
      <c r="R645" s="8">
        <f>Titanic[[#This Row],[Familia Horizontal]]+Titanic[[#This Row],[Familia Vertical]]</f>
        <v>1</v>
      </c>
      <c r="S645" s="8"/>
      <c r="T645" s="8"/>
      <c r="U645" s="8"/>
      <c r="V645" s="8"/>
    </row>
    <row r="646" spans="2:22" x14ac:dyDescent="0.2">
      <c r="B646" s="6">
        <v>641</v>
      </c>
      <c r="C646" s="7">
        <v>0</v>
      </c>
      <c r="D646" s="8">
        <v>3</v>
      </c>
      <c r="E646" s="8" t="s">
        <v>655</v>
      </c>
      <c r="F646" s="8" t="s">
        <v>11</v>
      </c>
      <c r="G646" s="8">
        <v>20</v>
      </c>
      <c r="H646" s="8">
        <v>0</v>
      </c>
      <c r="I646" s="8">
        <v>0</v>
      </c>
      <c r="J646" s="8">
        <v>78542</v>
      </c>
      <c r="K646" s="8">
        <v>0</v>
      </c>
      <c r="L646" s="8" t="s">
        <v>12</v>
      </c>
      <c r="M646" s="8" t="str">
        <f>IF(Titanic[[#This Row],[Sobrevive]]=1, "SOBREVIVE", "NO SOBREVIVE")</f>
        <v>NO SOBREVIVE</v>
      </c>
      <c r="N646" s="8" t="str">
        <f>LOOKUP(Titanic[[#This Row],[Clase]],{1,2,3}, {"PRIMERA","SEGUNDA","TERCERA"})</f>
        <v>TERCERA</v>
      </c>
      <c r="O646" s="8" t="str">
        <f>IF(Titanic[[#This Row],[Sexo]]="Hombre", "HOMBRE", "MUJER")</f>
        <v>HOMBRE</v>
      </c>
      <c r="P646" s="8">
        <f>IF(Titanic[[#This Row],[Edad]]="", "", IF(Titanic[[#This Row],[Edad]]&gt;=100, Titanic[[#This Row],[Edad]] / 10, Titanic[[#This Row],[Edad]]))</f>
        <v>20</v>
      </c>
      <c r="Q646" s="8" t="str">
        <f>IFERROR(LOOKUP(Titanic[[#This Row],[Edad Corrigida]],'Práctica 1'!$K$231:$K$240,'Práctica 1'!$L$231:$L$240), "DESCONOCIDO")</f>
        <v>2. ADOLESCENTE</v>
      </c>
      <c r="R646" s="8">
        <f>Titanic[[#This Row],[Familia Horizontal]]+Titanic[[#This Row],[Familia Vertical]]</f>
        <v>0</v>
      </c>
      <c r="S646" s="8"/>
      <c r="T646" s="8"/>
      <c r="U646" s="8"/>
      <c r="V646" s="8"/>
    </row>
    <row r="647" spans="2:22" x14ac:dyDescent="0.2">
      <c r="B647" s="6">
        <v>642</v>
      </c>
      <c r="C647" s="7">
        <v>1</v>
      </c>
      <c r="D647" s="8">
        <v>1</v>
      </c>
      <c r="E647" s="8" t="s">
        <v>656</v>
      </c>
      <c r="F647" s="8" t="s">
        <v>14</v>
      </c>
      <c r="G647" s="8">
        <v>24</v>
      </c>
      <c r="H647" s="8">
        <v>0</v>
      </c>
      <c r="I647" s="8">
        <v>0</v>
      </c>
      <c r="J647" s="8">
        <v>693</v>
      </c>
      <c r="K647" s="8">
        <v>1</v>
      </c>
      <c r="L647" s="8" t="s">
        <v>15</v>
      </c>
      <c r="M647" s="8" t="str">
        <f>IF(Titanic[[#This Row],[Sobrevive]]=1, "SOBREVIVE", "NO SOBREVIVE")</f>
        <v>SOBREVIVE</v>
      </c>
      <c r="N647" s="8" t="str">
        <f>LOOKUP(Titanic[[#This Row],[Clase]],{1,2,3}, {"PRIMERA","SEGUNDA","TERCERA"})</f>
        <v>PRIMERA</v>
      </c>
      <c r="O647" s="8" t="str">
        <f>IF(Titanic[[#This Row],[Sexo]]="Hombre", "HOMBRE", "MUJER")</f>
        <v>MUJER</v>
      </c>
      <c r="P647" s="8">
        <f>IF(Titanic[[#This Row],[Edad]]="", "", IF(Titanic[[#This Row],[Edad]]&gt;=100, Titanic[[#This Row],[Edad]] / 10, Titanic[[#This Row],[Edad]]))</f>
        <v>24</v>
      </c>
      <c r="Q647" s="8" t="str">
        <f>IFERROR(LOOKUP(Titanic[[#This Row],[Edad Corrigida]],'Práctica 1'!$K$231:$K$240,'Práctica 1'!$L$231:$L$240), "DESCONOCIDO")</f>
        <v>3. JOVEN</v>
      </c>
      <c r="R647" s="8">
        <f>Titanic[[#This Row],[Familia Horizontal]]+Titanic[[#This Row],[Familia Vertical]]</f>
        <v>0</v>
      </c>
      <c r="S647" s="8"/>
      <c r="T647" s="8"/>
      <c r="U647" s="8"/>
      <c r="V647" s="8"/>
    </row>
    <row r="648" spans="2:22" x14ac:dyDescent="0.2">
      <c r="B648" s="6">
        <v>643</v>
      </c>
      <c r="C648" s="7">
        <v>0</v>
      </c>
      <c r="D648" s="8">
        <v>3</v>
      </c>
      <c r="E648" s="8" t="s">
        <v>657</v>
      </c>
      <c r="F648" s="8" t="s">
        <v>14</v>
      </c>
      <c r="G648" s="8">
        <v>2</v>
      </c>
      <c r="H648" s="8">
        <v>3</v>
      </c>
      <c r="I648" s="8">
        <v>2</v>
      </c>
      <c r="J648" s="8">
        <v>279</v>
      </c>
      <c r="K648" s="8">
        <v>0</v>
      </c>
      <c r="L648" s="8" t="s">
        <v>12</v>
      </c>
      <c r="M648" s="8" t="str">
        <f>IF(Titanic[[#This Row],[Sobrevive]]=1, "SOBREVIVE", "NO SOBREVIVE")</f>
        <v>NO SOBREVIVE</v>
      </c>
      <c r="N648" s="8" t="str">
        <f>LOOKUP(Titanic[[#This Row],[Clase]],{1,2,3}, {"PRIMERA","SEGUNDA","TERCERA"})</f>
        <v>TERCERA</v>
      </c>
      <c r="O648" s="8" t="str">
        <f>IF(Titanic[[#This Row],[Sexo]]="Hombre", "HOMBRE", "MUJER")</f>
        <v>MUJER</v>
      </c>
      <c r="P648" s="8">
        <f>IF(Titanic[[#This Row],[Edad]]="", "", IF(Titanic[[#This Row],[Edad]]&gt;=100, Titanic[[#This Row],[Edad]] / 10, Titanic[[#This Row],[Edad]]))</f>
        <v>2</v>
      </c>
      <c r="Q648" s="8" t="str">
        <f>IFERROR(LOOKUP(Titanic[[#This Row],[Edad Corrigida]],'Práctica 1'!$K$231:$K$240,'Práctica 1'!$L$231:$L$240), "DESCONOCIDO")</f>
        <v>DESCONOCIDO</v>
      </c>
      <c r="R648" s="8">
        <f>Titanic[[#This Row],[Familia Horizontal]]+Titanic[[#This Row],[Familia Vertical]]</f>
        <v>5</v>
      </c>
      <c r="S648" s="8"/>
      <c r="T648" s="8"/>
      <c r="U648" s="8"/>
      <c r="V648" s="8"/>
    </row>
    <row r="649" spans="2:22" x14ac:dyDescent="0.2">
      <c r="B649" s="6">
        <v>644</v>
      </c>
      <c r="C649" s="7">
        <v>1</v>
      </c>
      <c r="D649" s="8">
        <v>3</v>
      </c>
      <c r="E649" s="8" t="s">
        <v>658</v>
      </c>
      <c r="F649" s="8" t="s">
        <v>11</v>
      </c>
      <c r="G649" s="9"/>
      <c r="H649" s="8">
        <v>0</v>
      </c>
      <c r="I649" s="8">
        <v>0</v>
      </c>
      <c r="J649" s="8">
        <v>564958</v>
      </c>
      <c r="K649" s="8">
        <v>0</v>
      </c>
      <c r="L649" s="8" t="s">
        <v>12</v>
      </c>
      <c r="M649" s="8" t="str">
        <f>IF(Titanic[[#This Row],[Sobrevive]]=1, "SOBREVIVE", "NO SOBREVIVE")</f>
        <v>SOBREVIVE</v>
      </c>
      <c r="N649" s="8" t="str">
        <f>LOOKUP(Titanic[[#This Row],[Clase]],{1,2,3}, {"PRIMERA","SEGUNDA","TERCERA"})</f>
        <v>TERCERA</v>
      </c>
      <c r="O649" s="8" t="str">
        <f>IF(Titanic[[#This Row],[Sexo]]="Hombre", "HOMBRE", "MUJER")</f>
        <v>HOMBRE</v>
      </c>
      <c r="P649" s="8" t="str">
        <f>IF(Titanic[[#This Row],[Edad]]="", "", IF(Titanic[[#This Row],[Edad]]&gt;=100, Titanic[[#This Row],[Edad]] / 10, Titanic[[#This Row],[Edad]]))</f>
        <v/>
      </c>
      <c r="Q649" s="8" t="str">
        <f>IFERROR(LOOKUP(Titanic[[#This Row],[Edad Corrigida]],'Práctica 1'!$K$231:$K$240,'Práctica 1'!$L$231:$L$240), "DESCONOCIDO")</f>
        <v>DESCONOCIDO</v>
      </c>
      <c r="R649" s="8">
        <f>Titanic[[#This Row],[Familia Horizontal]]+Titanic[[#This Row],[Familia Vertical]]</f>
        <v>0</v>
      </c>
      <c r="S649" s="8"/>
      <c r="T649" s="8"/>
      <c r="U649" s="8"/>
      <c r="V649" s="8"/>
    </row>
    <row r="650" spans="2:22" x14ac:dyDescent="0.2">
      <c r="B650" s="6">
        <v>645</v>
      </c>
      <c r="C650" s="7">
        <v>1</v>
      </c>
      <c r="D650" s="8">
        <v>3</v>
      </c>
      <c r="E650" s="8" t="s">
        <v>659</v>
      </c>
      <c r="F650" s="8" t="s">
        <v>14</v>
      </c>
      <c r="G650" s="8">
        <v>75</v>
      </c>
      <c r="H650" s="8">
        <v>2</v>
      </c>
      <c r="I650" s="8">
        <v>1</v>
      </c>
      <c r="J650" s="8">
        <v>192583</v>
      </c>
      <c r="K650" s="8">
        <v>0</v>
      </c>
      <c r="L650" s="8" t="s">
        <v>15</v>
      </c>
      <c r="M650" s="8" t="str">
        <f>IF(Titanic[[#This Row],[Sobrevive]]=1, "SOBREVIVE", "NO SOBREVIVE")</f>
        <v>SOBREVIVE</v>
      </c>
      <c r="N650" s="8" t="str">
        <f>LOOKUP(Titanic[[#This Row],[Clase]],{1,2,3}, {"PRIMERA","SEGUNDA","TERCERA"})</f>
        <v>TERCERA</v>
      </c>
      <c r="O650" s="8" t="str">
        <f>IF(Titanic[[#This Row],[Sexo]]="Hombre", "HOMBRE", "MUJER")</f>
        <v>MUJER</v>
      </c>
      <c r="P650" s="8">
        <f>IF(Titanic[[#This Row],[Edad]]="", "", IF(Titanic[[#This Row],[Edad]]&gt;=100, Titanic[[#This Row],[Edad]] / 10, Titanic[[#This Row],[Edad]]))</f>
        <v>75</v>
      </c>
      <c r="Q650" s="8" t="str">
        <f>IFERROR(LOOKUP(Titanic[[#This Row],[Edad Corrigida]],'Práctica 1'!$K$231:$K$240,'Práctica 1'!$L$231:$L$240), "DESCONOCIDO")</f>
        <v>9. ADULTO 4</v>
      </c>
      <c r="R650" s="8">
        <f>Titanic[[#This Row],[Familia Horizontal]]+Titanic[[#This Row],[Familia Vertical]]</f>
        <v>3</v>
      </c>
      <c r="S650" s="8"/>
      <c r="T650" s="8"/>
      <c r="U650" s="8"/>
      <c r="V650" s="8"/>
    </row>
    <row r="651" spans="2:22" x14ac:dyDescent="0.2">
      <c r="B651" s="6">
        <v>646</v>
      </c>
      <c r="C651" s="7">
        <v>1</v>
      </c>
      <c r="D651" s="8">
        <v>1</v>
      </c>
      <c r="E651" s="8" t="s">
        <v>660</v>
      </c>
      <c r="F651" s="8" t="s">
        <v>11</v>
      </c>
      <c r="G651" s="8">
        <v>48</v>
      </c>
      <c r="H651" s="8">
        <v>1</v>
      </c>
      <c r="I651" s="8">
        <v>0</v>
      </c>
      <c r="J651" s="8">
        <v>767292</v>
      </c>
      <c r="K651" s="8">
        <v>1</v>
      </c>
      <c r="L651" s="8" t="s">
        <v>15</v>
      </c>
      <c r="M651" s="8" t="str">
        <f>IF(Titanic[[#This Row],[Sobrevive]]=1, "SOBREVIVE", "NO SOBREVIVE")</f>
        <v>SOBREVIVE</v>
      </c>
      <c r="N651" s="8" t="str">
        <f>LOOKUP(Titanic[[#This Row],[Clase]],{1,2,3}, {"PRIMERA","SEGUNDA","TERCERA"})</f>
        <v>PRIMERA</v>
      </c>
      <c r="O651" s="8" t="str">
        <f>IF(Titanic[[#This Row],[Sexo]]="Hombre", "HOMBRE", "MUJER")</f>
        <v>HOMBRE</v>
      </c>
      <c r="P651" s="8">
        <f>IF(Titanic[[#This Row],[Edad]]="", "", IF(Titanic[[#This Row],[Edad]]&gt;=100, Titanic[[#This Row],[Edad]] / 10, Titanic[[#This Row],[Edad]]))</f>
        <v>48</v>
      </c>
      <c r="Q651" s="8" t="str">
        <f>IFERROR(LOOKUP(Titanic[[#This Row],[Edad Corrigida]],'Práctica 1'!$K$231:$K$240,'Práctica 1'!$L$231:$L$240), "DESCONOCIDO")</f>
        <v>8. ADULTO 3</v>
      </c>
      <c r="R651" s="8">
        <f>Titanic[[#This Row],[Familia Horizontal]]+Titanic[[#This Row],[Familia Vertical]]</f>
        <v>1</v>
      </c>
      <c r="S651" s="8"/>
      <c r="T651" s="8"/>
      <c r="U651" s="8"/>
      <c r="V651" s="8"/>
    </row>
    <row r="652" spans="2:22" x14ac:dyDescent="0.2">
      <c r="B652" s="6">
        <v>647</v>
      </c>
      <c r="C652" s="7">
        <v>0</v>
      </c>
      <c r="D652" s="8">
        <v>3</v>
      </c>
      <c r="E652" s="8" t="s">
        <v>661</v>
      </c>
      <c r="F652" s="8" t="s">
        <v>11</v>
      </c>
      <c r="G652" s="8">
        <v>19</v>
      </c>
      <c r="H652" s="8">
        <v>0</v>
      </c>
      <c r="I652" s="8">
        <v>0</v>
      </c>
      <c r="J652" s="8">
        <v>78958</v>
      </c>
      <c r="K652" s="8">
        <v>0</v>
      </c>
      <c r="L652" s="8" t="s">
        <v>12</v>
      </c>
      <c r="M652" s="8" t="str">
        <f>IF(Titanic[[#This Row],[Sobrevive]]=1, "SOBREVIVE", "NO SOBREVIVE")</f>
        <v>NO SOBREVIVE</v>
      </c>
      <c r="N652" s="8" t="str">
        <f>LOOKUP(Titanic[[#This Row],[Clase]],{1,2,3}, {"PRIMERA","SEGUNDA","TERCERA"})</f>
        <v>TERCERA</v>
      </c>
      <c r="O652" s="8" t="str">
        <f>IF(Titanic[[#This Row],[Sexo]]="Hombre", "HOMBRE", "MUJER")</f>
        <v>HOMBRE</v>
      </c>
      <c r="P652" s="8">
        <f>IF(Titanic[[#This Row],[Edad]]="", "", IF(Titanic[[#This Row],[Edad]]&gt;=100, Titanic[[#This Row],[Edad]] / 10, Titanic[[#This Row],[Edad]]))</f>
        <v>19</v>
      </c>
      <c r="Q652" s="8" t="str">
        <f>IFERROR(LOOKUP(Titanic[[#This Row],[Edad Corrigida]],'Práctica 1'!$K$231:$K$240,'Práctica 1'!$L$231:$L$240), "DESCONOCIDO")</f>
        <v>2. ADOLESCENTE</v>
      </c>
      <c r="R652" s="8">
        <f>Titanic[[#This Row],[Familia Horizontal]]+Titanic[[#This Row],[Familia Vertical]]</f>
        <v>0</v>
      </c>
      <c r="S652" s="8"/>
      <c r="T652" s="8"/>
      <c r="U652" s="8"/>
      <c r="V652" s="8"/>
    </row>
    <row r="653" spans="2:22" x14ac:dyDescent="0.2">
      <c r="B653" s="6">
        <v>648</v>
      </c>
      <c r="C653" s="7">
        <v>1</v>
      </c>
      <c r="D653" s="8">
        <v>1</v>
      </c>
      <c r="E653" s="8" t="s">
        <v>662</v>
      </c>
      <c r="F653" s="8" t="s">
        <v>11</v>
      </c>
      <c r="G653" s="8">
        <v>56</v>
      </c>
      <c r="H653" s="8">
        <v>0</v>
      </c>
      <c r="I653" s="8">
        <v>0</v>
      </c>
      <c r="J653" s="8">
        <v>355</v>
      </c>
      <c r="K653" s="8">
        <v>1</v>
      </c>
      <c r="L653" s="8" t="s">
        <v>15</v>
      </c>
      <c r="M653" s="8" t="str">
        <f>IF(Titanic[[#This Row],[Sobrevive]]=1, "SOBREVIVE", "NO SOBREVIVE")</f>
        <v>SOBREVIVE</v>
      </c>
      <c r="N653" s="8" t="str">
        <f>LOOKUP(Titanic[[#This Row],[Clase]],{1,2,3}, {"PRIMERA","SEGUNDA","TERCERA"})</f>
        <v>PRIMERA</v>
      </c>
      <c r="O653" s="8" t="str">
        <f>IF(Titanic[[#This Row],[Sexo]]="Hombre", "HOMBRE", "MUJER")</f>
        <v>HOMBRE</v>
      </c>
      <c r="P653" s="8">
        <f>IF(Titanic[[#This Row],[Edad]]="", "", IF(Titanic[[#This Row],[Edad]]&gt;=100, Titanic[[#This Row],[Edad]] / 10, Titanic[[#This Row],[Edad]]))</f>
        <v>56</v>
      </c>
      <c r="Q653" s="8" t="str">
        <f>IFERROR(LOOKUP(Titanic[[#This Row],[Edad Corrigida]],'Práctica 1'!$K$231:$K$240,'Práctica 1'!$L$231:$L$240), "DESCONOCIDO")</f>
        <v>9. ADULTO 4</v>
      </c>
      <c r="R653" s="8">
        <f>Titanic[[#This Row],[Familia Horizontal]]+Titanic[[#This Row],[Familia Vertical]]</f>
        <v>0</v>
      </c>
      <c r="S653" s="8"/>
      <c r="T653" s="8"/>
      <c r="U653" s="8"/>
      <c r="V653" s="8"/>
    </row>
    <row r="654" spans="2:22" x14ac:dyDescent="0.2">
      <c r="B654" s="6">
        <v>649</v>
      </c>
      <c r="C654" s="7">
        <v>0</v>
      </c>
      <c r="D654" s="8">
        <v>3</v>
      </c>
      <c r="E654" s="8" t="s">
        <v>663</v>
      </c>
      <c r="F654" s="8" t="s">
        <v>11</v>
      </c>
      <c r="G654" s="9"/>
      <c r="H654" s="8">
        <v>0</v>
      </c>
      <c r="I654" s="8">
        <v>0</v>
      </c>
      <c r="J654" s="8">
        <v>755</v>
      </c>
      <c r="K654" s="8">
        <v>0</v>
      </c>
      <c r="L654" s="8" t="s">
        <v>12</v>
      </c>
      <c r="M654" s="8" t="str">
        <f>IF(Titanic[[#This Row],[Sobrevive]]=1, "SOBREVIVE", "NO SOBREVIVE")</f>
        <v>NO SOBREVIVE</v>
      </c>
      <c r="N654" s="8" t="str">
        <f>LOOKUP(Titanic[[#This Row],[Clase]],{1,2,3}, {"PRIMERA","SEGUNDA","TERCERA"})</f>
        <v>TERCERA</v>
      </c>
      <c r="O654" s="8" t="str">
        <f>IF(Titanic[[#This Row],[Sexo]]="Hombre", "HOMBRE", "MUJER")</f>
        <v>HOMBRE</v>
      </c>
      <c r="P654" s="8" t="str">
        <f>IF(Titanic[[#This Row],[Edad]]="", "", IF(Titanic[[#This Row],[Edad]]&gt;=100, Titanic[[#This Row],[Edad]] / 10, Titanic[[#This Row],[Edad]]))</f>
        <v/>
      </c>
      <c r="Q654" s="8" t="str">
        <f>IFERROR(LOOKUP(Titanic[[#This Row],[Edad Corrigida]],'Práctica 1'!$K$231:$K$240,'Práctica 1'!$L$231:$L$240), "DESCONOCIDO")</f>
        <v>DESCONOCIDO</v>
      </c>
      <c r="R654" s="8">
        <f>Titanic[[#This Row],[Familia Horizontal]]+Titanic[[#This Row],[Familia Vertical]]</f>
        <v>0</v>
      </c>
      <c r="S654" s="8"/>
      <c r="T654" s="8"/>
      <c r="U654" s="8"/>
      <c r="V654" s="8"/>
    </row>
    <row r="655" spans="2:22" x14ac:dyDescent="0.2">
      <c r="B655" s="6">
        <v>650</v>
      </c>
      <c r="C655" s="7">
        <v>1</v>
      </c>
      <c r="D655" s="8">
        <v>3</v>
      </c>
      <c r="E655" s="8" t="s">
        <v>664</v>
      </c>
      <c r="F655" s="8" t="s">
        <v>14</v>
      </c>
      <c r="G655" s="8">
        <v>23</v>
      </c>
      <c r="H655" s="8">
        <v>0</v>
      </c>
      <c r="I655" s="8">
        <v>0</v>
      </c>
      <c r="J655" s="8">
        <v>755</v>
      </c>
      <c r="K655" s="8">
        <v>0</v>
      </c>
      <c r="L655" s="8" t="s">
        <v>12</v>
      </c>
      <c r="M655" s="8" t="str">
        <f>IF(Titanic[[#This Row],[Sobrevive]]=1, "SOBREVIVE", "NO SOBREVIVE")</f>
        <v>SOBREVIVE</v>
      </c>
      <c r="N655" s="8" t="str">
        <f>LOOKUP(Titanic[[#This Row],[Clase]],{1,2,3}, {"PRIMERA","SEGUNDA","TERCERA"})</f>
        <v>TERCERA</v>
      </c>
      <c r="O655" s="8" t="str">
        <f>IF(Titanic[[#This Row],[Sexo]]="Hombre", "HOMBRE", "MUJER")</f>
        <v>MUJER</v>
      </c>
      <c r="P655" s="8">
        <f>IF(Titanic[[#This Row],[Edad]]="", "", IF(Titanic[[#This Row],[Edad]]&gt;=100, Titanic[[#This Row],[Edad]] / 10, Titanic[[#This Row],[Edad]]))</f>
        <v>23</v>
      </c>
      <c r="Q655" s="8" t="str">
        <f>IFERROR(LOOKUP(Titanic[[#This Row],[Edad Corrigida]],'Práctica 1'!$K$231:$K$240,'Práctica 1'!$L$231:$L$240), "DESCONOCIDO")</f>
        <v>3. JOVEN</v>
      </c>
      <c r="R655" s="8">
        <f>Titanic[[#This Row],[Familia Horizontal]]+Titanic[[#This Row],[Familia Vertical]]</f>
        <v>0</v>
      </c>
      <c r="S655" s="8"/>
      <c r="T655" s="8"/>
      <c r="U655" s="8"/>
      <c r="V655" s="8"/>
    </row>
    <row r="656" spans="2:22" x14ac:dyDescent="0.2">
      <c r="B656" s="6">
        <v>651</v>
      </c>
      <c r="C656" s="7">
        <v>0</v>
      </c>
      <c r="D656" s="8">
        <v>3</v>
      </c>
      <c r="E656" s="8" t="s">
        <v>665</v>
      </c>
      <c r="F656" s="8" t="s">
        <v>11</v>
      </c>
      <c r="G656" s="9"/>
      <c r="H656" s="8">
        <v>0</v>
      </c>
      <c r="I656" s="8">
        <v>0</v>
      </c>
      <c r="J656" s="8">
        <v>78958</v>
      </c>
      <c r="K656" s="8">
        <v>0</v>
      </c>
      <c r="L656" s="8" t="s">
        <v>12</v>
      </c>
      <c r="M656" s="8" t="str">
        <f>IF(Titanic[[#This Row],[Sobrevive]]=1, "SOBREVIVE", "NO SOBREVIVE")</f>
        <v>NO SOBREVIVE</v>
      </c>
      <c r="N656" s="8" t="str">
        <f>LOOKUP(Titanic[[#This Row],[Clase]],{1,2,3}, {"PRIMERA","SEGUNDA","TERCERA"})</f>
        <v>TERCERA</v>
      </c>
      <c r="O656" s="8" t="str">
        <f>IF(Titanic[[#This Row],[Sexo]]="Hombre", "HOMBRE", "MUJER")</f>
        <v>HOMBRE</v>
      </c>
      <c r="P656" s="8" t="str">
        <f>IF(Titanic[[#This Row],[Edad]]="", "", IF(Titanic[[#This Row],[Edad]]&gt;=100, Titanic[[#This Row],[Edad]] / 10, Titanic[[#This Row],[Edad]]))</f>
        <v/>
      </c>
      <c r="Q656" s="8" t="str">
        <f>IFERROR(LOOKUP(Titanic[[#This Row],[Edad Corrigida]],'Práctica 1'!$K$231:$K$240,'Práctica 1'!$L$231:$L$240), "DESCONOCIDO")</f>
        <v>DESCONOCIDO</v>
      </c>
      <c r="R656" s="8">
        <f>Titanic[[#This Row],[Familia Horizontal]]+Titanic[[#This Row],[Familia Vertical]]</f>
        <v>0</v>
      </c>
      <c r="S656" s="8"/>
      <c r="T656" s="8"/>
      <c r="U656" s="8"/>
      <c r="V656" s="8"/>
    </row>
    <row r="657" spans="2:22" x14ac:dyDescent="0.2">
      <c r="B657" s="6">
        <v>652</v>
      </c>
      <c r="C657" s="7">
        <v>1</v>
      </c>
      <c r="D657" s="8">
        <v>2</v>
      </c>
      <c r="E657" s="8" t="s">
        <v>666</v>
      </c>
      <c r="F657" s="8" t="s">
        <v>14</v>
      </c>
      <c r="G657" s="8">
        <v>18</v>
      </c>
      <c r="H657" s="8">
        <v>0</v>
      </c>
      <c r="I657" s="8">
        <v>1</v>
      </c>
      <c r="J657" s="8">
        <v>23</v>
      </c>
      <c r="K657" s="8">
        <v>0</v>
      </c>
      <c r="L657" s="8" t="s">
        <v>12</v>
      </c>
      <c r="M657" s="8" t="str">
        <f>IF(Titanic[[#This Row],[Sobrevive]]=1, "SOBREVIVE", "NO SOBREVIVE")</f>
        <v>SOBREVIVE</v>
      </c>
      <c r="N657" s="8" t="str">
        <f>LOOKUP(Titanic[[#This Row],[Clase]],{1,2,3}, {"PRIMERA","SEGUNDA","TERCERA"})</f>
        <v>SEGUNDA</v>
      </c>
      <c r="O657" s="8" t="str">
        <f>IF(Titanic[[#This Row],[Sexo]]="Hombre", "HOMBRE", "MUJER")</f>
        <v>MUJER</v>
      </c>
      <c r="P657" s="8">
        <f>IF(Titanic[[#This Row],[Edad]]="", "", IF(Titanic[[#This Row],[Edad]]&gt;=100, Titanic[[#This Row],[Edad]] / 10, Titanic[[#This Row],[Edad]]))</f>
        <v>18</v>
      </c>
      <c r="Q657" s="8" t="str">
        <f>IFERROR(LOOKUP(Titanic[[#This Row],[Edad Corrigida]],'Práctica 1'!$K$231:$K$240,'Práctica 1'!$L$231:$L$240), "DESCONOCIDO")</f>
        <v>1. INFANTE</v>
      </c>
      <c r="R657" s="8">
        <f>Titanic[[#This Row],[Familia Horizontal]]+Titanic[[#This Row],[Familia Vertical]]</f>
        <v>1</v>
      </c>
      <c r="S657" s="8"/>
      <c r="T657" s="8"/>
      <c r="U657" s="8"/>
      <c r="V657" s="8"/>
    </row>
    <row r="658" spans="2:22" x14ac:dyDescent="0.2">
      <c r="B658" s="6">
        <v>653</v>
      </c>
      <c r="C658" s="7">
        <v>0</v>
      </c>
      <c r="D658" s="8">
        <v>3</v>
      </c>
      <c r="E658" s="8" t="s">
        <v>667</v>
      </c>
      <c r="F658" s="8" t="s">
        <v>11</v>
      </c>
      <c r="G658" s="8">
        <v>21</v>
      </c>
      <c r="H658" s="8">
        <v>0</v>
      </c>
      <c r="I658" s="8">
        <v>0</v>
      </c>
      <c r="J658" s="8">
        <v>84333</v>
      </c>
      <c r="K658" s="8">
        <v>0</v>
      </c>
      <c r="L658" s="8" t="s">
        <v>12</v>
      </c>
      <c r="M658" s="8" t="str">
        <f>IF(Titanic[[#This Row],[Sobrevive]]=1, "SOBREVIVE", "NO SOBREVIVE")</f>
        <v>NO SOBREVIVE</v>
      </c>
      <c r="N658" s="8" t="str">
        <f>LOOKUP(Titanic[[#This Row],[Clase]],{1,2,3}, {"PRIMERA","SEGUNDA","TERCERA"})</f>
        <v>TERCERA</v>
      </c>
      <c r="O658" s="8" t="str">
        <f>IF(Titanic[[#This Row],[Sexo]]="Hombre", "HOMBRE", "MUJER")</f>
        <v>HOMBRE</v>
      </c>
      <c r="P658" s="8">
        <f>IF(Titanic[[#This Row],[Edad]]="", "", IF(Titanic[[#This Row],[Edad]]&gt;=100, Titanic[[#This Row],[Edad]] / 10, Titanic[[#This Row],[Edad]]))</f>
        <v>21</v>
      </c>
      <c r="Q658" s="8" t="str">
        <f>IFERROR(LOOKUP(Titanic[[#This Row],[Edad Corrigida]],'Práctica 1'!$K$231:$K$240,'Práctica 1'!$L$231:$L$240), "DESCONOCIDO")</f>
        <v>2. ADOLESCENTE</v>
      </c>
      <c r="R658" s="8">
        <f>Titanic[[#This Row],[Familia Horizontal]]+Titanic[[#This Row],[Familia Vertical]]</f>
        <v>0</v>
      </c>
      <c r="S658" s="8"/>
      <c r="T658" s="8"/>
      <c r="U658" s="8"/>
      <c r="V658" s="8"/>
    </row>
    <row r="659" spans="2:22" x14ac:dyDescent="0.2">
      <c r="B659" s="6">
        <v>654</v>
      </c>
      <c r="C659" s="7">
        <v>1</v>
      </c>
      <c r="D659" s="8">
        <v>3</v>
      </c>
      <c r="E659" s="8" t="s">
        <v>668</v>
      </c>
      <c r="F659" s="8" t="s">
        <v>14</v>
      </c>
      <c r="G659" s="9"/>
      <c r="H659" s="8">
        <v>0</v>
      </c>
      <c r="I659" s="8">
        <v>0</v>
      </c>
      <c r="J659" s="8">
        <v>78292</v>
      </c>
      <c r="K659" s="8">
        <v>0</v>
      </c>
      <c r="L659" s="8" t="s">
        <v>20</v>
      </c>
      <c r="M659" s="8" t="str">
        <f>IF(Titanic[[#This Row],[Sobrevive]]=1, "SOBREVIVE", "NO SOBREVIVE")</f>
        <v>SOBREVIVE</v>
      </c>
      <c r="N659" s="8" t="str">
        <f>LOOKUP(Titanic[[#This Row],[Clase]],{1,2,3}, {"PRIMERA","SEGUNDA","TERCERA"})</f>
        <v>TERCERA</v>
      </c>
      <c r="O659" s="8" t="str">
        <f>IF(Titanic[[#This Row],[Sexo]]="Hombre", "HOMBRE", "MUJER")</f>
        <v>MUJER</v>
      </c>
      <c r="P659" s="8" t="str">
        <f>IF(Titanic[[#This Row],[Edad]]="", "", IF(Titanic[[#This Row],[Edad]]&gt;=100, Titanic[[#This Row],[Edad]] / 10, Titanic[[#This Row],[Edad]]))</f>
        <v/>
      </c>
      <c r="Q659" s="8" t="str">
        <f>IFERROR(LOOKUP(Titanic[[#This Row],[Edad Corrigida]],'Práctica 1'!$K$231:$K$240,'Práctica 1'!$L$231:$L$240), "DESCONOCIDO")</f>
        <v>DESCONOCIDO</v>
      </c>
      <c r="R659" s="8">
        <f>Titanic[[#This Row],[Familia Horizontal]]+Titanic[[#This Row],[Familia Vertical]]</f>
        <v>0</v>
      </c>
      <c r="S659" s="8"/>
      <c r="T659" s="8"/>
      <c r="U659" s="8"/>
      <c r="V659" s="8"/>
    </row>
    <row r="660" spans="2:22" x14ac:dyDescent="0.2">
      <c r="B660" s="6">
        <v>655</v>
      </c>
      <c r="C660" s="7">
        <v>0</v>
      </c>
      <c r="D660" s="8">
        <v>3</v>
      </c>
      <c r="E660" s="8" t="s">
        <v>669</v>
      </c>
      <c r="F660" s="8" t="s">
        <v>14</v>
      </c>
      <c r="G660" s="8">
        <v>18</v>
      </c>
      <c r="H660" s="8">
        <v>0</v>
      </c>
      <c r="I660" s="8">
        <v>0</v>
      </c>
      <c r="J660" s="8">
        <v>675</v>
      </c>
      <c r="K660" s="8">
        <v>0</v>
      </c>
      <c r="L660" s="8" t="s">
        <v>20</v>
      </c>
      <c r="M660" s="8" t="str">
        <f>IF(Titanic[[#This Row],[Sobrevive]]=1, "SOBREVIVE", "NO SOBREVIVE")</f>
        <v>NO SOBREVIVE</v>
      </c>
      <c r="N660" s="8" t="str">
        <f>LOOKUP(Titanic[[#This Row],[Clase]],{1,2,3}, {"PRIMERA","SEGUNDA","TERCERA"})</f>
        <v>TERCERA</v>
      </c>
      <c r="O660" s="8" t="str">
        <f>IF(Titanic[[#This Row],[Sexo]]="Hombre", "HOMBRE", "MUJER")</f>
        <v>MUJER</v>
      </c>
      <c r="P660" s="8">
        <f>IF(Titanic[[#This Row],[Edad]]="", "", IF(Titanic[[#This Row],[Edad]]&gt;=100, Titanic[[#This Row],[Edad]] / 10, Titanic[[#This Row],[Edad]]))</f>
        <v>18</v>
      </c>
      <c r="Q660" s="8" t="str">
        <f>IFERROR(LOOKUP(Titanic[[#This Row],[Edad Corrigida]],'Práctica 1'!$K$231:$K$240,'Práctica 1'!$L$231:$L$240), "DESCONOCIDO")</f>
        <v>1. INFANTE</v>
      </c>
      <c r="R660" s="8">
        <f>Titanic[[#This Row],[Familia Horizontal]]+Titanic[[#This Row],[Familia Vertical]]</f>
        <v>0</v>
      </c>
      <c r="S660" s="8"/>
      <c r="T660" s="8"/>
      <c r="U660" s="8"/>
      <c r="V660" s="8"/>
    </row>
    <row r="661" spans="2:22" x14ac:dyDescent="0.2">
      <c r="B661" s="6">
        <v>656</v>
      </c>
      <c r="C661" s="7">
        <v>0</v>
      </c>
      <c r="D661" s="8">
        <v>2</v>
      </c>
      <c r="E661" s="8" t="s">
        <v>670</v>
      </c>
      <c r="F661" s="8" t="s">
        <v>11</v>
      </c>
      <c r="G661" s="8">
        <v>24</v>
      </c>
      <c r="H661" s="8">
        <v>2</v>
      </c>
      <c r="I661" s="8">
        <v>0</v>
      </c>
      <c r="J661" s="8">
        <v>735</v>
      </c>
      <c r="K661" s="8">
        <v>0</v>
      </c>
      <c r="L661" s="8" t="s">
        <v>12</v>
      </c>
      <c r="M661" s="8" t="str">
        <f>IF(Titanic[[#This Row],[Sobrevive]]=1, "SOBREVIVE", "NO SOBREVIVE")</f>
        <v>NO SOBREVIVE</v>
      </c>
      <c r="N661" s="8" t="str">
        <f>LOOKUP(Titanic[[#This Row],[Clase]],{1,2,3}, {"PRIMERA","SEGUNDA","TERCERA"})</f>
        <v>SEGUNDA</v>
      </c>
      <c r="O661" s="8" t="str">
        <f>IF(Titanic[[#This Row],[Sexo]]="Hombre", "HOMBRE", "MUJER")</f>
        <v>HOMBRE</v>
      </c>
      <c r="P661" s="8">
        <f>IF(Titanic[[#This Row],[Edad]]="", "", IF(Titanic[[#This Row],[Edad]]&gt;=100, Titanic[[#This Row],[Edad]] / 10, Titanic[[#This Row],[Edad]]))</f>
        <v>24</v>
      </c>
      <c r="Q661" s="8" t="str">
        <f>IFERROR(LOOKUP(Titanic[[#This Row],[Edad Corrigida]],'Práctica 1'!$K$231:$K$240,'Práctica 1'!$L$231:$L$240), "DESCONOCIDO")</f>
        <v>3. JOVEN</v>
      </c>
      <c r="R661" s="8">
        <f>Titanic[[#This Row],[Familia Horizontal]]+Titanic[[#This Row],[Familia Vertical]]</f>
        <v>2</v>
      </c>
      <c r="S661" s="8"/>
      <c r="T661" s="8"/>
      <c r="U661" s="8"/>
      <c r="V661" s="8"/>
    </row>
    <row r="662" spans="2:22" x14ac:dyDescent="0.2">
      <c r="B662" s="6">
        <v>657</v>
      </c>
      <c r="C662" s="7">
        <v>0</v>
      </c>
      <c r="D662" s="8">
        <v>3</v>
      </c>
      <c r="E662" s="8" t="s">
        <v>671</v>
      </c>
      <c r="F662" s="8" t="s">
        <v>11</v>
      </c>
      <c r="G662" s="9"/>
      <c r="H662" s="8">
        <v>0</v>
      </c>
      <c r="I662" s="8">
        <v>0</v>
      </c>
      <c r="J662" s="8">
        <v>78958</v>
      </c>
      <c r="K662" s="8">
        <v>0</v>
      </c>
      <c r="L662" s="8" t="s">
        <v>12</v>
      </c>
      <c r="M662" s="8" t="str">
        <f>IF(Titanic[[#This Row],[Sobrevive]]=1, "SOBREVIVE", "NO SOBREVIVE")</f>
        <v>NO SOBREVIVE</v>
      </c>
      <c r="N662" s="8" t="str">
        <f>LOOKUP(Titanic[[#This Row],[Clase]],{1,2,3}, {"PRIMERA","SEGUNDA","TERCERA"})</f>
        <v>TERCERA</v>
      </c>
      <c r="O662" s="8" t="str">
        <f>IF(Titanic[[#This Row],[Sexo]]="Hombre", "HOMBRE", "MUJER")</f>
        <v>HOMBRE</v>
      </c>
      <c r="P662" s="8" t="str">
        <f>IF(Titanic[[#This Row],[Edad]]="", "", IF(Titanic[[#This Row],[Edad]]&gt;=100, Titanic[[#This Row],[Edad]] / 10, Titanic[[#This Row],[Edad]]))</f>
        <v/>
      </c>
      <c r="Q662" s="8" t="str">
        <f>IFERROR(LOOKUP(Titanic[[#This Row],[Edad Corrigida]],'Práctica 1'!$K$231:$K$240,'Práctica 1'!$L$231:$L$240), "DESCONOCIDO")</f>
        <v>DESCONOCIDO</v>
      </c>
      <c r="R662" s="8">
        <f>Titanic[[#This Row],[Familia Horizontal]]+Titanic[[#This Row],[Familia Vertical]]</f>
        <v>0</v>
      </c>
      <c r="S662" s="8"/>
      <c r="T662" s="8"/>
      <c r="U662" s="8"/>
      <c r="V662" s="8"/>
    </row>
    <row r="663" spans="2:22" x14ac:dyDescent="0.2">
      <c r="B663" s="6">
        <v>658</v>
      </c>
      <c r="C663" s="7">
        <v>0</v>
      </c>
      <c r="D663" s="8">
        <v>3</v>
      </c>
      <c r="E663" s="8" t="s">
        <v>672</v>
      </c>
      <c r="F663" s="8" t="s">
        <v>14</v>
      </c>
      <c r="G663" s="8">
        <v>32</v>
      </c>
      <c r="H663" s="8">
        <v>1</v>
      </c>
      <c r="I663" s="8">
        <v>1</v>
      </c>
      <c r="J663" s="8">
        <v>155</v>
      </c>
      <c r="K663" s="8">
        <v>0</v>
      </c>
      <c r="L663" s="8" t="s">
        <v>20</v>
      </c>
      <c r="M663" s="8" t="str">
        <f>IF(Titanic[[#This Row],[Sobrevive]]=1, "SOBREVIVE", "NO SOBREVIVE")</f>
        <v>NO SOBREVIVE</v>
      </c>
      <c r="N663" s="8" t="str">
        <f>LOOKUP(Titanic[[#This Row],[Clase]],{1,2,3}, {"PRIMERA","SEGUNDA","TERCERA"})</f>
        <v>TERCERA</v>
      </c>
      <c r="O663" s="8" t="str">
        <f>IF(Titanic[[#This Row],[Sexo]]="Hombre", "HOMBRE", "MUJER")</f>
        <v>MUJER</v>
      </c>
      <c r="P663" s="8">
        <f>IF(Titanic[[#This Row],[Edad]]="", "", IF(Titanic[[#This Row],[Edad]]&gt;=100, Titanic[[#This Row],[Edad]] / 10, Titanic[[#This Row],[Edad]]))</f>
        <v>32</v>
      </c>
      <c r="Q663" s="8" t="str">
        <f>IFERROR(LOOKUP(Titanic[[#This Row],[Edad Corrigida]],'Práctica 1'!$K$231:$K$240,'Práctica 1'!$L$231:$L$240), "DESCONOCIDO")</f>
        <v>6. ADULTO 1</v>
      </c>
      <c r="R663" s="8">
        <f>Titanic[[#This Row],[Familia Horizontal]]+Titanic[[#This Row],[Familia Vertical]]</f>
        <v>2</v>
      </c>
      <c r="S663" s="8"/>
      <c r="T663" s="8"/>
      <c r="U663" s="8"/>
      <c r="V663" s="8"/>
    </row>
    <row r="664" spans="2:22" x14ac:dyDescent="0.2">
      <c r="B664" s="6">
        <v>659</v>
      </c>
      <c r="C664" s="7">
        <v>0</v>
      </c>
      <c r="D664" s="8">
        <v>2</v>
      </c>
      <c r="E664" s="8" t="s">
        <v>673</v>
      </c>
      <c r="F664" s="8" t="s">
        <v>11</v>
      </c>
      <c r="G664" s="8">
        <v>23</v>
      </c>
      <c r="H664" s="8">
        <v>0</v>
      </c>
      <c r="I664" s="8">
        <v>0</v>
      </c>
      <c r="J664" s="8">
        <v>13</v>
      </c>
      <c r="K664" s="8">
        <v>0</v>
      </c>
      <c r="L664" s="8" t="s">
        <v>12</v>
      </c>
      <c r="M664" s="8" t="str">
        <f>IF(Titanic[[#This Row],[Sobrevive]]=1, "SOBREVIVE", "NO SOBREVIVE")</f>
        <v>NO SOBREVIVE</v>
      </c>
      <c r="N664" s="8" t="str">
        <f>LOOKUP(Titanic[[#This Row],[Clase]],{1,2,3}, {"PRIMERA","SEGUNDA","TERCERA"})</f>
        <v>SEGUNDA</v>
      </c>
      <c r="O664" s="8" t="str">
        <f>IF(Titanic[[#This Row],[Sexo]]="Hombre", "HOMBRE", "MUJER")</f>
        <v>HOMBRE</v>
      </c>
      <c r="P664" s="8">
        <f>IF(Titanic[[#This Row],[Edad]]="", "", IF(Titanic[[#This Row],[Edad]]&gt;=100, Titanic[[#This Row],[Edad]] / 10, Titanic[[#This Row],[Edad]]))</f>
        <v>23</v>
      </c>
      <c r="Q664" s="8" t="str">
        <f>IFERROR(LOOKUP(Titanic[[#This Row],[Edad Corrigida]],'Práctica 1'!$K$231:$K$240,'Práctica 1'!$L$231:$L$240), "DESCONOCIDO")</f>
        <v>3. JOVEN</v>
      </c>
      <c r="R664" s="8">
        <f>Titanic[[#This Row],[Familia Horizontal]]+Titanic[[#This Row],[Familia Vertical]]</f>
        <v>0</v>
      </c>
      <c r="S664" s="8"/>
      <c r="T664" s="8"/>
      <c r="U664" s="8"/>
      <c r="V664" s="8"/>
    </row>
    <row r="665" spans="2:22" x14ac:dyDescent="0.2">
      <c r="B665" s="6">
        <v>660</v>
      </c>
      <c r="C665" s="7">
        <v>0</v>
      </c>
      <c r="D665" s="8">
        <v>1</v>
      </c>
      <c r="E665" s="8" t="s">
        <v>674</v>
      </c>
      <c r="F665" s="8" t="s">
        <v>11</v>
      </c>
      <c r="G665" s="8">
        <v>58</v>
      </c>
      <c r="H665" s="8">
        <v>0</v>
      </c>
      <c r="I665" s="8">
        <v>2</v>
      </c>
      <c r="J665" s="8">
        <v>113275</v>
      </c>
      <c r="K665" s="8">
        <v>1</v>
      </c>
      <c r="L665" s="8" t="s">
        <v>15</v>
      </c>
      <c r="M665" s="8" t="str">
        <f>IF(Titanic[[#This Row],[Sobrevive]]=1, "SOBREVIVE", "NO SOBREVIVE")</f>
        <v>NO SOBREVIVE</v>
      </c>
      <c r="N665" s="8" t="str">
        <f>LOOKUP(Titanic[[#This Row],[Clase]],{1,2,3}, {"PRIMERA","SEGUNDA","TERCERA"})</f>
        <v>PRIMERA</v>
      </c>
      <c r="O665" s="8" t="str">
        <f>IF(Titanic[[#This Row],[Sexo]]="Hombre", "HOMBRE", "MUJER")</f>
        <v>HOMBRE</v>
      </c>
      <c r="P665" s="8">
        <f>IF(Titanic[[#This Row],[Edad]]="", "", IF(Titanic[[#This Row],[Edad]]&gt;=100, Titanic[[#This Row],[Edad]] / 10, Titanic[[#This Row],[Edad]]))</f>
        <v>58</v>
      </c>
      <c r="Q665" s="8" t="str">
        <f>IFERROR(LOOKUP(Titanic[[#This Row],[Edad Corrigida]],'Práctica 1'!$K$231:$K$240,'Práctica 1'!$L$231:$L$240), "DESCONOCIDO")</f>
        <v>9. ADULTO 4</v>
      </c>
      <c r="R665" s="8">
        <f>Titanic[[#This Row],[Familia Horizontal]]+Titanic[[#This Row],[Familia Vertical]]</f>
        <v>2</v>
      </c>
      <c r="S665" s="8"/>
      <c r="T665" s="8"/>
      <c r="U665" s="8"/>
      <c r="V665" s="8"/>
    </row>
    <row r="666" spans="2:22" x14ac:dyDescent="0.2">
      <c r="B666" s="6">
        <v>661</v>
      </c>
      <c r="C666" s="7">
        <v>1</v>
      </c>
      <c r="D666" s="8">
        <v>1</v>
      </c>
      <c r="E666" s="8" t="s">
        <v>675</v>
      </c>
      <c r="F666" s="8" t="s">
        <v>11</v>
      </c>
      <c r="G666" s="8">
        <v>50</v>
      </c>
      <c r="H666" s="8">
        <v>2</v>
      </c>
      <c r="I666" s="8">
        <v>0</v>
      </c>
      <c r="J666" s="8">
        <v>13365</v>
      </c>
      <c r="K666" s="8">
        <v>0</v>
      </c>
      <c r="L666" s="8" t="s">
        <v>12</v>
      </c>
      <c r="M666" s="8" t="str">
        <f>IF(Titanic[[#This Row],[Sobrevive]]=1, "SOBREVIVE", "NO SOBREVIVE")</f>
        <v>SOBREVIVE</v>
      </c>
      <c r="N666" s="8" t="str">
        <f>LOOKUP(Titanic[[#This Row],[Clase]],{1,2,3}, {"PRIMERA","SEGUNDA","TERCERA"})</f>
        <v>PRIMERA</v>
      </c>
      <c r="O666" s="8" t="str">
        <f>IF(Titanic[[#This Row],[Sexo]]="Hombre", "HOMBRE", "MUJER")</f>
        <v>HOMBRE</v>
      </c>
      <c r="P666" s="8">
        <f>IF(Titanic[[#This Row],[Edad]]="", "", IF(Titanic[[#This Row],[Edad]]&gt;=100, Titanic[[#This Row],[Edad]] / 10, Titanic[[#This Row],[Edad]]))</f>
        <v>50</v>
      </c>
      <c r="Q666" s="8" t="str">
        <f>IFERROR(LOOKUP(Titanic[[#This Row],[Edad Corrigida]],'Práctica 1'!$K$231:$K$240,'Práctica 1'!$L$231:$L$240), "DESCONOCIDO")</f>
        <v>9. ADULTO 4</v>
      </c>
      <c r="R666" s="8">
        <f>Titanic[[#This Row],[Familia Horizontal]]+Titanic[[#This Row],[Familia Vertical]]</f>
        <v>2</v>
      </c>
      <c r="S666" s="8"/>
      <c r="T666" s="8"/>
      <c r="U666" s="8"/>
      <c r="V666" s="8"/>
    </row>
    <row r="667" spans="2:22" x14ac:dyDescent="0.2">
      <c r="B667" s="6">
        <v>662</v>
      </c>
      <c r="C667" s="7">
        <v>0</v>
      </c>
      <c r="D667" s="8">
        <v>3</v>
      </c>
      <c r="E667" s="8" t="s">
        <v>676</v>
      </c>
      <c r="F667" s="8" t="s">
        <v>11</v>
      </c>
      <c r="G667" s="8">
        <v>40</v>
      </c>
      <c r="H667" s="8">
        <v>0</v>
      </c>
      <c r="I667" s="8">
        <v>0</v>
      </c>
      <c r="J667" s="8">
        <v>7225</v>
      </c>
      <c r="K667" s="8">
        <v>0</v>
      </c>
      <c r="L667" s="8" t="s">
        <v>15</v>
      </c>
      <c r="M667" s="8" t="str">
        <f>IF(Titanic[[#This Row],[Sobrevive]]=1, "SOBREVIVE", "NO SOBREVIVE")</f>
        <v>NO SOBREVIVE</v>
      </c>
      <c r="N667" s="8" t="str">
        <f>LOOKUP(Titanic[[#This Row],[Clase]],{1,2,3}, {"PRIMERA","SEGUNDA","TERCERA"})</f>
        <v>TERCERA</v>
      </c>
      <c r="O667" s="8" t="str">
        <f>IF(Titanic[[#This Row],[Sexo]]="Hombre", "HOMBRE", "MUJER")</f>
        <v>HOMBRE</v>
      </c>
      <c r="P667" s="8">
        <f>IF(Titanic[[#This Row],[Edad]]="", "", IF(Titanic[[#This Row],[Edad]]&gt;=100, Titanic[[#This Row],[Edad]] / 10, Titanic[[#This Row],[Edad]]))</f>
        <v>40</v>
      </c>
      <c r="Q667" s="8" t="str">
        <f>IFERROR(LOOKUP(Titanic[[#This Row],[Edad Corrigida]],'Práctica 1'!$K$231:$K$240,'Práctica 1'!$L$231:$L$240), "DESCONOCIDO")</f>
        <v>7. ADULTO 2</v>
      </c>
      <c r="R667" s="8">
        <f>Titanic[[#This Row],[Familia Horizontal]]+Titanic[[#This Row],[Familia Vertical]]</f>
        <v>0</v>
      </c>
      <c r="S667" s="8"/>
      <c r="T667" s="8"/>
      <c r="U667" s="8"/>
      <c r="V667" s="8"/>
    </row>
    <row r="668" spans="2:22" x14ac:dyDescent="0.2">
      <c r="B668" s="6">
        <v>663</v>
      </c>
      <c r="C668" s="7">
        <v>0</v>
      </c>
      <c r="D668" s="8">
        <v>1</v>
      </c>
      <c r="E668" s="8" t="s">
        <v>677</v>
      </c>
      <c r="F668" s="8" t="s">
        <v>11</v>
      </c>
      <c r="G668" s="8">
        <v>47</v>
      </c>
      <c r="H668" s="8">
        <v>0</v>
      </c>
      <c r="I668" s="8">
        <v>0</v>
      </c>
      <c r="J668" s="8">
        <v>255875</v>
      </c>
      <c r="K668" s="8">
        <v>1</v>
      </c>
      <c r="L668" s="8" t="s">
        <v>12</v>
      </c>
      <c r="M668" s="8" t="str">
        <f>IF(Titanic[[#This Row],[Sobrevive]]=1, "SOBREVIVE", "NO SOBREVIVE")</f>
        <v>NO SOBREVIVE</v>
      </c>
      <c r="N668" s="8" t="str">
        <f>LOOKUP(Titanic[[#This Row],[Clase]],{1,2,3}, {"PRIMERA","SEGUNDA","TERCERA"})</f>
        <v>PRIMERA</v>
      </c>
      <c r="O668" s="8" t="str">
        <f>IF(Titanic[[#This Row],[Sexo]]="Hombre", "HOMBRE", "MUJER")</f>
        <v>HOMBRE</v>
      </c>
      <c r="P668" s="8">
        <f>IF(Titanic[[#This Row],[Edad]]="", "", IF(Titanic[[#This Row],[Edad]]&gt;=100, Titanic[[#This Row],[Edad]] / 10, Titanic[[#This Row],[Edad]]))</f>
        <v>47</v>
      </c>
      <c r="Q668" s="8" t="str">
        <f>IFERROR(LOOKUP(Titanic[[#This Row],[Edad Corrigida]],'Práctica 1'!$K$231:$K$240,'Práctica 1'!$L$231:$L$240), "DESCONOCIDO")</f>
        <v>8. ADULTO 3</v>
      </c>
      <c r="R668" s="8">
        <f>Titanic[[#This Row],[Familia Horizontal]]+Titanic[[#This Row],[Familia Vertical]]</f>
        <v>0</v>
      </c>
      <c r="S668" s="8"/>
      <c r="T668" s="8"/>
      <c r="U668" s="8"/>
      <c r="V668" s="8"/>
    </row>
    <row r="669" spans="2:22" x14ac:dyDescent="0.2">
      <c r="B669" s="6">
        <v>664</v>
      </c>
      <c r="C669" s="7">
        <v>0</v>
      </c>
      <c r="D669" s="8">
        <v>3</v>
      </c>
      <c r="E669" s="8" t="s">
        <v>678</v>
      </c>
      <c r="F669" s="8" t="s">
        <v>11</v>
      </c>
      <c r="G669" s="8">
        <v>36</v>
      </c>
      <c r="H669" s="8">
        <v>0</v>
      </c>
      <c r="I669" s="8">
        <v>0</v>
      </c>
      <c r="J669" s="8">
        <v>74958</v>
      </c>
      <c r="K669" s="8">
        <v>0</v>
      </c>
      <c r="L669" s="8" t="s">
        <v>12</v>
      </c>
      <c r="M669" s="8" t="str">
        <f>IF(Titanic[[#This Row],[Sobrevive]]=1, "SOBREVIVE", "NO SOBREVIVE")</f>
        <v>NO SOBREVIVE</v>
      </c>
      <c r="N669" s="8" t="str">
        <f>LOOKUP(Titanic[[#This Row],[Clase]],{1,2,3}, {"PRIMERA","SEGUNDA","TERCERA"})</f>
        <v>TERCERA</v>
      </c>
      <c r="O669" s="8" t="str">
        <f>IF(Titanic[[#This Row],[Sexo]]="Hombre", "HOMBRE", "MUJER")</f>
        <v>HOMBRE</v>
      </c>
      <c r="P669" s="8">
        <f>IF(Titanic[[#This Row],[Edad]]="", "", IF(Titanic[[#This Row],[Edad]]&gt;=100, Titanic[[#This Row],[Edad]] / 10, Titanic[[#This Row],[Edad]]))</f>
        <v>36</v>
      </c>
      <c r="Q669" s="8" t="str">
        <f>IFERROR(LOOKUP(Titanic[[#This Row],[Edad Corrigida]],'Práctica 1'!$K$231:$K$240,'Práctica 1'!$L$231:$L$240), "DESCONOCIDO")</f>
        <v>7. ADULTO 2</v>
      </c>
      <c r="R669" s="8">
        <f>Titanic[[#This Row],[Familia Horizontal]]+Titanic[[#This Row],[Familia Vertical]]</f>
        <v>0</v>
      </c>
      <c r="S669" s="8"/>
      <c r="T669" s="8"/>
      <c r="U669" s="8"/>
      <c r="V669" s="8"/>
    </row>
    <row r="670" spans="2:22" x14ac:dyDescent="0.2">
      <c r="B670" s="6">
        <v>665</v>
      </c>
      <c r="C670" s="7">
        <v>1</v>
      </c>
      <c r="D670" s="8">
        <v>3</v>
      </c>
      <c r="E670" s="8" t="s">
        <v>679</v>
      </c>
      <c r="F670" s="8" t="s">
        <v>11</v>
      </c>
      <c r="G670" s="8">
        <v>20</v>
      </c>
      <c r="H670" s="8">
        <v>1</v>
      </c>
      <c r="I670" s="8">
        <v>0</v>
      </c>
      <c r="J670" s="8">
        <v>7925</v>
      </c>
      <c r="K670" s="8">
        <v>0</v>
      </c>
      <c r="L670" s="8" t="s">
        <v>12</v>
      </c>
      <c r="M670" s="8" t="str">
        <f>IF(Titanic[[#This Row],[Sobrevive]]=1, "SOBREVIVE", "NO SOBREVIVE")</f>
        <v>SOBREVIVE</v>
      </c>
      <c r="N670" s="8" t="str">
        <f>LOOKUP(Titanic[[#This Row],[Clase]],{1,2,3}, {"PRIMERA","SEGUNDA","TERCERA"})</f>
        <v>TERCERA</v>
      </c>
      <c r="O670" s="8" t="str">
        <f>IF(Titanic[[#This Row],[Sexo]]="Hombre", "HOMBRE", "MUJER")</f>
        <v>HOMBRE</v>
      </c>
      <c r="P670" s="8">
        <f>IF(Titanic[[#This Row],[Edad]]="", "", IF(Titanic[[#This Row],[Edad]]&gt;=100, Titanic[[#This Row],[Edad]] / 10, Titanic[[#This Row],[Edad]]))</f>
        <v>20</v>
      </c>
      <c r="Q670" s="8" t="str">
        <f>IFERROR(LOOKUP(Titanic[[#This Row],[Edad Corrigida]],'Práctica 1'!$K$231:$K$240,'Práctica 1'!$L$231:$L$240), "DESCONOCIDO")</f>
        <v>2. ADOLESCENTE</v>
      </c>
      <c r="R670" s="8">
        <f>Titanic[[#This Row],[Familia Horizontal]]+Titanic[[#This Row],[Familia Vertical]]</f>
        <v>1</v>
      </c>
      <c r="S670" s="8"/>
      <c r="T670" s="8"/>
      <c r="U670" s="8"/>
      <c r="V670" s="8"/>
    </row>
    <row r="671" spans="2:22" x14ac:dyDescent="0.2">
      <c r="B671" s="6">
        <v>666</v>
      </c>
      <c r="C671" s="7">
        <v>0</v>
      </c>
      <c r="D671" s="8">
        <v>2</v>
      </c>
      <c r="E671" s="8" t="s">
        <v>680</v>
      </c>
      <c r="F671" s="8" t="s">
        <v>11</v>
      </c>
      <c r="G671" s="8">
        <v>32</v>
      </c>
      <c r="H671" s="8">
        <v>2</v>
      </c>
      <c r="I671" s="8">
        <v>0</v>
      </c>
      <c r="J671" s="8">
        <v>735</v>
      </c>
      <c r="K671" s="8">
        <v>0</v>
      </c>
      <c r="L671" s="8" t="s">
        <v>12</v>
      </c>
      <c r="M671" s="8" t="str">
        <f>IF(Titanic[[#This Row],[Sobrevive]]=1, "SOBREVIVE", "NO SOBREVIVE")</f>
        <v>NO SOBREVIVE</v>
      </c>
      <c r="N671" s="8" t="str">
        <f>LOOKUP(Titanic[[#This Row],[Clase]],{1,2,3}, {"PRIMERA","SEGUNDA","TERCERA"})</f>
        <v>SEGUNDA</v>
      </c>
      <c r="O671" s="8" t="str">
        <f>IF(Titanic[[#This Row],[Sexo]]="Hombre", "HOMBRE", "MUJER")</f>
        <v>HOMBRE</v>
      </c>
      <c r="P671" s="8">
        <f>IF(Titanic[[#This Row],[Edad]]="", "", IF(Titanic[[#This Row],[Edad]]&gt;=100, Titanic[[#This Row],[Edad]] / 10, Titanic[[#This Row],[Edad]]))</f>
        <v>32</v>
      </c>
      <c r="Q671" s="8" t="str">
        <f>IFERROR(LOOKUP(Titanic[[#This Row],[Edad Corrigida]],'Práctica 1'!$K$231:$K$240,'Práctica 1'!$L$231:$L$240), "DESCONOCIDO")</f>
        <v>6. ADULTO 1</v>
      </c>
      <c r="R671" s="8">
        <f>Titanic[[#This Row],[Familia Horizontal]]+Titanic[[#This Row],[Familia Vertical]]</f>
        <v>2</v>
      </c>
      <c r="S671" s="8"/>
      <c r="T671" s="8"/>
      <c r="U671" s="8"/>
      <c r="V671" s="8"/>
    </row>
    <row r="672" spans="2:22" x14ac:dyDescent="0.2">
      <c r="B672" s="6">
        <v>667</v>
      </c>
      <c r="C672" s="7">
        <v>0</v>
      </c>
      <c r="D672" s="8">
        <v>2</v>
      </c>
      <c r="E672" s="8" t="s">
        <v>681</v>
      </c>
      <c r="F672" s="8" t="s">
        <v>11</v>
      </c>
      <c r="G672" s="8">
        <v>25</v>
      </c>
      <c r="H672" s="8">
        <v>0</v>
      </c>
      <c r="I672" s="8">
        <v>0</v>
      </c>
      <c r="J672" s="8">
        <v>13</v>
      </c>
      <c r="K672" s="8">
        <v>0</v>
      </c>
      <c r="L672" s="8" t="s">
        <v>12</v>
      </c>
      <c r="M672" s="8" t="str">
        <f>IF(Titanic[[#This Row],[Sobrevive]]=1, "SOBREVIVE", "NO SOBREVIVE")</f>
        <v>NO SOBREVIVE</v>
      </c>
      <c r="N672" s="8" t="str">
        <f>LOOKUP(Titanic[[#This Row],[Clase]],{1,2,3}, {"PRIMERA","SEGUNDA","TERCERA"})</f>
        <v>SEGUNDA</v>
      </c>
      <c r="O672" s="8" t="str">
        <f>IF(Titanic[[#This Row],[Sexo]]="Hombre", "HOMBRE", "MUJER")</f>
        <v>HOMBRE</v>
      </c>
      <c r="P672" s="8">
        <f>IF(Titanic[[#This Row],[Edad]]="", "", IF(Titanic[[#This Row],[Edad]]&gt;=100, Titanic[[#This Row],[Edad]] / 10, Titanic[[#This Row],[Edad]]))</f>
        <v>25</v>
      </c>
      <c r="Q672" s="8" t="str">
        <f>IFERROR(LOOKUP(Titanic[[#This Row],[Edad Corrigida]],'Práctica 1'!$K$231:$K$240,'Práctica 1'!$L$231:$L$240), "DESCONOCIDO")</f>
        <v>4. ADULTO JOVEN</v>
      </c>
      <c r="R672" s="8">
        <f>Titanic[[#This Row],[Familia Horizontal]]+Titanic[[#This Row],[Familia Vertical]]</f>
        <v>0</v>
      </c>
      <c r="S672" s="8"/>
      <c r="T672" s="8"/>
      <c r="U672" s="8"/>
      <c r="V672" s="8"/>
    </row>
    <row r="673" spans="2:22" x14ac:dyDescent="0.2">
      <c r="B673" s="6">
        <v>668</v>
      </c>
      <c r="C673" s="7">
        <v>0</v>
      </c>
      <c r="D673" s="8">
        <v>3</v>
      </c>
      <c r="E673" s="8" t="s">
        <v>682</v>
      </c>
      <c r="F673" s="8" t="s">
        <v>11</v>
      </c>
      <c r="G673" s="9"/>
      <c r="H673" s="8">
        <v>0</v>
      </c>
      <c r="I673" s="8">
        <v>0</v>
      </c>
      <c r="J673" s="8">
        <v>7775</v>
      </c>
      <c r="K673" s="8">
        <v>0</v>
      </c>
      <c r="L673" s="8" t="s">
        <v>12</v>
      </c>
      <c r="M673" s="8" t="str">
        <f>IF(Titanic[[#This Row],[Sobrevive]]=1, "SOBREVIVE", "NO SOBREVIVE")</f>
        <v>NO SOBREVIVE</v>
      </c>
      <c r="N673" s="8" t="str">
        <f>LOOKUP(Titanic[[#This Row],[Clase]],{1,2,3}, {"PRIMERA","SEGUNDA","TERCERA"})</f>
        <v>TERCERA</v>
      </c>
      <c r="O673" s="8" t="str">
        <f>IF(Titanic[[#This Row],[Sexo]]="Hombre", "HOMBRE", "MUJER")</f>
        <v>HOMBRE</v>
      </c>
      <c r="P673" s="8" t="str">
        <f>IF(Titanic[[#This Row],[Edad]]="", "", IF(Titanic[[#This Row],[Edad]]&gt;=100, Titanic[[#This Row],[Edad]] / 10, Titanic[[#This Row],[Edad]]))</f>
        <v/>
      </c>
      <c r="Q673" s="8" t="str">
        <f>IFERROR(LOOKUP(Titanic[[#This Row],[Edad Corrigida]],'Práctica 1'!$K$231:$K$240,'Práctica 1'!$L$231:$L$240), "DESCONOCIDO")</f>
        <v>DESCONOCIDO</v>
      </c>
      <c r="R673" s="8">
        <f>Titanic[[#This Row],[Familia Horizontal]]+Titanic[[#This Row],[Familia Vertical]]</f>
        <v>0</v>
      </c>
      <c r="S673" s="8"/>
      <c r="T673" s="8"/>
      <c r="U673" s="8"/>
      <c r="V673" s="8"/>
    </row>
    <row r="674" spans="2:22" x14ac:dyDescent="0.2">
      <c r="B674" s="6">
        <v>669</v>
      </c>
      <c r="C674" s="7">
        <v>0</v>
      </c>
      <c r="D674" s="8">
        <v>3</v>
      </c>
      <c r="E674" s="8" t="s">
        <v>683</v>
      </c>
      <c r="F674" s="8" t="s">
        <v>11</v>
      </c>
      <c r="G674" s="8">
        <v>43</v>
      </c>
      <c r="H674" s="8">
        <v>0</v>
      </c>
      <c r="I674" s="8">
        <v>0</v>
      </c>
      <c r="J674" s="8">
        <v>805</v>
      </c>
      <c r="K674" s="8">
        <v>0</v>
      </c>
      <c r="L674" s="8" t="s">
        <v>12</v>
      </c>
      <c r="M674" s="8" t="str">
        <f>IF(Titanic[[#This Row],[Sobrevive]]=1, "SOBREVIVE", "NO SOBREVIVE")</f>
        <v>NO SOBREVIVE</v>
      </c>
      <c r="N674" s="8" t="str">
        <f>LOOKUP(Titanic[[#This Row],[Clase]],{1,2,3}, {"PRIMERA","SEGUNDA","TERCERA"})</f>
        <v>TERCERA</v>
      </c>
      <c r="O674" s="8" t="str">
        <f>IF(Titanic[[#This Row],[Sexo]]="Hombre", "HOMBRE", "MUJER")</f>
        <v>HOMBRE</v>
      </c>
      <c r="P674" s="8">
        <f>IF(Titanic[[#This Row],[Edad]]="", "", IF(Titanic[[#This Row],[Edad]]&gt;=100, Titanic[[#This Row],[Edad]] / 10, Titanic[[#This Row],[Edad]]))</f>
        <v>43</v>
      </c>
      <c r="Q674" s="8" t="str">
        <f>IFERROR(LOOKUP(Titanic[[#This Row],[Edad Corrigida]],'Práctica 1'!$K$231:$K$240,'Práctica 1'!$L$231:$L$240), "DESCONOCIDO")</f>
        <v>8. ADULTO 3</v>
      </c>
      <c r="R674" s="8">
        <f>Titanic[[#This Row],[Familia Horizontal]]+Titanic[[#This Row],[Familia Vertical]]</f>
        <v>0</v>
      </c>
      <c r="S674" s="8"/>
      <c r="T674" s="8"/>
      <c r="U674" s="8"/>
      <c r="V674" s="8"/>
    </row>
    <row r="675" spans="2:22" x14ac:dyDescent="0.2">
      <c r="B675" s="6">
        <v>670</v>
      </c>
      <c r="C675" s="7">
        <v>1</v>
      </c>
      <c r="D675" s="8">
        <v>1</v>
      </c>
      <c r="E675" s="8" t="s">
        <v>684</v>
      </c>
      <c r="F675" s="8" t="s">
        <v>14</v>
      </c>
      <c r="G675" s="9"/>
      <c r="H675" s="8">
        <v>1</v>
      </c>
      <c r="I675" s="8">
        <v>0</v>
      </c>
      <c r="J675" s="8">
        <v>52</v>
      </c>
      <c r="K675" s="8">
        <v>1</v>
      </c>
      <c r="L675" s="8" t="s">
        <v>12</v>
      </c>
      <c r="M675" s="8" t="str">
        <f>IF(Titanic[[#This Row],[Sobrevive]]=1, "SOBREVIVE", "NO SOBREVIVE")</f>
        <v>SOBREVIVE</v>
      </c>
      <c r="N675" s="8" t="str">
        <f>LOOKUP(Titanic[[#This Row],[Clase]],{1,2,3}, {"PRIMERA","SEGUNDA","TERCERA"})</f>
        <v>PRIMERA</v>
      </c>
      <c r="O675" s="8" t="str">
        <f>IF(Titanic[[#This Row],[Sexo]]="Hombre", "HOMBRE", "MUJER")</f>
        <v>MUJER</v>
      </c>
      <c r="P675" s="8" t="str">
        <f>IF(Titanic[[#This Row],[Edad]]="", "", IF(Titanic[[#This Row],[Edad]]&gt;=100, Titanic[[#This Row],[Edad]] / 10, Titanic[[#This Row],[Edad]]))</f>
        <v/>
      </c>
      <c r="Q675" s="8" t="str">
        <f>IFERROR(LOOKUP(Titanic[[#This Row],[Edad Corrigida]],'Práctica 1'!$K$231:$K$240,'Práctica 1'!$L$231:$L$240), "DESCONOCIDO")</f>
        <v>DESCONOCIDO</v>
      </c>
      <c r="R675" s="8">
        <f>Titanic[[#This Row],[Familia Horizontal]]+Titanic[[#This Row],[Familia Vertical]]</f>
        <v>1</v>
      </c>
      <c r="S675" s="8"/>
      <c r="T675" s="8"/>
      <c r="U675" s="8"/>
      <c r="V675" s="8"/>
    </row>
    <row r="676" spans="2:22" x14ac:dyDescent="0.2">
      <c r="B676" s="6">
        <v>671</v>
      </c>
      <c r="C676" s="7">
        <v>1</v>
      </c>
      <c r="D676" s="8">
        <v>2</v>
      </c>
      <c r="E676" s="8" t="s">
        <v>685</v>
      </c>
      <c r="F676" s="8" t="s">
        <v>14</v>
      </c>
      <c r="G676" s="8">
        <v>40</v>
      </c>
      <c r="H676" s="8">
        <v>1</v>
      </c>
      <c r="I676" s="8">
        <v>1</v>
      </c>
      <c r="J676" s="8">
        <v>39</v>
      </c>
      <c r="K676" s="8">
        <v>0</v>
      </c>
      <c r="L676" s="8" t="s">
        <v>12</v>
      </c>
      <c r="M676" s="8" t="str">
        <f>IF(Titanic[[#This Row],[Sobrevive]]=1, "SOBREVIVE", "NO SOBREVIVE")</f>
        <v>SOBREVIVE</v>
      </c>
      <c r="N676" s="8" t="str">
        <f>LOOKUP(Titanic[[#This Row],[Clase]],{1,2,3}, {"PRIMERA","SEGUNDA","TERCERA"})</f>
        <v>SEGUNDA</v>
      </c>
      <c r="O676" s="8" t="str">
        <f>IF(Titanic[[#This Row],[Sexo]]="Hombre", "HOMBRE", "MUJER")</f>
        <v>MUJER</v>
      </c>
      <c r="P676" s="8">
        <f>IF(Titanic[[#This Row],[Edad]]="", "", IF(Titanic[[#This Row],[Edad]]&gt;=100, Titanic[[#This Row],[Edad]] / 10, Titanic[[#This Row],[Edad]]))</f>
        <v>40</v>
      </c>
      <c r="Q676" s="8" t="str">
        <f>IFERROR(LOOKUP(Titanic[[#This Row],[Edad Corrigida]],'Práctica 1'!$K$231:$K$240,'Práctica 1'!$L$231:$L$240), "DESCONOCIDO")</f>
        <v>7. ADULTO 2</v>
      </c>
      <c r="R676" s="8">
        <f>Titanic[[#This Row],[Familia Horizontal]]+Titanic[[#This Row],[Familia Vertical]]</f>
        <v>2</v>
      </c>
      <c r="S676" s="8"/>
      <c r="T676" s="8"/>
      <c r="U676" s="8"/>
      <c r="V676" s="8"/>
    </row>
    <row r="677" spans="2:22" x14ac:dyDescent="0.2">
      <c r="B677" s="6">
        <v>672</v>
      </c>
      <c r="C677" s="7">
        <v>0</v>
      </c>
      <c r="D677" s="8">
        <v>1</v>
      </c>
      <c r="E677" s="8" t="s">
        <v>686</v>
      </c>
      <c r="F677" s="8" t="s">
        <v>11</v>
      </c>
      <c r="G677" s="8">
        <v>31</v>
      </c>
      <c r="H677" s="8">
        <v>1</v>
      </c>
      <c r="I677" s="8">
        <v>0</v>
      </c>
      <c r="J677" s="8">
        <v>52</v>
      </c>
      <c r="K677" s="8">
        <v>1</v>
      </c>
      <c r="L677" s="8" t="s">
        <v>12</v>
      </c>
      <c r="M677" s="8" t="str">
        <f>IF(Titanic[[#This Row],[Sobrevive]]=1, "SOBREVIVE", "NO SOBREVIVE")</f>
        <v>NO SOBREVIVE</v>
      </c>
      <c r="N677" s="8" t="str">
        <f>LOOKUP(Titanic[[#This Row],[Clase]],{1,2,3}, {"PRIMERA","SEGUNDA","TERCERA"})</f>
        <v>PRIMERA</v>
      </c>
      <c r="O677" s="8" t="str">
        <f>IF(Titanic[[#This Row],[Sexo]]="Hombre", "HOMBRE", "MUJER")</f>
        <v>HOMBRE</v>
      </c>
      <c r="P677" s="8">
        <f>IF(Titanic[[#This Row],[Edad]]="", "", IF(Titanic[[#This Row],[Edad]]&gt;=100, Titanic[[#This Row],[Edad]] / 10, Titanic[[#This Row],[Edad]]))</f>
        <v>31</v>
      </c>
      <c r="Q677" s="8" t="str">
        <f>IFERROR(LOOKUP(Titanic[[#This Row],[Edad Corrigida]],'Práctica 1'!$K$231:$K$240,'Práctica 1'!$L$231:$L$240), "DESCONOCIDO")</f>
        <v>5. ADULTO</v>
      </c>
      <c r="R677" s="8">
        <f>Titanic[[#This Row],[Familia Horizontal]]+Titanic[[#This Row],[Familia Vertical]]</f>
        <v>1</v>
      </c>
      <c r="S677" s="8"/>
      <c r="T677" s="8"/>
      <c r="U677" s="8"/>
      <c r="V677" s="8"/>
    </row>
    <row r="678" spans="2:22" x14ac:dyDescent="0.2">
      <c r="B678" s="6">
        <v>673</v>
      </c>
      <c r="C678" s="7">
        <v>0</v>
      </c>
      <c r="D678" s="8">
        <v>2</v>
      </c>
      <c r="E678" s="8" t="s">
        <v>687</v>
      </c>
      <c r="F678" s="8" t="s">
        <v>11</v>
      </c>
      <c r="G678" s="8">
        <v>70</v>
      </c>
      <c r="H678" s="8">
        <v>0</v>
      </c>
      <c r="I678" s="8">
        <v>0</v>
      </c>
      <c r="J678" s="8">
        <v>105</v>
      </c>
      <c r="K678" s="8">
        <v>0</v>
      </c>
      <c r="L678" s="8" t="s">
        <v>12</v>
      </c>
      <c r="M678" s="8" t="str">
        <f>IF(Titanic[[#This Row],[Sobrevive]]=1, "SOBREVIVE", "NO SOBREVIVE")</f>
        <v>NO SOBREVIVE</v>
      </c>
      <c r="N678" s="8" t="str">
        <f>LOOKUP(Titanic[[#This Row],[Clase]],{1,2,3}, {"PRIMERA","SEGUNDA","TERCERA"})</f>
        <v>SEGUNDA</v>
      </c>
      <c r="O678" s="8" t="str">
        <f>IF(Titanic[[#This Row],[Sexo]]="Hombre", "HOMBRE", "MUJER")</f>
        <v>HOMBRE</v>
      </c>
      <c r="P678" s="8">
        <f>IF(Titanic[[#This Row],[Edad]]="", "", IF(Titanic[[#This Row],[Edad]]&gt;=100, Titanic[[#This Row],[Edad]] / 10, Titanic[[#This Row],[Edad]]))</f>
        <v>70</v>
      </c>
      <c r="Q678" s="8" t="str">
        <f>IFERROR(LOOKUP(Titanic[[#This Row],[Edad Corrigida]],'Práctica 1'!$K$231:$K$240,'Práctica 1'!$L$231:$L$240), "DESCONOCIDO")</f>
        <v>9. ADULTO 4</v>
      </c>
      <c r="R678" s="8">
        <f>Titanic[[#This Row],[Familia Horizontal]]+Titanic[[#This Row],[Familia Vertical]]</f>
        <v>0</v>
      </c>
      <c r="S678" s="8"/>
      <c r="T678" s="8"/>
      <c r="U678" s="8"/>
      <c r="V678" s="8"/>
    </row>
    <row r="679" spans="2:22" x14ac:dyDescent="0.2">
      <c r="B679" s="6">
        <v>674</v>
      </c>
      <c r="C679" s="7">
        <v>1</v>
      </c>
      <c r="D679" s="8">
        <v>2</v>
      </c>
      <c r="E679" s="8" t="s">
        <v>688</v>
      </c>
      <c r="F679" s="8" t="s">
        <v>11</v>
      </c>
      <c r="G679" s="8">
        <v>31</v>
      </c>
      <c r="H679" s="8">
        <v>0</v>
      </c>
      <c r="I679" s="8">
        <v>0</v>
      </c>
      <c r="J679" s="8">
        <v>13</v>
      </c>
      <c r="K679" s="8">
        <v>0</v>
      </c>
      <c r="L679" s="8" t="s">
        <v>12</v>
      </c>
      <c r="M679" s="8" t="str">
        <f>IF(Titanic[[#This Row],[Sobrevive]]=1, "SOBREVIVE", "NO SOBREVIVE")</f>
        <v>SOBREVIVE</v>
      </c>
      <c r="N679" s="8" t="str">
        <f>LOOKUP(Titanic[[#This Row],[Clase]],{1,2,3}, {"PRIMERA","SEGUNDA","TERCERA"})</f>
        <v>SEGUNDA</v>
      </c>
      <c r="O679" s="8" t="str">
        <f>IF(Titanic[[#This Row],[Sexo]]="Hombre", "HOMBRE", "MUJER")</f>
        <v>HOMBRE</v>
      </c>
      <c r="P679" s="8">
        <f>IF(Titanic[[#This Row],[Edad]]="", "", IF(Titanic[[#This Row],[Edad]]&gt;=100, Titanic[[#This Row],[Edad]] / 10, Titanic[[#This Row],[Edad]]))</f>
        <v>31</v>
      </c>
      <c r="Q679" s="8" t="str">
        <f>IFERROR(LOOKUP(Titanic[[#This Row],[Edad Corrigida]],'Práctica 1'!$K$231:$K$240,'Práctica 1'!$L$231:$L$240), "DESCONOCIDO")</f>
        <v>5. ADULTO</v>
      </c>
      <c r="R679" s="8">
        <f>Titanic[[#This Row],[Familia Horizontal]]+Titanic[[#This Row],[Familia Vertical]]</f>
        <v>0</v>
      </c>
      <c r="S679" s="8"/>
      <c r="T679" s="8"/>
      <c r="U679" s="8"/>
      <c r="V679" s="8"/>
    </row>
    <row r="680" spans="2:22" x14ac:dyDescent="0.2">
      <c r="B680" s="6">
        <v>675</v>
      </c>
      <c r="C680" s="7">
        <v>0</v>
      </c>
      <c r="D680" s="8">
        <v>2</v>
      </c>
      <c r="E680" s="8" t="s">
        <v>689</v>
      </c>
      <c r="F680" s="8" t="s">
        <v>11</v>
      </c>
      <c r="G680" s="9"/>
      <c r="H680" s="8">
        <v>0</v>
      </c>
      <c r="I680" s="8">
        <v>0</v>
      </c>
      <c r="J680" s="8">
        <v>0</v>
      </c>
      <c r="K680" s="8">
        <v>0</v>
      </c>
      <c r="L680" s="8" t="s">
        <v>12</v>
      </c>
      <c r="M680" s="8" t="str">
        <f>IF(Titanic[[#This Row],[Sobrevive]]=1, "SOBREVIVE", "NO SOBREVIVE")</f>
        <v>NO SOBREVIVE</v>
      </c>
      <c r="N680" s="8" t="str">
        <f>LOOKUP(Titanic[[#This Row],[Clase]],{1,2,3}, {"PRIMERA","SEGUNDA","TERCERA"})</f>
        <v>SEGUNDA</v>
      </c>
      <c r="O680" s="8" t="str">
        <f>IF(Titanic[[#This Row],[Sexo]]="Hombre", "HOMBRE", "MUJER")</f>
        <v>HOMBRE</v>
      </c>
      <c r="P680" s="8" t="str">
        <f>IF(Titanic[[#This Row],[Edad]]="", "", IF(Titanic[[#This Row],[Edad]]&gt;=100, Titanic[[#This Row],[Edad]] / 10, Titanic[[#This Row],[Edad]]))</f>
        <v/>
      </c>
      <c r="Q680" s="8" t="str">
        <f>IFERROR(LOOKUP(Titanic[[#This Row],[Edad Corrigida]],'Práctica 1'!$K$231:$K$240,'Práctica 1'!$L$231:$L$240), "DESCONOCIDO")</f>
        <v>DESCONOCIDO</v>
      </c>
      <c r="R680" s="8">
        <f>Titanic[[#This Row],[Familia Horizontal]]+Titanic[[#This Row],[Familia Vertical]]</f>
        <v>0</v>
      </c>
      <c r="S680" s="8"/>
      <c r="T680" s="8"/>
      <c r="U680" s="8"/>
      <c r="V680" s="8"/>
    </row>
    <row r="681" spans="2:22" x14ac:dyDescent="0.2">
      <c r="B681" s="6">
        <v>676</v>
      </c>
      <c r="C681" s="7">
        <v>0</v>
      </c>
      <c r="D681" s="8">
        <v>3</v>
      </c>
      <c r="E681" s="8" t="s">
        <v>690</v>
      </c>
      <c r="F681" s="8" t="s">
        <v>11</v>
      </c>
      <c r="G681" s="8">
        <v>18</v>
      </c>
      <c r="H681" s="8">
        <v>0</v>
      </c>
      <c r="I681" s="8">
        <v>0</v>
      </c>
      <c r="J681" s="8">
        <v>7775</v>
      </c>
      <c r="K681" s="8">
        <v>0</v>
      </c>
      <c r="L681" s="8" t="s">
        <v>12</v>
      </c>
      <c r="M681" s="8" t="str">
        <f>IF(Titanic[[#This Row],[Sobrevive]]=1, "SOBREVIVE", "NO SOBREVIVE")</f>
        <v>NO SOBREVIVE</v>
      </c>
      <c r="N681" s="8" t="str">
        <f>LOOKUP(Titanic[[#This Row],[Clase]],{1,2,3}, {"PRIMERA","SEGUNDA","TERCERA"})</f>
        <v>TERCERA</v>
      </c>
      <c r="O681" s="8" t="str">
        <f>IF(Titanic[[#This Row],[Sexo]]="Hombre", "HOMBRE", "MUJER")</f>
        <v>HOMBRE</v>
      </c>
      <c r="P681" s="8">
        <f>IF(Titanic[[#This Row],[Edad]]="", "", IF(Titanic[[#This Row],[Edad]]&gt;=100, Titanic[[#This Row],[Edad]] / 10, Titanic[[#This Row],[Edad]]))</f>
        <v>18</v>
      </c>
      <c r="Q681" s="8" t="str">
        <f>IFERROR(LOOKUP(Titanic[[#This Row],[Edad Corrigida]],'Práctica 1'!$K$231:$K$240,'Práctica 1'!$L$231:$L$240), "DESCONOCIDO")</f>
        <v>1. INFANTE</v>
      </c>
      <c r="R681" s="8">
        <f>Titanic[[#This Row],[Familia Horizontal]]+Titanic[[#This Row],[Familia Vertical]]</f>
        <v>0</v>
      </c>
      <c r="S681" s="8"/>
      <c r="T681" s="8"/>
      <c r="U681" s="8"/>
      <c r="V681" s="8"/>
    </row>
    <row r="682" spans="2:22" x14ac:dyDescent="0.2">
      <c r="B682" s="6">
        <v>677</v>
      </c>
      <c r="C682" s="7">
        <v>0</v>
      </c>
      <c r="D682" s="8">
        <v>3</v>
      </c>
      <c r="E682" s="8" t="s">
        <v>691</v>
      </c>
      <c r="F682" s="8" t="s">
        <v>11</v>
      </c>
      <c r="G682" s="8">
        <v>245</v>
      </c>
      <c r="H682" s="8">
        <v>0</v>
      </c>
      <c r="I682" s="8">
        <v>0</v>
      </c>
      <c r="J682" s="8">
        <v>805</v>
      </c>
      <c r="K682" s="8">
        <v>0</v>
      </c>
      <c r="L682" s="8" t="s">
        <v>12</v>
      </c>
      <c r="M682" s="8" t="str">
        <f>IF(Titanic[[#This Row],[Sobrevive]]=1, "SOBREVIVE", "NO SOBREVIVE")</f>
        <v>NO SOBREVIVE</v>
      </c>
      <c r="N682" s="8" t="str">
        <f>LOOKUP(Titanic[[#This Row],[Clase]],{1,2,3}, {"PRIMERA","SEGUNDA","TERCERA"})</f>
        <v>TERCERA</v>
      </c>
      <c r="O682" s="8" t="str">
        <f>IF(Titanic[[#This Row],[Sexo]]="Hombre", "HOMBRE", "MUJER")</f>
        <v>HOMBRE</v>
      </c>
      <c r="P682" s="8">
        <f>IF(Titanic[[#This Row],[Edad]]="", "", IF(Titanic[[#This Row],[Edad]]&gt;=100, Titanic[[#This Row],[Edad]] / 10, Titanic[[#This Row],[Edad]]))</f>
        <v>24.5</v>
      </c>
      <c r="Q682" s="8" t="str">
        <f>IFERROR(LOOKUP(Titanic[[#This Row],[Edad Corrigida]],'Práctica 1'!$K$231:$K$240,'Práctica 1'!$L$231:$L$240), "DESCONOCIDO")</f>
        <v>3. JOVEN</v>
      </c>
      <c r="R682" s="8">
        <f>Titanic[[#This Row],[Familia Horizontal]]+Titanic[[#This Row],[Familia Vertical]]</f>
        <v>0</v>
      </c>
      <c r="S682" s="8"/>
      <c r="T682" s="8"/>
      <c r="U682" s="8"/>
      <c r="V682" s="8"/>
    </row>
    <row r="683" spans="2:22" x14ac:dyDescent="0.2">
      <c r="B683" s="6">
        <v>678</v>
      </c>
      <c r="C683" s="7">
        <v>1</v>
      </c>
      <c r="D683" s="8">
        <v>3</v>
      </c>
      <c r="E683" s="8" t="s">
        <v>692</v>
      </c>
      <c r="F683" s="8" t="s">
        <v>14</v>
      </c>
      <c r="G683" s="8">
        <v>18</v>
      </c>
      <c r="H683" s="8">
        <v>0</v>
      </c>
      <c r="I683" s="8">
        <v>0</v>
      </c>
      <c r="J683" s="8">
        <v>98417</v>
      </c>
      <c r="K683" s="8">
        <v>0</v>
      </c>
      <c r="L683" s="8" t="s">
        <v>12</v>
      </c>
      <c r="M683" s="8" t="str">
        <f>IF(Titanic[[#This Row],[Sobrevive]]=1, "SOBREVIVE", "NO SOBREVIVE")</f>
        <v>SOBREVIVE</v>
      </c>
      <c r="N683" s="8" t="str">
        <f>LOOKUP(Titanic[[#This Row],[Clase]],{1,2,3}, {"PRIMERA","SEGUNDA","TERCERA"})</f>
        <v>TERCERA</v>
      </c>
      <c r="O683" s="8" t="str">
        <f>IF(Titanic[[#This Row],[Sexo]]="Hombre", "HOMBRE", "MUJER")</f>
        <v>MUJER</v>
      </c>
      <c r="P683" s="8">
        <f>IF(Titanic[[#This Row],[Edad]]="", "", IF(Titanic[[#This Row],[Edad]]&gt;=100, Titanic[[#This Row],[Edad]] / 10, Titanic[[#This Row],[Edad]]))</f>
        <v>18</v>
      </c>
      <c r="Q683" s="8" t="str">
        <f>IFERROR(LOOKUP(Titanic[[#This Row],[Edad Corrigida]],'Práctica 1'!$K$231:$K$240,'Práctica 1'!$L$231:$L$240), "DESCONOCIDO")</f>
        <v>1. INFANTE</v>
      </c>
      <c r="R683" s="8">
        <f>Titanic[[#This Row],[Familia Horizontal]]+Titanic[[#This Row],[Familia Vertical]]</f>
        <v>0</v>
      </c>
      <c r="S683" s="8"/>
      <c r="T683" s="8"/>
      <c r="U683" s="8"/>
      <c r="V683" s="8"/>
    </row>
    <row r="684" spans="2:22" x14ac:dyDescent="0.2">
      <c r="B684" s="6">
        <v>679</v>
      </c>
      <c r="C684" s="7">
        <v>0</v>
      </c>
      <c r="D684" s="8">
        <v>3</v>
      </c>
      <c r="E684" s="8" t="s">
        <v>693</v>
      </c>
      <c r="F684" s="8" t="s">
        <v>14</v>
      </c>
      <c r="G684" s="8">
        <v>43</v>
      </c>
      <c r="H684" s="8">
        <v>1</v>
      </c>
      <c r="I684" s="8">
        <v>6</v>
      </c>
      <c r="J684" s="8">
        <v>469</v>
      </c>
      <c r="K684" s="8">
        <v>0</v>
      </c>
      <c r="L684" s="8" t="s">
        <v>12</v>
      </c>
      <c r="M684" s="8" t="str">
        <f>IF(Titanic[[#This Row],[Sobrevive]]=1, "SOBREVIVE", "NO SOBREVIVE")</f>
        <v>NO SOBREVIVE</v>
      </c>
      <c r="N684" s="8" t="str">
        <f>LOOKUP(Titanic[[#This Row],[Clase]],{1,2,3}, {"PRIMERA","SEGUNDA","TERCERA"})</f>
        <v>TERCERA</v>
      </c>
      <c r="O684" s="8" t="str">
        <f>IF(Titanic[[#This Row],[Sexo]]="Hombre", "HOMBRE", "MUJER")</f>
        <v>MUJER</v>
      </c>
      <c r="P684" s="8">
        <f>IF(Titanic[[#This Row],[Edad]]="", "", IF(Titanic[[#This Row],[Edad]]&gt;=100, Titanic[[#This Row],[Edad]] / 10, Titanic[[#This Row],[Edad]]))</f>
        <v>43</v>
      </c>
      <c r="Q684" s="8" t="str">
        <f>IFERROR(LOOKUP(Titanic[[#This Row],[Edad Corrigida]],'Práctica 1'!$K$231:$K$240,'Práctica 1'!$L$231:$L$240), "DESCONOCIDO")</f>
        <v>8. ADULTO 3</v>
      </c>
      <c r="R684" s="8">
        <f>Titanic[[#This Row],[Familia Horizontal]]+Titanic[[#This Row],[Familia Vertical]]</f>
        <v>7</v>
      </c>
      <c r="S684" s="8"/>
      <c r="T684" s="8"/>
      <c r="U684" s="8"/>
      <c r="V684" s="8"/>
    </row>
    <row r="685" spans="2:22" x14ac:dyDescent="0.2">
      <c r="B685" s="6">
        <v>680</v>
      </c>
      <c r="C685" s="7">
        <v>1</v>
      </c>
      <c r="D685" s="8">
        <v>1</v>
      </c>
      <c r="E685" s="8" t="s">
        <v>694</v>
      </c>
      <c r="F685" s="8" t="s">
        <v>11</v>
      </c>
      <c r="G685" s="8">
        <v>36</v>
      </c>
      <c r="H685" s="8">
        <v>0</v>
      </c>
      <c r="I685" s="8">
        <v>1</v>
      </c>
      <c r="J685" s="8">
        <v>5123292</v>
      </c>
      <c r="K685" s="8">
        <v>1</v>
      </c>
      <c r="L685" s="8" t="s">
        <v>15</v>
      </c>
      <c r="M685" s="8" t="str">
        <f>IF(Titanic[[#This Row],[Sobrevive]]=1, "SOBREVIVE", "NO SOBREVIVE")</f>
        <v>SOBREVIVE</v>
      </c>
      <c r="N685" s="8" t="str">
        <f>LOOKUP(Titanic[[#This Row],[Clase]],{1,2,3}, {"PRIMERA","SEGUNDA","TERCERA"})</f>
        <v>PRIMERA</v>
      </c>
      <c r="O685" s="8" t="str">
        <f>IF(Titanic[[#This Row],[Sexo]]="Hombre", "HOMBRE", "MUJER")</f>
        <v>HOMBRE</v>
      </c>
      <c r="P685" s="8">
        <f>IF(Titanic[[#This Row],[Edad]]="", "", IF(Titanic[[#This Row],[Edad]]&gt;=100, Titanic[[#This Row],[Edad]] / 10, Titanic[[#This Row],[Edad]]))</f>
        <v>36</v>
      </c>
      <c r="Q685" s="8" t="str">
        <f>IFERROR(LOOKUP(Titanic[[#This Row],[Edad Corrigida]],'Práctica 1'!$K$231:$K$240,'Práctica 1'!$L$231:$L$240), "DESCONOCIDO")</f>
        <v>7. ADULTO 2</v>
      </c>
      <c r="R685" s="8">
        <f>Titanic[[#This Row],[Familia Horizontal]]+Titanic[[#This Row],[Familia Vertical]]</f>
        <v>1</v>
      </c>
      <c r="S685" s="8"/>
      <c r="T685" s="8"/>
      <c r="U685" s="8"/>
      <c r="V685" s="8"/>
    </row>
    <row r="686" spans="2:22" x14ac:dyDescent="0.2">
      <c r="B686" s="6">
        <v>681</v>
      </c>
      <c r="C686" s="7">
        <v>0</v>
      </c>
      <c r="D686" s="8">
        <v>3</v>
      </c>
      <c r="E686" s="8" t="s">
        <v>695</v>
      </c>
      <c r="F686" s="8" t="s">
        <v>14</v>
      </c>
      <c r="G686" s="9"/>
      <c r="H686" s="8">
        <v>0</v>
      </c>
      <c r="I686" s="8">
        <v>0</v>
      </c>
      <c r="J686" s="8">
        <v>81375</v>
      </c>
      <c r="K686" s="8">
        <v>0</v>
      </c>
      <c r="L686" s="8" t="s">
        <v>20</v>
      </c>
      <c r="M686" s="8" t="str">
        <f>IF(Titanic[[#This Row],[Sobrevive]]=1, "SOBREVIVE", "NO SOBREVIVE")</f>
        <v>NO SOBREVIVE</v>
      </c>
      <c r="N686" s="8" t="str">
        <f>LOOKUP(Titanic[[#This Row],[Clase]],{1,2,3}, {"PRIMERA","SEGUNDA","TERCERA"})</f>
        <v>TERCERA</v>
      </c>
      <c r="O686" s="8" t="str">
        <f>IF(Titanic[[#This Row],[Sexo]]="Hombre", "HOMBRE", "MUJER")</f>
        <v>MUJER</v>
      </c>
      <c r="P686" s="8" t="str">
        <f>IF(Titanic[[#This Row],[Edad]]="", "", IF(Titanic[[#This Row],[Edad]]&gt;=100, Titanic[[#This Row],[Edad]] / 10, Titanic[[#This Row],[Edad]]))</f>
        <v/>
      </c>
      <c r="Q686" s="8" t="str">
        <f>IFERROR(LOOKUP(Titanic[[#This Row],[Edad Corrigida]],'Práctica 1'!$K$231:$K$240,'Práctica 1'!$L$231:$L$240), "DESCONOCIDO")</f>
        <v>DESCONOCIDO</v>
      </c>
      <c r="R686" s="8">
        <f>Titanic[[#This Row],[Familia Horizontal]]+Titanic[[#This Row],[Familia Vertical]]</f>
        <v>0</v>
      </c>
      <c r="S686" s="8"/>
      <c r="T686" s="8"/>
      <c r="U686" s="8"/>
      <c r="V686" s="8"/>
    </row>
    <row r="687" spans="2:22" x14ac:dyDescent="0.2">
      <c r="B687" s="6">
        <v>682</v>
      </c>
      <c r="C687" s="7">
        <v>1</v>
      </c>
      <c r="D687" s="8">
        <v>1</v>
      </c>
      <c r="E687" s="8" t="s">
        <v>696</v>
      </c>
      <c r="F687" s="8" t="s">
        <v>11</v>
      </c>
      <c r="G687" s="8">
        <v>27</v>
      </c>
      <c r="H687" s="8">
        <v>0</v>
      </c>
      <c r="I687" s="8">
        <v>0</v>
      </c>
      <c r="J687" s="8">
        <v>767292</v>
      </c>
      <c r="K687" s="8">
        <v>1</v>
      </c>
      <c r="L687" s="8" t="s">
        <v>15</v>
      </c>
      <c r="M687" s="8" t="str">
        <f>IF(Titanic[[#This Row],[Sobrevive]]=1, "SOBREVIVE", "NO SOBREVIVE")</f>
        <v>SOBREVIVE</v>
      </c>
      <c r="N687" s="8" t="str">
        <f>LOOKUP(Titanic[[#This Row],[Clase]],{1,2,3}, {"PRIMERA","SEGUNDA","TERCERA"})</f>
        <v>PRIMERA</v>
      </c>
      <c r="O687" s="8" t="str">
        <f>IF(Titanic[[#This Row],[Sexo]]="Hombre", "HOMBRE", "MUJER")</f>
        <v>HOMBRE</v>
      </c>
      <c r="P687" s="8">
        <f>IF(Titanic[[#This Row],[Edad]]="", "", IF(Titanic[[#This Row],[Edad]]&gt;=100, Titanic[[#This Row],[Edad]] / 10, Titanic[[#This Row],[Edad]]))</f>
        <v>27</v>
      </c>
      <c r="Q687" s="8" t="str">
        <f>IFERROR(LOOKUP(Titanic[[#This Row],[Edad Corrigida]],'Práctica 1'!$K$231:$K$240,'Práctica 1'!$L$231:$L$240), "DESCONOCIDO")</f>
        <v>4. ADULTO JOVEN</v>
      </c>
      <c r="R687" s="8">
        <f>Titanic[[#This Row],[Familia Horizontal]]+Titanic[[#This Row],[Familia Vertical]]</f>
        <v>0</v>
      </c>
      <c r="S687" s="8"/>
      <c r="T687" s="8"/>
      <c r="U687" s="8"/>
      <c r="V687" s="8"/>
    </row>
    <row r="688" spans="2:22" x14ac:dyDescent="0.2">
      <c r="B688" s="6">
        <v>683</v>
      </c>
      <c r="C688" s="7">
        <v>0</v>
      </c>
      <c r="D688" s="8">
        <v>3</v>
      </c>
      <c r="E688" s="8" t="s">
        <v>697</v>
      </c>
      <c r="F688" s="8" t="s">
        <v>11</v>
      </c>
      <c r="G688" s="8">
        <v>20</v>
      </c>
      <c r="H688" s="8">
        <v>0</v>
      </c>
      <c r="I688" s="8">
        <v>0</v>
      </c>
      <c r="J688" s="8">
        <v>9225</v>
      </c>
      <c r="K688" s="8">
        <v>0</v>
      </c>
      <c r="L688" s="8" t="s">
        <v>12</v>
      </c>
      <c r="M688" s="8" t="str">
        <f>IF(Titanic[[#This Row],[Sobrevive]]=1, "SOBREVIVE", "NO SOBREVIVE")</f>
        <v>NO SOBREVIVE</v>
      </c>
      <c r="N688" s="8" t="str">
        <f>LOOKUP(Titanic[[#This Row],[Clase]],{1,2,3}, {"PRIMERA","SEGUNDA","TERCERA"})</f>
        <v>TERCERA</v>
      </c>
      <c r="O688" s="8" t="str">
        <f>IF(Titanic[[#This Row],[Sexo]]="Hombre", "HOMBRE", "MUJER")</f>
        <v>HOMBRE</v>
      </c>
      <c r="P688" s="8">
        <f>IF(Titanic[[#This Row],[Edad]]="", "", IF(Titanic[[#This Row],[Edad]]&gt;=100, Titanic[[#This Row],[Edad]] / 10, Titanic[[#This Row],[Edad]]))</f>
        <v>20</v>
      </c>
      <c r="Q688" s="8" t="str">
        <f>IFERROR(LOOKUP(Titanic[[#This Row],[Edad Corrigida]],'Práctica 1'!$K$231:$K$240,'Práctica 1'!$L$231:$L$240), "DESCONOCIDO")</f>
        <v>2. ADOLESCENTE</v>
      </c>
      <c r="R688" s="8">
        <f>Titanic[[#This Row],[Familia Horizontal]]+Titanic[[#This Row],[Familia Vertical]]</f>
        <v>0</v>
      </c>
      <c r="S688" s="8"/>
      <c r="T688" s="8"/>
      <c r="U688" s="8"/>
      <c r="V688" s="8"/>
    </row>
    <row r="689" spans="2:22" x14ac:dyDescent="0.2">
      <c r="B689" s="6">
        <v>684</v>
      </c>
      <c r="C689" s="7">
        <v>0</v>
      </c>
      <c r="D689" s="8">
        <v>3</v>
      </c>
      <c r="E689" s="8" t="s">
        <v>698</v>
      </c>
      <c r="F689" s="8" t="s">
        <v>11</v>
      </c>
      <c r="G689" s="8">
        <v>14</v>
      </c>
      <c r="H689" s="8">
        <v>5</v>
      </c>
      <c r="I689" s="8">
        <v>2</v>
      </c>
      <c r="J689" s="8">
        <v>469</v>
      </c>
      <c r="K689" s="8">
        <v>0</v>
      </c>
      <c r="L689" s="8" t="s">
        <v>12</v>
      </c>
      <c r="M689" s="8" t="str">
        <f>IF(Titanic[[#This Row],[Sobrevive]]=1, "SOBREVIVE", "NO SOBREVIVE")</f>
        <v>NO SOBREVIVE</v>
      </c>
      <c r="N689" s="8" t="str">
        <f>LOOKUP(Titanic[[#This Row],[Clase]],{1,2,3}, {"PRIMERA","SEGUNDA","TERCERA"})</f>
        <v>TERCERA</v>
      </c>
      <c r="O689" s="8" t="str">
        <f>IF(Titanic[[#This Row],[Sexo]]="Hombre", "HOMBRE", "MUJER")</f>
        <v>HOMBRE</v>
      </c>
      <c r="P689" s="8">
        <f>IF(Titanic[[#This Row],[Edad]]="", "", IF(Titanic[[#This Row],[Edad]]&gt;=100, Titanic[[#This Row],[Edad]] / 10, Titanic[[#This Row],[Edad]]))</f>
        <v>14</v>
      </c>
      <c r="Q689" s="8" t="str">
        <f>IFERROR(LOOKUP(Titanic[[#This Row],[Edad Corrigida]],'Práctica 1'!$K$231:$K$240,'Práctica 1'!$L$231:$L$240), "DESCONOCIDO")</f>
        <v>DESCONOCIDO</v>
      </c>
      <c r="R689" s="8">
        <f>Titanic[[#This Row],[Familia Horizontal]]+Titanic[[#This Row],[Familia Vertical]]</f>
        <v>7</v>
      </c>
      <c r="S689" s="8"/>
      <c r="T689" s="8"/>
      <c r="U689" s="8"/>
      <c r="V689" s="8"/>
    </row>
    <row r="690" spans="2:22" x14ac:dyDescent="0.2">
      <c r="B690" s="6">
        <v>685</v>
      </c>
      <c r="C690" s="7">
        <v>0</v>
      </c>
      <c r="D690" s="8">
        <v>2</v>
      </c>
      <c r="E690" s="8" t="s">
        <v>699</v>
      </c>
      <c r="F690" s="8" t="s">
        <v>11</v>
      </c>
      <c r="G690" s="8">
        <v>60</v>
      </c>
      <c r="H690" s="8">
        <v>1</v>
      </c>
      <c r="I690" s="8">
        <v>1</v>
      </c>
      <c r="J690" s="8">
        <v>39</v>
      </c>
      <c r="K690" s="8">
        <v>0</v>
      </c>
      <c r="L690" s="8" t="s">
        <v>12</v>
      </c>
      <c r="M690" s="8" t="str">
        <f>IF(Titanic[[#This Row],[Sobrevive]]=1, "SOBREVIVE", "NO SOBREVIVE")</f>
        <v>NO SOBREVIVE</v>
      </c>
      <c r="N690" s="8" t="str">
        <f>LOOKUP(Titanic[[#This Row],[Clase]],{1,2,3}, {"PRIMERA","SEGUNDA","TERCERA"})</f>
        <v>SEGUNDA</v>
      </c>
      <c r="O690" s="8" t="str">
        <f>IF(Titanic[[#This Row],[Sexo]]="Hombre", "HOMBRE", "MUJER")</f>
        <v>HOMBRE</v>
      </c>
      <c r="P690" s="8">
        <f>IF(Titanic[[#This Row],[Edad]]="", "", IF(Titanic[[#This Row],[Edad]]&gt;=100, Titanic[[#This Row],[Edad]] / 10, Titanic[[#This Row],[Edad]]))</f>
        <v>60</v>
      </c>
      <c r="Q690" s="8" t="str">
        <f>IFERROR(LOOKUP(Titanic[[#This Row],[Edad Corrigida]],'Práctica 1'!$K$231:$K$240,'Práctica 1'!$L$231:$L$240), "DESCONOCIDO")</f>
        <v>9. ADULTO 4</v>
      </c>
      <c r="R690" s="8">
        <f>Titanic[[#This Row],[Familia Horizontal]]+Titanic[[#This Row],[Familia Vertical]]</f>
        <v>2</v>
      </c>
      <c r="S690" s="8"/>
      <c r="T690" s="8"/>
      <c r="U690" s="8"/>
      <c r="V690" s="8"/>
    </row>
    <row r="691" spans="2:22" x14ac:dyDescent="0.2">
      <c r="B691" s="6">
        <v>686</v>
      </c>
      <c r="C691" s="7">
        <v>0</v>
      </c>
      <c r="D691" s="8">
        <v>2</v>
      </c>
      <c r="E691" s="8" t="s">
        <v>700</v>
      </c>
      <c r="F691" s="8" t="s">
        <v>11</v>
      </c>
      <c r="G691" s="8">
        <v>25</v>
      </c>
      <c r="H691" s="8">
        <v>1</v>
      </c>
      <c r="I691" s="8">
        <v>2</v>
      </c>
      <c r="J691" s="8">
        <v>415792</v>
      </c>
      <c r="K691" s="8">
        <v>0</v>
      </c>
      <c r="L691" s="8" t="s">
        <v>15</v>
      </c>
      <c r="M691" s="8" t="str">
        <f>IF(Titanic[[#This Row],[Sobrevive]]=1, "SOBREVIVE", "NO SOBREVIVE")</f>
        <v>NO SOBREVIVE</v>
      </c>
      <c r="N691" s="8" t="str">
        <f>LOOKUP(Titanic[[#This Row],[Clase]],{1,2,3}, {"PRIMERA","SEGUNDA","TERCERA"})</f>
        <v>SEGUNDA</v>
      </c>
      <c r="O691" s="8" t="str">
        <f>IF(Titanic[[#This Row],[Sexo]]="Hombre", "HOMBRE", "MUJER")</f>
        <v>HOMBRE</v>
      </c>
      <c r="P691" s="8">
        <f>IF(Titanic[[#This Row],[Edad]]="", "", IF(Titanic[[#This Row],[Edad]]&gt;=100, Titanic[[#This Row],[Edad]] / 10, Titanic[[#This Row],[Edad]]))</f>
        <v>25</v>
      </c>
      <c r="Q691" s="8" t="str">
        <f>IFERROR(LOOKUP(Titanic[[#This Row],[Edad Corrigida]],'Práctica 1'!$K$231:$K$240,'Práctica 1'!$L$231:$L$240), "DESCONOCIDO")</f>
        <v>4. ADULTO JOVEN</v>
      </c>
      <c r="R691" s="8">
        <f>Titanic[[#This Row],[Familia Horizontal]]+Titanic[[#This Row],[Familia Vertical]]</f>
        <v>3</v>
      </c>
      <c r="S691" s="8"/>
      <c r="T691" s="8"/>
      <c r="U691" s="8"/>
      <c r="V691" s="8"/>
    </row>
    <row r="692" spans="2:22" x14ac:dyDescent="0.2">
      <c r="B692" s="6">
        <v>687</v>
      </c>
      <c r="C692" s="7">
        <v>0</v>
      </c>
      <c r="D692" s="8">
        <v>3</v>
      </c>
      <c r="E692" s="8" t="s">
        <v>701</v>
      </c>
      <c r="F692" s="8" t="s">
        <v>11</v>
      </c>
      <c r="G692" s="8">
        <v>14</v>
      </c>
      <c r="H692" s="8">
        <v>4</v>
      </c>
      <c r="I692" s="8">
        <v>1</v>
      </c>
      <c r="J692" s="8">
        <v>396875</v>
      </c>
      <c r="K692" s="8">
        <v>0</v>
      </c>
      <c r="L692" s="8" t="s">
        <v>12</v>
      </c>
      <c r="M692" s="8" t="str">
        <f>IF(Titanic[[#This Row],[Sobrevive]]=1, "SOBREVIVE", "NO SOBREVIVE")</f>
        <v>NO SOBREVIVE</v>
      </c>
      <c r="N692" s="8" t="str">
        <f>LOOKUP(Titanic[[#This Row],[Clase]],{1,2,3}, {"PRIMERA","SEGUNDA","TERCERA"})</f>
        <v>TERCERA</v>
      </c>
      <c r="O692" s="8" t="str">
        <f>IF(Titanic[[#This Row],[Sexo]]="Hombre", "HOMBRE", "MUJER")</f>
        <v>HOMBRE</v>
      </c>
      <c r="P692" s="8">
        <f>IF(Titanic[[#This Row],[Edad]]="", "", IF(Titanic[[#This Row],[Edad]]&gt;=100, Titanic[[#This Row],[Edad]] / 10, Titanic[[#This Row],[Edad]]))</f>
        <v>14</v>
      </c>
      <c r="Q692" s="8" t="str">
        <f>IFERROR(LOOKUP(Titanic[[#This Row],[Edad Corrigida]],'Práctica 1'!$K$231:$K$240,'Práctica 1'!$L$231:$L$240), "DESCONOCIDO")</f>
        <v>DESCONOCIDO</v>
      </c>
      <c r="R692" s="8">
        <f>Titanic[[#This Row],[Familia Horizontal]]+Titanic[[#This Row],[Familia Vertical]]</f>
        <v>5</v>
      </c>
      <c r="S692" s="8"/>
      <c r="T692" s="8"/>
      <c r="U692" s="8"/>
      <c r="V692" s="8"/>
    </row>
    <row r="693" spans="2:22" x14ac:dyDescent="0.2">
      <c r="B693" s="6">
        <v>688</v>
      </c>
      <c r="C693" s="7">
        <v>0</v>
      </c>
      <c r="D693" s="8">
        <v>3</v>
      </c>
      <c r="E693" s="8" t="s">
        <v>702</v>
      </c>
      <c r="F693" s="8" t="s">
        <v>11</v>
      </c>
      <c r="G693" s="8">
        <v>19</v>
      </c>
      <c r="H693" s="8">
        <v>0</v>
      </c>
      <c r="I693" s="8">
        <v>0</v>
      </c>
      <c r="J693" s="8">
        <v>101708</v>
      </c>
      <c r="K693" s="8">
        <v>0</v>
      </c>
      <c r="L693" s="8" t="s">
        <v>12</v>
      </c>
      <c r="M693" s="8" t="str">
        <f>IF(Titanic[[#This Row],[Sobrevive]]=1, "SOBREVIVE", "NO SOBREVIVE")</f>
        <v>NO SOBREVIVE</v>
      </c>
      <c r="N693" s="8" t="str">
        <f>LOOKUP(Titanic[[#This Row],[Clase]],{1,2,3}, {"PRIMERA","SEGUNDA","TERCERA"})</f>
        <v>TERCERA</v>
      </c>
      <c r="O693" s="8" t="str">
        <f>IF(Titanic[[#This Row],[Sexo]]="Hombre", "HOMBRE", "MUJER")</f>
        <v>HOMBRE</v>
      </c>
      <c r="P693" s="8">
        <f>IF(Titanic[[#This Row],[Edad]]="", "", IF(Titanic[[#This Row],[Edad]]&gt;=100, Titanic[[#This Row],[Edad]] / 10, Titanic[[#This Row],[Edad]]))</f>
        <v>19</v>
      </c>
      <c r="Q693" s="8" t="str">
        <f>IFERROR(LOOKUP(Titanic[[#This Row],[Edad Corrigida]],'Práctica 1'!$K$231:$K$240,'Práctica 1'!$L$231:$L$240), "DESCONOCIDO")</f>
        <v>2. ADOLESCENTE</v>
      </c>
      <c r="R693" s="8">
        <f>Titanic[[#This Row],[Familia Horizontal]]+Titanic[[#This Row],[Familia Vertical]]</f>
        <v>0</v>
      </c>
      <c r="S693" s="8"/>
      <c r="T693" s="8"/>
      <c r="U693" s="8"/>
      <c r="V693" s="8"/>
    </row>
    <row r="694" spans="2:22" x14ac:dyDescent="0.2">
      <c r="B694" s="6">
        <v>689</v>
      </c>
      <c r="C694" s="7">
        <v>0</v>
      </c>
      <c r="D694" s="8">
        <v>3</v>
      </c>
      <c r="E694" s="8" t="s">
        <v>703</v>
      </c>
      <c r="F694" s="8" t="s">
        <v>11</v>
      </c>
      <c r="G694" s="8">
        <v>18</v>
      </c>
      <c r="H694" s="8">
        <v>0</v>
      </c>
      <c r="I694" s="8">
        <v>0</v>
      </c>
      <c r="J694" s="8">
        <v>77958</v>
      </c>
      <c r="K694" s="8">
        <v>0</v>
      </c>
      <c r="L694" s="8" t="s">
        <v>12</v>
      </c>
      <c r="M694" s="8" t="str">
        <f>IF(Titanic[[#This Row],[Sobrevive]]=1, "SOBREVIVE", "NO SOBREVIVE")</f>
        <v>NO SOBREVIVE</v>
      </c>
      <c r="N694" s="8" t="str">
        <f>LOOKUP(Titanic[[#This Row],[Clase]],{1,2,3}, {"PRIMERA","SEGUNDA","TERCERA"})</f>
        <v>TERCERA</v>
      </c>
      <c r="O694" s="8" t="str">
        <f>IF(Titanic[[#This Row],[Sexo]]="Hombre", "HOMBRE", "MUJER")</f>
        <v>HOMBRE</v>
      </c>
      <c r="P694" s="8">
        <f>IF(Titanic[[#This Row],[Edad]]="", "", IF(Titanic[[#This Row],[Edad]]&gt;=100, Titanic[[#This Row],[Edad]] / 10, Titanic[[#This Row],[Edad]]))</f>
        <v>18</v>
      </c>
      <c r="Q694" s="8" t="str">
        <f>IFERROR(LOOKUP(Titanic[[#This Row],[Edad Corrigida]],'Práctica 1'!$K$231:$K$240,'Práctica 1'!$L$231:$L$240), "DESCONOCIDO")</f>
        <v>1. INFANTE</v>
      </c>
      <c r="R694" s="8">
        <f>Titanic[[#This Row],[Familia Horizontal]]+Titanic[[#This Row],[Familia Vertical]]</f>
        <v>0</v>
      </c>
      <c r="S694" s="8"/>
      <c r="T694" s="8"/>
      <c r="U694" s="8"/>
      <c r="V694" s="8"/>
    </row>
    <row r="695" spans="2:22" x14ac:dyDescent="0.2">
      <c r="B695" s="6">
        <v>690</v>
      </c>
      <c r="C695" s="7">
        <v>1</v>
      </c>
      <c r="D695" s="8">
        <v>1</v>
      </c>
      <c r="E695" s="8" t="s">
        <v>704</v>
      </c>
      <c r="F695" s="8" t="s">
        <v>14</v>
      </c>
      <c r="G695" s="8">
        <v>15</v>
      </c>
      <c r="H695" s="8">
        <v>0</v>
      </c>
      <c r="I695" s="8">
        <v>1</v>
      </c>
      <c r="J695" s="8">
        <v>2113375</v>
      </c>
      <c r="K695" s="8">
        <v>1</v>
      </c>
      <c r="L695" s="8" t="s">
        <v>12</v>
      </c>
      <c r="M695" s="8" t="str">
        <f>IF(Titanic[[#This Row],[Sobrevive]]=1, "SOBREVIVE", "NO SOBREVIVE")</f>
        <v>SOBREVIVE</v>
      </c>
      <c r="N695" s="8" t="str">
        <f>LOOKUP(Titanic[[#This Row],[Clase]],{1,2,3}, {"PRIMERA","SEGUNDA","TERCERA"})</f>
        <v>PRIMERA</v>
      </c>
      <c r="O695" s="8" t="str">
        <f>IF(Titanic[[#This Row],[Sexo]]="Hombre", "HOMBRE", "MUJER")</f>
        <v>MUJER</v>
      </c>
      <c r="P695" s="8">
        <f>IF(Titanic[[#This Row],[Edad]]="", "", IF(Titanic[[#This Row],[Edad]]&gt;=100, Titanic[[#This Row],[Edad]] / 10, Titanic[[#This Row],[Edad]]))</f>
        <v>15</v>
      </c>
      <c r="Q695" s="8" t="str">
        <f>IFERROR(LOOKUP(Titanic[[#This Row],[Edad Corrigida]],'Práctica 1'!$K$231:$K$240,'Práctica 1'!$L$231:$L$240), "DESCONOCIDO")</f>
        <v>1. INFANTE</v>
      </c>
      <c r="R695" s="8">
        <f>Titanic[[#This Row],[Familia Horizontal]]+Titanic[[#This Row],[Familia Vertical]]</f>
        <v>1</v>
      </c>
      <c r="S695" s="8"/>
      <c r="T695" s="8"/>
      <c r="U695" s="8"/>
      <c r="V695" s="8"/>
    </row>
    <row r="696" spans="2:22" x14ac:dyDescent="0.2">
      <c r="B696" s="6">
        <v>691</v>
      </c>
      <c r="C696" s="7">
        <v>1</v>
      </c>
      <c r="D696" s="8">
        <v>1</v>
      </c>
      <c r="E696" s="8" t="s">
        <v>705</v>
      </c>
      <c r="F696" s="8" t="s">
        <v>11</v>
      </c>
      <c r="G696" s="8">
        <v>31</v>
      </c>
      <c r="H696" s="8">
        <v>1</v>
      </c>
      <c r="I696" s="8">
        <v>0</v>
      </c>
      <c r="J696" s="8">
        <v>57</v>
      </c>
      <c r="K696" s="8">
        <v>1</v>
      </c>
      <c r="L696" s="8" t="s">
        <v>12</v>
      </c>
      <c r="M696" s="8" t="str">
        <f>IF(Titanic[[#This Row],[Sobrevive]]=1, "SOBREVIVE", "NO SOBREVIVE")</f>
        <v>SOBREVIVE</v>
      </c>
      <c r="N696" s="8" t="str">
        <f>LOOKUP(Titanic[[#This Row],[Clase]],{1,2,3}, {"PRIMERA","SEGUNDA","TERCERA"})</f>
        <v>PRIMERA</v>
      </c>
      <c r="O696" s="8" t="str">
        <f>IF(Titanic[[#This Row],[Sexo]]="Hombre", "HOMBRE", "MUJER")</f>
        <v>HOMBRE</v>
      </c>
      <c r="P696" s="8">
        <f>IF(Titanic[[#This Row],[Edad]]="", "", IF(Titanic[[#This Row],[Edad]]&gt;=100, Titanic[[#This Row],[Edad]] / 10, Titanic[[#This Row],[Edad]]))</f>
        <v>31</v>
      </c>
      <c r="Q696" s="8" t="str">
        <f>IFERROR(LOOKUP(Titanic[[#This Row],[Edad Corrigida]],'Práctica 1'!$K$231:$K$240,'Práctica 1'!$L$231:$L$240), "DESCONOCIDO")</f>
        <v>5. ADULTO</v>
      </c>
      <c r="R696" s="8">
        <f>Titanic[[#This Row],[Familia Horizontal]]+Titanic[[#This Row],[Familia Vertical]]</f>
        <v>1</v>
      </c>
      <c r="S696" s="8"/>
      <c r="T696" s="8"/>
      <c r="U696" s="8"/>
      <c r="V696" s="8"/>
    </row>
    <row r="697" spans="2:22" x14ac:dyDescent="0.2">
      <c r="B697" s="6">
        <v>692</v>
      </c>
      <c r="C697" s="7">
        <v>1</v>
      </c>
      <c r="D697" s="8">
        <v>3</v>
      </c>
      <c r="E697" s="8" t="s">
        <v>706</v>
      </c>
      <c r="F697" s="8" t="s">
        <v>14</v>
      </c>
      <c r="G697" s="8">
        <v>4</v>
      </c>
      <c r="H697" s="8">
        <v>0</v>
      </c>
      <c r="I697" s="8">
        <v>1</v>
      </c>
      <c r="J697" s="8">
        <v>134167</v>
      </c>
      <c r="K697" s="8">
        <v>0</v>
      </c>
      <c r="L697" s="8" t="s">
        <v>15</v>
      </c>
      <c r="M697" s="8" t="str">
        <f>IF(Titanic[[#This Row],[Sobrevive]]=1, "SOBREVIVE", "NO SOBREVIVE")</f>
        <v>SOBREVIVE</v>
      </c>
      <c r="N697" s="8" t="str">
        <f>LOOKUP(Titanic[[#This Row],[Clase]],{1,2,3}, {"PRIMERA","SEGUNDA","TERCERA"})</f>
        <v>TERCERA</v>
      </c>
      <c r="O697" s="8" t="str">
        <f>IF(Titanic[[#This Row],[Sexo]]="Hombre", "HOMBRE", "MUJER")</f>
        <v>MUJER</v>
      </c>
      <c r="P697" s="8">
        <f>IF(Titanic[[#This Row],[Edad]]="", "", IF(Titanic[[#This Row],[Edad]]&gt;=100, Titanic[[#This Row],[Edad]] / 10, Titanic[[#This Row],[Edad]]))</f>
        <v>4</v>
      </c>
      <c r="Q697" s="8" t="str">
        <f>IFERROR(LOOKUP(Titanic[[#This Row],[Edad Corrigida]],'Práctica 1'!$K$231:$K$240,'Práctica 1'!$L$231:$L$240), "DESCONOCIDO")</f>
        <v>DESCONOCIDO</v>
      </c>
      <c r="R697" s="8">
        <f>Titanic[[#This Row],[Familia Horizontal]]+Titanic[[#This Row],[Familia Vertical]]</f>
        <v>1</v>
      </c>
      <c r="S697" s="8"/>
      <c r="T697" s="8"/>
      <c r="U697" s="8"/>
      <c r="V697" s="8"/>
    </row>
    <row r="698" spans="2:22" x14ac:dyDescent="0.2">
      <c r="B698" s="6">
        <v>693</v>
      </c>
      <c r="C698" s="7">
        <v>1</v>
      </c>
      <c r="D698" s="8">
        <v>3</v>
      </c>
      <c r="E698" s="8" t="s">
        <v>707</v>
      </c>
      <c r="F698" s="8" t="s">
        <v>11</v>
      </c>
      <c r="G698" s="9"/>
      <c r="H698" s="8">
        <v>0</v>
      </c>
      <c r="I698" s="8">
        <v>0</v>
      </c>
      <c r="J698" s="8">
        <v>564958</v>
      </c>
      <c r="K698" s="8">
        <v>0</v>
      </c>
      <c r="L698" s="8" t="s">
        <v>12</v>
      </c>
      <c r="M698" s="8" t="str">
        <f>IF(Titanic[[#This Row],[Sobrevive]]=1, "SOBREVIVE", "NO SOBREVIVE")</f>
        <v>SOBREVIVE</v>
      </c>
      <c r="N698" s="8" t="str">
        <f>LOOKUP(Titanic[[#This Row],[Clase]],{1,2,3}, {"PRIMERA","SEGUNDA","TERCERA"})</f>
        <v>TERCERA</v>
      </c>
      <c r="O698" s="8" t="str">
        <f>IF(Titanic[[#This Row],[Sexo]]="Hombre", "HOMBRE", "MUJER")</f>
        <v>HOMBRE</v>
      </c>
      <c r="P698" s="8" t="str">
        <f>IF(Titanic[[#This Row],[Edad]]="", "", IF(Titanic[[#This Row],[Edad]]&gt;=100, Titanic[[#This Row],[Edad]] / 10, Titanic[[#This Row],[Edad]]))</f>
        <v/>
      </c>
      <c r="Q698" s="8" t="str">
        <f>IFERROR(LOOKUP(Titanic[[#This Row],[Edad Corrigida]],'Práctica 1'!$K$231:$K$240,'Práctica 1'!$L$231:$L$240), "DESCONOCIDO")</f>
        <v>DESCONOCIDO</v>
      </c>
      <c r="R698" s="8">
        <f>Titanic[[#This Row],[Familia Horizontal]]+Titanic[[#This Row],[Familia Vertical]]</f>
        <v>0</v>
      </c>
      <c r="S698" s="8"/>
      <c r="T698" s="8"/>
      <c r="U698" s="8"/>
      <c r="V698" s="8"/>
    </row>
    <row r="699" spans="2:22" x14ac:dyDescent="0.2">
      <c r="B699" s="6">
        <v>694</v>
      </c>
      <c r="C699" s="7">
        <v>0</v>
      </c>
      <c r="D699" s="8">
        <v>3</v>
      </c>
      <c r="E699" s="8" t="s">
        <v>708</v>
      </c>
      <c r="F699" s="8" t="s">
        <v>11</v>
      </c>
      <c r="G699" s="8">
        <v>25</v>
      </c>
      <c r="H699" s="8">
        <v>0</v>
      </c>
      <c r="I699" s="8">
        <v>0</v>
      </c>
      <c r="J699" s="8">
        <v>7225</v>
      </c>
      <c r="K699" s="8">
        <v>0</v>
      </c>
      <c r="L699" s="8" t="s">
        <v>15</v>
      </c>
      <c r="M699" s="8" t="str">
        <f>IF(Titanic[[#This Row],[Sobrevive]]=1, "SOBREVIVE", "NO SOBREVIVE")</f>
        <v>NO SOBREVIVE</v>
      </c>
      <c r="N699" s="8" t="str">
        <f>LOOKUP(Titanic[[#This Row],[Clase]],{1,2,3}, {"PRIMERA","SEGUNDA","TERCERA"})</f>
        <v>TERCERA</v>
      </c>
      <c r="O699" s="8" t="str">
        <f>IF(Titanic[[#This Row],[Sexo]]="Hombre", "HOMBRE", "MUJER")</f>
        <v>HOMBRE</v>
      </c>
      <c r="P699" s="8">
        <f>IF(Titanic[[#This Row],[Edad]]="", "", IF(Titanic[[#This Row],[Edad]]&gt;=100, Titanic[[#This Row],[Edad]] / 10, Titanic[[#This Row],[Edad]]))</f>
        <v>25</v>
      </c>
      <c r="Q699" s="8" t="str">
        <f>IFERROR(LOOKUP(Titanic[[#This Row],[Edad Corrigida]],'Práctica 1'!$K$231:$K$240,'Práctica 1'!$L$231:$L$240), "DESCONOCIDO")</f>
        <v>4. ADULTO JOVEN</v>
      </c>
      <c r="R699" s="8">
        <f>Titanic[[#This Row],[Familia Horizontal]]+Titanic[[#This Row],[Familia Vertical]]</f>
        <v>0</v>
      </c>
      <c r="S699" s="8"/>
      <c r="T699" s="8"/>
      <c r="U699" s="8"/>
      <c r="V699" s="8"/>
    </row>
    <row r="700" spans="2:22" x14ac:dyDescent="0.2">
      <c r="B700" s="6">
        <v>695</v>
      </c>
      <c r="C700" s="7">
        <v>0</v>
      </c>
      <c r="D700" s="8">
        <v>1</v>
      </c>
      <c r="E700" s="8" t="s">
        <v>709</v>
      </c>
      <c r="F700" s="8" t="s">
        <v>11</v>
      </c>
      <c r="G700" s="8">
        <v>60</v>
      </c>
      <c r="H700" s="8">
        <v>0</v>
      </c>
      <c r="I700" s="8">
        <v>0</v>
      </c>
      <c r="J700" s="8">
        <v>2655</v>
      </c>
      <c r="K700" s="8">
        <v>0</v>
      </c>
      <c r="L700" s="8" t="s">
        <v>12</v>
      </c>
      <c r="M700" s="8" t="str">
        <f>IF(Titanic[[#This Row],[Sobrevive]]=1, "SOBREVIVE", "NO SOBREVIVE")</f>
        <v>NO SOBREVIVE</v>
      </c>
      <c r="N700" s="8" t="str">
        <f>LOOKUP(Titanic[[#This Row],[Clase]],{1,2,3}, {"PRIMERA","SEGUNDA","TERCERA"})</f>
        <v>PRIMERA</v>
      </c>
      <c r="O700" s="8" t="str">
        <f>IF(Titanic[[#This Row],[Sexo]]="Hombre", "HOMBRE", "MUJER")</f>
        <v>HOMBRE</v>
      </c>
      <c r="P700" s="8">
        <f>IF(Titanic[[#This Row],[Edad]]="", "", IF(Titanic[[#This Row],[Edad]]&gt;=100, Titanic[[#This Row],[Edad]] / 10, Titanic[[#This Row],[Edad]]))</f>
        <v>60</v>
      </c>
      <c r="Q700" s="8" t="str">
        <f>IFERROR(LOOKUP(Titanic[[#This Row],[Edad Corrigida]],'Práctica 1'!$K$231:$K$240,'Práctica 1'!$L$231:$L$240), "DESCONOCIDO")</f>
        <v>9. ADULTO 4</v>
      </c>
      <c r="R700" s="8">
        <f>Titanic[[#This Row],[Familia Horizontal]]+Titanic[[#This Row],[Familia Vertical]]</f>
        <v>0</v>
      </c>
      <c r="S700" s="8"/>
      <c r="T700" s="8"/>
      <c r="U700" s="8"/>
      <c r="V700" s="8"/>
    </row>
    <row r="701" spans="2:22" x14ac:dyDescent="0.2">
      <c r="B701" s="6">
        <v>696</v>
      </c>
      <c r="C701" s="7">
        <v>0</v>
      </c>
      <c r="D701" s="8">
        <v>2</v>
      </c>
      <c r="E701" s="8" t="s">
        <v>710</v>
      </c>
      <c r="F701" s="8" t="s">
        <v>11</v>
      </c>
      <c r="G701" s="8">
        <v>52</v>
      </c>
      <c r="H701" s="8">
        <v>0</v>
      </c>
      <c r="I701" s="8">
        <v>0</v>
      </c>
      <c r="J701" s="8">
        <v>135</v>
      </c>
      <c r="K701" s="8">
        <v>0</v>
      </c>
      <c r="L701" s="8" t="s">
        <v>12</v>
      </c>
      <c r="M701" s="8" t="str">
        <f>IF(Titanic[[#This Row],[Sobrevive]]=1, "SOBREVIVE", "NO SOBREVIVE")</f>
        <v>NO SOBREVIVE</v>
      </c>
      <c r="N701" s="8" t="str">
        <f>LOOKUP(Titanic[[#This Row],[Clase]],{1,2,3}, {"PRIMERA","SEGUNDA","TERCERA"})</f>
        <v>SEGUNDA</v>
      </c>
      <c r="O701" s="8" t="str">
        <f>IF(Titanic[[#This Row],[Sexo]]="Hombre", "HOMBRE", "MUJER")</f>
        <v>HOMBRE</v>
      </c>
      <c r="P701" s="8">
        <f>IF(Titanic[[#This Row],[Edad]]="", "", IF(Titanic[[#This Row],[Edad]]&gt;=100, Titanic[[#This Row],[Edad]] / 10, Titanic[[#This Row],[Edad]]))</f>
        <v>52</v>
      </c>
      <c r="Q701" s="8" t="str">
        <f>IFERROR(LOOKUP(Titanic[[#This Row],[Edad Corrigida]],'Práctica 1'!$K$231:$K$240,'Práctica 1'!$L$231:$L$240), "DESCONOCIDO")</f>
        <v>9. ADULTO 4</v>
      </c>
      <c r="R701" s="8">
        <f>Titanic[[#This Row],[Familia Horizontal]]+Titanic[[#This Row],[Familia Vertical]]</f>
        <v>0</v>
      </c>
      <c r="S701" s="8"/>
      <c r="T701" s="8"/>
      <c r="U701" s="8"/>
      <c r="V701" s="8"/>
    </row>
    <row r="702" spans="2:22" x14ac:dyDescent="0.2">
      <c r="B702" s="6">
        <v>697</v>
      </c>
      <c r="C702" s="7">
        <v>0</v>
      </c>
      <c r="D702" s="8">
        <v>3</v>
      </c>
      <c r="E702" s="8" t="s">
        <v>711</v>
      </c>
      <c r="F702" s="8" t="s">
        <v>11</v>
      </c>
      <c r="G702" s="8">
        <v>44</v>
      </c>
      <c r="H702" s="8">
        <v>0</v>
      </c>
      <c r="I702" s="8">
        <v>0</v>
      </c>
      <c r="J702" s="8">
        <v>805</v>
      </c>
      <c r="K702" s="8">
        <v>0</v>
      </c>
      <c r="L702" s="8" t="s">
        <v>12</v>
      </c>
      <c r="M702" s="8" t="str">
        <f>IF(Titanic[[#This Row],[Sobrevive]]=1, "SOBREVIVE", "NO SOBREVIVE")</f>
        <v>NO SOBREVIVE</v>
      </c>
      <c r="N702" s="8" t="str">
        <f>LOOKUP(Titanic[[#This Row],[Clase]],{1,2,3}, {"PRIMERA","SEGUNDA","TERCERA"})</f>
        <v>TERCERA</v>
      </c>
      <c r="O702" s="8" t="str">
        <f>IF(Titanic[[#This Row],[Sexo]]="Hombre", "HOMBRE", "MUJER")</f>
        <v>HOMBRE</v>
      </c>
      <c r="P702" s="8">
        <f>IF(Titanic[[#This Row],[Edad]]="", "", IF(Titanic[[#This Row],[Edad]]&gt;=100, Titanic[[#This Row],[Edad]] / 10, Titanic[[#This Row],[Edad]]))</f>
        <v>44</v>
      </c>
      <c r="Q702" s="8" t="str">
        <f>IFERROR(LOOKUP(Titanic[[#This Row],[Edad Corrigida]],'Práctica 1'!$K$231:$K$240,'Práctica 1'!$L$231:$L$240), "DESCONOCIDO")</f>
        <v>8. ADULTO 3</v>
      </c>
      <c r="R702" s="8">
        <f>Titanic[[#This Row],[Familia Horizontal]]+Titanic[[#This Row],[Familia Vertical]]</f>
        <v>0</v>
      </c>
      <c r="S702" s="8"/>
      <c r="T702" s="8"/>
      <c r="U702" s="8"/>
      <c r="V702" s="8"/>
    </row>
    <row r="703" spans="2:22" x14ac:dyDescent="0.2">
      <c r="B703" s="6">
        <v>698</v>
      </c>
      <c r="C703" s="7">
        <v>1</v>
      </c>
      <c r="D703" s="8">
        <v>3</v>
      </c>
      <c r="E703" s="8" t="s">
        <v>712</v>
      </c>
      <c r="F703" s="8" t="s">
        <v>14</v>
      </c>
      <c r="G703" s="9"/>
      <c r="H703" s="8">
        <v>0</v>
      </c>
      <c r="I703" s="8">
        <v>0</v>
      </c>
      <c r="J703" s="8">
        <v>77333</v>
      </c>
      <c r="K703" s="8">
        <v>0</v>
      </c>
      <c r="L703" s="8" t="s">
        <v>20</v>
      </c>
      <c r="M703" s="8" t="str">
        <f>IF(Titanic[[#This Row],[Sobrevive]]=1, "SOBREVIVE", "NO SOBREVIVE")</f>
        <v>SOBREVIVE</v>
      </c>
      <c r="N703" s="8" t="str">
        <f>LOOKUP(Titanic[[#This Row],[Clase]],{1,2,3}, {"PRIMERA","SEGUNDA","TERCERA"})</f>
        <v>TERCERA</v>
      </c>
      <c r="O703" s="8" t="str">
        <f>IF(Titanic[[#This Row],[Sexo]]="Hombre", "HOMBRE", "MUJER")</f>
        <v>MUJER</v>
      </c>
      <c r="P703" s="8" t="str">
        <f>IF(Titanic[[#This Row],[Edad]]="", "", IF(Titanic[[#This Row],[Edad]]&gt;=100, Titanic[[#This Row],[Edad]] / 10, Titanic[[#This Row],[Edad]]))</f>
        <v/>
      </c>
      <c r="Q703" s="8" t="str">
        <f>IFERROR(LOOKUP(Titanic[[#This Row],[Edad Corrigida]],'Práctica 1'!$K$231:$K$240,'Práctica 1'!$L$231:$L$240), "DESCONOCIDO")</f>
        <v>DESCONOCIDO</v>
      </c>
      <c r="R703" s="8">
        <f>Titanic[[#This Row],[Familia Horizontal]]+Titanic[[#This Row],[Familia Vertical]]</f>
        <v>0</v>
      </c>
      <c r="S703" s="8"/>
      <c r="T703" s="8"/>
      <c r="U703" s="8"/>
      <c r="V703" s="8"/>
    </row>
    <row r="704" spans="2:22" x14ac:dyDescent="0.2">
      <c r="B704" s="6">
        <v>699</v>
      </c>
      <c r="C704" s="7">
        <v>0</v>
      </c>
      <c r="D704" s="8">
        <v>1</v>
      </c>
      <c r="E704" s="8" t="s">
        <v>713</v>
      </c>
      <c r="F704" s="8" t="s">
        <v>11</v>
      </c>
      <c r="G704" s="8">
        <v>49</v>
      </c>
      <c r="H704" s="8">
        <v>1</v>
      </c>
      <c r="I704" s="8">
        <v>1</v>
      </c>
      <c r="J704" s="8">
        <v>1108833</v>
      </c>
      <c r="K704" s="8">
        <v>1</v>
      </c>
      <c r="L704" s="8" t="s">
        <v>15</v>
      </c>
      <c r="M704" s="8" t="str">
        <f>IF(Titanic[[#This Row],[Sobrevive]]=1, "SOBREVIVE", "NO SOBREVIVE")</f>
        <v>NO SOBREVIVE</v>
      </c>
      <c r="N704" s="8" t="str">
        <f>LOOKUP(Titanic[[#This Row],[Clase]],{1,2,3}, {"PRIMERA","SEGUNDA","TERCERA"})</f>
        <v>PRIMERA</v>
      </c>
      <c r="O704" s="8" t="str">
        <f>IF(Titanic[[#This Row],[Sexo]]="Hombre", "HOMBRE", "MUJER")</f>
        <v>HOMBRE</v>
      </c>
      <c r="P704" s="8">
        <f>IF(Titanic[[#This Row],[Edad]]="", "", IF(Titanic[[#This Row],[Edad]]&gt;=100, Titanic[[#This Row],[Edad]] / 10, Titanic[[#This Row],[Edad]]))</f>
        <v>49</v>
      </c>
      <c r="Q704" s="8" t="str">
        <f>IFERROR(LOOKUP(Titanic[[#This Row],[Edad Corrigida]],'Práctica 1'!$K$231:$K$240,'Práctica 1'!$L$231:$L$240), "DESCONOCIDO")</f>
        <v>8. ADULTO 3</v>
      </c>
      <c r="R704" s="8">
        <f>Titanic[[#This Row],[Familia Horizontal]]+Titanic[[#This Row],[Familia Vertical]]</f>
        <v>2</v>
      </c>
      <c r="S704" s="8"/>
      <c r="T704" s="8"/>
      <c r="U704" s="8"/>
      <c r="V704" s="8"/>
    </row>
    <row r="705" spans="2:22" x14ac:dyDescent="0.2">
      <c r="B705" s="6">
        <v>700</v>
      </c>
      <c r="C705" s="7">
        <v>0</v>
      </c>
      <c r="D705" s="8">
        <v>3</v>
      </c>
      <c r="E705" s="8" t="s">
        <v>714</v>
      </c>
      <c r="F705" s="8" t="s">
        <v>11</v>
      </c>
      <c r="G705" s="8">
        <v>42</v>
      </c>
      <c r="H705" s="8">
        <v>0</v>
      </c>
      <c r="I705" s="8">
        <v>0</v>
      </c>
      <c r="J705" s="8">
        <v>765</v>
      </c>
      <c r="K705" s="8">
        <v>1</v>
      </c>
      <c r="L705" s="8" t="s">
        <v>12</v>
      </c>
      <c r="M705" s="8" t="str">
        <f>IF(Titanic[[#This Row],[Sobrevive]]=1, "SOBREVIVE", "NO SOBREVIVE")</f>
        <v>NO SOBREVIVE</v>
      </c>
      <c r="N705" s="8" t="str">
        <f>LOOKUP(Titanic[[#This Row],[Clase]],{1,2,3}, {"PRIMERA","SEGUNDA","TERCERA"})</f>
        <v>TERCERA</v>
      </c>
      <c r="O705" s="8" t="str">
        <f>IF(Titanic[[#This Row],[Sexo]]="Hombre", "HOMBRE", "MUJER")</f>
        <v>HOMBRE</v>
      </c>
      <c r="P705" s="8">
        <f>IF(Titanic[[#This Row],[Edad]]="", "", IF(Titanic[[#This Row],[Edad]]&gt;=100, Titanic[[#This Row],[Edad]] / 10, Titanic[[#This Row],[Edad]]))</f>
        <v>42</v>
      </c>
      <c r="Q705" s="8" t="str">
        <f>IFERROR(LOOKUP(Titanic[[#This Row],[Edad Corrigida]],'Práctica 1'!$K$231:$K$240,'Práctica 1'!$L$231:$L$240), "DESCONOCIDO")</f>
        <v>8. ADULTO 3</v>
      </c>
      <c r="R705" s="8">
        <f>Titanic[[#This Row],[Familia Horizontal]]+Titanic[[#This Row],[Familia Vertical]]</f>
        <v>0</v>
      </c>
      <c r="S705" s="8"/>
      <c r="T705" s="8"/>
      <c r="U705" s="8"/>
      <c r="V705" s="8"/>
    </row>
    <row r="706" spans="2:22" x14ac:dyDescent="0.2">
      <c r="B706" s="6">
        <v>701</v>
      </c>
      <c r="C706" s="7">
        <v>1</v>
      </c>
      <c r="D706" s="8">
        <v>1</v>
      </c>
      <c r="E706" s="8" t="s">
        <v>715</v>
      </c>
      <c r="F706" s="8" t="s">
        <v>14</v>
      </c>
      <c r="G706" s="8">
        <v>18</v>
      </c>
      <c r="H706" s="8">
        <v>1</v>
      </c>
      <c r="I706" s="8">
        <v>0</v>
      </c>
      <c r="J706" s="8">
        <v>227525</v>
      </c>
      <c r="K706" s="8">
        <v>1</v>
      </c>
      <c r="L706" s="8" t="s">
        <v>15</v>
      </c>
      <c r="M706" s="8" t="str">
        <f>IF(Titanic[[#This Row],[Sobrevive]]=1, "SOBREVIVE", "NO SOBREVIVE")</f>
        <v>SOBREVIVE</v>
      </c>
      <c r="N706" s="8" t="str">
        <f>LOOKUP(Titanic[[#This Row],[Clase]],{1,2,3}, {"PRIMERA","SEGUNDA","TERCERA"})</f>
        <v>PRIMERA</v>
      </c>
      <c r="O706" s="8" t="str">
        <f>IF(Titanic[[#This Row],[Sexo]]="Hombre", "HOMBRE", "MUJER")</f>
        <v>MUJER</v>
      </c>
      <c r="P706" s="8">
        <f>IF(Titanic[[#This Row],[Edad]]="", "", IF(Titanic[[#This Row],[Edad]]&gt;=100, Titanic[[#This Row],[Edad]] / 10, Titanic[[#This Row],[Edad]]))</f>
        <v>18</v>
      </c>
      <c r="Q706" s="8" t="str">
        <f>IFERROR(LOOKUP(Titanic[[#This Row],[Edad Corrigida]],'Práctica 1'!$K$231:$K$240,'Práctica 1'!$L$231:$L$240), "DESCONOCIDO")</f>
        <v>1. INFANTE</v>
      </c>
      <c r="R706" s="8">
        <f>Titanic[[#This Row],[Familia Horizontal]]+Titanic[[#This Row],[Familia Vertical]]</f>
        <v>1</v>
      </c>
      <c r="S706" s="8"/>
      <c r="T706" s="8"/>
      <c r="U706" s="8"/>
      <c r="V706" s="8"/>
    </row>
    <row r="707" spans="2:22" x14ac:dyDescent="0.2">
      <c r="B707" s="6">
        <v>702</v>
      </c>
      <c r="C707" s="7">
        <v>1</v>
      </c>
      <c r="D707" s="8">
        <v>1</v>
      </c>
      <c r="E707" s="8" t="s">
        <v>716</v>
      </c>
      <c r="F707" s="8" t="s">
        <v>11</v>
      </c>
      <c r="G707" s="8">
        <v>35</v>
      </c>
      <c r="H707" s="8">
        <v>0</v>
      </c>
      <c r="I707" s="8">
        <v>0</v>
      </c>
      <c r="J707" s="8">
        <v>262875</v>
      </c>
      <c r="K707" s="8">
        <v>1</v>
      </c>
      <c r="L707" s="8" t="s">
        <v>12</v>
      </c>
      <c r="M707" s="8" t="str">
        <f>IF(Titanic[[#This Row],[Sobrevive]]=1, "SOBREVIVE", "NO SOBREVIVE")</f>
        <v>SOBREVIVE</v>
      </c>
      <c r="N707" s="8" t="str">
        <f>LOOKUP(Titanic[[#This Row],[Clase]],{1,2,3}, {"PRIMERA","SEGUNDA","TERCERA"})</f>
        <v>PRIMERA</v>
      </c>
      <c r="O707" s="8" t="str">
        <f>IF(Titanic[[#This Row],[Sexo]]="Hombre", "HOMBRE", "MUJER")</f>
        <v>HOMBRE</v>
      </c>
      <c r="P707" s="8">
        <f>IF(Titanic[[#This Row],[Edad]]="", "", IF(Titanic[[#This Row],[Edad]]&gt;=100, Titanic[[#This Row],[Edad]] / 10, Titanic[[#This Row],[Edad]]))</f>
        <v>35</v>
      </c>
      <c r="Q707" s="8" t="str">
        <f>IFERROR(LOOKUP(Titanic[[#This Row],[Edad Corrigida]],'Práctica 1'!$K$231:$K$240,'Práctica 1'!$L$231:$L$240), "DESCONOCIDO")</f>
        <v>6. ADULTO 1</v>
      </c>
      <c r="R707" s="8">
        <f>Titanic[[#This Row],[Familia Horizontal]]+Titanic[[#This Row],[Familia Vertical]]</f>
        <v>0</v>
      </c>
      <c r="S707" s="8"/>
      <c r="T707" s="8"/>
      <c r="U707" s="8"/>
      <c r="V707" s="8"/>
    </row>
    <row r="708" spans="2:22" x14ac:dyDescent="0.2">
      <c r="B708" s="6">
        <v>703</v>
      </c>
      <c r="C708" s="7">
        <v>0</v>
      </c>
      <c r="D708" s="8">
        <v>3</v>
      </c>
      <c r="E708" s="8" t="s">
        <v>717</v>
      </c>
      <c r="F708" s="8" t="s">
        <v>14</v>
      </c>
      <c r="G708" s="8">
        <v>18</v>
      </c>
      <c r="H708" s="8">
        <v>0</v>
      </c>
      <c r="I708" s="8">
        <v>1</v>
      </c>
      <c r="J708" s="8">
        <v>144542</v>
      </c>
      <c r="K708" s="8">
        <v>0</v>
      </c>
      <c r="L708" s="8" t="s">
        <v>15</v>
      </c>
      <c r="M708" s="8" t="str">
        <f>IF(Titanic[[#This Row],[Sobrevive]]=1, "SOBREVIVE", "NO SOBREVIVE")</f>
        <v>NO SOBREVIVE</v>
      </c>
      <c r="N708" s="8" t="str">
        <f>LOOKUP(Titanic[[#This Row],[Clase]],{1,2,3}, {"PRIMERA","SEGUNDA","TERCERA"})</f>
        <v>TERCERA</v>
      </c>
      <c r="O708" s="8" t="str">
        <f>IF(Titanic[[#This Row],[Sexo]]="Hombre", "HOMBRE", "MUJER")</f>
        <v>MUJER</v>
      </c>
      <c r="P708" s="8">
        <f>IF(Titanic[[#This Row],[Edad]]="", "", IF(Titanic[[#This Row],[Edad]]&gt;=100, Titanic[[#This Row],[Edad]] / 10, Titanic[[#This Row],[Edad]]))</f>
        <v>18</v>
      </c>
      <c r="Q708" s="8" t="str">
        <f>IFERROR(LOOKUP(Titanic[[#This Row],[Edad Corrigida]],'Práctica 1'!$K$231:$K$240,'Práctica 1'!$L$231:$L$240), "DESCONOCIDO")</f>
        <v>1. INFANTE</v>
      </c>
      <c r="R708" s="8">
        <f>Titanic[[#This Row],[Familia Horizontal]]+Titanic[[#This Row],[Familia Vertical]]</f>
        <v>1</v>
      </c>
      <c r="S708" s="8"/>
      <c r="T708" s="8"/>
      <c r="U708" s="8"/>
      <c r="V708" s="8"/>
    </row>
    <row r="709" spans="2:22" x14ac:dyDescent="0.2">
      <c r="B709" s="6">
        <v>704</v>
      </c>
      <c r="C709" s="7">
        <v>0</v>
      </c>
      <c r="D709" s="8">
        <v>3</v>
      </c>
      <c r="E709" s="8" t="s">
        <v>718</v>
      </c>
      <c r="F709" s="8" t="s">
        <v>11</v>
      </c>
      <c r="G709" s="8">
        <v>25</v>
      </c>
      <c r="H709" s="8">
        <v>0</v>
      </c>
      <c r="I709" s="8">
        <v>0</v>
      </c>
      <c r="J709" s="8">
        <v>77417</v>
      </c>
      <c r="K709" s="8">
        <v>0</v>
      </c>
      <c r="L709" s="8" t="s">
        <v>20</v>
      </c>
      <c r="M709" s="8" t="str">
        <f>IF(Titanic[[#This Row],[Sobrevive]]=1, "SOBREVIVE", "NO SOBREVIVE")</f>
        <v>NO SOBREVIVE</v>
      </c>
      <c r="N709" s="8" t="str">
        <f>LOOKUP(Titanic[[#This Row],[Clase]],{1,2,3}, {"PRIMERA","SEGUNDA","TERCERA"})</f>
        <v>TERCERA</v>
      </c>
      <c r="O709" s="8" t="str">
        <f>IF(Titanic[[#This Row],[Sexo]]="Hombre", "HOMBRE", "MUJER")</f>
        <v>HOMBRE</v>
      </c>
      <c r="P709" s="8">
        <f>IF(Titanic[[#This Row],[Edad]]="", "", IF(Titanic[[#This Row],[Edad]]&gt;=100, Titanic[[#This Row],[Edad]] / 10, Titanic[[#This Row],[Edad]]))</f>
        <v>25</v>
      </c>
      <c r="Q709" s="8" t="str">
        <f>IFERROR(LOOKUP(Titanic[[#This Row],[Edad Corrigida]],'Práctica 1'!$K$231:$K$240,'Práctica 1'!$L$231:$L$240), "DESCONOCIDO")</f>
        <v>4. ADULTO JOVEN</v>
      </c>
      <c r="R709" s="8">
        <f>Titanic[[#This Row],[Familia Horizontal]]+Titanic[[#This Row],[Familia Vertical]]</f>
        <v>0</v>
      </c>
      <c r="S709" s="8"/>
      <c r="T709" s="8"/>
      <c r="U709" s="8"/>
      <c r="V709" s="8"/>
    </row>
    <row r="710" spans="2:22" x14ac:dyDescent="0.2">
      <c r="B710" s="6">
        <v>705</v>
      </c>
      <c r="C710" s="7">
        <v>0</v>
      </c>
      <c r="D710" s="8">
        <v>3</v>
      </c>
      <c r="E710" s="8" t="s">
        <v>719</v>
      </c>
      <c r="F710" s="8" t="s">
        <v>11</v>
      </c>
      <c r="G710" s="8">
        <v>26</v>
      </c>
      <c r="H710" s="8">
        <v>1</v>
      </c>
      <c r="I710" s="8">
        <v>0</v>
      </c>
      <c r="J710" s="8">
        <v>78542</v>
      </c>
      <c r="K710" s="8">
        <v>0</v>
      </c>
      <c r="L710" s="8" t="s">
        <v>12</v>
      </c>
      <c r="M710" s="8" t="str">
        <f>IF(Titanic[[#This Row],[Sobrevive]]=1, "SOBREVIVE", "NO SOBREVIVE")</f>
        <v>NO SOBREVIVE</v>
      </c>
      <c r="N710" s="8" t="str">
        <f>LOOKUP(Titanic[[#This Row],[Clase]],{1,2,3}, {"PRIMERA","SEGUNDA","TERCERA"})</f>
        <v>TERCERA</v>
      </c>
      <c r="O710" s="8" t="str">
        <f>IF(Titanic[[#This Row],[Sexo]]="Hombre", "HOMBRE", "MUJER")</f>
        <v>HOMBRE</v>
      </c>
      <c r="P710" s="8">
        <f>IF(Titanic[[#This Row],[Edad]]="", "", IF(Titanic[[#This Row],[Edad]]&gt;=100, Titanic[[#This Row],[Edad]] / 10, Titanic[[#This Row],[Edad]]))</f>
        <v>26</v>
      </c>
      <c r="Q710" s="8" t="str">
        <f>IFERROR(LOOKUP(Titanic[[#This Row],[Edad Corrigida]],'Práctica 1'!$K$231:$K$240,'Práctica 1'!$L$231:$L$240), "DESCONOCIDO")</f>
        <v>4. ADULTO JOVEN</v>
      </c>
      <c r="R710" s="8">
        <f>Titanic[[#This Row],[Familia Horizontal]]+Titanic[[#This Row],[Familia Vertical]]</f>
        <v>1</v>
      </c>
      <c r="S710" s="8"/>
      <c r="T710" s="8"/>
      <c r="U710" s="8"/>
      <c r="V710" s="8"/>
    </row>
    <row r="711" spans="2:22" x14ac:dyDescent="0.2">
      <c r="B711" s="6">
        <v>706</v>
      </c>
      <c r="C711" s="7">
        <v>0</v>
      </c>
      <c r="D711" s="8">
        <v>2</v>
      </c>
      <c r="E711" s="8" t="s">
        <v>720</v>
      </c>
      <c r="F711" s="8" t="s">
        <v>11</v>
      </c>
      <c r="G711" s="8">
        <v>39</v>
      </c>
      <c r="H711" s="8">
        <v>0</v>
      </c>
      <c r="I711" s="8">
        <v>0</v>
      </c>
      <c r="J711" s="8">
        <v>26</v>
      </c>
      <c r="K711" s="8">
        <v>0</v>
      </c>
      <c r="L711" s="8" t="s">
        <v>12</v>
      </c>
      <c r="M711" s="8" t="str">
        <f>IF(Titanic[[#This Row],[Sobrevive]]=1, "SOBREVIVE", "NO SOBREVIVE")</f>
        <v>NO SOBREVIVE</v>
      </c>
      <c r="N711" s="8" t="str">
        <f>LOOKUP(Titanic[[#This Row],[Clase]],{1,2,3}, {"PRIMERA","SEGUNDA","TERCERA"})</f>
        <v>SEGUNDA</v>
      </c>
      <c r="O711" s="8" t="str">
        <f>IF(Titanic[[#This Row],[Sexo]]="Hombre", "HOMBRE", "MUJER")</f>
        <v>HOMBRE</v>
      </c>
      <c r="P711" s="8">
        <f>IF(Titanic[[#This Row],[Edad]]="", "", IF(Titanic[[#This Row],[Edad]]&gt;=100, Titanic[[#This Row],[Edad]] / 10, Titanic[[#This Row],[Edad]]))</f>
        <v>39</v>
      </c>
      <c r="Q711" s="8" t="str">
        <f>IFERROR(LOOKUP(Titanic[[#This Row],[Edad Corrigida]],'Práctica 1'!$K$231:$K$240,'Práctica 1'!$L$231:$L$240), "DESCONOCIDO")</f>
        <v>7. ADULTO 2</v>
      </c>
      <c r="R711" s="8">
        <f>Titanic[[#This Row],[Familia Horizontal]]+Titanic[[#This Row],[Familia Vertical]]</f>
        <v>0</v>
      </c>
      <c r="S711" s="8"/>
      <c r="T711" s="8"/>
      <c r="U711" s="8"/>
      <c r="V711" s="8"/>
    </row>
    <row r="712" spans="2:22" x14ac:dyDescent="0.2">
      <c r="B712" s="6">
        <v>707</v>
      </c>
      <c r="C712" s="7">
        <v>1</v>
      </c>
      <c r="D712" s="8">
        <v>2</v>
      </c>
      <c r="E712" s="8" t="s">
        <v>721</v>
      </c>
      <c r="F712" s="8" t="s">
        <v>14</v>
      </c>
      <c r="G712" s="8">
        <v>45</v>
      </c>
      <c r="H712" s="8">
        <v>0</v>
      </c>
      <c r="I712" s="8">
        <v>0</v>
      </c>
      <c r="J712" s="8">
        <v>135</v>
      </c>
      <c r="K712" s="8">
        <v>0</v>
      </c>
      <c r="L712" s="8" t="s">
        <v>12</v>
      </c>
      <c r="M712" s="8" t="str">
        <f>IF(Titanic[[#This Row],[Sobrevive]]=1, "SOBREVIVE", "NO SOBREVIVE")</f>
        <v>SOBREVIVE</v>
      </c>
      <c r="N712" s="8" t="str">
        <f>LOOKUP(Titanic[[#This Row],[Clase]],{1,2,3}, {"PRIMERA","SEGUNDA","TERCERA"})</f>
        <v>SEGUNDA</v>
      </c>
      <c r="O712" s="8" t="str">
        <f>IF(Titanic[[#This Row],[Sexo]]="Hombre", "HOMBRE", "MUJER")</f>
        <v>MUJER</v>
      </c>
      <c r="P712" s="8">
        <f>IF(Titanic[[#This Row],[Edad]]="", "", IF(Titanic[[#This Row],[Edad]]&gt;=100, Titanic[[#This Row],[Edad]] / 10, Titanic[[#This Row],[Edad]]))</f>
        <v>45</v>
      </c>
      <c r="Q712" s="8" t="str">
        <f>IFERROR(LOOKUP(Titanic[[#This Row],[Edad Corrigida]],'Práctica 1'!$K$231:$K$240,'Práctica 1'!$L$231:$L$240), "DESCONOCIDO")</f>
        <v>8. ADULTO 3</v>
      </c>
      <c r="R712" s="8">
        <f>Titanic[[#This Row],[Familia Horizontal]]+Titanic[[#This Row],[Familia Vertical]]</f>
        <v>0</v>
      </c>
      <c r="S712" s="8"/>
      <c r="T712" s="8"/>
      <c r="U712" s="8"/>
      <c r="V712" s="8"/>
    </row>
    <row r="713" spans="2:22" x14ac:dyDescent="0.2">
      <c r="B713" s="6">
        <v>708</v>
      </c>
      <c r="C713" s="7">
        <v>1</v>
      </c>
      <c r="D713" s="8">
        <v>1</v>
      </c>
      <c r="E713" s="8" t="s">
        <v>722</v>
      </c>
      <c r="F713" s="8" t="s">
        <v>11</v>
      </c>
      <c r="G713" s="8">
        <v>42</v>
      </c>
      <c r="H713" s="8">
        <v>0</v>
      </c>
      <c r="I713" s="8">
        <v>0</v>
      </c>
      <c r="J713" s="8">
        <v>262875</v>
      </c>
      <c r="K713" s="8">
        <v>1</v>
      </c>
      <c r="L713" s="8" t="s">
        <v>12</v>
      </c>
      <c r="M713" s="8" t="str">
        <f>IF(Titanic[[#This Row],[Sobrevive]]=1, "SOBREVIVE", "NO SOBREVIVE")</f>
        <v>SOBREVIVE</v>
      </c>
      <c r="N713" s="8" t="str">
        <f>LOOKUP(Titanic[[#This Row],[Clase]],{1,2,3}, {"PRIMERA","SEGUNDA","TERCERA"})</f>
        <v>PRIMERA</v>
      </c>
      <c r="O713" s="8" t="str">
        <f>IF(Titanic[[#This Row],[Sexo]]="Hombre", "HOMBRE", "MUJER")</f>
        <v>HOMBRE</v>
      </c>
      <c r="P713" s="8">
        <f>IF(Titanic[[#This Row],[Edad]]="", "", IF(Titanic[[#This Row],[Edad]]&gt;=100, Titanic[[#This Row],[Edad]] / 10, Titanic[[#This Row],[Edad]]))</f>
        <v>42</v>
      </c>
      <c r="Q713" s="8" t="str">
        <f>IFERROR(LOOKUP(Titanic[[#This Row],[Edad Corrigida]],'Práctica 1'!$K$231:$K$240,'Práctica 1'!$L$231:$L$240), "DESCONOCIDO")</f>
        <v>8. ADULTO 3</v>
      </c>
      <c r="R713" s="8">
        <f>Titanic[[#This Row],[Familia Horizontal]]+Titanic[[#This Row],[Familia Vertical]]</f>
        <v>0</v>
      </c>
      <c r="S713" s="8"/>
      <c r="T713" s="8"/>
      <c r="U713" s="8"/>
      <c r="V713" s="8"/>
    </row>
    <row r="714" spans="2:22" x14ac:dyDescent="0.2">
      <c r="B714" s="6">
        <v>709</v>
      </c>
      <c r="C714" s="7">
        <v>1</v>
      </c>
      <c r="D714" s="8">
        <v>1</v>
      </c>
      <c r="E714" s="8" t="s">
        <v>723</v>
      </c>
      <c r="F714" s="8" t="s">
        <v>14</v>
      </c>
      <c r="G714" s="8">
        <v>22</v>
      </c>
      <c r="H714" s="8">
        <v>0</v>
      </c>
      <c r="I714" s="8">
        <v>0</v>
      </c>
      <c r="J714" s="8">
        <v>15155</v>
      </c>
      <c r="K714" s="8">
        <v>0</v>
      </c>
      <c r="L714" s="8" t="s">
        <v>12</v>
      </c>
      <c r="M714" s="8" t="str">
        <f>IF(Titanic[[#This Row],[Sobrevive]]=1, "SOBREVIVE", "NO SOBREVIVE")</f>
        <v>SOBREVIVE</v>
      </c>
      <c r="N714" s="8" t="str">
        <f>LOOKUP(Titanic[[#This Row],[Clase]],{1,2,3}, {"PRIMERA","SEGUNDA","TERCERA"})</f>
        <v>PRIMERA</v>
      </c>
      <c r="O714" s="8" t="str">
        <f>IF(Titanic[[#This Row],[Sexo]]="Hombre", "HOMBRE", "MUJER")</f>
        <v>MUJER</v>
      </c>
      <c r="P714" s="8">
        <f>IF(Titanic[[#This Row],[Edad]]="", "", IF(Titanic[[#This Row],[Edad]]&gt;=100, Titanic[[#This Row],[Edad]] / 10, Titanic[[#This Row],[Edad]]))</f>
        <v>22</v>
      </c>
      <c r="Q714" s="8" t="str">
        <f>IFERROR(LOOKUP(Titanic[[#This Row],[Edad Corrigida]],'Práctica 1'!$K$231:$K$240,'Práctica 1'!$L$231:$L$240), "DESCONOCIDO")</f>
        <v>3. JOVEN</v>
      </c>
      <c r="R714" s="8">
        <f>Titanic[[#This Row],[Familia Horizontal]]+Titanic[[#This Row],[Familia Vertical]]</f>
        <v>0</v>
      </c>
      <c r="S714" s="8"/>
      <c r="T714" s="8"/>
      <c r="U714" s="8"/>
      <c r="V714" s="8"/>
    </row>
    <row r="715" spans="2:22" x14ac:dyDescent="0.2">
      <c r="B715" s="6">
        <v>710</v>
      </c>
      <c r="C715" s="7">
        <v>1</v>
      </c>
      <c r="D715" s="8">
        <v>3</v>
      </c>
      <c r="E715" s="8" t="s">
        <v>724</v>
      </c>
      <c r="F715" s="8" t="s">
        <v>11</v>
      </c>
      <c r="G715" s="9"/>
      <c r="H715" s="8">
        <v>1</v>
      </c>
      <c r="I715" s="8">
        <v>1</v>
      </c>
      <c r="J715" s="8">
        <v>152458</v>
      </c>
      <c r="K715" s="8">
        <v>0</v>
      </c>
      <c r="L715" s="8" t="s">
        <v>15</v>
      </c>
      <c r="M715" s="8" t="str">
        <f>IF(Titanic[[#This Row],[Sobrevive]]=1, "SOBREVIVE", "NO SOBREVIVE")</f>
        <v>SOBREVIVE</v>
      </c>
      <c r="N715" s="8" t="str">
        <f>LOOKUP(Titanic[[#This Row],[Clase]],{1,2,3}, {"PRIMERA","SEGUNDA","TERCERA"})</f>
        <v>TERCERA</v>
      </c>
      <c r="O715" s="8" t="str">
        <f>IF(Titanic[[#This Row],[Sexo]]="Hombre", "HOMBRE", "MUJER")</f>
        <v>HOMBRE</v>
      </c>
      <c r="P715" s="8" t="str">
        <f>IF(Titanic[[#This Row],[Edad]]="", "", IF(Titanic[[#This Row],[Edad]]&gt;=100, Titanic[[#This Row],[Edad]] / 10, Titanic[[#This Row],[Edad]]))</f>
        <v/>
      </c>
      <c r="Q715" s="8" t="str">
        <f>IFERROR(LOOKUP(Titanic[[#This Row],[Edad Corrigida]],'Práctica 1'!$K$231:$K$240,'Práctica 1'!$L$231:$L$240), "DESCONOCIDO")</f>
        <v>DESCONOCIDO</v>
      </c>
      <c r="R715" s="8">
        <f>Titanic[[#This Row],[Familia Horizontal]]+Titanic[[#This Row],[Familia Vertical]]</f>
        <v>2</v>
      </c>
      <c r="S715" s="8"/>
      <c r="T715" s="8"/>
      <c r="U715" s="8"/>
      <c r="V715" s="8"/>
    </row>
    <row r="716" spans="2:22" x14ac:dyDescent="0.2">
      <c r="B716" s="6">
        <v>711</v>
      </c>
      <c r="C716" s="7">
        <v>1</v>
      </c>
      <c r="D716" s="8">
        <v>1</v>
      </c>
      <c r="E716" s="8" t="s">
        <v>725</v>
      </c>
      <c r="F716" s="8" t="s">
        <v>14</v>
      </c>
      <c r="G716" s="8">
        <v>24</v>
      </c>
      <c r="H716" s="8">
        <v>0</v>
      </c>
      <c r="I716" s="8">
        <v>0</v>
      </c>
      <c r="J716" s="8">
        <v>495042</v>
      </c>
      <c r="K716" s="8">
        <v>1</v>
      </c>
      <c r="L716" s="8" t="s">
        <v>15</v>
      </c>
      <c r="M716" s="8" t="str">
        <f>IF(Titanic[[#This Row],[Sobrevive]]=1, "SOBREVIVE", "NO SOBREVIVE")</f>
        <v>SOBREVIVE</v>
      </c>
      <c r="N716" s="8" t="str">
        <f>LOOKUP(Titanic[[#This Row],[Clase]],{1,2,3}, {"PRIMERA","SEGUNDA","TERCERA"})</f>
        <v>PRIMERA</v>
      </c>
      <c r="O716" s="8" t="str">
        <f>IF(Titanic[[#This Row],[Sexo]]="Hombre", "HOMBRE", "MUJER")</f>
        <v>MUJER</v>
      </c>
      <c r="P716" s="8">
        <f>IF(Titanic[[#This Row],[Edad]]="", "", IF(Titanic[[#This Row],[Edad]]&gt;=100, Titanic[[#This Row],[Edad]] / 10, Titanic[[#This Row],[Edad]]))</f>
        <v>24</v>
      </c>
      <c r="Q716" s="8" t="str">
        <f>IFERROR(LOOKUP(Titanic[[#This Row],[Edad Corrigida]],'Práctica 1'!$K$231:$K$240,'Práctica 1'!$L$231:$L$240), "DESCONOCIDO")</f>
        <v>3. JOVEN</v>
      </c>
      <c r="R716" s="8">
        <f>Titanic[[#This Row],[Familia Horizontal]]+Titanic[[#This Row],[Familia Vertical]]</f>
        <v>0</v>
      </c>
      <c r="S716" s="8"/>
      <c r="T716" s="8"/>
      <c r="U716" s="8"/>
      <c r="V716" s="8"/>
    </row>
    <row r="717" spans="2:22" x14ac:dyDescent="0.2">
      <c r="B717" s="6">
        <v>712</v>
      </c>
      <c r="C717" s="7">
        <v>0</v>
      </c>
      <c r="D717" s="8">
        <v>1</v>
      </c>
      <c r="E717" s="8" t="s">
        <v>726</v>
      </c>
      <c r="F717" s="8" t="s">
        <v>11</v>
      </c>
      <c r="G717" s="9"/>
      <c r="H717" s="8">
        <v>0</v>
      </c>
      <c r="I717" s="8">
        <v>0</v>
      </c>
      <c r="J717" s="8">
        <v>2655</v>
      </c>
      <c r="K717" s="8">
        <v>1</v>
      </c>
      <c r="L717" s="8" t="s">
        <v>12</v>
      </c>
      <c r="M717" s="8" t="str">
        <f>IF(Titanic[[#This Row],[Sobrevive]]=1, "SOBREVIVE", "NO SOBREVIVE")</f>
        <v>NO SOBREVIVE</v>
      </c>
      <c r="N717" s="8" t="str">
        <f>LOOKUP(Titanic[[#This Row],[Clase]],{1,2,3}, {"PRIMERA","SEGUNDA","TERCERA"})</f>
        <v>PRIMERA</v>
      </c>
      <c r="O717" s="8" t="str">
        <f>IF(Titanic[[#This Row],[Sexo]]="Hombre", "HOMBRE", "MUJER")</f>
        <v>HOMBRE</v>
      </c>
      <c r="P717" s="8" t="str">
        <f>IF(Titanic[[#This Row],[Edad]]="", "", IF(Titanic[[#This Row],[Edad]]&gt;=100, Titanic[[#This Row],[Edad]] / 10, Titanic[[#This Row],[Edad]]))</f>
        <v/>
      </c>
      <c r="Q717" s="8" t="str">
        <f>IFERROR(LOOKUP(Titanic[[#This Row],[Edad Corrigida]],'Práctica 1'!$K$231:$K$240,'Práctica 1'!$L$231:$L$240), "DESCONOCIDO")</f>
        <v>DESCONOCIDO</v>
      </c>
      <c r="R717" s="8">
        <f>Titanic[[#This Row],[Familia Horizontal]]+Titanic[[#This Row],[Familia Vertical]]</f>
        <v>0</v>
      </c>
      <c r="S717" s="8"/>
      <c r="T717" s="8"/>
      <c r="U717" s="8"/>
      <c r="V717" s="8"/>
    </row>
    <row r="718" spans="2:22" x14ac:dyDescent="0.2">
      <c r="B718" s="6">
        <v>713</v>
      </c>
      <c r="C718" s="7">
        <v>1</v>
      </c>
      <c r="D718" s="8">
        <v>1</v>
      </c>
      <c r="E718" s="8" t="s">
        <v>727</v>
      </c>
      <c r="F718" s="8" t="s">
        <v>11</v>
      </c>
      <c r="G718" s="8">
        <v>48</v>
      </c>
      <c r="H718" s="8">
        <v>1</v>
      </c>
      <c r="I718" s="8">
        <v>0</v>
      </c>
      <c r="J718" s="8">
        <v>52</v>
      </c>
      <c r="K718" s="8">
        <v>1</v>
      </c>
      <c r="L718" s="8" t="s">
        <v>12</v>
      </c>
      <c r="M718" s="8" t="str">
        <f>IF(Titanic[[#This Row],[Sobrevive]]=1, "SOBREVIVE", "NO SOBREVIVE")</f>
        <v>SOBREVIVE</v>
      </c>
      <c r="N718" s="8" t="str">
        <f>LOOKUP(Titanic[[#This Row],[Clase]],{1,2,3}, {"PRIMERA","SEGUNDA","TERCERA"})</f>
        <v>PRIMERA</v>
      </c>
      <c r="O718" s="8" t="str">
        <f>IF(Titanic[[#This Row],[Sexo]]="Hombre", "HOMBRE", "MUJER")</f>
        <v>HOMBRE</v>
      </c>
      <c r="P718" s="8">
        <f>IF(Titanic[[#This Row],[Edad]]="", "", IF(Titanic[[#This Row],[Edad]]&gt;=100, Titanic[[#This Row],[Edad]] / 10, Titanic[[#This Row],[Edad]]))</f>
        <v>48</v>
      </c>
      <c r="Q718" s="8" t="str">
        <f>IFERROR(LOOKUP(Titanic[[#This Row],[Edad Corrigida]],'Práctica 1'!$K$231:$K$240,'Práctica 1'!$L$231:$L$240), "DESCONOCIDO")</f>
        <v>8. ADULTO 3</v>
      </c>
      <c r="R718" s="8">
        <f>Titanic[[#This Row],[Familia Horizontal]]+Titanic[[#This Row],[Familia Vertical]]</f>
        <v>1</v>
      </c>
      <c r="S718" s="8"/>
      <c r="T718" s="8"/>
      <c r="U718" s="8"/>
      <c r="V718" s="8"/>
    </row>
    <row r="719" spans="2:22" x14ac:dyDescent="0.2">
      <c r="B719" s="6">
        <v>714</v>
      </c>
      <c r="C719" s="7">
        <v>0</v>
      </c>
      <c r="D719" s="8">
        <v>3</v>
      </c>
      <c r="E719" s="8" t="s">
        <v>728</v>
      </c>
      <c r="F719" s="8" t="s">
        <v>11</v>
      </c>
      <c r="G719" s="8">
        <v>29</v>
      </c>
      <c r="H719" s="8">
        <v>0</v>
      </c>
      <c r="I719" s="8">
        <v>0</v>
      </c>
      <c r="J719" s="8">
        <v>94833</v>
      </c>
      <c r="K719" s="8">
        <v>0</v>
      </c>
      <c r="L719" s="8" t="s">
        <v>12</v>
      </c>
      <c r="M719" s="8" t="str">
        <f>IF(Titanic[[#This Row],[Sobrevive]]=1, "SOBREVIVE", "NO SOBREVIVE")</f>
        <v>NO SOBREVIVE</v>
      </c>
      <c r="N719" s="8" t="str">
        <f>LOOKUP(Titanic[[#This Row],[Clase]],{1,2,3}, {"PRIMERA","SEGUNDA","TERCERA"})</f>
        <v>TERCERA</v>
      </c>
      <c r="O719" s="8" t="str">
        <f>IF(Titanic[[#This Row],[Sexo]]="Hombre", "HOMBRE", "MUJER")</f>
        <v>HOMBRE</v>
      </c>
      <c r="P719" s="8">
        <f>IF(Titanic[[#This Row],[Edad]]="", "", IF(Titanic[[#This Row],[Edad]]&gt;=100, Titanic[[#This Row],[Edad]] / 10, Titanic[[#This Row],[Edad]]))</f>
        <v>29</v>
      </c>
      <c r="Q719" s="8" t="str">
        <f>IFERROR(LOOKUP(Titanic[[#This Row],[Edad Corrigida]],'Práctica 1'!$K$231:$K$240,'Práctica 1'!$L$231:$L$240), "DESCONOCIDO")</f>
        <v>5. ADULTO</v>
      </c>
      <c r="R719" s="8">
        <f>Titanic[[#This Row],[Familia Horizontal]]+Titanic[[#This Row],[Familia Vertical]]</f>
        <v>0</v>
      </c>
      <c r="S719" s="8"/>
      <c r="T719" s="8"/>
      <c r="U719" s="8"/>
      <c r="V719" s="8"/>
    </row>
    <row r="720" spans="2:22" x14ac:dyDescent="0.2">
      <c r="B720" s="6">
        <v>715</v>
      </c>
      <c r="C720" s="7">
        <v>0</v>
      </c>
      <c r="D720" s="8">
        <v>2</v>
      </c>
      <c r="E720" s="8" t="s">
        <v>729</v>
      </c>
      <c r="F720" s="8" t="s">
        <v>11</v>
      </c>
      <c r="G720" s="8">
        <v>52</v>
      </c>
      <c r="H720" s="8">
        <v>0</v>
      </c>
      <c r="I720" s="8">
        <v>0</v>
      </c>
      <c r="J720" s="8">
        <v>13</v>
      </c>
      <c r="K720" s="8">
        <v>0</v>
      </c>
      <c r="L720" s="8" t="s">
        <v>12</v>
      </c>
      <c r="M720" s="8" t="str">
        <f>IF(Titanic[[#This Row],[Sobrevive]]=1, "SOBREVIVE", "NO SOBREVIVE")</f>
        <v>NO SOBREVIVE</v>
      </c>
      <c r="N720" s="8" t="str">
        <f>LOOKUP(Titanic[[#This Row],[Clase]],{1,2,3}, {"PRIMERA","SEGUNDA","TERCERA"})</f>
        <v>SEGUNDA</v>
      </c>
      <c r="O720" s="8" t="str">
        <f>IF(Titanic[[#This Row],[Sexo]]="Hombre", "HOMBRE", "MUJER")</f>
        <v>HOMBRE</v>
      </c>
      <c r="P720" s="8">
        <f>IF(Titanic[[#This Row],[Edad]]="", "", IF(Titanic[[#This Row],[Edad]]&gt;=100, Titanic[[#This Row],[Edad]] / 10, Titanic[[#This Row],[Edad]]))</f>
        <v>52</v>
      </c>
      <c r="Q720" s="8" t="str">
        <f>IFERROR(LOOKUP(Titanic[[#This Row],[Edad Corrigida]],'Práctica 1'!$K$231:$K$240,'Práctica 1'!$L$231:$L$240), "DESCONOCIDO")</f>
        <v>9. ADULTO 4</v>
      </c>
      <c r="R720" s="8">
        <f>Titanic[[#This Row],[Familia Horizontal]]+Titanic[[#This Row],[Familia Vertical]]</f>
        <v>0</v>
      </c>
      <c r="S720" s="8"/>
      <c r="T720" s="8"/>
      <c r="U720" s="8"/>
      <c r="V720" s="8"/>
    </row>
    <row r="721" spans="2:22" x14ac:dyDescent="0.2">
      <c r="B721" s="6">
        <v>716</v>
      </c>
      <c r="C721" s="7">
        <v>0</v>
      </c>
      <c r="D721" s="8">
        <v>3</v>
      </c>
      <c r="E721" s="8" t="s">
        <v>730</v>
      </c>
      <c r="F721" s="8" t="s">
        <v>11</v>
      </c>
      <c r="G721" s="8">
        <v>19</v>
      </c>
      <c r="H721" s="8">
        <v>0</v>
      </c>
      <c r="I721" s="8">
        <v>0</v>
      </c>
      <c r="J721" s="8">
        <v>765</v>
      </c>
      <c r="K721" s="8">
        <v>1</v>
      </c>
      <c r="L721" s="8" t="s">
        <v>12</v>
      </c>
      <c r="M721" s="8" t="str">
        <f>IF(Titanic[[#This Row],[Sobrevive]]=1, "SOBREVIVE", "NO SOBREVIVE")</f>
        <v>NO SOBREVIVE</v>
      </c>
      <c r="N721" s="8" t="str">
        <f>LOOKUP(Titanic[[#This Row],[Clase]],{1,2,3}, {"PRIMERA","SEGUNDA","TERCERA"})</f>
        <v>TERCERA</v>
      </c>
      <c r="O721" s="8" t="str">
        <f>IF(Titanic[[#This Row],[Sexo]]="Hombre", "HOMBRE", "MUJER")</f>
        <v>HOMBRE</v>
      </c>
      <c r="P721" s="8">
        <f>IF(Titanic[[#This Row],[Edad]]="", "", IF(Titanic[[#This Row],[Edad]]&gt;=100, Titanic[[#This Row],[Edad]] / 10, Titanic[[#This Row],[Edad]]))</f>
        <v>19</v>
      </c>
      <c r="Q721" s="8" t="str">
        <f>IFERROR(LOOKUP(Titanic[[#This Row],[Edad Corrigida]],'Práctica 1'!$K$231:$K$240,'Práctica 1'!$L$231:$L$240), "DESCONOCIDO")</f>
        <v>2. ADOLESCENTE</v>
      </c>
      <c r="R721" s="8">
        <f>Titanic[[#This Row],[Familia Horizontal]]+Titanic[[#This Row],[Familia Vertical]]</f>
        <v>0</v>
      </c>
      <c r="S721" s="8"/>
      <c r="T721" s="8"/>
      <c r="U721" s="8"/>
      <c r="V721" s="8"/>
    </row>
    <row r="722" spans="2:22" x14ac:dyDescent="0.2">
      <c r="B722" s="6">
        <v>717</v>
      </c>
      <c r="C722" s="7">
        <v>1</v>
      </c>
      <c r="D722" s="8">
        <v>1</v>
      </c>
      <c r="E722" s="8" t="s">
        <v>731</v>
      </c>
      <c r="F722" s="8" t="s">
        <v>14</v>
      </c>
      <c r="G722" s="8">
        <v>38</v>
      </c>
      <c r="H722" s="8">
        <v>0</v>
      </c>
      <c r="I722" s="8">
        <v>0</v>
      </c>
      <c r="J722" s="8">
        <v>227525</v>
      </c>
      <c r="K722" s="8">
        <v>1</v>
      </c>
      <c r="L722" s="8" t="s">
        <v>15</v>
      </c>
      <c r="M722" s="8" t="str">
        <f>IF(Titanic[[#This Row],[Sobrevive]]=1, "SOBREVIVE", "NO SOBREVIVE")</f>
        <v>SOBREVIVE</v>
      </c>
      <c r="N722" s="8" t="str">
        <f>LOOKUP(Titanic[[#This Row],[Clase]],{1,2,3}, {"PRIMERA","SEGUNDA","TERCERA"})</f>
        <v>PRIMERA</v>
      </c>
      <c r="O722" s="8" t="str">
        <f>IF(Titanic[[#This Row],[Sexo]]="Hombre", "HOMBRE", "MUJER")</f>
        <v>MUJER</v>
      </c>
      <c r="P722" s="8">
        <f>IF(Titanic[[#This Row],[Edad]]="", "", IF(Titanic[[#This Row],[Edad]]&gt;=100, Titanic[[#This Row],[Edad]] / 10, Titanic[[#This Row],[Edad]]))</f>
        <v>38</v>
      </c>
      <c r="Q722" s="8" t="str">
        <f>IFERROR(LOOKUP(Titanic[[#This Row],[Edad Corrigida]],'Práctica 1'!$K$231:$K$240,'Práctica 1'!$L$231:$L$240), "DESCONOCIDO")</f>
        <v>7. ADULTO 2</v>
      </c>
      <c r="R722" s="8">
        <f>Titanic[[#This Row],[Familia Horizontal]]+Titanic[[#This Row],[Familia Vertical]]</f>
        <v>0</v>
      </c>
      <c r="S722" s="8"/>
      <c r="T722" s="8"/>
      <c r="U722" s="8"/>
      <c r="V722" s="8"/>
    </row>
    <row r="723" spans="2:22" x14ac:dyDescent="0.2">
      <c r="B723" s="6">
        <v>718</v>
      </c>
      <c r="C723" s="7">
        <v>1</v>
      </c>
      <c r="D723" s="8">
        <v>2</v>
      </c>
      <c r="E723" s="8" t="s">
        <v>732</v>
      </c>
      <c r="F723" s="8" t="s">
        <v>14</v>
      </c>
      <c r="G723" s="8">
        <v>27</v>
      </c>
      <c r="H723" s="8">
        <v>0</v>
      </c>
      <c r="I723" s="8">
        <v>0</v>
      </c>
      <c r="J723" s="8">
        <v>105</v>
      </c>
      <c r="K723" s="8">
        <v>1</v>
      </c>
      <c r="L723" s="8" t="s">
        <v>12</v>
      </c>
      <c r="M723" s="8" t="str">
        <f>IF(Titanic[[#This Row],[Sobrevive]]=1, "SOBREVIVE", "NO SOBREVIVE")</f>
        <v>SOBREVIVE</v>
      </c>
      <c r="N723" s="8" t="str">
        <f>LOOKUP(Titanic[[#This Row],[Clase]],{1,2,3}, {"PRIMERA","SEGUNDA","TERCERA"})</f>
        <v>SEGUNDA</v>
      </c>
      <c r="O723" s="8" t="str">
        <f>IF(Titanic[[#This Row],[Sexo]]="Hombre", "HOMBRE", "MUJER")</f>
        <v>MUJER</v>
      </c>
      <c r="P723" s="8">
        <f>IF(Titanic[[#This Row],[Edad]]="", "", IF(Titanic[[#This Row],[Edad]]&gt;=100, Titanic[[#This Row],[Edad]] / 10, Titanic[[#This Row],[Edad]]))</f>
        <v>27</v>
      </c>
      <c r="Q723" s="8" t="str">
        <f>IFERROR(LOOKUP(Titanic[[#This Row],[Edad Corrigida]],'Práctica 1'!$K$231:$K$240,'Práctica 1'!$L$231:$L$240), "DESCONOCIDO")</f>
        <v>4. ADULTO JOVEN</v>
      </c>
      <c r="R723" s="8">
        <f>Titanic[[#This Row],[Familia Horizontal]]+Titanic[[#This Row],[Familia Vertical]]</f>
        <v>0</v>
      </c>
      <c r="S723" s="8"/>
      <c r="T723" s="8"/>
      <c r="U723" s="8"/>
      <c r="V723" s="8"/>
    </row>
    <row r="724" spans="2:22" x14ac:dyDescent="0.2">
      <c r="B724" s="6">
        <v>719</v>
      </c>
      <c r="C724" s="7">
        <v>0</v>
      </c>
      <c r="D724" s="8">
        <v>3</v>
      </c>
      <c r="E724" s="8" t="s">
        <v>733</v>
      </c>
      <c r="F724" s="8" t="s">
        <v>11</v>
      </c>
      <c r="G724" s="9"/>
      <c r="H724" s="8">
        <v>0</v>
      </c>
      <c r="I724" s="8">
        <v>0</v>
      </c>
      <c r="J724" s="8">
        <v>155</v>
      </c>
      <c r="K724" s="8">
        <v>0</v>
      </c>
      <c r="L724" s="8" t="s">
        <v>20</v>
      </c>
      <c r="M724" s="8" t="str">
        <f>IF(Titanic[[#This Row],[Sobrevive]]=1, "SOBREVIVE", "NO SOBREVIVE")</f>
        <v>NO SOBREVIVE</v>
      </c>
      <c r="N724" s="8" t="str">
        <f>LOOKUP(Titanic[[#This Row],[Clase]],{1,2,3}, {"PRIMERA","SEGUNDA","TERCERA"})</f>
        <v>TERCERA</v>
      </c>
      <c r="O724" s="8" t="str">
        <f>IF(Titanic[[#This Row],[Sexo]]="Hombre", "HOMBRE", "MUJER")</f>
        <v>HOMBRE</v>
      </c>
      <c r="P724" s="8" t="str">
        <f>IF(Titanic[[#This Row],[Edad]]="", "", IF(Titanic[[#This Row],[Edad]]&gt;=100, Titanic[[#This Row],[Edad]] / 10, Titanic[[#This Row],[Edad]]))</f>
        <v/>
      </c>
      <c r="Q724" s="8" t="str">
        <f>IFERROR(LOOKUP(Titanic[[#This Row],[Edad Corrigida]],'Práctica 1'!$K$231:$K$240,'Práctica 1'!$L$231:$L$240), "DESCONOCIDO")</f>
        <v>DESCONOCIDO</v>
      </c>
      <c r="R724" s="8">
        <f>Titanic[[#This Row],[Familia Horizontal]]+Titanic[[#This Row],[Familia Vertical]]</f>
        <v>0</v>
      </c>
      <c r="S724" s="8"/>
      <c r="T724" s="8"/>
      <c r="U724" s="8"/>
      <c r="V724" s="8"/>
    </row>
    <row r="725" spans="2:22" x14ac:dyDescent="0.2">
      <c r="B725" s="6">
        <v>720</v>
      </c>
      <c r="C725" s="7">
        <v>0</v>
      </c>
      <c r="D725" s="8">
        <v>3</v>
      </c>
      <c r="E725" s="8" t="s">
        <v>734</v>
      </c>
      <c r="F725" s="8" t="s">
        <v>11</v>
      </c>
      <c r="G725" s="8">
        <v>33</v>
      </c>
      <c r="H725" s="8">
        <v>0</v>
      </c>
      <c r="I725" s="8">
        <v>0</v>
      </c>
      <c r="J725" s="8">
        <v>7775</v>
      </c>
      <c r="K725" s="8">
        <v>0</v>
      </c>
      <c r="L725" s="8" t="s">
        <v>12</v>
      </c>
      <c r="M725" s="8" t="str">
        <f>IF(Titanic[[#This Row],[Sobrevive]]=1, "SOBREVIVE", "NO SOBREVIVE")</f>
        <v>NO SOBREVIVE</v>
      </c>
      <c r="N725" s="8" t="str">
        <f>LOOKUP(Titanic[[#This Row],[Clase]],{1,2,3}, {"PRIMERA","SEGUNDA","TERCERA"})</f>
        <v>TERCERA</v>
      </c>
      <c r="O725" s="8" t="str">
        <f>IF(Titanic[[#This Row],[Sexo]]="Hombre", "HOMBRE", "MUJER")</f>
        <v>HOMBRE</v>
      </c>
      <c r="P725" s="8">
        <f>IF(Titanic[[#This Row],[Edad]]="", "", IF(Titanic[[#This Row],[Edad]]&gt;=100, Titanic[[#This Row],[Edad]] / 10, Titanic[[#This Row],[Edad]]))</f>
        <v>33</v>
      </c>
      <c r="Q725" s="8" t="str">
        <f>IFERROR(LOOKUP(Titanic[[#This Row],[Edad Corrigida]],'Práctica 1'!$K$231:$K$240,'Práctica 1'!$L$231:$L$240), "DESCONOCIDO")</f>
        <v>6. ADULTO 1</v>
      </c>
      <c r="R725" s="8">
        <f>Titanic[[#This Row],[Familia Horizontal]]+Titanic[[#This Row],[Familia Vertical]]</f>
        <v>0</v>
      </c>
      <c r="S725" s="8"/>
      <c r="T725" s="8"/>
      <c r="U725" s="8"/>
      <c r="V725" s="8"/>
    </row>
    <row r="726" spans="2:22" x14ac:dyDescent="0.2">
      <c r="B726" s="6">
        <v>721</v>
      </c>
      <c r="C726" s="7">
        <v>1</v>
      </c>
      <c r="D726" s="8">
        <v>2</v>
      </c>
      <c r="E726" s="8" t="s">
        <v>735</v>
      </c>
      <c r="F726" s="8" t="s">
        <v>14</v>
      </c>
      <c r="G726" s="8">
        <v>6</v>
      </c>
      <c r="H726" s="8">
        <v>0</v>
      </c>
      <c r="I726" s="8">
        <v>1</v>
      </c>
      <c r="J726" s="8">
        <v>33</v>
      </c>
      <c r="K726" s="8">
        <v>0</v>
      </c>
      <c r="L726" s="8" t="s">
        <v>12</v>
      </c>
      <c r="M726" s="8" t="str">
        <f>IF(Titanic[[#This Row],[Sobrevive]]=1, "SOBREVIVE", "NO SOBREVIVE")</f>
        <v>SOBREVIVE</v>
      </c>
      <c r="N726" s="8" t="str">
        <f>LOOKUP(Titanic[[#This Row],[Clase]],{1,2,3}, {"PRIMERA","SEGUNDA","TERCERA"})</f>
        <v>SEGUNDA</v>
      </c>
      <c r="O726" s="8" t="str">
        <f>IF(Titanic[[#This Row],[Sexo]]="Hombre", "HOMBRE", "MUJER")</f>
        <v>MUJER</v>
      </c>
      <c r="P726" s="8">
        <f>IF(Titanic[[#This Row],[Edad]]="", "", IF(Titanic[[#This Row],[Edad]]&gt;=100, Titanic[[#This Row],[Edad]] / 10, Titanic[[#This Row],[Edad]]))</f>
        <v>6</v>
      </c>
      <c r="Q726" s="8" t="str">
        <f>IFERROR(LOOKUP(Titanic[[#This Row],[Edad Corrigida]],'Práctica 1'!$K$231:$K$240,'Práctica 1'!$L$231:$L$240), "DESCONOCIDO")</f>
        <v>DESCONOCIDO</v>
      </c>
      <c r="R726" s="8">
        <f>Titanic[[#This Row],[Familia Horizontal]]+Titanic[[#This Row],[Familia Vertical]]</f>
        <v>1</v>
      </c>
      <c r="S726" s="8"/>
      <c r="T726" s="8"/>
      <c r="U726" s="8"/>
      <c r="V726" s="8"/>
    </row>
    <row r="727" spans="2:22" x14ac:dyDescent="0.2">
      <c r="B727" s="6">
        <v>722</v>
      </c>
      <c r="C727" s="7">
        <v>0</v>
      </c>
      <c r="D727" s="8">
        <v>3</v>
      </c>
      <c r="E727" s="8" t="s">
        <v>736</v>
      </c>
      <c r="F727" s="8" t="s">
        <v>11</v>
      </c>
      <c r="G727" s="8">
        <v>17</v>
      </c>
      <c r="H727" s="8">
        <v>1</v>
      </c>
      <c r="I727" s="8">
        <v>0</v>
      </c>
      <c r="J727" s="8">
        <v>70542</v>
      </c>
      <c r="K727" s="8">
        <v>0</v>
      </c>
      <c r="L727" s="8" t="s">
        <v>12</v>
      </c>
      <c r="M727" s="8" t="str">
        <f>IF(Titanic[[#This Row],[Sobrevive]]=1, "SOBREVIVE", "NO SOBREVIVE")</f>
        <v>NO SOBREVIVE</v>
      </c>
      <c r="N727" s="8" t="str">
        <f>LOOKUP(Titanic[[#This Row],[Clase]],{1,2,3}, {"PRIMERA","SEGUNDA","TERCERA"})</f>
        <v>TERCERA</v>
      </c>
      <c r="O727" s="8" t="str">
        <f>IF(Titanic[[#This Row],[Sexo]]="Hombre", "HOMBRE", "MUJER")</f>
        <v>HOMBRE</v>
      </c>
      <c r="P727" s="8">
        <f>IF(Titanic[[#This Row],[Edad]]="", "", IF(Titanic[[#This Row],[Edad]]&gt;=100, Titanic[[#This Row],[Edad]] / 10, Titanic[[#This Row],[Edad]]))</f>
        <v>17</v>
      </c>
      <c r="Q727" s="8" t="str">
        <f>IFERROR(LOOKUP(Titanic[[#This Row],[Edad Corrigida]],'Práctica 1'!$K$231:$K$240,'Práctica 1'!$L$231:$L$240), "DESCONOCIDO")</f>
        <v>1. INFANTE</v>
      </c>
      <c r="R727" s="8">
        <f>Titanic[[#This Row],[Familia Horizontal]]+Titanic[[#This Row],[Familia Vertical]]</f>
        <v>1</v>
      </c>
      <c r="S727" s="8"/>
      <c r="T727" s="8"/>
      <c r="U727" s="8"/>
      <c r="V727" s="8"/>
    </row>
    <row r="728" spans="2:22" x14ac:dyDescent="0.2">
      <c r="B728" s="6">
        <v>723</v>
      </c>
      <c r="C728" s="7">
        <v>0</v>
      </c>
      <c r="D728" s="8">
        <v>2</v>
      </c>
      <c r="E728" s="8" t="s">
        <v>737</v>
      </c>
      <c r="F728" s="8" t="s">
        <v>11</v>
      </c>
      <c r="G728" s="8">
        <v>34</v>
      </c>
      <c r="H728" s="8">
        <v>0</v>
      </c>
      <c r="I728" s="8">
        <v>0</v>
      </c>
      <c r="J728" s="8">
        <v>13</v>
      </c>
      <c r="K728" s="8">
        <v>0</v>
      </c>
      <c r="L728" s="8" t="s">
        <v>12</v>
      </c>
      <c r="M728" s="8" t="str">
        <f>IF(Titanic[[#This Row],[Sobrevive]]=1, "SOBREVIVE", "NO SOBREVIVE")</f>
        <v>NO SOBREVIVE</v>
      </c>
      <c r="N728" s="8" t="str">
        <f>LOOKUP(Titanic[[#This Row],[Clase]],{1,2,3}, {"PRIMERA","SEGUNDA","TERCERA"})</f>
        <v>SEGUNDA</v>
      </c>
      <c r="O728" s="8" t="str">
        <f>IF(Titanic[[#This Row],[Sexo]]="Hombre", "HOMBRE", "MUJER")</f>
        <v>HOMBRE</v>
      </c>
      <c r="P728" s="8">
        <f>IF(Titanic[[#This Row],[Edad]]="", "", IF(Titanic[[#This Row],[Edad]]&gt;=100, Titanic[[#This Row],[Edad]] / 10, Titanic[[#This Row],[Edad]]))</f>
        <v>34</v>
      </c>
      <c r="Q728" s="8" t="str">
        <f>IFERROR(LOOKUP(Titanic[[#This Row],[Edad Corrigida]],'Práctica 1'!$K$231:$K$240,'Práctica 1'!$L$231:$L$240), "DESCONOCIDO")</f>
        <v>6. ADULTO 1</v>
      </c>
      <c r="R728" s="8">
        <f>Titanic[[#This Row],[Familia Horizontal]]+Titanic[[#This Row],[Familia Vertical]]</f>
        <v>0</v>
      </c>
      <c r="S728" s="8"/>
      <c r="T728" s="8"/>
      <c r="U728" s="8"/>
      <c r="V728" s="8"/>
    </row>
    <row r="729" spans="2:22" x14ac:dyDescent="0.2">
      <c r="B729" s="6">
        <v>724</v>
      </c>
      <c r="C729" s="7">
        <v>0</v>
      </c>
      <c r="D729" s="8">
        <v>2</v>
      </c>
      <c r="E729" s="8" t="s">
        <v>738</v>
      </c>
      <c r="F729" s="8" t="s">
        <v>11</v>
      </c>
      <c r="G729" s="8">
        <v>50</v>
      </c>
      <c r="H729" s="8">
        <v>0</v>
      </c>
      <c r="I729" s="8">
        <v>0</v>
      </c>
      <c r="J729" s="8">
        <v>13</v>
      </c>
      <c r="K729" s="8">
        <v>0</v>
      </c>
      <c r="L729" s="8" t="s">
        <v>12</v>
      </c>
      <c r="M729" s="8" t="str">
        <f>IF(Titanic[[#This Row],[Sobrevive]]=1, "SOBREVIVE", "NO SOBREVIVE")</f>
        <v>NO SOBREVIVE</v>
      </c>
      <c r="N729" s="8" t="str">
        <f>LOOKUP(Titanic[[#This Row],[Clase]],{1,2,3}, {"PRIMERA","SEGUNDA","TERCERA"})</f>
        <v>SEGUNDA</v>
      </c>
      <c r="O729" s="8" t="str">
        <f>IF(Titanic[[#This Row],[Sexo]]="Hombre", "HOMBRE", "MUJER")</f>
        <v>HOMBRE</v>
      </c>
      <c r="P729" s="8">
        <f>IF(Titanic[[#This Row],[Edad]]="", "", IF(Titanic[[#This Row],[Edad]]&gt;=100, Titanic[[#This Row],[Edad]] / 10, Titanic[[#This Row],[Edad]]))</f>
        <v>50</v>
      </c>
      <c r="Q729" s="8" t="str">
        <f>IFERROR(LOOKUP(Titanic[[#This Row],[Edad Corrigida]],'Práctica 1'!$K$231:$K$240,'Práctica 1'!$L$231:$L$240), "DESCONOCIDO")</f>
        <v>9. ADULTO 4</v>
      </c>
      <c r="R729" s="8">
        <f>Titanic[[#This Row],[Familia Horizontal]]+Titanic[[#This Row],[Familia Vertical]]</f>
        <v>0</v>
      </c>
      <c r="S729" s="8"/>
      <c r="T729" s="8"/>
      <c r="U729" s="8"/>
      <c r="V729" s="8"/>
    </row>
    <row r="730" spans="2:22" x14ac:dyDescent="0.2">
      <c r="B730" s="6">
        <v>725</v>
      </c>
      <c r="C730" s="7">
        <v>1</v>
      </c>
      <c r="D730" s="8">
        <v>1</v>
      </c>
      <c r="E730" s="8" t="s">
        <v>739</v>
      </c>
      <c r="F730" s="8" t="s">
        <v>11</v>
      </c>
      <c r="G730" s="8">
        <v>27</v>
      </c>
      <c r="H730" s="8">
        <v>1</v>
      </c>
      <c r="I730" s="8">
        <v>0</v>
      </c>
      <c r="J730" s="8">
        <v>531</v>
      </c>
      <c r="K730" s="8">
        <v>1</v>
      </c>
      <c r="L730" s="8" t="s">
        <v>12</v>
      </c>
      <c r="M730" s="8" t="str">
        <f>IF(Titanic[[#This Row],[Sobrevive]]=1, "SOBREVIVE", "NO SOBREVIVE")</f>
        <v>SOBREVIVE</v>
      </c>
      <c r="N730" s="8" t="str">
        <f>LOOKUP(Titanic[[#This Row],[Clase]],{1,2,3}, {"PRIMERA","SEGUNDA","TERCERA"})</f>
        <v>PRIMERA</v>
      </c>
      <c r="O730" s="8" t="str">
        <f>IF(Titanic[[#This Row],[Sexo]]="Hombre", "HOMBRE", "MUJER")</f>
        <v>HOMBRE</v>
      </c>
      <c r="P730" s="8">
        <f>IF(Titanic[[#This Row],[Edad]]="", "", IF(Titanic[[#This Row],[Edad]]&gt;=100, Titanic[[#This Row],[Edad]] / 10, Titanic[[#This Row],[Edad]]))</f>
        <v>27</v>
      </c>
      <c r="Q730" s="8" t="str">
        <f>IFERROR(LOOKUP(Titanic[[#This Row],[Edad Corrigida]],'Práctica 1'!$K$231:$K$240,'Práctica 1'!$L$231:$L$240), "DESCONOCIDO")</f>
        <v>4. ADULTO JOVEN</v>
      </c>
      <c r="R730" s="8">
        <f>Titanic[[#This Row],[Familia Horizontal]]+Titanic[[#This Row],[Familia Vertical]]</f>
        <v>1</v>
      </c>
      <c r="S730" s="8"/>
      <c r="T730" s="8"/>
      <c r="U730" s="8"/>
      <c r="V730" s="8"/>
    </row>
    <row r="731" spans="2:22" x14ac:dyDescent="0.2">
      <c r="B731" s="6">
        <v>726</v>
      </c>
      <c r="C731" s="7">
        <v>0</v>
      </c>
      <c r="D731" s="8">
        <v>3</v>
      </c>
      <c r="E731" s="8" t="s">
        <v>740</v>
      </c>
      <c r="F731" s="8" t="s">
        <v>11</v>
      </c>
      <c r="G731" s="8">
        <v>20</v>
      </c>
      <c r="H731" s="8">
        <v>0</v>
      </c>
      <c r="I731" s="8">
        <v>0</v>
      </c>
      <c r="J731" s="8">
        <v>86625</v>
      </c>
      <c r="K731" s="8">
        <v>0</v>
      </c>
      <c r="L731" s="8" t="s">
        <v>12</v>
      </c>
      <c r="M731" s="8" t="str">
        <f>IF(Titanic[[#This Row],[Sobrevive]]=1, "SOBREVIVE", "NO SOBREVIVE")</f>
        <v>NO SOBREVIVE</v>
      </c>
      <c r="N731" s="8" t="str">
        <f>LOOKUP(Titanic[[#This Row],[Clase]],{1,2,3}, {"PRIMERA","SEGUNDA","TERCERA"})</f>
        <v>TERCERA</v>
      </c>
      <c r="O731" s="8" t="str">
        <f>IF(Titanic[[#This Row],[Sexo]]="Hombre", "HOMBRE", "MUJER")</f>
        <v>HOMBRE</v>
      </c>
      <c r="P731" s="8">
        <f>IF(Titanic[[#This Row],[Edad]]="", "", IF(Titanic[[#This Row],[Edad]]&gt;=100, Titanic[[#This Row],[Edad]] / 10, Titanic[[#This Row],[Edad]]))</f>
        <v>20</v>
      </c>
      <c r="Q731" s="8" t="str">
        <f>IFERROR(LOOKUP(Titanic[[#This Row],[Edad Corrigida]],'Práctica 1'!$K$231:$K$240,'Práctica 1'!$L$231:$L$240), "DESCONOCIDO")</f>
        <v>2. ADOLESCENTE</v>
      </c>
      <c r="R731" s="8">
        <f>Titanic[[#This Row],[Familia Horizontal]]+Titanic[[#This Row],[Familia Vertical]]</f>
        <v>0</v>
      </c>
      <c r="S731" s="8"/>
      <c r="T731" s="8"/>
      <c r="U731" s="8"/>
      <c r="V731" s="8"/>
    </row>
    <row r="732" spans="2:22" x14ac:dyDescent="0.2">
      <c r="B732" s="6">
        <v>727</v>
      </c>
      <c r="C732" s="7">
        <v>1</v>
      </c>
      <c r="D732" s="8">
        <v>2</v>
      </c>
      <c r="E732" s="8" t="s">
        <v>741</v>
      </c>
      <c r="F732" s="8" t="s">
        <v>14</v>
      </c>
      <c r="G732" s="8">
        <v>30</v>
      </c>
      <c r="H732" s="8">
        <v>3</v>
      </c>
      <c r="I732" s="8">
        <v>0</v>
      </c>
      <c r="J732" s="8">
        <v>21</v>
      </c>
      <c r="K732" s="8">
        <v>0</v>
      </c>
      <c r="L732" s="8" t="s">
        <v>12</v>
      </c>
      <c r="M732" s="8" t="str">
        <f>IF(Titanic[[#This Row],[Sobrevive]]=1, "SOBREVIVE", "NO SOBREVIVE")</f>
        <v>SOBREVIVE</v>
      </c>
      <c r="N732" s="8" t="str">
        <f>LOOKUP(Titanic[[#This Row],[Clase]],{1,2,3}, {"PRIMERA","SEGUNDA","TERCERA"})</f>
        <v>SEGUNDA</v>
      </c>
      <c r="O732" s="8" t="str">
        <f>IF(Titanic[[#This Row],[Sexo]]="Hombre", "HOMBRE", "MUJER")</f>
        <v>MUJER</v>
      </c>
      <c r="P732" s="8">
        <f>IF(Titanic[[#This Row],[Edad]]="", "", IF(Titanic[[#This Row],[Edad]]&gt;=100, Titanic[[#This Row],[Edad]] / 10, Titanic[[#This Row],[Edad]]))</f>
        <v>30</v>
      </c>
      <c r="Q732" s="8" t="str">
        <f>IFERROR(LOOKUP(Titanic[[#This Row],[Edad Corrigida]],'Práctica 1'!$K$231:$K$240,'Práctica 1'!$L$231:$L$240), "DESCONOCIDO")</f>
        <v>5. ADULTO</v>
      </c>
      <c r="R732" s="8">
        <f>Titanic[[#This Row],[Familia Horizontal]]+Titanic[[#This Row],[Familia Vertical]]</f>
        <v>3</v>
      </c>
      <c r="S732" s="8"/>
      <c r="T732" s="8"/>
      <c r="U732" s="8"/>
      <c r="V732" s="8"/>
    </row>
    <row r="733" spans="2:22" x14ac:dyDescent="0.2">
      <c r="B733" s="6">
        <v>728</v>
      </c>
      <c r="C733" s="7">
        <v>1</v>
      </c>
      <c r="D733" s="8">
        <v>3</v>
      </c>
      <c r="E733" s="8" t="s">
        <v>742</v>
      </c>
      <c r="F733" s="8" t="s">
        <v>14</v>
      </c>
      <c r="G733" s="9"/>
      <c r="H733" s="8">
        <v>0</v>
      </c>
      <c r="I733" s="8">
        <v>0</v>
      </c>
      <c r="J733" s="8">
        <v>77375</v>
      </c>
      <c r="K733" s="8">
        <v>0</v>
      </c>
      <c r="L733" s="8" t="s">
        <v>20</v>
      </c>
      <c r="M733" s="8" t="str">
        <f>IF(Titanic[[#This Row],[Sobrevive]]=1, "SOBREVIVE", "NO SOBREVIVE")</f>
        <v>SOBREVIVE</v>
      </c>
      <c r="N733" s="8" t="str">
        <f>LOOKUP(Titanic[[#This Row],[Clase]],{1,2,3}, {"PRIMERA","SEGUNDA","TERCERA"})</f>
        <v>TERCERA</v>
      </c>
      <c r="O733" s="8" t="str">
        <f>IF(Titanic[[#This Row],[Sexo]]="Hombre", "HOMBRE", "MUJER")</f>
        <v>MUJER</v>
      </c>
      <c r="P733" s="8" t="str">
        <f>IF(Titanic[[#This Row],[Edad]]="", "", IF(Titanic[[#This Row],[Edad]]&gt;=100, Titanic[[#This Row],[Edad]] / 10, Titanic[[#This Row],[Edad]]))</f>
        <v/>
      </c>
      <c r="Q733" s="8" t="str">
        <f>IFERROR(LOOKUP(Titanic[[#This Row],[Edad Corrigida]],'Práctica 1'!$K$231:$K$240,'Práctica 1'!$L$231:$L$240), "DESCONOCIDO")</f>
        <v>DESCONOCIDO</v>
      </c>
      <c r="R733" s="8">
        <f>Titanic[[#This Row],[Familia Horizontal]]+Titanic[[#This Row],[Familia Vertical]]</f>
        <v>0</v>
      </c>
      <c r="S733" s="8"/>
      <c r="T733" s="8"/>
      <c r="U733" s="8"/>
      <c r="V733" s="8"/>
    </row>
    <row r="734" spans="2:22" x14ac:dyDescent="0.2">
      <c r="B734" s="6">
        <v>729</v>
      </c>
      <c r="C734" s="7">
        <v>0</v>
      </c>
      <c r="D734" s="8">
        <v>2</v>
      </c>
      <c r="E734" s="8" t="s">
        <v>743</v>
      </c>
      <c r="F734" s="8" t="s">
        <v>11</v>
      </c>
      <c r="G734" s="8">
        <v>25</v>
      </c>
      <c r="H734" s="8">
        <v>1</v>
      </c>
      <c r="I734" s="8">
        <v>0</v>
      </c>
      <c r="J734" s="8">
        <v>26</v>
      </c>
      <c r="K734" s="8">
        <v>0</v>
      </c>
      <c r="L734" s="8" t="s">
        <v>12</v>
      </c>
      <c r="M734" s="8" t="str">
        <f>IF(Titanic[[#This Row],[Sobrevive]]=1, "SOBREVIVE", "NO SOBREVIVE")</f>
        <v>NO SOBREVIVE</v>
      </c>
      <c r="N734" s="8" t="str">
        <f>LOOKUP(Titanic[[#This Row],[Clase]],{1,2,3}, {"PRIMERA","SEGUNDA","TERCERA"})</f>
        <v>SEGUNDA</v>
      </c>
      <c r="O734" s="8" t="str">
        <f>IF(Titanic[[#This Row],[Sexo]]="Hombre", "HOMBRE", "MUJER")</f>
        <v>HOMBRE</v>
      </c>
      <c r="P734" s="8">
        <f>IF(Titanic[[#This Row],[Edad]]="", "", IF(Titanic[[#This Row],[Edad]]&gt;=100, Titanic[[#This Row],[Edad]] / 10, Titanic[[#This Row],[Edad]]))</f>
        <v>25</v>
      </c>
      <c r="Q734" s="8" t="str">
        <f>IFERROR(LOOKUP(Titanic[[#This Row],[Edad Corrigida]],'Práctica 1'!$K$231:$K$240,'Práctica 1'!$L$231:$L$240), "DESCONOCIDO")</f>
        <v>4. ADULTO JOVEN</v>
      </c>
      <c r="R734" s="8">
        <f>Titanic[[#This Row],[Familia Horizontal]]+Titanic[[#This Row],[Familia Vertical]]</f>
        <v>1</v>
      </c>
      <c r="S734" s="8"/>
      <c r="T734" s="8"/>
      <c r="U734" s="8"/>
      <c r="V734" s="8"/>
    </row>
    <row r="735" spans="2:22" x14ac:dyDescent="0.2">
      <c r="B735" s="6">
        <v>730</v>
      </c>
      <c r="C735" s="7">
        <v>0</v>
      </c>
      <c r="D735" s="8">
        <v>3</v>
      </c>
      <c r="E735" s="8" t="s">
        <v>744</v>
      </c>
      <c r="F735" s="8" t="s">
        <v>14</v>
      </c>
      <c r="G735" s="8">
        <v>25</v>
      </c>
      <c r="H735" s="8">
        <v>1</v>
      </c>
      <c r="I735" s="8">
        <v>0</v>
      </c>
      <c r="J735" s="8">
        <v>7925</v>
      </c>
      <c r="K735" s="8">
        <v>0</v>
      </c>
      <c r="L735" s="8" t="s">
        <v>12</v>
      </c>
      <c r="M735" s="8" t="str">
        <f>IF(Titanic[[#This Row],[Sobrevive]]=1, "SOBREVIVE", "NO SOBREVIVE")</f>
        <v>NO SOBREVIVE</v>
      </c>
      <c r="N735" s="8" t="str">
        <f>LOOKUP(Titanic[[#This Row],[Clase]],{1,2,3}, {"PRIMERA","SEGUNDA","TERCERA"})</f>
        <v>TERCERA</v>
      </c>
      <c r="O735" s="8" t="str">
        <f>IF(Titanic[[#This Row],[Sexo]]="Hombre", "HOMBRE", "MUJER")</f>
        <v>MUJER</v>
      </c>
      <c r="P735" s="8">
        <f>IF(Titanic[[#This Row],[Edad]]="", "", IF(Titanic[[#This Row],[Edad]]&gt;=100, Titanic[[#This Row],[Edad]] / 10, Titanic[[#This Row],[Edad]]))</f>
        <v>25</v>
      </c>
      <c r="Q735" s="8" t="str">
        <f>IFERROR(LOOKUP(Titanic[[#This Row],[Edad Corrigida]],'Práctica 1'!$K$231:$K$240,'Práctica 1'!$L$231:$L$240), "DESCONOCIDO")</f>
        <v>4. ADULTO JOVEN</v>
      </c>
      <c r="R735" s="8">
        <f>Titanic[[#This Row],[Familia Horizontal]]+Titanic[[#This Row],[Familia Vertical]]</f>
        <v>1</v>
      </c>
      <c r="S735" s="8"/>
      <c r="T735" s="8"/>
      <c r="U735" s="8"/>
      <c r="V735" s="8"/>
    </row>
    <row r="736" spans="2:22" x14ac:dyDescent="0.2">
      <c r="B736" s="6">
        <v>731</v>
      </c>
      <c r="C736" s="7">
        <v>1</v>
      </c>
      <c r="D736" s="8">
        <v>1</v>
      </c>
      <c r="E736" s="8" t="s">
        <v>745</v>
      </c>
      <c r="F736" s="8" t="s">
        <v>14</v>
      </c>
      <c r="G736" s="8">
        <v>29</v>
      </c>
      <c r="H736" s="8">
        <v>0</v>
      </c>
      <c r="I736" s="8">
        <v>0</v>
      </c>
      <c r="J736" s="8">
        <v>2113375</v>
      </c>
      <c r="K736" s="8">
        <v>1</v>
      </c>
      <c r="L736" s="8" t="s">
        <v>12</v>
      </c>
      <c r="M736" s="8" t="str">
        <f>IF(Titanic[[#This Row],[Sobrevive]]=1, "SOBREVIVE", "NO SOBREVIVE")</f>
        <v>SOBREVIVE</v>
      </c>
      <c r="N736" s="8" t="str">
        <f>LOOKUP(Titanic[[#This Row],[Clase]],{1,2,3}, {"PRIMERA","SEGUNDA","TERCERA"})</f>
        <v>PRIMERA</v>
      </c>
      <c r="O736" s="8" t="str">
        <f>IF(Titanic[[#This Row],[Sexo]]="Hombre", "HOMBRE", "MUJER")</f>
        <v>MUJER</v>
      </c>
      <c r="P736" s="8">
        <f>IF(Titanic[[#This Row],[Edad]]="", "", IF(Titanic[[#This Row],[Edad]]&gt;=100, Titanic[[#This Row],[Edad]] / 10, Titanic[[#This Row],[Edad]]))</f>
        <v>29</v>
      </c>
      <c r="Q736" s="8" t="str">
        <f>IFERROR(LOOKUP(Titanic[[#This Row],[Edad Corrigida]],'Práctica 1'!$K$231:$K$240,'Práctica 1'!$L$231:$L$240), "DESCONOCIDO")</f>
        <v>5. ADULTO</v>
      </c>
      <c r="R736" s="8">
        <f>Titanic[[#This Row],[Familia Horizontal]]+Titanic[[#This Row],[Familia Vertical]]</f>
        <v>0</v>
      </c>
      <c r="S736" s="8"/>
      <c r="T736" s="8"/>
      <c r="U736" s="8"/>
      <c r="V736" s="8"/>
    </row>
    <row r="737" spans="2:22" x14ac:dyDescent="0.2">
      <c r="B737" s="6">
        <v>732</v>
      </c>
      <c r="C737" s="7">
        <v>0</v>
      </c>
      <c r="D737" s="8">
        <v>3</v>
      </c>
      <c r="E737" s="8" t="s">
        <v>746</v>
      </c>
      <c r="F737" s="8" t="s">
        <v>11</v>
      </c>
      <c r="G737" s="8">
        <v>11</v>
      </c>
      <c r="H737" s="8">
        <v>0</v>
      </c>
      <c r="I737" s="8">
        <v>0</v>
      </c>
      <c r="J737" s="8">
        <v>187875</v>
      </c>
      <c r="K737" s="8">
        <v>0</v>
      </c>
      <c r="L737" s="8" t="s">
        <v>15</v>
      </c>
      <c r="M737" s="8" t="str">
        <f>IF(Titanic[[#This Row],[Sobrevive]]=1, "SOBREVIVE", "NO SOBREVIVE")</f>
        <v>NO SOBREVIVE</v>
      </c>
      <c r="N737" s="8" t="str">
        <f>LOOKUP(Titanic[[#This Row],[Clase]],{1,2,3}, {"PRIMERA","SEGUNDA","TERCERA"})</f>
        <v>TERCERA</v>
      </c>
      <c r="O737" s="8" t="str">
        <f>IF(Titanic[[#This Row],[Sexo]]="Hombre", "HOMBRE", "MUJER")</f>
        <v>HOMBRE</v>
      </c>
      <c r="P737" s="8">
        <f>IF(Titanic[[#This Row],[Edad]]="", "", IF(Titanic[[#This Row],[Edad]]&gt;=100, Titanic[[#This Row],[Edad]] / 10, Titanic[[#This Row],[Edad]]))</f>
        <v>11</v>
      </c>
      <c r="Q737" s="8" t="str">
        <f>IFERROR(LOOKUP(Titanic[[#This Row],[Edad Corrigida]],'Práctica 1'!$K$231:$K$240,'Práctica 1'!$L$231:$L$240), "DESCONOCIDO")</f>
        <v>DESCONOCIDO</v>
      </c>
      <c r="R737" s="8">
        <f>Titanic[[#This Row],[Familia Horizontal]]+Titanic[[#This Row],[Familia Vertical]]</f>
        <v>0</v>
      </c>
      <c r="S737" s="8"/>
      <c r="T737" s="8"/>
      <c r="U737" s="8"/>
      <c r="V737" s="8"/>
    </row>
    <row r="738" spans="2:22" x14ac:dyDescent="0.2">
      <c r="B738" s="6">
        <v>733</v>
      </c>
      <c r="C738" s="7">
        <v>0</v>
      </c>
      <c r="D738" s="8">
        <v>2</v>
      </c>
      <c r="E738" s="8" t="s">
        <v>747</v>
      </c>
      <c r="F738" s="8" t="s">
        <v>11</v>
      </c>
      <c r="G738" s="9"/>
      <c r="H738" s="8">
        <v>0</v>
      </c>
      <c r="I738" s="8">
        <v>0</v>
      </c>
      <c r="J738" s="8">
        <v>0</v>
      </c>
      <c r="K738" s="8">
        <v>0</v>
      </c>
      <c r="L738" s="8" t="s">
        <v>12</v>
      </c>
      <c r="M738" s="8" t="str">
        <f>IF(Titanic[[#This Row],[Sobrevive]]=1, "SOBREVIVE", "NO SOBREVIVE")</f>
        <v>NO SOBREVIVE</v>
      </c>
      <c r="N738" s="8" t="str">
        <f>LOOKUP(Titanic[[#This Row],[Clase]],{1,2,3}, {"PRIMERA","SEGUNDA","TERCERA"})</f>
        <v>SEGUNDA</v>
      </c>
      <c r="O738" s="8" t="str">
        <f>IF(Titanic[[#This Row],[Sexo]]="Hombre", "HOMBRE", "MUJER")</f>
        <v>HOMBRE</v>
      </c>
      <c r="P738" s="8" t="str">
        <f>IF(Titanic[[#This Row],[Edad]]="", "", IF(Titanic[[#This Row],[Edad]]&gt;=100, Titanic[[#This Row],[Edad]] / 10, Titanic[[#This Row],[Edad]]))</f>
        <v/>
      </c>
      <c r="Q738" s="8" t="str">
        <f>IFERROR(LOOKUP(Titanic[[#This Row],[Edad Corrigida]],'Práctica 1'!$K$231:$K$240,'Práctica 1'!$L$231:$L$240), "DESCONOCIDO")</f>
        <v>DESCONOCIDO</v>
      </c>
      <c r="R738" s="8">
        <f>Titanic[[#This Row],[Familia Horizontal]]+Titanic[[#This Row],[Familia Vertical]]</f>
        <v>0</v>
      </c>
      <c r="S738" s="8"/>
      <c r="T738" s="8"/>
      <c r="U738" s="8"/>
      <c r="V738" s="8"/>
    </row>
    <row r="739" spans="2:22" x14ac:dyDescent="0.2">
      <c r="B739" s="6">
        <v>734</v>
      </c>
      <c r="C739" s="7">
        <v>0</v>
      </c>
      <c r="D739" s="8">
        <v>2</v>
      </c>
      <c r="E739" s="8" t="s">
        <v>748</v>
      </c>
      <c r="F739" s="8" t="s">
        <v>11</v>
      </c>
      <c r="G739" s="8">
        <v>23</v>
      </c>
      <c r="H739" s="8">
        <v>0</v>
      </c>
      <c r="I739" s="8">
        <v>0</v>
      </c>
      <c r="J739" s="8">
        <v>13</v>
      </c>
      <c r="K739" s="8">
        <v>0</v>
      </c>
      <c r="L739" s="8" t="s">
        <v>12</v>
      </c>
      <c r="M739" s="8" t="str">
        <f>IF(Titanic[[#This Row],[Sobrevive]]=1, "SOBREVIVE", "NO SOBREVIVE")</f>
        <v>NO SOBREVIVE</v>
      </c>
      <c r="N739" s="8" t="str">
        <f>LOOKUP(Titanic[[#This Row],[Clase]],{1,2,3}, {"PRIMERA","SEGUNDA","TERCERA"})</f>
        <v>SEGUNDA</v>
      </c>
      <c r="O739" s="8" t="str">
        <f>IF(Titanic[[#This Row],[Sexo]]="Hombre", "HOMBRE", "MUJER")</f>
        <v>HOMBRE</v>
      </c>
      <c r="P739" s="8">
        <f>IF(Titanic[[#This Row],[Edad]]="", "", IF(Titanic[[#This Row],[Edad]]&gt;=100, Titanic[[#This Row],[Edad]] / 10, Titanic[[#This Row],[Edad]]))</f>
        <v>23</v>
      </c>
      <c r="Q739" s="8" t="str">
        <f>IFERROR(LOOKUP(Titanic[[#This Row],[Edad Corrigida]],'Práctica 1'!$K$231:$K$240,'Práctica 1'!$L$231:$L$240), "DESCONOCIDO")</f>
        <v>3. JOVEN</v>
      </c>
      <c r="R739" s="8">
        <f>Titanic[[#This Row],[Familia Horizontal]]+Titanic[[#This Row],[Familia Vertical]]</f>
        <v>0</v>
      </c>
      <c r="S739" s="8"/>
      <c r="T739" s="8"/>
      <c r="U739" s="8"/>
      <c r="V739" s="8"/>
    </row>
    <row r="740" spans="2:22" x14ac:dyDescent="0.2">
      <c r="B740" s="6">
        <v>735</v>
      </c>
      <c r="C740" s="7">
        <v>0</v>
      </c>
      <c r="D740" s="8">
        <v>2</v>
      </c>
      <c r="E740" s="8" t="s">
        <v>749</v>
      </c>
      <c r="F740" s="8" t="s">
        <v>11</v>
      </c>
      <c r="G740" s="8">
        <v>23</v>
      </c>
      <c r="H740" s="8">
        <v>0</v>
      </c>
      <c r="I740" s="8">
        <v>0</v>
      </c>
      <c r="J740" s="8">
        <v>13</v>
      </c>
      <c r="K740" s="8">
        <v>0</v>
      </c>
      <c r="L740" s="8" t="s">
        <v>12</v>
      </c>
      <c r="M740" s="8" t="str">
        <f>IF(Titanic[[#This Row],[Sobrevive]]=1, "SOBREVIVE", "NO SOBREVIVE")</f>
        <v>NO SOBREVIVE</v>
      </c>
      <c r="N740" s="8" t="str">
        <f>LOOKUP(Titanic[[#This Row],[Clase]],{1,2,3}, {"PRIMERA","SEGUNDA","TERCERA"})</f>
        <v>SEGUNDA</v>
      </c>
      <c r="O740" s="8" t="str">
        <f>IF(Titanic[[#This Row],[Sexo]]="Hombre", "HOMBRE", "MUJER")</f>
        <v>HOMBRE</v>
      </c>
      <c r="P740" s="8">
        <f>IF(Titanic[[#This Row],[Edad]]="", "", IF(Titanic[[#This Row],[Edad]]&gt;=100, Titanic[[#This Row],[Edad]] / 10, Titanic[[#This Row],[Edad]]))</f>
        <v>23</v>
      </c>
      <c r="Q740" s="8" t="str">
        <f>IFERROR(LOOKUP(Titanic[[#This Row],[Edad Corrigida]],'Práctica 1'!$K$231:$K$240,'Práctica 1'!$L$231:$L$240), "DESCONOCIDO")</f>
        <v>3. JOVEN</v>
      </c>
      <c r="R740" s="8">
        <f>Titanic[[#This Row],[Familia Horizontal]]+Titanic[[#This Row],[Familia Vertical]]</f>
        <v>0</v>
      </c>
      <c r="S740" s="8"/>
      <c r="T740" s="8"/>
      <c r="U740" s="8"/>
      <c r="V740" s="8"/>
    </row>
    <row r="741" spans="2:22" x14ac:dyDescent="0.2">
      <c r="B741" s="6">
        <v>736</v>
      </c>
      <c r="C741" s="7">
        <v>0</v>
      </c>
      <c r="D741" s="8">
        <v>3</v>
      </c>
      <c r="E741" s="8" t="s">
        <v>750</v>
      </c>
      <c r="F741" s="8" t="s">
        <v>11</v>
      </c>
      <c r="G741" s="8">
        <v>285</v>
      </c>
      <c r="H741" s="8">
        <v>0</v>
      </c>
      <c r="I741" s="8">
        <v>0</v>
      </c>
      <c r="J741" s="8">
        <v>161</v>
      </c>
      <c r="K741" s="8">
        <v>0</v>
      </c>
      <c r="L741" s="8" t="s">
        <v>12</v>
      </c>
      <c r="M741" s="8" t="str">
        <f>IF(Titanic[[#This Row],[Sobrevive]]=1, "SOBREVIVE", "NO SOBREVIVE")</f>
        <v>NO SOBREVIVE</v>
      </c>
      <c r="N741" s="8" t="str">
        <f>LOOKUP(Titanic[[#This Row],[Clase]],{1,2,3}, {"PRIMERA","SEGUNDA","TERCERA"})</f>
        <v>TERCERA</v>
      </c>
      <c r="O741" s="8" t="str">
        <f>IF(Titanic[[#This Row],[Sexo]]="Hombre", "HOMBRE", "MUJER")</f>
        <v>HOMBRE</v>
      </c>
      <c r="P741" s="8">
        <f>IF(Titanic[[#This Row],[Edad]]="", "", IF(Titanic[[#This Row],[Edad]]&gt;=100, Titanic[[#This Row],[Edad]] / 10, Titanic[[#This Row],[Edad]]))</f>
        <v>28.5</v>
      </c>
      <c r="Q741" s="8" t="str">
        <f>IFERROR(LOOKUP(Titanic[[#This Row],[Edad Corrigida]],'Práctica 1'!$K$231:$K$240,'Práctica 1'!$L$231:$L$240), "DESCONOCIDO")</f>
        <v>4. ADULTO JOVEN</v>
      </c>
      <c r="R741" s="8">
        <f>Titanic[[#This Row],[Familia Horizontal]]+Titanic[[#This Row],[Familia Vertical]]</f>
        <v>0</v>
      </c>
      <c r="S741" s="8"/>
      <c r="T741" s="8"/>
      <c r="U741" s="8"/>
      <c r="V741" s="8"/>
    </row>
    <row r="742" spans="2:22" x14ac:dyDescent="0.2">
      <c r="B742" s="6">
        <v>737</v>
      </c>
      <c r="C742" s="7">
        <v>0</v>
      </c>
      <c r="D742" s="8">
        <v>3</v>
      </c>
      <c r="E742" s="8" t="s">
        <v>751</v>
      </c>
      <c r="F742" s="8" t="s">
        <v>14</v>
      </c>
      <c r="G742" s="8">
        <v>48</v>
      </c>
      <c r="H742" s="8">
        <v>1</v>
      </c>
      <c r="I742" s="8">
        <v>3</v>
      </c>
      <c r="J742" s="8">
        <v>34375</v>
      </c>
      <c r="K742" s="8">
        <v>0</v>
      </c>
      <c r="L742" s="8" t="s">
        <v>12</v>
      </c>
      <c r="M742" s="8" t="str">
        <f>IF(Titanic[[#This Row],[Sobrevive]]=1, "SOBREVIVE", "NO SOBREVIVE")</f>
        <v>NO SOBREVIVE</v>
      </c>
      <c r="N742" s="8" t="str">
        <f>LOOKUP(Titanic[[#This Row],[Clase]],{1,2,3}, {"PRIMERA","SEGUNDA","TERCERA"})</f>
        <v>TERCERA</v>
      </c>
      <c r="O742" s="8" t="str">
        <f>IF(Titanic[[#This Row],[Sexo]]="Hombre", "HOMBRE", "MUJER")</f>
        <v>MUJER</v>
      </c>
      <c r="P742" s="8">
        <f>IF(Titanic[[#This Row],[Edad]]="", "", IF(Titanic[[#This Row],[Edad]]&gt;=100, Titanic[[#This Row],[Edad]] / 10, Titanic[[#This Row],[Edad]]))</f>
        <v>48</v>
      </c>
      <c r="Q742" s="8" t="str">
        <f>IFERROR(LOOKUP(Titanic[[#This Row],[Edad Corrigida]],'Práctica 1'!$K$231:$K$240,'Práctica 1'!$L$231:$L$240), "DESCONOCIDO")</f>
        <v>8. ADULTO 3</v>
      </c>
      <c r="R742" s="8">
        <f>Titanic[[#This Row],[Familia Horizontal]]+Titanic[[#This Row],[Familia Vertical]]</f>
        <v>4</v>
      </c>
      <c r="S742" s="8"/>
      <c r="T742" s="8"/>
      <c r="U742" s="8"/>
      <c r="V742" s="8"/>
    </row>
    <row r="743" spans="2:22" x14ac:dyDescent="0.2">
      <c r="B743" s="6">
        <v>738</v>
      </c>
      <c r="C743" s="7">
        <v>1</v>
      </c>
      <c r="D743" s="8">
        <v>1</v>
      </c>
      <c r="E743" s="8" t="s">
        <v>752</v>
      </c>
      <c r="F743" s="8" t="s">
        <v>11</v>
      </c>
      <c r="G743" s="8">
        <v>35</v>
      </c>
      <c r="H743" s="8">
        <v>0</v>
      </c>
      <c r="I743" s="8">
        <v>0</v>
      </c>
      <c r="J743" s="8">
        <v>5123292</v>
      </c>
      <c r="K743" s="8">
        <v>1</v>
      </c>
      <c r="L743" s="8" t="s">
        <v>15</v>
      </c>
      <c r="M743" s="8" t="str">
        <f>IF(Titanic[[#This Row],[Sobrevive]]=1, "SOBREVIVE", "NO SOBREVIVE")</f>
        <v>SOBREVIVE</v>
      </c>
      <c r="N743" s="8" t="str">
        <f>LOOKUP(Titanic[[#This Row],[Clase]],{1,2,3}, {"PRIMERA","SEGUNDA","TERCERA"})</f>
        <v>PRIMERA</v>
      </c>
      <c r="O743" s="8" t="str">
        <f>IF(Titanic[[#This Row],[Sexo]]="Hombre", "HOMBRE", "MUJER")</f>
        <v>HOMBRE</v>
      </c>
      <c r="P743" s="8">
        <f>IF(Titanic[[#This Row],[Edad]]="", "", IF(Titanic[[#This Row],[Edad]]&gt;=100, Titanic[[#This Row],[Edad]] / 10, Titanic[[#This Row],[Edad]]))</f>
        <v>35</v>
      </c>
      <c r="Q743" s="8" t="str">
        <f>IFERROR(LOOKUP(Titanic[[#This Row],[Edad Corrigida]],'Práctica 1'!$K$231:$K$240,'Práctica 1'!$L$231:$L$240), "DESCONOCIDO")</f>
        <v>6. ADULTO 1</v>
      </c>
      <c r="R743" s="8">
        <f>Titanic[[#This Row],[Familia Horizontal]]+Titanic[[#This Row],[Familia Vertical]]</f>
        <v>0</v>
      </c>
      <c r="S743" s="8"/>
      <c r="T743" s="8"/>
      <c r="U743" s="8"/>
      <c r="V743" s="8"/>
    </row>
    <row r="744" spans="2:22" x14ac:dyDescent="0.2">
      <c r="B744" s="6">
        <v>739</v>
      </c>
      <c r="C744" s="7">
        <v>0</v>
      </c>
      <c r="D744" s="8">
        <v>3</v>
      </c>
      <c r="E744" s="8" t="s">
        <v>753</v>
      </c>
      <c r="F744" s="8" t="s">
        <v>11</v>
      </c>
      <c r="G744" s="9"/>
      <c r="H744" s="8">
        <v>0</v>
      </c>
      <c r="I744" s="8">
        <v>0</v>
      </c>
      <c r="J744" s="8">
        <v>78958</v>
      </c>
      <c r="K744" s="8">
        <v>0</v>
      </c>
      <c r="L744" s="8" t="s">
        <v>12</v>
      </c>
      <c r="M744" s="8" t="str">
        <f>IF(Titanic[[#This Row],[Sobrevive]]=1, "SOBREVIVE", "NO SOBREVIVE")</f>
        <v>NO SOBREVIVE</v>
      </c>
      <c r="N744" s="8" t="str">
        <f>LOOKUP(Titanic[[#This Row],[Clase]],{1,2,3}, {"PRIMERA","SEGUNDA","TERCERA"})</f>
        <v>TERCERA</v>
      </c>
      <c r="O744" s="8" t="str">
        <f>IF(Titanic[[#This Row],[Sexo]]="Hombre", "HOMBRE", "MUJER")</f>
        <v>HOMBRE</v>
      </c>
      <c r="P744" s="8" t="str">
        <f>IF(Titanic[[#This Row],[Edad]]="", "", IF(Titanic[[#This Row],[Edad]]&gt;=100, Titanic[[#This Row],[Edad]] / 10, Titanic[[#This Row],[Edad]]))</f>
        <v/>
      </c>
      <c r="Q744" s="8" t="str">
        <f>IFERROR(LOOKUP(Titanic[[#This Row],[Edad Corrigida]],'Práctica 1'!$K$231:$K$240,'Práctica 1'!$L$231:$L$240), "DESCONOCIDO")</f>
        <v>DESCONOCIDO</v>
      </c>
      <c r="R744" s="8">
        <f>Titanic[[#This Row],[Familia Horizontal]]+Titanic[[#This Row],[Familia Vertical]]</f>
        <v>0</v>
      </c>
      <c r="S744" s="8"/>
      <c r="T744" s="8"/>
      <c r="U744" s="8"/>
      <c r="V744" s="8"/>
    </row>
    <row r="745" spans="2:22" x14ac:dyDescent="0.2">
      <c r="B745" s="6">
        <v>740</v>
      </c>
      <c r="C745" s="7">
        <v>0</v>
      </c>
      <c r="D745" s="8">
        <v>3</v>
      </c>
      <c r="E745" s="8" t="s">
        <v>754</v>
      </c>
      <c r="F745" s="8" t="s">
        <v>11</v>
      </c>
      <c r="G745" s="9"/>
      <c r="H745" s="8">
        <v>0</v>
      </c>
      <c r="I745" s="8">
        <v>0</v>
      </c>
      <c r="J745" s="8">
        <v>78958</v>
      </c>
      <c r="K745" s="8">
        <v>0</v>
      </c>
      <c r="L745" s="8" t="s">
        <v>12</v>
      </c>
      <c r="M745" s="8" t="str">
        <f>IF(Titanic[[#This Row],[Sobrevive]]=1, "SOBREVIVE", "NO SOBREVIVE")</f>
        <v>NO SOBREVIVE</v>
      </c>
      <c r="N745" s="8" t="str">
        <f>LOOKUP(Titanic[[#This Row],[Clase]],{1,2,3}, {"PRIMERA","SEGUNDA","TERCERA"})</f>
        <v>TERCERA</v>
      </c>
      <c r="O745" s="8" t="str">
        <f>IF(Titanic[[#This Row],[Sexo]]="Hombre", "HOMBRE", "MUJER")</f>
        <v>HOMBRE</v>
      </c>
      <c r="P745" s="8" t="str">
        <f>IF(Titanic[[#This Row],[Edad]]="", "", IF(Titanic[[#This Row],[Edad]]&gt;=100, Titanic[[#This Row],[Edad]] / 10, Titanic[[#This Row],[Edad]]))</f>
        <v/>
      </c>
      <c r="Q745" s="8" t="str">
        <f>IFERROR(LOOKUP(Titanic[[#This Row],[Edad Corrigida]],'Práctica 1'!$K$231:$K$240,'Práctica 1'!$L$231:$L$240), "DESCONOCIDO")</f>
        <v>DESCONOCIDO</v>
      </c>
      <c r="R745" s="8">
        <f>Titanic[[#This Row],[Familia Horizontal]]+Titanic[[#This Row],[Familia Vertical]]</f>
        <v>0</v>
      </c>
      <c r="S745" s="8"/>
      <c r="T745" s="8"/>
      <c r="U745" s="8"/>
      <c r="V745" s="8"/>
    </row>
    <row r="746" spans="2:22" x14ac:dyDescent="0.2">
      <c r="B746" s="6">
        <v>741</v>
      </c>
      <c r="C746" s="7">
        <v>1</v>
      </c>
      <c r="D746" s="8">
        <v>1</v>
      </c>
      <c r="E746" s="8" t="s">
        <v>755</v>
      </c>
      <c r="F746" s="8" t="s">
        <v>11</v>
      </c>
      <c r="G746" s="9"/>
      <c r="H746" s="8">
        <v>0</v>
      </c>
      <c r="I746" s="8">
        <v>0</v>
      </c>
      <c r="J746" s="8">
        <v>30</v>
      </c>
      <c r="K746" s="8">
        <v>1</v>
      </c>
      <c r="L746" s="8" t="s">
        <v>12</v>
      </c>
      <c r="M746" s="8" t="str">
        <f>IF(Titanic[[#This Row],[Sobrevive]]=1, "SOBREVIVE", "NO SOBREVIVE")</f>
        <v>SOBREVIVE</v>
      </c>
      <c r="N746" s="8" t="str">
        <f>LOOKUP(Titanic[[#This Row],[Clase]],{1,2,3}, {"PRIMERA","SEGUNDA","TERCERA"})</f>
        <v>PRIMERA</v>
      </c>
      <c r="O746" s="8" t="str">
        <f>IF(Titanic[[#This Row],[Sexo]]="Hombre", "HOMBRE", "MUJER")</f>
        <v>HOMBRE</v>
      </c>
      <c r="P746" s="8" t="str">
        <f>IF(Titanic[[#This Row],[Edad]]="", "", IF(Titanic[[#This Row],[Edad]]&gt;=100, Titanic[[#This Row],[Edad]] / 10, Titanic[[#This Row],[Edad]]))</f>
        <v/>
      </c>
      <c r="Q746" s="8" t="str">
        <f>IFERROR(LOOKUP(Titanic[[#This Row],[Edad Corrigida]],'Práctica 1'!$K$231:$K$240,'Práctica 1'!$L$231:$L$240), "DESCONOCIDO")</f>
        <v>DESCONOCIDO</v>
      </c>
      <c r="R746" s="8">
        <f>Titanic[[#This Row],[Familia Horizontal]]+Titanic[[#This Row],[Familia Vertical]]</f>
        <v>0</v>
      </c>
      <c r="S746" s="8"/>
      <c r="T746" s="8"/>
      <c r="U746" s="8"/>
      <c r="V746" s="8"/>
    </row>
    <row r="747" spans="2:22" x14ac:dyDescent="0.2">
      <c r="B747" s="6">
        <v>742</v>
      </c>
      <c r="C747" s="7">
        <v>0</v>
      </c>
      <c r="D747" s="8">
        <v>1</v>
      </c>
      <c r="E747" s="8" t="s">
        <v>756</v>
      </c>
      <c r="F747" s="8" t="s">
        <v>11</v>
      </c>
      <c r="G747" s="8">
        <v>36</v>
      </c>
      <c r="H747" s="8">
        <v>1</v>
      </c>
      <c r="I747" s="8">
        <v>0</v>
      </c>
      <c r="J747" s="8">
        <v>7885</v>
      </c>
      <c r="K747" s="8">
        <v>1</v>
      </c>
      <c r="L747" s="8" t="s">
        <v>12</v>
      </c>
      <c r="M747" s="8" t="str">
        <f>IF(Titanic[[#This Row],[Sobrevive]]=1, "SOBREVIVE", "NO SOBREVIVE")</f>
        <v>NO SOBREVIVE</v>
      </c>
      <c r="N747" s="8" t="str">
        <f>LOOKUP(Titanic[[#This Row],[Clase]],{1,2,3}, {"PRIMERA","SEGUNDA","TERCERA"})</f>
        <v>PRIMERA</v>
      </c>
      <c r="O747" s="8" t="str">
        <f>IF(Titanic[[#This Row],[Sexo]]="Hombre", "HOMBRE", "MUJER")</f>
        <v>HOMBRE</v>
      </c>
      <c r="P747" s="8">
        <f>IF(Titanic[[#This Row],[Edad]]="", "", IF(Titanic[[#This Row],[Edad]]&gt;=100, Titanic[[#This Row],[Edad]] / 10, Titanic[[#This Row],[Edad]]))</f>
        <v>36</v>
      </c>
      <c r="Q747" s="8" t="str">
        <f>IFERROR(LOOKUP(Titanic[[#This Row],[Edad Corrigida]],'Práctica 1'!$K$231:$K$240,'Práctica 1'!$L$231:$L$240), "DESCONOCIDO")</f>
        <v>7. ADULTO 2</v>
      </c>
      <c r="R747" s="8">
        <f>Titanic[[#This Row],[Familia Horizontal]]+Titanic[[#This Row],[Familia Vertical]]</f>
        <v>1</v>
      </c>
      <c r="S747" s="8"/>
      <c r="T747" s="8"/>
      <c r="U747" s="8"/>
      <c r="V747" s="8"/>
    </row>
    <row r="748" spans="2:22" x14ac:dyDescent="0.2">
      <c r="B748" s="6">
        <v>743</v>
      </c>
      <c r="C748" s="7">
        <v>1</v>
      </c>
      <c r="D748" s="8">
        <v>1</v>
      </c>
      <c r="E748" s="8" t="s">
        <v>757</v>
      </c>
      <c r="F748" s="8" t="s">
        <v>14</v>
      </c>
      <c r="G748" s="8">
        <v>21</v>
      </c>
      <c r="H748" s="8">
        <v>2</v>
      </c>
      <c r="I748" s="8">
        <v>2</v>
      </c>
      <c r="J748" s="8">
        <v>262375</v>
      </c>
      <c r="K748" s="8">
        <v>1</v>
      </c>
      <c r="L748" s="8" t="s">
        <v>15</v>
      </c>
      <c r="M748" s="8" t="str">
        <f>IF(Titanic[[#This Row],[Sobrevive]]=1, "SOBREVIVE", "NO SOBREVIVE")</f>
        <v>SOBREVIVE</v>
      </c>
      <c r="N748" s="8" t="str">
        <f>LOOKUP(Titanic[[#This Row],[Clase]],{1,2,3}, {"PRIMERA","SEGUNDA","TERCERA"})</f>
        <v>PRIMERA</v>
      </c>
      <c r="O748" s="8" t="str">
        <f>IF(Titanic[[#This Row],[Sexo]]="Hombre", "HOMBRE", "MUJER")</f>
        <v>MUJER</v>
      </c>
      <c r="P748" s="8">
        <f>IF(Titanic[[#This Row],[Edad]]="", "", IF(Titanic[[#This Row],[Edad]]&gt;=100, Titanic[[#This Row],[Edad]] / 10, Titanic[[#This Row],[Edad]]))</f>
        <v>21</v>
      </c>
      <c r="Q748" s="8" t="str">
        <f>IFERROR(LOOKUP(Titanic[[#This Row],[Edad Corrigida]],'Práctica 1'!$K$231:$K$240,'Práctica 1'!$L$231:$L$240), "DESCONOCIDO")</f>
        <v>2. ADOLESCENTE</v>
      </c>
      <c r="R748" s="8">
        <f>Titanic[[#This Row],[Familia Horizontal]]+Titanic[[#This Row],[Familia Vertical]]</f>
        <v>4</v>
      </c>
      <c r="S748" s="8"/>
      <c r="T748" s="8"/>
      <c r="U748" s="8"/>
      <c r="V748" s="8"/>
    </row>
    <row r="749" spans="2:22" x14ac:dyDescent="0.2">
      <c r="B749" s="6">
        <v>744</v>
      </c>
      <c r="C749" s="7">
        <v>0</v>
      </c>
      <c r="D749" s="8">
        <v>3</v>
      </c>
      <c r="E749" s="8" t="s">
        <v>758</v>
      </c>
      <c r="F749" s="8" t="s">
        <v>11</v>
      </c>
      <c r="G749" s="8">
        <v>24</v>
      </c>
      <c r="H749" s="8">
        <v>1</v>
      </c>
      <c r="I749" s="8">
        <v>0</v>
      </c>
      <c r="J749" s="8">
        <v>161</v>
      </c>
      <c r="K749" s="8">
        <v>0</v>
      </c>
      <c r="L749" s="8" t="s">
        <v>12</v>
      </c>
      <c r="M749" s="8" t="str">
        <f>IF(Titanic[[#This Row],[Sobrevive]]=1, "SOBREVIVE", "NO SOBREVIVE")</f>
        <v>NO SOBREVIVE</v>
      </c>
      <c r="N749" s="8" t="str">
        <f>LOOKUP(Titanic[[#This Row],[Clase]],{1,2,3}, {"PRIMERA","SEGUNDA","TERCERA"})</f>
        <v>TERCERA</v>
      </c>
      <c r="O749" s="8" t="str">
        <f>IF(Titanic[[#This Row],[Sexo]]="Hombre", "HOMBRE", "MUJER")</f>
        <v>HOMBRE</v>
      </c>
      <c r="P749" s="8">
        <f>IF(Titanic[[#This Row],[Edad]]="", "", IF(Titanic[[#This Row],[Edad]]&gt;=100, Titanic[[#This Row],[Edad]] / 10, Titanic[[#This Row],[Edad]]))</f>
        <v>24</v>
      </c>
      <c r="Q749" s="8" t="str">
        <f>IFERROR(LOOKUP(Titanic[[#This Row],[Edad Corrigida]],'Práctica 1'!$K$231:$K$240,'Práctica 1'!$L$231:$L$240), "DESCONOCIDO")</f>
        <v>3. JOVEN</v>
      </c>
      <c r="R749" s="8">
        <f>Titanic[[#This Row],[Familia Horizontal]]+Titanic[[#This Row],[Familia Vertical]]</f>
        <v>1</v>
      </c>
      <c r="S749" s="8"/>
      <c r="T749" s="8"/>
      <c r="U749" s="8"/>
      <c r="V749" s="8"/>
    </row>
    <row r="750" spans="2:22" x14ac:dyDescent="0.2">
      <c r="B750" s="6">
        <v>745</v>
      </c>
      <c r="C750" s="7">
        <v>1</v>
      </c>
      <c r="D750" s="8">
        <v>3</v>
      </c>
      <c r="E750" s="8" t="s">
        <v>759</v>
      </c>
      <c r="F750" s="8" t="s">
        <v>11</v>
      </c>
      <c r="G750" s="8">
        <v>31</v>
      </c>
      <c r="H750" s="8">
        <v>0</v>
      </c>
      <c r="I750" s="8">
        <v>0</v>
      </c>
      <c r="J750" s="8">
        <v>7925</v>
      </c>
      <c r="K750" s="8">
        <v>0</v>
      </c>
      <c r="L750" s="8" t="s">
        <v>12</v>
      </c>
      <c r="M750" s="8" t="str">
        <f>IF(Titanic[[#This Row],[Sobrevive]]=1, "SOBREVIVE", "NO SOBREVIVE")</f>
        <v>SOBREVIVE</v>
      </c>
      <c r="N750" s="8" t="str">
        <f>LOOKUP(Titanic[[#This Row],[Clase]],{1,2,3}, {"PRIMERA","SEGUNDA","TERCERA"})</f>
        <v>TERCERA</v>
      </c>
      <c r="O750" s="8" t="str">
        <f>IF(Titanic[[#This Row],[Sexo]]="Hombre", "HOMBRE", "MUJER")</f>
        <v>HOMBRE</v>
      </c>
      <c r="P750" s="8">
        <f>IF(Titanic[[#This Row],[Edad]]="", "", IF(Titanic[[#This Row],[Edad]]&gt;=100, Titanic[[#This Row],[Edad]] / 10, Titanic[[#This Row],[Edad]]))</f>
        <v>31</v>
      </c>
      <c r="Q750" s="8" t="str">
        <f>IFERROR(LOOKUP(Titanic[[#This Row],[Edad Corrigida]],'Práctica 1'!$K$231:$K$240,'Práctica 1'!$L$231:$L$240), "DESCONOCIDO")</f>
        <v>5. ADULTO</v>
      </c>
      <c r="R750" s="8">
        <f>Titanic[[#This Row],[Familia Horizontal]]+Titanic[[#This Row],[Familia Vertical]]</f>
        <v>0</v>
      </c>
      <c r="S750" s="8"/>
      <c r="T750" s="8"/>
      <c r="U750" s="8"/>
      <c r="V750" s="8"/>
    </row>
    <row r="751" spans="2:22" x14ac:dyDescent="0.2">
      <c r="B751" s="6">
        <v>746</v>
      </c>
      <c r="C751" s="7">
        <v>0</v>
      </c>
      <c r="D751" s="8">
        <v>1</v>
      </c>
      <c r="E751" s="8" t="s">
        <v>760</v>
      </c>
      <c r="F751" s="8" t="s">
        <v>11</v>
      </c>
      <c r="G751" s="8">
        <v>70</v>
      </c>
      <c r="H751" s="8">
        <v>1</v>
      </c>
      <c r="I751" s="8">
        <v>1</v>
      </c>
      <c r="J751" s="8">
        <v>71</v>
      </c>
      <c r="K751" s="8">
        <v>1</v>
      </c>
      <c r="L751" s="8" t="s">
        <v>12</v>
      </c>
      <c r="M751" s="8" t="str">
        <f>IF(Titanic[[#This Row],[Sobrevive]]=1, "SOBREVIVE", "NO SOBREVIVE")</f>
        <v>NO SOBREVIVE</v>
      </c>
      <c r="N751" s="8" t="str">
        <f>LOOKUP(Titanic[[#This Row],[Clase]],{1,2,3}, {"PRIMERA","SEGUNDA","TERCERA"})</f>
        <v>PRIMERA</v>
      </c>
      <c r="O751" s="8" t="str">
        <f>IF(Titanic[[#This Row],[Sexo]]="Hombre", "HOMBRE", "MUJER")</f>
        <v>HOMBRE</v>
      </c>
      <c r="P751" s="8">
        <f>IF(Titanic[[#This Row],[Edad]]="", "", IF(Titanic[[#This Row],[Edad]]&gt;=100, Titanic[[#This Row],[Edad]] / 10, Titanic[[#This Row],[Edad]]))</f>
        <v>70</v>
      </c>
      <c r="Q751" s="8" t="str">
        <f>IFERROR(LOOKUP(Titanic[[#This Row],[Edad Corrigida]],'Práctica 1'!$K$231:$K$240,'Práctica 1'!$L$231:$L$240), "DESCONOCIDO")</f>
        <v>9. ADULTO 4</v>
      </c>
      <c r="R751" s="8">
        <f>Titanic[[#This Row],[Familia Horizontal]]+Titanic[[#This Row],[Familia Vertical]]</f>
        <v>2</v>
      </c>
      <c r="S751" s="8"/>
      <c r="T751" s="8"/>
      <c r="U751" s="8"/>
      <c r="V751" s="8"/>
    </row>
    <row r="752" spans="2:22" x14ac:dyDescent="0.2">
      <c r="B752" s="6">
        <v>747</v>
      </c>
      <c r="C752" s="7">
        <v>0</v>
      </c>
      <c r="D752" s="8">
        <v>3</v>
      </c>
      <c r="E752" s="8" t="s">
        <v>761</v>
      </c>
      <c r="F752" s="8" t="s">
        <v>11</v>
      </c>
      <c r="G752" s="8">
        <v>16</v>
      </c>
      <c r="H752" s="8">
        <v>1</v>
      </c>
      <c r="I752" s="8">
        <v>1</v>
      </c>
      <c r="J752" s="8">
        <v>2025</v>
      </c>
      <c r="K752" s="8">
        <v>0</v>
      </c>
      <c r="L752" s="8" t="s">
        <v>12</v>
      </c>
      <c r="M752" s="8" t="str">
        <f>IF(Titanic[[#This Row],[Sobrevive]]=1, "SOBREVIVE", "NO SOBREVIVE")</f>
        <v>NO SOBREVIVE</v>
      </c>
      <c r="N752" s="8" t="str">
        <f>LOOKUP(Titanic[[#This Row],[Clase]],{1,2,3}, {"PRIMERA","SEGUNDA","TERCERA"})</f>
        <v>TERCERA</v>
      </c>
      <c r="O752" s="8" t="str">
        <f>IF(Titanic[[#This Row],[Sexo]]="Hombre", "HOMBRE", "MUJER")</f>
        <v>HOMBRE</v>
      </c>
      <c r="P752" s="8">
        <f>IF(Titanic[[#This Row],[Edad]]="", "", IF(Titanic[[#This Row],[Edad]]&gt;=100, Titanic[[#This Row],[Edad]] / 10, Titanic[[#This Row],[Edad]]))</f>
        <v>16</v>
      </c>
      <c r="Q752" s="8" t="str">
        <f>IFERROR(LOOKUP(Titanic[[#This Row],[Edad Corrigida]],'Práctica 1'!$K$231:$K$240,'Práctica 1'!$L$231:$L$240), "DESCONOCIDO")</f>
        <v>1. INFANTE</v>
      </c>
      <c r="R752" s="8">
        <f>Titanic[[#This Row],[Familia Horizontal]]+Titanic[[#This Row],[Familia Vertical]]</f>
        <v>2</v>
      </c>
      <c r="S752" s="8"/>
      <c r="T752" s="8"/>
      <c r="U752" s="8"/>
      <c r="V752" s="8"/>
    </row>
    <row r="753" spans="2:22" x14ac:dyDescent="0.2">
      <c r="B753" s="6">
        <v>748</v>
      </c>
      <c r="C753" s="7">
        <v>1</v>
      </c>
      <c r="D753" s="8">
        <v>2</v>
      </c>
      <c r="E753" s="8" t="s">
        <v>762</v>
      </c>
      <c r="F753" s="8" t="s">
        <v>14</v>
      </c>
      <c r="G753" s="8">
        <v>30</v>
      </c>
      <c r="H753" s="8">
        <v>0</v>
      </c>
      <c r="I753" s="8">
        <v>0</v>
      </c>
      <c r="J753" s="8">
        <v>13</v>
      </c>
      <c r="K753" s="8">
        <v>0</v>
      </c>
      <c r="L753" s="8" t="s">
        <v>12</v>
      </c>
      <c r="M753" s="8" t="str">
        <f>IF(Titanic[[#This Row],[Sobrevive]]=1, "SOBREVIVE", "NO SOBREVIVE")</f>
        <v>SOBREVIVE</v>
      </c>
      <c r="N753" s="8" t="str">
        <f>LOOKUP(Titanic[[#This Row],[Clase]],{1,2,3}, {"PRIMERA","SEGUNDA","TERCERA"})</f>
        <v>SEGUNDA</v>
      </c>
      <c r="O753" s="8" t="str">
        <f>IF(Titanic[[#This Row],[Sexo]]="Hombre", "HOMBRE", "MUJER")</f>
        <v>MUJER</v>
      </c>
      <c r="P753" s="8">
        <f>IF(Titanic[[#This Row],[Edad]]="", "", IF(Titanic[[#This Row],[Edad]]&gt;=100, Titanic[[#This Row],[Edad]] / 10, Titanic[[#This Row],[Edad]]))</f>
        <v>30</v>
      </c>
      <c r="Q753" s="8" t="str">
        <f>IFERROR(LOOKUP(Titanic[[#This Row],[Edad Corrigida]],'Práctica 1'!$K$231:$K$240,'Práctica 1'!$L$231:$L$240), "DESCONOCIDO")</f>
        <v>5. ADULTO</v>
      </c>
      <c r="R753" s="8">
        <f>Titanic[[#This Row],[Familia Horizontal]]+Titanic[[#This Row],[Familia Vertical]]</f>
        <v>0</v>
      </c>
      <c r="S753" s="8"/>
      <c r="T753" s="8"/>
      <c r="U753" s="8"/>
      <c r="V753" s="8"/>
    </row>
    <row r="754" spans="2:22" x14ac:dyDescent="0.2">
      <c r="B754" s="6">
        <v>749</v>
      </c>
      <c r="C754" s="7">
        <v>0</v>
      </c>
      <c r="D754" s="8">
        <v>1</v>
      </c>
      <c r="E754" s="8" t="s">
        <v>763</v>
      </c>
      <c r="F754" s="8" t="s">
        <v>11</v>
      </c>
      <c r="G754" s="8">
        <v>19</v>
      </c>
      <c r="H754" s="8">
        <v>1</v>
      </c>
      <c r="I754" s="8">
        <v>0</v>
      </c>
      <c r="J754" s="8">
        <v>531</v>
      </c>
      <c r="K754" s="8">
        <v>1</v>
      </c>
      <c r="L754" s="8" t="s">
        <v>12</v>
      </c>
      <c r="M754" s="8" t="str">
        <f>IF(Titanic[[#This Row],[Sobrevive]]=1, "SOBREVIVE", "NO SOBREVIVE")</f>
        <v>NO SOBREVIVE</v>
      </c>
      <c r="N754" s="8" t="str">
        <f>LOOKUP(Titanic[[#This Row],[Clase]],{1,2,3}, {"PRIMERA","SEGUNDA","TERCERA"})</f>
        <v>PRIMERA</v>
      </c>
      <c r="O754" s="8" t="str">
        <f>IF(Titanic[[#This Row],[Sexo]]="Hombre", "HOMBRE", "MUJER")</f>
        <v>HOMBRE</v>
      </c>
      <c r="P754" s="8">
        <f>IF(Titanic[[#This Row],[Edad]]="", "", IF(Titanic[[#This Row],[Edad]]&gt;=100, Titanic[[#This Row],[Edad]] / 10, Titanic[[#This Row],[Edad]]))</f>
        <v>19</v>
      </c>
      <c r="Q754" s="8" t="str">
        <f>IFERROR(LOOKUP(Titanic[[#This Row],[Edad Corrigida]],'Práctica 1'!$K$231:$K$240,'Práctica 1'!$L$231:$L$240), "DESCONOCIDO")</f>
        <v>2. ADOLESCENTE</v>
      </c>
      <c r="R754" s="8">
        <f>Titanic[[#This Row],[Familia Horizontal]]+Titanic[[#This Row],[Familia Vertical]]</f>
        <v>1</v>
      </c>
      <c r="S754" s="8"/>
      <c r="T754" s="8"/>
      <c r="U754" s="8"/>
      <c r="V754" s="8"/>
    </row>
    <row r="755" spans="2:22" x14ac:dyDescent="0.2">
      <c r="B755" s="6">
        <v>750</v>
      </c>
      <c r="C755" s="7">
        <v>0</v>
      </c>
      <c r="D755" s="8">
        <v>3</v>
      </c>
      <c r="E755" s="8" t="s">
        <v>764</v>
      </c>
      <c r="F755" s="8" t="s">
        <v>11</v>
      </c>
      <c r="G755" s="8">
        <v>31</v>
      </c>
      <c r="H755" s="8">
        <v>0</v>
      </c>
      <c r="I755" s="8">
        <v>0</v>
      </c>
      <c r="J755" s="8">
        <v>775</v>
      </c>
      <c r="K755" s="8">
        <v>0</v>
      </c>
      <c r="L755" s="8" t="s">
        <v>20</v>
      </c>
      <c r="M755" s="8" t="str">
        <f>IF(Titanic[[#This Row],[Sobrevive]]=1, "SOBREVIVE", "NO SOBREVIVE")</f>
        <v>NO SOBREVIVE</v>
      </c>
      <c r="N755" s="8" t="str">
        <f>LOOKUP(Titanic[[#This Row],[Clase]],{1,2,3}, {"PRIMERA","SEGUNDA","TERCERA"})</f>
        <v>TERCERA</v>
      </c>
      <c r="O755" s="8" t="str">
        <f>IF(Titanic[[#This Row],[Sexo]]="Hombre", "HOMBRE", "MUJER")</f>
        <v>HOMBRE</v>
      </c>
      <c r="P755" s="8">
        <f>IF(Titanic[[#This Row],[Edad]]="", "", IF(Titanic[[#This Row],[Edad]]&gt;=100, Titanic[[#This Row],[Edad]] / 10, Titanic[[#This Row],[Edad]]))</f>
        <v>31</v>
      </c>
      <c r="Q755" s="8" t="str">
        <f>IFERROR(LOOKUP(Titanic[[#This Row],[Edad Corrigida]],'Práctica 1'!$K$231:$K$240,'Práctica 1'!$L$231:$L$240), "DESCONOCIDO")</f>
        <v>5. ADULTO</v>
      </c>
      <c r="R755" s="8">
        <f>Titanic[[#This Row],[Familia Horizontal]]+Titanic[[#This Row],[Familia Vertical]]</f>
        <v>0</v>
      </c>
      <c r="S755" s="8"/>
      <c r="T755" s="8"/>
      <c r="U755" s="8"/>
      <c r="V755" s="8"/>
    </row>
    <row r="756" spans="2:22" x14ac:dyDescent="0.2">
      <c r="B756" s="6">
        <v>751</v>
      </c>
      <c r="C756" s="7">
        <v>1</v>
      </c>
      <c r="D756" s="8">
        <v>2</v>
      </c>
      <c r="E756" s="8" t="s">
        <v>765</v>
      </c>
      <c r="F756" s="8" t="s">
        <v>14</v>
      </c>
      <c r="G756" s="8">
        <v>4</v>
      </c>
      <c r="H756" s="8">
        <v>1</v>
      </c>
      <c r="I756" s="8">
        <v>1</v>
      </c>
      <c r="J756" s="8">
        <v>23</v>
      </c>
      <c r="K756" s="8">
        <v>0</v>
      </c>
      <c r="L756" s="8" t="s">
        <v>12</v>
      </c>
      <c r="M756" s="8" t="str">
        <f>IF(Titanic[[#This Row],[Sobrevive]]=1, "SOBREVIVE", "NO SOBREVIVE")</f>
        <v>SOBREVIVE</v>
      </c>
      <c r="N756" s="8" t="str">
        <f>LOOKUP(Titanic[[#This Row],[Clase]],{1,2,3}, {"PRIMERA","SEGUNDA","TERCERA"})</f>
        <v>SEGUNDA</v>
      </c>
      <c r="O756" s="8" t="str">
        <f>IF(Titanic[[#This Row],[Sexo]]="Hombre", "HOMBRE", "MUJER")</f>
        <v>MUJER</v>
      </c>
      <c r="P756" s="8">
        <f>IF(Titanic[[#This Row],[Edad]]="", "", IF(Titanic[[#This Row],[Edad]]&gt;=100, Titanic[[#This Row],[Edad]] / 10, Titanic[[#This Row],[Edad]]))</f>
        <v>4</v>
      </c>
      <c r="Q756" s="8" t="str">
        <f>IFERROR(LOOKUP(Titanic[[#This Row],[Edad Corrigida]],'Práctica 1'!$K$231:$K$240,'Práctica 1'!$L$231:$L$240), "DESCONOCIDO")</f>
        <v>DESCONOCIDO</v>
      </c>
      <c r="R756" s="8">
        <f>Titanic[[#This Row],[Familia Horizontal]]+Titanic[[#This Row],[Familia Vertical]]</f>
        <v>2</v>
      </c>
      <c r="S756" s="8"/>
      <c r="T756" s="8"/>
      <c r="U756" s="8"/>
      <c r="V756" s="8"/>
    </row>
    <row r="757" spans="2:22" x14ac:dyDescent="0.2">
      <c r="B757" s="6">
        <v>752</v>
      </c>
      <c r="C757" s="7">
        <v>1</v>
      </c>
      <c r="D757" s="8">
        <v>3</v>
      </c>
      <c r="E757" s="8" t="s">
        <v>766</v>
      </c>
      <c r="F757" s="8" t="s">
        <v>11</v>
      </c>
      <c r="G757" s="8">
        <v>6</v>
      </c>
      <c r="H757" s="8">
        <v>0</v>
      </c>
      <c r="I757" s="8">
        <v>1</v>
      </c>
      <c r="J757" s="8">
        <v>12475</v>
      </c>
      <c r="K757" s="8">
        <v>1</v>
      </c>
      <c r="L757" s="8" t="s">
        <v>12</v>
      </c>
      <c r="M757" s="8" t="str">
        <f>IF(Titanic[[#This Row],[Sobrevive]]=1, "SOBREVIVE", "NO SOBREVIVE")</f>
        <v>SOBREVIVE</v>
      </c>
      <c r="N757" s="8" t="str">
        <f>LOOKUP(Titanic[[#This Row],[Clase]],{1,2,3}, {"PRIMERA","SEGUNDA","TERCERA"})</f>
        <v>TERCERA</v>
      </c>
      <c r="O757" s="8" t="str">
        <f>IF(Titanic[[#This Row],[Sexo]]="Hombre", "HOMBRE", "MUJER")</f>
        <v>HOMBRE</v>
      </c>
      <c r="P757" s="8">
        <f>IF(Titanic[[#This Row],[Edad]]="", "", IF(Titanic[[#This Row],[Edad]]&gt;=100, Titanic[[#This Row],[Edad]] / 10, Titanic[[#This Row],[Edad]]))</f>
        <v>6</v>
      </c>
      <c r="Q757" s="8" t="str">
        <f>IFERROR(LOOKUP(Titanic[[#This Row],[Edad Corrigida]],'Práctica 1'!$K$231:$K$240,'Práctica 1'!$L$231:$L$240), "DESCONOCIDO")</f>
        <v>DESCONOCIDO</v>
      </c>
      <c r="R757" s="8">
        <f>Titanic[[#This Row],[Familia Horizontal]]+Titanic[[#This Row],[Familia Vertical]]</f>
        <v>1</v>
      </c>
      <c r="S757" s="8"/>
      <c r="T757" s="8"/>
      <c r="U757" s="8"/>
      <c r="V757" s="8"/>
    </row>
    <row r="758" spans="2:22" x14ac:dyDescent="0.2">
      <c r="B758" s="6">
        <v>753</v>
      </c>
      <c r="C758" s="7">
        <v>0</v>
      </c>
      <c r="D758" s="8">
        <v>3</v>
      </c>
      <c r="E758" s="8" t="s">
        <v>767</v>
      </c>
      <c r="F758" s="8" t="s">
        <v>11</v>
      </c>
      <c r="G758" s="8">
        <v>33</v>
      </c>
      <c r="H758" s="8">
        <v>0</v>
      </c>
      <c r="I758" s="8">
        <v>0</v>
      </c>
      <c r="J758" s="8">
        <v>95</v>
      </c>
      <c r="K758" s="8">
        <v>0</v>
      </c>
      <c r="L758" s="8" t="s">
        <v>12</v>
      </c>
      <c r="M758" s="8" t="str">
        <f>IF(Titanic[[#This Row],[Sobrevive]]=1, "SOBREVIVE", "NO SOBREVIVE")</f>
        <v>NO SOBREVIVE</v>
      </c>
      <c r="N758" s="8" t="str">
        <f>LOOKUP(Titanic[[#This Row],[Clase]],{1,2,3}, {"PRIMERA","SEGUNDA","TERCERA"})</f>
        <v>TERCERA</v>
      </c>
      <c r="O758" s="8" t="str">
        <f>IF(Titanic[[#This Row],[Sexo]]="Hombre", "HOMBRE", "MUJER")</f>
        <v>HOMBRE</v>
      </c>
      <c r="P758" s="8">
        <f>IF(Titanic[[#This Row],[Edad]]="", "", IF(Titanic[[#This Row],[Edad]]&gt;=100, Titanic[[#This Row],[Edad]] / 10, Titanic[[#This Row],[Edad]]))</f>
        <v>33</v>
      </c>
      <c r="Q758" s="8" t="str">
        <f>IFERROR(LOOKUP(Titanic[[#This Row],[Edad Corrigida]],'Práctica 1'!$K$231:$K$240,'Práctica 1'!$L$231:$L$240), "DESCONOCIDO")</f>
        <v>6. ADULTO 1</v>
      </c>
      <c r="R758" s="8">
        <f>Titanic[[#This Row],[Familia Horizontal]]+Titanic[[#This Row],[Familia Vertical]]</f>
        <v>0</v>
      </c>
      <c r="S758" s="8"/>
      <c r="T758" s="8"/>
      <c r="U758" s="8"/>
      <c r="V758" s="8"/>
    </row>
    <row r="759" spans="2:22" x14ac:dyDescent="0.2">
      <c r="B759" s="6">
        <v>754</v>
      </c>
      <c r="C759" s="7">
        <v>0</v>
      </c>
      <c r="D759" s="8">
        <v>3</v>
      </c>
      <c r="E759" s="8" t="s">
        <v>768</v>
      </c>
      <c r="F759" s="8" t="s">
        <v>11</v>
      </c>
      <c r="G759" s="8">
        <v>23</v>
      </c>
      <c r="H759" s="8">
        <v>0</v>
      </c>
      <c r="I759" s="8">
        <v>0</v>
      </c>
      <c r="J759" s="8">
        <v>78958</v>
      </c>
      <c r="K759" s="8">
        <v>0</v>
      </c>
      <c r="L759" s="8" t="s">
        <v>12</v>
      </c>
      <c r="M759" s="8" t="str">
        <f>IF(Titanic[[#This Row],[Sobrevive]]=1, "SOBREVIVE", "NO SOBREVIVE")</f>
        <v>NO SOBREVIVE</v>
      </c>
      <c r="N759" s="8" t="str">
        <f>LOOKUP(Titanic[[#This Row],[Clase]],{1,2,3}, {"PRIMERA","SEGUNDA","TERCERA"})</f>
        <v>TERCERA</v>
      </c>
      <c r="O759" s="8" t="str">
        <f>IF(Titanic[[#This Row],[Sexo]]="Hombre", "HOMBRE", "MUJER")</f>
        <v>HOMBRE</v>
      </c>
      <c r="P759" s="8">
        <f>IF(Titanic[[#This Row],[Edad]]="", "", IF(Titanic[[#This Row],[Edad]]&gt;=100, Titanic[[#This Row],[Edad]] / 10, Titanic[[#This Row],[Edad]]))</f>
        <v>23</v>
      </c>
      <c r="Q759" s="8" t="str">
        <f>IFERROR(LOOKUP(Titanic[[#This Row],[Edad Corrigida]],'Práctica 1'!$K$231:$K$240,'Práctica 1'!$L$231:$L$240), "DESCONOCIDO")</f>
        <v>3. JOVEN</v>
      </c>
      <c r="R759" s="8">
        <f>Titanic[[#This Row],[Familia Horizontal]]+Titanic[[#This Row],[Familia Vertical]]</f>
        <v>0</v>
      </c>
      <c r="S759" s="8"/>
      <c r="T759" s="8"/>
      <c r="U759" s="8"/>
      <c r="V759" s="8"/>
    </row>
    <row r="760" spans="2:22" x14ac:dyDescent="0.2">
      <c r="B760" s="6">
        <v>755</v>
      </c>
      <c r="C760" s="7">
        <v>1</v>
      </c>
      <c r="D760" s="8">
        <v>2</v>
      </c>
      <c r="E760" s="8" t="s">
        <v>769</v>
      </c>
      <c r="F760" s="8" t="s">
        <v>14</v>
      </c>
      <c r="G760" s="8">
        <v>48</v>
      </c>
      <c r="H760" s="8">
        <v>1</v>
      </c>
      <c r="I760" s="8">
        <v>2</v>
      </c>
      <c r="J760" s="8">
        <v>65</v>
      </c>
      <c r="K760" s="8">
        <v>0</v>
      </c>
      <c r="L760" s="8" t="s">
        <v>12</v>
      </c>
      <c r="M760" s="8" t="str">
        <f>IF(Titanic[[#This Row],[Sobrevive]]=1, "SOBREVIVE", "NO SOBREVIVE")</f>
        <v>SOBREVIVE</v>
      </c>
      <c r="N760" s="8" t="str">
        <f>LOOKUP(Titanic[[#This Row],[Clase]],{1,2,3}, {"PRIMERA","SEGUNDA","TERCERA"})</f>
        <v>SEGUNDA</v>
      </c>
      <c r="O760" s="8" t="str">
        <f>IF(Titanic[[#This Row],[Sexo]]="Hombre", "HOMBRE", "MUJER")</f>
        <v>MUJER</v>
      </c>
      <c r="P760" s="8">
        <f>IF(Titanic[[#This Row],[Edad]]="", "", IF(Titanic[[#This Row],[Edad]]&gt;=100, Titanic[[#This Row],[Edad]] / 10, Titanic[[#This Row],[Edad]]))</f>
        <v>48</v>
      </c>
      <c r="Q760" s="8" t="str">
        <f>IFERROR(LOOKUP(Titanic[[#This Row],[Edad Corrigida]],'Práctica 1'!$K$231:$K$240,'Práctica 1'!$L$231:$L$240), "DESCONOCIDO")</f>
        <v>8. ADULTO 3</v>
      </c>
      <c r="R760" s="8">
        <f>Titanic[[#This Row],[Familia Horizontal]]+Titanic[[#This Row],[Familia Vertical]]</f>
        <v>3</v>
      </c>
      <c r="S760" s="8"/>
      <c r="T760" s="8"/>
      <c r="U760" s="8"/>
      <c r="V760" s="8"/>
    </row>
    <row r="761" spans="2:22" x14ac:dyDescent="0.2">
      <c r="B761" s="6">
        <v>756</v>
      </c>
      <c r="C761" s="7">
        <v>1</v>
      </c>
      <c r="D761" s="8">
        <v>2</v>
      </c>
      <c r="E761" s="8" t="s">
        <v>770</v>
      </c>
      <c r="F761" s="8" t="s">
        <v>11</v>
      </c>
      <c r="G761" s="8">
        <v>67</v>
      </c>
      <c r="H761" s="8">
        <v>1</v>
      </c>
      <c r="I761" s="8">
        <v>1</v>
      </c>
      <c r="J761" s="8">
        <v>145</v>
      </c>
      <c r="K761" s="8">
        <v>0</v>
      </c>
      <c r="L761" s="8" t="s">
        <v>12</v>
      </c>
      <c r="M761" s="8" t="str">
        <f>IF(Titanic[[#This Row],[Sobrevive]]=1, "SOBREVIVE", "NO SOBREVIVE")</f>
        <v>SOBREVIVE</v>
      </c>
      <c r="N761" s="8" t="str">
        <f>LOOKUP(Titanic[[#This Row],[Clase]],{1,2,3}, {"PRIMERA","SEGUNDA","TERCERA"})</f>
        <v>SEGUNDA</v>
      </c>
      <c r="O761" s="8" t="str">
        <f>IF(Titanic[[#This Row],[Sexo]]="Hombre", "HOMBRE", "MUJER")</f>
        <v>HOMBRE</v>
      </c>
      <c r="P761" s="8">
        <f>IF(Titanic[[#This Row],[Edad]]="", "", IF(Titanic[[#This Row],[Edad]]&gt;=100, Titanic[[#This Row],[Edad]] / 10, Titanic[[#This Row],[Edad]]))</f>
        <v>67</v>
      </c>
      <c r="Q761" s="8" t="str">
        <f>IFERROR(LOOKUP(Titanic[[#This Row],[Edad Corrigida]],'Práctica 1'!$K$231:$K$240,'Práctica 1'!$L$231:$L$240), "DESCONOCIDO")</f>
        <v>9. ADULTO 4</v>
      </c>
      <c r="R761" s="8">
        <f>Titanic[[#This Row],[Familia Horizontal]]+Titanic[[#This Row],[Familia Vertical]]</f>
        <v>2</v>
      </c>
      <c r="S761" s="8"/>
      <c r="T761" s="8"/>
      <c r="U761" s="8"/>
      <c r="V761" s="8"/>
    </row>
    <row r="762" spans="2:22" x14ac:dyDescent="0.2">
      <c r="B762" s="6">
        <v>757</v>
      </c>
      <c r="C762" s="7">
        <v>0</v>
      </c>
      <c r="D762" s="8">
        <v>3</v>
      </c>
      <c r="E762" s="8" t="s">
        <v>771</v>
      </c>
      <c r="F762" s="8" t="s">
        <v>11</v>
      </c>
      <c r="G762" s="8">
        <v>28</v>
      </c>
      <c r="H762" s="8">
        <v>0</v>
      </c>
      <c r="I762" s="8">
        <v>0</v>
      </c>
      <c r="J762" s="8">
        <v>77958</v>
      </c>
      <c r="K762" s="8">
        <v>0</v>
      </c>
      <c r="L762" s="8" t="s">
        <v>12</v>
      </c>
      <c r="M762" s="8" t="str">
        <f>IF(Titanic[[#This Row],[Sobrevive]]=1, "SOBREVIVE", "NO SOBREVIVE")</f>
        <v>NO SOBREVIVE</v>
      </c>
      <c r="N762" s="8" t="str">
        <f>LOOKUP(Titanic[[#This Row],[Clase]],{1,2,3}, {"PRIMERA","SEGUNDA","TERCERA"})</f>
        <v>TERCERA</v>
      </c>
      <c r="O762" s="8" t="str">
        <f>IF(Titanic[[#This Row],[Sexo]]="Hombre", "HOMBRE", "MUJER")</f>
        <v>HOMBRE</v>
      </c>
      <c r="P762" s="8">
        <f>IF(Titanic[[#This Row],[Edad]]="", "", IF(Titanic[[#This Row],[Edad]]&gt;=100, Titanic[[#This Row],[Edad]] / 10, Titanic[[#This Row],[Edad]]))</f>
        <v>28</v>
      </c>
      <c r="Q762" s="8" t="str">
        <f>IFERROR(LOOKUP(Titanic[[#This Row],[Edad Corrigida]],'Práctica 1'!$K$231:$K$240,'Práctica 1'!$L$231:$L$240), "DESCONOCIDO")</f>
        <v>4. ADULTO JOVEN</v>
      </c>
      <c r="R762" s="8">
        <f>Titanic[[#This Row],[Familia Horizontal]]+Titanic[[#This Row],[Familia Vertical]]</f>
        <v>0</v>
      </c>
      <c r="S762" s="8"/>
      <c r="T762" s="8"/>
      <c r="U762" s="8"/>
      <c r="V762" s="8"/>
    </row>
    <row r="763" spans="2:22" x14ac:dyDescent="0.2">
      <c r="B763" s="6">
        <v>758</v>
      </c>
      <c r="C763" s="7">
        <v>0</v>
      </c>
      <c r="D763" s="8">
        <v>2</v>
      </c>
      <c r="E763" s="8" t="s">
        <v>772</v>
      </c>
      <c r="F763" s="8" t="s">
        <v>11</v>
      </c>
      <c r="G763" s="8">
        <v>18</v>
      </c>
      <c r="H763" s="8">
        <v>0</v>
      </c>
      <c r="I763" s="8">
        <v>0</v>
      </c>
      <c r="J763" s="8">
        <v>115</v>
      </c>
      <c r="K763" s="8">
        <v>0</v>
      </c>
      <c r="L763" s="8" t="s">
        <v>12</v>
      </c>
      <c r="M763" s="8" t="str">
        <f>IF(Titanic[[#This Row],[Sobrevive]]=1, "SOBREVIVE", "NO SOBREVIVE")</f>
        <v>NO SOBREVIVE</v>
      </c>
      <c r="N763" s="8" t="str">
        <f>LOOKUP(Titanic[[#This Row],[Clase]],{1,2,3}, {"PRIMERA","SEGUNDA","TERCERA"})</f>
        <v>SEGUNDA</v>
      </c>
      <c r="O763" s="8" t="str">
        <f>IF(Titanic[[#This Row],[Sexo]]="Hombre", "HOMBRE", "MUJER")</f>
        <v>HOMBRE</v>
      </c>
      <c r="P763" s="8">
        <f>IF(Titanic[[#This Row],[Edad]]="", "", IF(Titanic[[#This Row],[Edad]]&gt;=100, Titanic[[#This Row],[Edad]] / 10, Titanic[[#This Row],[Edad]]))</f>
        <v>18</v>
      </c>
      <c r="Q763" s="8" t="str">
        <f>IFERROR(LOOKUP(Titanic[[#This Row],[Edad Corrigida]],'Práctica 1'!$K$231:$K$240,'Práctica 1'!$L$231:$L$240), "DESCONOCIDO")</f>
        <v>1. INFANTE</v>
      </c>
      <c r="R763" s="8">
        <f>Titanic[[#This Row],[Familia Horizontal]]+Titanic[[#This Row],[Familia Vertical]]</f>
        <v>0</v>
      </c>
      <c r="S763" s="8"/>
      <c r="T763" s="8"/>
      <c r="U763" s="8"/>
      <c r="V763" s="8"/>
    </row>
    <row r="764" spans="2:22" x14ac:dyDescent="0.2">
      <c r="B764" s="6">
        <v>759</v>
      </c>
      <c r="C764" s="7">
        <v>0</v>
      </c>
      <c r="D764" s="8">
        <v>3</v>
      </c>
      <c r="E764" s="8" t="s">
        <v>773</v>
      </c>
      <c r="F764" s="8" t="s">
        <v>11</v>
      </c>
      <c r="G764" s="8">
        <v>34</v>
      </c>
      <c r="H764" s="8">
        <v>0</v>
      </c>
      <c r="I764" s="8">
        <v>0</v>
      </c>
      <c r="J764" s="8">
        <v>805</v>
      </c>
      <c r="K764" s="8">
        <v>0</v>
      </c>
      <c r="L764" s="8" t="s">
        <v>12</v>
      </c>
      <c r="M764" s="8" t="str">
        <f>IF(Titanic[[#This Row],[Sobrevive]]=1, "SOBREVIVE", "NO SOBREVIVE")</f>
        <v>NO SOBREVIVE</v>
      </c>
      <c r="N764" s="8" t="str">
        <f>LOOKUP(Titanic[[#This Row],[Clase]],{1,2,3}, {"PRIMERA","SEGUNDA","TERCERA"})</f>
        <v>TERCERA</v>
      </c>
      <c r="O764" s="8" t="str">
        <f>IF(Titanic[[#This Row],[Sexo]]="Hombre", "HOMBRE", "MUJER")</f>
        <v>HOMBRE</v>
      </c>
      <c r="P764" s="8">
        <f>IF(Titanic[[#This Row],[Edad]]="", "", IF(Titanic[[#This Row],[Edad]]&gt;=100, Titanic[[#This Row],[Edad]] / 10, Titanic[[#This Row],[Edad]]))</f>
        <v>34</v>
      </c>
      <c r="Q764" s="8" t="str">
        <f>IFERROR(LOOKUP(Titanic[[#This Row],[Edad Corrigida]],'Práctica 1'!$K$231:$K$240,'Práctica 1'!$L$231:$L$240), "DESCONOCIDO")</f>
        <v>6. ADULTO 1</v>
      </c>
      <c r="R764" s="8">
        <f>Titanic[[#This Row],[Familia Horizontal]]+Titanic[[#This Row],[Familia Vertical]]</f>
        <v>0</v>
      </c>
      <c r="S764" s="8"/>
      <c r="T764" s="8"/>
      <c r="U764" s="8"/>
      <c r="V764" s="8"/>
    </row>
    <row r="765" spans="2:22" x14ac:dyDescent="0.2">
      <c r="B765" s="6">
        <v>760</v>
      </c>
      <c r="C765" s="7">
        <v>1</v>
      </c>
      <c r="D765" s="8">
        <v>1</v>
      </c>
      <c r="E765" s="8" t="s">
        <v>774</v>
      </c>
      <c r="F765" s="8" t="s">
        <v>14</v>
      </c>
      <c r="G765" s="8">
        <v>33</v>
      </c>
      <c r="H765" s="8">
        <v>0</v>
      </c>
      <c r="I765" s="8">
        <v>0</v>
      </c>
      <c r="J765" s="8">
        <v>865</v>
      </c>
      <c r="K765" s="8">
        <v>1</v>
      </c>
      <c r="L765" s="8" t="s">
        <v>12</v>
      </c>
      <c r="M765" s="8" t="str">
        <f>IF(Titanic[[#This Row],[Sobrevive]]=1, "SOBREVIVE", "NO SOBREVIVE")</f>
        <v>SOBREVIVE</v>
      </c>
      <c r="N765" s="8" t="str">
        <f>LOOKUP(Titanic[[#This Row],[Clase]],{1,2,3}, {"PRIMERA","SEGUNDA","TERCERA"})</f>
        <v>PRIMERA</v>
      </c>
      <c r="O765" s="8" t="str">
        <f>IF(Titanic[[#This Row],[Sexo]]="Hombre", "HOMBRE", "MUJER")</f>
        <v>MUJER</v>
      </c>
      <c r="P765" s="8">
        <f>IF(Titanic[[#This Row],[Edad]]="", "", IF(Titanic[[#This Row],[Edad]]&gt;=100, Titanic[[#This Row],[Edad]] / 10, Titanic[[#This Row],[Edad]]))</f>
        <v>33</v>
      </c>
      <c r="Q765" s="8" t="str">
        <f>IFERROR(LOOKUP(Titanic[[#This Row],[Edad Corrigida]],'Práctica 1'!$K$231:$K$240,'Práctica 1'!$L$231:$L$240), "DESCONOCIDO")</f>
        <v>6. ADULTO 1</v>
      </c>
      <c r="R765" s="8">
        <f>Titanic[[#This Row],[Familia Horizontal]]+Titanic[[#This Row],[Familia Vertical]]</f>
        <v>0</v>
      </c>
      <c r="S765" s="8"/>
      <c r="T765" s="8"/>
      <c r="U765" s="8"/>
      <c r="V765" s="8"/>
    </row>
    <row r="766" spans="2:22" x14ac:dyDescent="0.2">
      <c r="B766" s="6">
        <v>761</v>
      </c>
      <c r="C766" s="7">
        <v>0</v>
      </c>
      <c r="D766" s="8">
        <v>3</v>
      </c>
      <c r="E766" s="8" t="s">
        <v>775</v>
      </c>
      <c r="F766" s="8" t="s">
        <v>11</v>
      </c>
      <c r="G766" s="9"/>
      <c r="H766" s="8">
        <v>0</v>
      </c>
      <c r="I766" s="8">
        <v>0</v>
      </c>
      <c r="J766" s="8">
        <v>145</v>
      </c>
      <c r="K766" s="8">
        <v>0</v>
      </c>
      <c r="L766" s="8" t="s">
        <v>12</v>
      </c>
      <c r="M766" s="8" t="str">
        <f>IF(Titanic[[#This Row],[Sobrevive]]=1, "SOBREVIVE", "NO SOBREVIVE")</f>
        <v>NO SOBREVIVE</v>
      </c>
      <c r="N766" s="8" t="str">
        <f>LOOKUP(Titanic[[#This Row],[Clase]],{1,2,3}, {"PRIMERA","SEGUNDA","TERCERA"})</f>
        <v>TERCERA</v>
      </c>
      <c r="O766" s="8" t="str">
        <f>IF(Titanic[[#This Row],[Sexo]]="Hombre", "HOMBRE", "MUJER")</f>
        <v>HOMBRE</v>
      </c>
      <c r="P766" s="8" t="str">
        <f>IF(Titanic[[#This Row],[Edad]]="", "", IF(Titanic[[#This Row],[Edad]]&gt;=100, Titanic[[#This Row],[Edad]] / 10, Titanic[[#This Row],[Edad]]))</f>
        <v/>
      </c>
      <c r="Q766" s="8" t="str">
        <f>IFERROR(LOOKUP(Titanic[[#This Row],[Edad Corrigida]],'Práctica 1'!$K$231:$K$240,'Práctica 1'!$L$231:$L$240), "DESCONOCIDO")</f>
        <v>DESCONOCIDO</v>
      </c>
      <c r="R766" s="8">
        <f>Titanic[[#This Row],[Familia Horizontal]]+Titanic[[#This Row],[Familia Vertical]]</f>
        <v>0</v>
      </c>
      <c r="S766" s="8"/>
      <c r="T766" s="8"/>
      <c r="U766" s="8"/>
      <c r="V766" s="8"/>
    </row>
    <row r="767" spans="2:22" x14ac:dyDescent="0.2">
      <c r="B767" s="6">
        <v>762</v>
      </c>
      <c r="C767" s="7">
        <v>0</v>
      </c>
      <c r="D767" s="8">
        <v>3</v>
      </c>
      <c r="E767" s="8" t="s">
        <v>776</v>
      </c>
      <c r="F767" s="8" t="s">
        <v>11</v>
      </c>
      <c r="G767" s="8">
        <v>41</v>
      </c>
      <c r="H767" s="8">
        <v>0</v>
      </c>
      <c r="I767" s="8">
        <v>0</v>
      </c>
      <c r="J767" s="8">
        <v>7125</v>
      </c>
      <c r="K767" s="8">
        <v>0</v>
      </c>
      <c r="L767" s="8" t="s">
        <v>12</v>
      </c>
      <c r="M767" s="8" t="str">
        <f>IF(Titanic[[#This Row],[Sobrevive]]=1, "SOBREVIVE", "NO SOBREVIVE")</f>
        <v>NO SOBREVIVE</v>
      </c>
      <c r="N767" s="8" t="str">
        <f>LOOKUP(Titanic[[#This Row],[Clase]],{1,2,3}, {"PRIMERA","SEGUNDA","TERCERA"})</f>
        <v>TERCERA</v>
      </c>
      <c r="O767" s="8" t="str">
        <f>IF(Titanic[[#This Row],[Sexo]]="Hombre", "HOMBRE", "MUJER")</f>
        <v>HOMBRE</v>
      </c>
      <c r="P767" s="8">
        <f>IF(Titanic[[#This Row],[Edad]]="", "", IF(Titanic[[#This Row],[Edad]]&gt;=100, Titanic[[#This Row],[Edad]] / 10, Titanic[[#This Row],[Edad]]))</f>
        <v>41</v>
      </c>
      <c r="Q767" s="8" t="str">
        <f>IFERROR(LOOKUP(Titanic[[#This Row],[Edad Corrigida]],'Práctica 1'!$K$231:$K$240,'Práctica 1'!$L$231:$L$240), "DESCONOCIDO")</f>
        <v>7. ADULTO 2</v>
      </c>
      <c r="R767" s="8">
        <f>Titanic[[#This Row],[Familia Horizontal]]+Titanic[[#This Row],[Familia Vertical]]</f>
        <v>0</v>
      </c>
      <c r="S767" s="8"/>
      <c r="T767" s="8"/>
      <c r="U767" s="8"/>
      <c r="V767" s="8"/>
    </row>
    <row r="768" spans="2:22" x14ac:dyDescent="0.2">
      <c r="B768" s="6">
        <v>763</v>
      </c>
      <c r="C768" s="7">
        <v>1</v>
      </c>
      <c r="D768" s="8">
        <v>3</v>
      </c>
      <c r="E768" s="8" t="s">
        <v>777</v>
      </c>
      <c r="F768" s="8" t="s">
        <v>11</v>
      </c>
      <c r="G768" s="8">
        <v>20</v>
      </c>
      <c r="H768" s="8">
        <v>0</v>
      </c>
      <c r="I768" s="8">
        <v>0</v>
      </c>
      <c r="J768" s="8">
        <v>72292</v>
      </c>
      <c r="K768" s="8">
        <v>0</v>
      </c>
      <c r="L768" s="8" t="s">
        <v>15</v>
      </c>
      <c r="M768" s="8" t="str">
        <f>IF(Titanic[[#This Row],[Sobrevive]]=1, "SOBREVIVE", "NO SOBREVIVE")</f>
        <v>SOBREVIVE</v>
      </c>
      <c r="N768" s="8" t="str">
        <f>LOOKUP(Titanic[[#This Row],[Clase]],{1,2,3}, {"PRIMERA","SEGUNDA","TERCERA"})</f>
        <v>TERCERA</v>
      </c>
      <c r="O768" s="8" t="str">
        <f>IF(Titanic[[#This Row],[Sexo]]="Hombre", "HOMBRE", "MUJER")</f>
        <v>HOMBRE</v>
      </c>
      <c r="P768" s="8">
        <f>IF(Titanic[[#This Row],[Edad]]="", "", IF(Titanic[[#This Row],[Edad]]&gt;=100, Titanic[[#This Row],[Edad]] / 10, Titanic[[#This Row],[Edad]]))</f>
        <v>20</v>
      </c>
      <c r="Q768" s="8" t="str">
        <f>IFERROR(LOOKUP(Titanic[[#This Row],[Edad Corrigida]],'Práctica 1'!$K$231:$K$240,'Práctica 1'!$L$231:$L$240), "DESCONOCIDO")</f>
        <v>2. ADOLESCENTE</v>
      </c>
      <c r="R768" s="8">
        <f>Titanic[[#This Row],[Familia Horizontal]]+Titanic[[#This Row],[Familia Vertical]]</f>
        <v>0</v>
      </c>
      <c r="S768" s="8"/>
      <c r="T768" s="8"/>
      <c r="U768" s="8"/>
      <c r="V768" s="8"/>
    </row>
    <row r="769" spans="2:22" x14ac:dyDescent="0.2">
      <c r="B769" s="6">
        <v>764</v>
      </c>
      <c r="C769" s="7">
        <v>1</v>
      </c>
      <c r="D769" s="8">
        <v>1</v>
      </c>
      <c r="E769" s="8" t="s">
        <v>778</v>
      </c>
      <c r="F769" s="8" t="s">
        <v>14</v>
      </c>
      <c r="G769" s="8">
        <v>36</v>
      </c>
      <c r="H769" s="8">
        <v>1</v>
      </c>
      <c r="I769" s="8">
        <v>2</v>
      </c>
      <c r="J769" s="8">
        <v>120</v>
      </c>
      <c r="K769" s="8">
        <v>1</v>
      </c>
      <c r="L769" s="8" t="s">
        <v>12</v>
      </c>
      <c r="M769" s="8" t="str">
        <f>IF(Titanic[[#This Row],[Sobrevive]]=1, "SOBREVIVE", "NO SOBREVIVE")</f>
        <v>SOBREVIVE</v>
      </c>
      <c r="N769" s="8" t="str">
        <f>LOOKUP(Titanic[[#This Row],[Clase]],{1,2,3}, {"PRIMERA","SEGUNDA","TERCERA"})</f>
        <v>PRIMERA</v>
      </c>
      <c r="O769" s="8" t="str">
        <f>IF(Titanic[[#This Row],[Sexo]]="Hombre", "HOMBRE", "MUJER")</f>
        <v>MUJER</v>
      </c>
      <c r="P769" s="8">
        <f>IF(Titanic[[#This Row],[Edad]]="", "", IF(Titanic[[#This Row],[Edad]]&gt;=100, Titanic[[#This Row],[Edad]] / 10, Titanic[[#This Row],[Edad]]))</f>
        <v>36</v>
      </c>
      <c r="Q769" s="8" t="str">
        <f>IFERROR(LOOKUP(Titanic[[#This Row],[Edad Corrigida]],'Práctica 1'!$K$231:$K$240,'Práctica 1'!$L$231:$L$240), "DESCONOCIDO")</f>
        <v>7. ADULTO 2</v>
      </c>
      <c r="R769" s="8">
        <f>Titanic[[#This Row],[Familia Horizontal]]+Titanic[[#This Row],[Familia Vertical]]</f>
        <v>3</v>
      </c>
      <c r="S769" s="8"/>
      <c r="T769" s="8"/>
      <c r="U769" s="8"/>
      <c r="V769" s="8"/>
    </row>
    <row r="770" spans="2:22" x14ac:dyDescent="0.2">
      <c r="B770" s="6">
        <v>765</v>
      </c>
      <c r="C770" s="7">
        <v>0</v>
      </c>
      <c r="D770" s="8">
        <v>3</v>
      </c>
      <c r="E770" s="8" t="s">
        <v>779</v>
      </c>
      <c r="F770" s="8" t="s">
        <v>11</v>
      </c>
      <c r="G770" s="8">
        <v>16</v>
      </c>
      <c r="H770" s="8">
        <v>0</v>
      </c>
      <c r="I770" s="8">
        <v>0</v>
      </c>
      <c r="J770" s="8">
        <v>7775</v>
      </c>
      <c r="K770" s="8">
        <v>0</v>
      </c>
      <c r="L770" s="8" t="s">
        <v>12</v>
      </c>
      <c r="M770" s="8" t="str">
        <f>IF(Titanic[[#This Row],[Sobrevive]]=1, "SOBREVIVE", "NO SOBREVIVE")</f>
        <v>NO SOBREVIVE</v>
      </c>
      <c r="N770" s="8" t="str">
        <f>LOOKUP(Titanic[[#This Row],[Clase]],{1,2,3}, {"PRIMERA","SEGUNDA","TERCERA"})</f>
        <v>TERCERA</v>
      </c>
      <c r="O770" s="8" t="str">
        <f>IF(Titanic[[#This Row],[Sexo]]="Hombre", "HOMBRE", "MUJER")</f>
        <v>HOMBRE</v>
      </c>
      <c r="P770" s="8">
        <f>IF(Titanic[[#This Row],[Edad]]="", "", IF(Titanic[[#This Row],[Edad]]&gt;=100, Titanic[[#This Row],[Edad]] / 10, Titanic[[#This Row],[Edad]]))</f>
        <v>16</v>
      </c>
      <c r="Q770" s="8" t="str">
        <f>IFERROR(LOOKUP(Titanic[[#This Row],[Edad Corrigida]],'Práctica 1'!$K$231:$K$240,'Práctica 1'!$L$231:$L$240), "DESCONOCIDO")</f>
        <v>1. INFANTE</v>
      </c>
      <c r="R770" s="8">
        <f>Titanic[[#This Row],[Familia Horizontal]]+Titanic[[#This Row],[Familia Vertical]]</f>
        <v>0</v>
      </c>
      <c r="S770" s="8"/>
      <c r="T770" s="8"/>
      <c r="U770" s="8"/>
      <c r="V770" s="8"/>
    </row>
    <row r="771" spans="2:22" x14ac:dyDescent="0.2">
      <c r="B771" s="6">
        <v>766</v>
      </c>
      <c r="C771" s="7">
        <v>1</v>
      </c>
      <c r="D771" s="8">
        <v>1</v>
      </c>
      <c r="E771" s="8" t="s">
        <v>780</v>
      </c>
      <c r="F771" s="8" t="s">
        <v>14</v>
      </c>
      <c r="G771" s="8">
        <v>51</v>
      </c>
      <c r="H771" s="8">
        <v>1</v>
      </c>
      <c r="I771" s="8">
        <v>0</v>
      </c>
      <c r="J771" s="8">
        <v>779583</v>
      </c>
      <c r="K771" s="8">
        <v>1</v>
      </c>
      <c r="L771" s="8" t="s">
        <v>12</v>
      </c>
      <c r="M771" s="8" t="str">
        <f>IF(Titanic[[#This Row],[Sobrevive]]=1, "SOBREVIVE", "NO SOBREVIVE")</f>
        <v>SOBREVIVE</v>
      </c>
      <c r="N771" s="8" t="str">
        <f>LOOKUP(Titanic[[#This Row],[Clase]],{1,2,3}, {"PRIMERA","SEGUNDA","TERCERA"})</f>
        <v>PRIMERA</v>
      </c>
      <c r="O771" s="8" t="str">
        <f>IF(Titanic[[#This Row],[Sexo]]="Hombre", "HOMBRE", "MUJER")</f>
        <v>MUJER</v>
      </c>
      <c r="P771" s="8">
        <f>IF(Titanic[[#This Row],[Edad]]="", "", IF(Titanic[[#This Row],[Edad]]&gt;=100, Titanic[[#This Row],[Edad]] / 10, Titanic[[#This Row],[Edad]]))</f>
        <v>51</v>
      </c>
      <c r="Q771" s="8" t="str">
        <f>IFERROR(LOOKUP(Titanic[[#This Row],[Edad Corrigida]],'Práctica 1'!$K$231:$K$240,'Práctica 1'!$L$231:$L$240), "DESCONOCIDO")</f>
        <v>9. ADULTO 4</v>
      </c>
      <c r="R771" s="8">
        <f>Titanic[[#This Row],[Familia Horizontal]]+Titanic[[#This Row],[Familia Vertical]]</f>
        <v>1</v>
      </c>
      <c r="S771" s="8"/>
      <c r="T771" s="8"/>
      <c r="U771" s="8"/>
      <c r="V771" s="8"/>
    </row>
    <row r="772" spans="2:22" x14ac:dyDescent="0.2">
      <c r="B772" s="6">
        <v>767</v>
      </c>
      <c r="C772" s="7">
        <v>0</v>
      </c>
      <c r="D772" s="8">
        <v>1</v>
      </c>
      <c r="E772" s="8" t="s">
        <v>781</v>
      </c>
      <c r="F772" s="8" t="s">
        <v>11</v>
      </c>
      <c r="G772" s="9"/>
      <c r="H772" s="8">
        <v>0</v>
      </c>
      <c r="I772" s="8">
        <v>0</v>
      </c>
      <c r="J772" s="8">
        <v>396</v>
      </c>
      <c r="K772" s="8">
        <v>0</v>
      </c>
      <c r="L772" s="8" t="s">
        <v>15</v>
      </c>
      <c r="M772" s="8" t="str">
        <f>IF(Titanic[[#This Row],[Sobrevive]]=1, "SOBREVIVE", "NO SOBREVIVE")</f>
        <v>NO SOBREVIVE</v>
      </c>
      <c r="N772" s="8" t="str">
        <f>LOOKUP(Titanic[[#This Row],[Clase]],{1,2,3}, {"PRIMERA","SEGUNDA","TERCERA"})</f>
        <v>PRIMERA</v>
      </c>
      <c r="O772" s="8" t="str">
        <f>IF(Titanic[[#This Row],[Sexo]]="Hombre", "HOMBRE", "MUJER")</f>
        <v>HOMBRE</v>
      </c>
      <c r="P772" s="8" t="str">
        <f>IF(Titanic[[#This Row],[Edad]]="", "", IF(Titanic[[#This Row],[Edad]]&gt;=100, Titanic[[#This Row],[Edad]] / 10, Titanic[[#This Row],[Edad]]))</f>
        <v/>
      </c>
      <c r="Q772" s="8" t="str">
        <f>IFERROR(LOOKUP(Titanic[[#This Row],[Edad Corrigida]],'Práctica 1'!$K$231:$K$240,'Práctica 1'!$L$231:$L$240), "DESCONOCIDO")</f>
        <v>DESCONOCIDO</v>
      </c>
      <c r="R772" s="8">
        <f>Titanic[[#This Row],[Familia Horizontal]]+Titanic[[#This Row],[Familia Vertical]]</f>
        <v>0</v>
      </c>
      <c r="S772" s="8"/>
      <c r="T772" s="8"/>
      <c r="U772" s="8"/>
      <c r="V772" s="8"/>
    </row>
    <row r="773" spans="2:22" x14ac:dyDescent="0.2">
      <c r="B773" s="6">
        <v>768</v>
      </c>
      <c r="C773" s="7">
        <v>0</v>
      </c>
      <c r="D773" s="8">
        <v>3</v>
      </c>
      <c r="E773" s="8" t="s">
        <v>782</v>
      </c>
      <c r="F773" s="8" t="s">
        <v>14</v>
      </c>
      <c r="G773" s="8">
        <v>305</v>
      </c>
      <c r="H773" s="8">
        <v>0</v>
      </c>
      <c r="I773" s="8">
        <v>0</v>
      </c>
      <c r="J773" s="8">
        <v>775</v>
      </c>
      <c r="K773" s="8">
        <v>0</v>
      </c>
      <c r="L773" s="8" t="s">
        <v>20</v>
      </c>
      <c r="M773" s="8" t="str">
        <f>IF(Titanic[[#This Row],[Sobrevive]]=1, "SOBREVIVE", "NO SOBREVIVE")</f>
        <v>NO SOBREVIVE</v>
      </c>
      <c r="N773" s="8" t="str">
        <f>LOOKUP(Titanic[[#This Row],[Clase]],{1,2,3}, {"PRIMERA","SEGUNDA","TERCERA"})</f>
        <v>TERCERA</v>
      </c>
      <c r="O773" s="8" t="str">
        <f>IF(Titanic[[#This Row],[Sexo]]="Hombre", "HOMBRE", "MUJER")</f>
        <v>MUJER</v>
      </c>
      <c r="P773" s="8">
        <f>IF(Titanic[[#This Row],[Edad]]="", "", IF(Titanic[[#This Row],[Edad]]&gt;=100, Titanic[[#This Row],[Edad]] / 10, Titanic[[#This Row],[Edad]]))</f>
        <v>30.5</v>
      </c>
      <c r="Q773" s="8" t="str">
        <f>IFERROR(LOOKUP(Titanic[[#This Row],[Edad Corrigida]],'Práctica 1'!$K$231:$K$240,'Práctica 1'!$L$231:$L$240), "DESCONOCIDO")</f>
        <v>5. ADULTO</v>
      </c>
      <c r="R773" s="8">
        <f>Titanic[[#This Row],[Familia Horizontal]]+Titanic[[#This Row],[Familia Vertical]]</f>
        <v>0</v>
      </c>
      <c r="S773" s="8"/>
      <c r="T773" s="8"/>
      <c r="U773" s="8"/>
      <c r="V773" s="8"/>
    </row>
    <row r="774" spans="2:22" x14ac:dyDescent="0.2">
      <c r="B774" s="6">
        <v>769</v>
      </c>
      <c r="C774" s="7">
        <v>0</v>
      </c>
      <c r="D774" s="8">
        <v>3</v>
      </c>
      <c r="E774" s="8" t="s">
        <v>783</v>
      </c>
      <c r="F774" s="8" t="s">
        <v>11</v>
      </c>
      <c r="G774" s="9"/>
      <c r="H774" s="8">
        <v>1</v>
      </c>
      <c r="I774" s="8">
        <v>0</v>
      </c>
      <c r="J774" s="8">
        <v>2415</v>
      </c>
      <c r="K774" s="8">
        <v>0</v>
      </c>
      <c r="L774" s="8" t="s">
        <v>20</v>
      </c>
      <c r="M774" s="8" t="str">
        <f>IF(Titanic[[#This Row],[Sobrevive]]=1, "SOBREVIVE", "NO SOBREVIVE")</f>
        <v>NO SOBREVIVE</v>
      </c>
      <c r="N774" s="8" t="str">
        <f>LOOKUP(Titanic[[#This Row],[Clase]],{1,2,3}, {"PRIMERA","SEGUNDA","TERCERA"})</f>
        <v>TERCERA</v>
      </c>
      <c r="O774" s="8" t="str">
        <f>IF(Titanic[[#This Row],[Sexo]]="Hombre", "HOMBRE", "MUJER")</f>
        <v>HOMBRE</v>
      </c>
      <c r="P774" s="8" t="str">
        <f>IF(Titanic[[#This Row],[Edad]]="", "", IF(Titanic[[#This Row],[Edad]]&gt;=100, Titanic[[#This Row],[Edad]] / 10, Titanic[[#This Row],[Edad]]))</f>
        <v/>
      </c>
      <c r="Q774" s="8" t="str">
        <f>IFERROR(LOOKUP(Titanic[[#This Row],[Edad Corrigida]],'Práctica 1'!$K$231:$K$240,'Práctica 1'!$L$231:$L$240), "DESCONOCIDO")</f>
        <v>DESCONOCIDO</v>
      </c>
      <c r="R774" s="8">
        <f>Titanic[[#This Row],[Familia Horizontal]]+Titanic[[#This Row],[Familia Vertical]]</f>
        <v>1</v>
      </c>
      <c r="S774" s="8"/>
      <c r="T774" s="8"/>
      <c r="U774" s="8"/>
      <c r="V774" s="8"/>
    </row>
    <row r="775" spans="2:22" x14ac:dyDescent="0.2">
      <c r="B775" s="6">
        <v>770</v>
      </c>
      <c r="C775" s="7">
        <v>0</v>
      </c>
      <c r="D775" s="8">
        <v>3</v>
      </c>
      <c r="E775" s="8" t="s">
        <v>784</v>
      </c>
      <c r="F775" s="8" t="s">
        <v>11</v>
      </c>
      <c r="G775" s="8">
        <v>32</v>
      </c>
      <c r="H775" s="8">
        <v>0</v>
      </c>
      <c r="I775" s="8">
        <v>0</v>
      </c>
      <c r="J775" s="8">
        <v>83625</v>
      </c>
      <c r="K775" s="8">
        <v>0</v>
      </c>
      <c r="L775" s="8" t="s">
        <v>12</v>
      </c>
      <c r="M775" s="8" t="str">
        <f>IF(Titanic[[#This Row],[Sobrevive]]=1, "SOBREVIVE", "NO SOBREVIVE")</f>
        <v>NO SOBREVIVE</v>
      </c>
      <c r="N775" s="8" t="str">
        <f>LOOKUP(Titanic[[#This Row],[Clase]],{1,2,3}, {"PRIMERA","SEGUNDA","TERCERA"})</f>
        <v>TERCERA</v>
      </c>
      <c r="O775" s="8" t="str">
        <f>IF(Titanic[[#This Row],[Sexo]]="Hombre", "HOMBRE", "MUJER")</f>
        <v>HOMBRE</v>
      </c>
      <c r="P775" s="8">
        <f>IF(Titanic[[#This Row],[Edad]]="", "", IF(Titanic[[#This Row],[Edad]]&gt;=100, Titanic[[#This Row],[Edad]] / 10, Titanic[[#This Row],[Edad]]))</f>
        <v>32</v>
      </c>
      <c r="Q775" s="8" t="str">
        <f>IFERROR(LOOKUP(Titanic[[#This Row],[Edad Corrigida]],'Práctica 1'!$K$231:$K$240,'Práctica 1'!$L$231:$L$240), "DESCONOCIDO")</f>
        <v>6. ADULTO 1</v>
      </c>
      <c r="R775" s="8">
        <f>Titanic[[#This Row],[Familia Horizontal]]+Titanic[[#This Row],[Familia Vertical]]</f>
        <v>0</v>
      </c>
      <c r="S775" s="8"/>
      <c r="T775" s="8"/>
      <c r="U775" s="8"/>
      <c r="V775" s="8"/>
    </row>
    <row r="776" spans="2:22" x14ac:dyDescent="0.2">
      <c r="B776" s="6">
        <v>771</v>
      </c>
      <c r="C776" s="7">
        <v>0</v>
      </c>
      <c r="D776" s="8">
        <v>3</v>
      </c>
      <c r="E776" s="8" t="s">
        <v>785</v>
      </c>
      <c r="F776" s="8" t="s">
        <v>11</v>
      </c>
      <c r="G776" s="8">
        <v>24</v>
      </c>
      <c r="H776" s="8">
        <v>0</v>
      </c>
      <c r="I776" s="8">
        <v>0</v>
      </c>
      <c r="J776" s="8">
        <v>95</v>
      </c>
      <c r="K776" s="8">
        <v>0</v>
      </c>
      <c r="L776" s="8" t="s">
        <v>12</v>
      </c>
      <c r="M776" s="8" t="str">
        <f>IF(Titanic[[#This Row],[Sobrevive]]=1, "SOBREVIVE", "NO SOBREVIVE")</f>
        <v>NO SOBREVIVE</v>
      </c>
      <c r="N776" s="8" t="str">
        <f>LOOKUP(Titanic[[#This Row],[Clase]],{1,2,3}, {"PRIMERA","SEGUNDA","TERCERA"})</f>
        <v>TERCERA</v>
      </c>
      <c r="O776" s="8" t="str">
        <f>IF(Titanic[[#This Row],[Sexo]]="Hombre", "HOMBRE", "MUJER")</f>
        <v>HOMBRE</v>
      </c>
      <c r="P776" s="8">
        <f>IF(Titanic[[#This Row],[Edad]]="", "", IF(Titanic[[#This Row],[Edad]]&gt;=100, Titanic[[#This Row],[Edad]] / 10, Titanic[[#This Row],[Edad]]))</f>
        <v>24</v>
      </c>
      <c r="Q776" s="8" t="str">
        <f>IFERROR(LOOKUP(Titanic[[#This Row],[Edad Corrigida]],'Práctica 1'!$K$231:$K$240,'Práctica 1'!$L$231:$L$240), "DESCONOCIDO")</f>
        <v>3. JOVEN</v>
      </c>
      <c r="R776" s="8">
        <f>Titanic[[#This Row],[Familia Horizontal]]+Titanic[[#This Row],[Familia Vertical]]</f>
        <v>0</v>
      </c>
      <c r="S776" s="8"/>
      <c r="T776" s="8"/>
      <c r="U776" s="8"/>
      <c r="V776" s="8"/>
    </row>
    <row r="777" spans="2:22" x14ac:dyDescent="0.2">
      <c r="B777" s="6">
        <v>772</v>
      </c>
      <c r="C777" s="7">
        <v>0</v>
      </c>
      <c r="D777" s="8">
        <v>3</v>
      </c>
      <c r="E777" s="8" t="s">
        <v>786</v>
      </c>
      <c r="F777" s="8" t="s">
        <v>11</v>
      </c>
      <c r="G777" s="8">
        <v>48</v>
      </c>
      <c r="H777" s="8">
        <v>0</v>
      </c>
      <c r="I777" s="8">
        <v>0</v>
      </c>
      <c r="J777" s="8">
        <v>78542</v>
      </c>
      <c r="K777" s="8">
        <v>0</v>
      </c>
      <c r="L777" s="8" t="s">
        <v>12</v>
      </c>
      <c r="M777" s="8" t="str">
        <f>IF(Titanic[[#This Row],[Sobrevive]]=1, "SOBREVIVE", "NO SOBREVIVE")</f>
        <v>NO SOBREVIVE</v>
      </c>
      <c r="N777" s="8" t="str">
        <f>LOOKUP(Titanic[[#This Row],[Clase]],{1,2,3}, {"PRIMERA","SEGUNDA","TERCERA"})</f>
        <v>TERCERA</v>
      </c>
      <c r="O777" s="8" t="str">
        <f>IF(Titanic[[#This Row],[Sexo]]="Hombre", "HOMBRE", "MUJER")</f>
        <v>HOMBRE</v>
      </c>
      <c r="P777" s="8">
        <f>IF(Titanic[[#This Row],[Edad]]="", "", IF(Titanic[[#This Row],[Edad]]&gt;=100, Titanic[[#This Row],[Edad]] / 10, Titanic[[#This Row],[Edad]]))</f>
        <v>48</v>
      </c>
      <c r="Q777" s="8" t="str">
        <f>IFERROR(LOOKUP(Titanic[[#This Row],[Edad Corrigida]],'Práctica 1'!$K$231:$K$240,'Práctica 1'!$L$231:$L$240), "DESCONOCIDO")</f>
        <v>8. ADULTO 3</v>
      </c>
      <c r="R777" s="8">
        <f>Titanic[[#This Row],[Familia Horizontal]]+Titanic[[#This Row],[Familia Vertical]]</f>
        <v>0</v>
      </c>
      <c r="S777" s="8"/>
      <c r="T777" s="8"/>
      <c r="U777" s="8"/>
      <c r="V777" s="8"/>
    </row>
    <row r="778" spans="2:22" x14ac:dyDescent="0.2">
      <c r="B778" s="6">
        <v>773</v>
      </c>
      <c r="C778" s="7">
        <v>0</v>
      </c>
      <c r="D778" s="8">
        <v>2</v>
      </c>
      <c r="E778" s="8" t="s">
        <v>787</v>
      </c>
      <c r="F778" s="8" t="s">
        <v>14</v>
      </c>
      <c r="G778" s="8">
        <v>57</v>
      </c>
      <c r="H778" s="8">
        <v>0</v>
      </c>
      <c r="I778" s="8">
        <v>0</v>
      </c>
      <c r="J778" s="8">
        <v>105</v>
      </c>
      <c r="K778" s="8">
        <v>1</v>
      </c>
      <c r="L778" s="8" t="s">
        <v>12</v>
      </c>
      <c r="M778" s="8" t="str">
        <f>IF(Titanic[[#This Row],[Sobrevive]]=1, "SOBREVIVE", "NO SOBREVIVE")</f>
        <v>NO SOBREVIVE</v>
      </c>
      <c r="N778" s="8" t="str">
        <f>LOOKUP(Titanic[[#This Row],[Clase]],{1,2,3}, {"PRIMERA","SEGUNDA","TERCERA"})</f>
        <v>SEGUNDA</v>
      </c>
      <c r="O778" s="8" t="str">
        <f>IF(Titanic[[#This Row],[Sexo]]="Hombre", "HOMBRE", "MUJER")</f>
        <v>MUJER</v>
      </c>
      <c r="P778" s="8">
        <f>IF(Titanic[[#This Row],[Edad]]="", "", IF(Titanic[[#This Row],[Edad]]&gt;=100, Titanic[[#This Row],[Edad]] / 10, Titanic[[#This Row],[Edad]]))</f>
        <v>57</v>
      </c>
      <c r="Q778" s="8" t="str">
        <f>IFERROR(LOOKUP(Titanic[[#This Row],[Edad Corrigida]],'Práctica 1'!$K$231:$K$240,'Práctica 1'!$L$231:$L$240), "DESCONOCIDO")</f>
        <v>9. ADULTO 4</v>
      </c>
      <c r="R778" s="8">
        <f>Titanic[[#This Row],[Familia Horizontal]]+Titanic[[#This Row],[Familia Vertical]]</f>
        <v>0</v>
      </c>
      <c r="S778" s="8"/>
      <c r="T778" s="8"/>
      <c r="U778" s="8"/>
      <c r="V778" s="8"/>
    </row>
    <row r="779" spans="2:22" x14ac:dyDescent="0.2">
      <c r="B779" s="6">
        <v>774</v>
      </c>
      <c r="C779" s="7">
        <v>0</v>
      </c>
      <c r="D779" s="8">
        <v>3</v>
      </c>
      <c r="E779" s="8" t="s">
        <v>788</v>
      </c>
      <c r="F779" s="8" t="s">
        <v>11</v>
      </c>
      <c r="G779" s="9"/>
      <c r="H779" s="8">
        <v>0</v>
      </c>
      <c r="I779" s="8">
        <v>0</v>
      </c>
      <c r="J779" s="8">
        <v>7225</v>
      </c>
      <c r="K779" s="8">
        <v>0</v>
      </c>
      <c r="L779" s="8" t="s">
        <v>15</v>
      </c>
      <c r="M779" s="8" t="str">
        <f>IF(Titanic[[#This Row],[Sobrevive]]=1, "SOBREVIVE", "NO SOBREVIVE")</f>
        <v>NO SOBREVIVE</v>
      </c>
      <c r="N779" s="8" t="str">
        <f>LOOKUP(Titanic[[#This Row],[Clase]],{1,2,3}, {"PRIMERA","SEGUNDA","TERCERA"})</f>
        <v>TERCERA</v>
      </c>
      <c r="O779" s="8" t="str">
        <f>IF(Titanic[[#This Row],[Sexo]]="Hombre", "HOMBRE", "MUJER")</f>
        <v>HOMBRE</v>
      </c>
      <c r="P779" s="8" t="str">
        <f>IF(Titanic[[#This Row],[Edad]]="", "", IF(Titanic[[#This Row],[Edad]]&gt;=100, Titanic[[#This Row],[Edad]] / 10, Titanic[[#This Row],[Edad]]))</f>
        <v/>
      </c>
      <c r="Q779" s="8" t="str">
        <f>IFERROR(LOOKUP(Titanic[[#This Row],[Edad Corrigida]],'Práctica 1'!$K$231:$K$240,'Práctica 1'!$L$231:$L$240), "DESCONOCIDO")</f>
        <v>DESCONOCIDO</v>
      </c>
      <c r="R779" s="8">
        <f>Titanic[[#This Row],[Familia Horizontal]]+Titanic[[#This Row],[Familia Vertical]]</f>
        <v>0</v>
      </c>
      <c r="S779" s="8"/>
      <c r="T779" s="8"/>
      <c r="U779" s="8"/>
      <c r="V779" s="8"/>
    </row>
    <row r="780" spans="2:22" x14ac:dyDescent="0.2">
      <c r="B780" s="6">
        <v>775</v>
      </c>
      <c r="C780" s="7">
        <v>1</v>
      </c>
      <c r="D780" s="8">
        <v>2</v>
      </c>
      <c r="E780" s="8" t="s">
        <v>789</v>
      </c>
      <c r="F780" s="8" t="s">
        <v>14</v>
      </c>
      <c r="G780" s="8">
        <v>54</v>
      </c>
      <c r="H780" s="8">
        <v>1</v>
      </c>
      <c r="I780" s="8">
        <v>3</v>
      </c>
      <c r="J780" s="8">
        <v>23</v>
      </c>
      <c r="K780" s="8">
        <v>0</v>
      </c>
      <c r="L780" s="8" t="s">
        <v>12</v>
      </c>
      <c r="M780" s="8" t="str">
        <f>IF(Titanic[[#This Row],[Sobrevive]]=1, "SOBREVIVE", "NO SOBREVIVE")</f>
        <v>SOBREVIVE</v>
      </c>
      <c r="N780" s="8" t="str">
        <f>LOOKUP(Titanic[[#This Row],[Clase]],{1,2,3}, {"PRIMERA","SEGUNDA","TERCERA"})</f>
        <v>SEGUNDA</v>
      </c>
      <c r="O780" s="8" t="str">
        <f>IF(Titanic[[#This Row],[Sexo]]="Hombre", "HOMBRE", "MUJER")</f>
        <v>MUJER</v>
      </c>
      <c r="P780" s="8">
        <f>IF(Titanic[[#This Row],[Edad]]="", "", IF(Titanic[[#This Row],[Edad]]&gt;=100, Titanic[[#This Row],[Edad]] / 10, Titanic[[#This Row],[Edad]]))</f>
        <v>54</v>
      </c>
      <c r="Q780" s="8" t="str">
        <f>IFERROR(LOOKUP(Titanic[[#This Row],[Edad Corrigida]],'Práctica 1'!$K$231:$K$240,'Práctica 1'!$L$231:$L$240), "DESCONOCIDO")</f>
        <v>9. ADULTO 4</v>
      </c>
      <c r="R780" s="8">
        <f>Titanic[[#This Row],[Familia Horizontal]]+Titanic[[#This Row],[Familia Vertical]]</f>
        <v>4</v>
      </c>
      <c r="S780" s="8"/>
      <c r="T780" s="8"/>
      <c r="U780" s="8"/>
      <c r="V780" s="8"/>
    </row>
    <row r="781" spans="2:22" x14ac:dyDescent="0.2">
      <c r="B781" s="6">
        <v>776</v>
      </c>
      <c r="C781" s="7">
        <v>0</v>
      </c>
      <c r="D781" s="8">
        <v>3</v>
      </c>
      <c r="E781" s="8" t="s">
        <v>790</v>
      </c>
      <c r="F781" s="8" t="s">
        <v>11</v>
      </c>
      <c r="G781" s="8">
        <v>18</v>
      </c>
      <c r="H781" s="8">
        <v>0</v>
      </c>
      <c r="I781" s="8">
        <v>0</v>
      </c>
      <c r="J781" s="8">
        <v>775</v>
      </c>
      <c r="K781" s="8">
        <v>0</v>
      </c>
      <c r="L781" s="8" t="s">
        <v>12</v>
      </c>
      <c r="M781" s="8" t="str">
        <f>IF(Titanic[[#This Row],[Sobrevive]]=1, "SOBREVIVE", "NO SOBREVIVE")</f>
        <v>NO SOBREVIVE</v>
      </c>
      <c r="N781" s="8" t="str">
        <f>LOOKUP(Titanic[[#This Row],[Clase]],{1,2,3}, {"PRIMERA","SEGUNDA","TERCERA"})</f>
        <v>TERCERA</v>
      </c>
      <c r="O781" s="8" t="str">
        <f>IF(Titanic[[#This Row],[Sexo]]="Hombre", "HOMBRE", "MUJER")</f>
        <v>HOMBRE</v>
      </c>
      <c r="P781" s="8">
        <f>IF(Titanic[[#This Row],[Edad]]="", "", IF(Titanic[[#This Row],[Edad]]&gt;=100, Titanic[[#This Row],[Edad]] / 10, Titanic[[#This Row],[Edad]]))</f>
        <v>18</v>
      </c>
      <c r="Q781" s="8" t="str">
        <f>IFERROR(LOOKUP(Titanic[[#This Row],[Edad Corrigida]],'Práctica 1'!$K$231:$K$240,'Práctica 1'!$L$231:$L$240), "DESCONOCIDO")</f>
        <v>1. INFANTE</v>
      </c>
      <c r="R781" s="8">
        <f>Titanic[[#This Row],[Familia Horizontal]]+Titanic[[#This Row],[Familia Vertical]]</f>
        <v>0</v>
      </c>
      <c r="S781" s="8"/>
      <c r="T781" s="8"/>
      <c r="U781" s="8"/>
      <c r="V781" s="8"/>
    </row>
    <row r="782" spans="2:22" x14ac:dyDescent="0.2">
      <c r="B782" s="6">
        <v>777</v>
      </c>
      <c r="C782" s="7">
        <v>0</v>
      </c>
      <c r="D782" s="8">
        <v>3</v>
      </c>
      <c r="E782" s="8" t="s">
        <v>791</v>
      </c>
      <c r="F782" s="8" t="s">
        <v>11</v>
      </c>
      <c r="G782" s="9"/>
      <c r="H782" s="8">
        <v>0</v>
      </c>
      <c r="I782" s="8">
        <v>0</v>
      </c>
      <c r="J782" s="8">
        <v>775</v>
      </c>
      <c r="K782" s="8">
        <v>1</v>
      </c>
      <c r="L782" s="8" t="s">
        <v>20</v>
      </c>
      <c r="M782" s="8" t="str">
        <f>IF(Titanic[[#This Row],[Sobrevive]]=1, "SOBREVIVE", "NO SOBREVIVE")</f>
        <v>NO SOBREVIVE</v>
      </c>
      <c r="N782" s="8" t="str">
        <f>LOOKUP(Titanic[[#This Row],[Clase]],{1,2,3}, {"PRIMERA","SEGUNDA","TERCERA"})</f>
        <v>TERCERA</v>
      </c>
      <c r="O782" s="8" t="str">
        <f>IF(Titanic[[#This Row],[Sexo]]="Hombre", "HOMBRE", "MUJER")</f>
        <v>HOMBRE</v>
      </c>
      <c r="P782" s="8" t="str">
        <f>IF(Titanic[[#This Row],[Edad]]="", "", IF(Titanic[[#This Row],[Edad]]&gt;=100, Titanic[[#This Row],[Edad]] / 10, Titanic[[#This Row],[Edad]]))</f>
        <v/>
      </c>
      <c r="Q782" s="8" t="str">
        <f>IFERROR(LOOKUP(Titanic[[#This Row],[Edad Corrigida]],'Práctica 1'!$K$231:$K$240,'Práctica 1'!$L$231:$L$240), "DESCONOCIDO")</f>
        <v>DESCONOCIDO</v>
      </c>
      <c r="R782" s="8">
        <f>Titanic[[#This Row],[Familia Horizontal]]+Titanic[[#This Row],[Familia Vertical]]</f>
        <v>0</v>
      </c>
      <c r="S782" s="8"/>
      <c r="T782" s="8"/>
      <c r="U782" s="8"/>
      <c r="V782" s="8"/>
    </row>
    <row r="783" spans="2:22" x14ac:dyDescent="0.2">
      <c r="B783" s="6">
        <v>778</v>
      </c>
      <c r="C783" s="7">
        <v>1</v>
      </c>
      <c r="D783" s="8">
        <v>3</v>
      </c>
      <c r="E783" s="8" t="s">
        <v>792</v>
      </c>
      <c r="F783" s="8" t="s">
        <v>14</v>
      </c>
      <c r="G783" s="8">
        <v>5</v>
      </c>
      <c r="H783" s="8">
        <v>0</v>
      </c>
      <c r="I783" s="8">
        <v>0</v>
      </c>
      <c r="J783" s="8">
        <v>12475</v>
      </c>
      <c r="K783" s="8">
        <v>0</v>
      </c>
      <c r="L783" s="8" t="s">
        <v>12</v>
      </c>
      <c r="M783" s="8" t="str">
        <f>IF(Titanic[[#This Row],[Sobrevive]]=1, "SOBREVIVE", "NO SOBREVIVE")</f>
        <v>SOBREVIVE</v>
      </c>
      <c r="N783" s="8" t="str">
        <f>LOOKUP(Titanic[[#This Row],[Clase]],{1,2,3}, {"PRIMERA","SEGUNDA","TERCERA"})</f>
        <v>TERCERA</v>
      </c>
      <c r="O783" s="8" t="str">
        <f>IF(Titanic[[#This Row],[Sexo]]="Hombre", "HOMBRE", "MUJER")</f>
        <v>MUJER</v>
      </c>
      <c r="P783" s="8">
        <f>IF(Titanic[[#This Row],[Edad]]="", "", IF(Titanic[[#This Row],[Edad]]&gt;=100, Titanic[[#This Row],[Edad]] / 10, Titanic[[#This Row],[Edad]]))</f>
        <v>5</v>
      </c>
      <c r="Q783" s="8" t="str">
        <f>IFERROR(LOOKUP(Titanic[[#This Row],[Edad Corrigida]],'Práctica 1'!$K$231:$K$240,'Práctica 1'!$L$231:$L$240), "DESCONOCIDO")</f>
        <v>DESCONOCIDO</v>
      </c>
      <c r="R783" s="8">
        <f>Titanic[[#This Row],[Familia Horizontal]]+Titanic[[#This Row],[Familia Vertical]]</f>
        <v>0</v>
      </c>
      <c r="S783" s="8"/>
      <c r="T783" s="8"/>
      <c r="U783" s="8"/>
      <c r="V783" s="8"/>
    </row>
    <row r="784" spans="2:22" x14ac:dyDescent="0.2">
      <c r="B784" s="6">
        <v>779</v>
      </c>
      <c r="C784" s="7">
        <v>0</v>
      </c>
      <c r="D784" s="8">
        <v>3</v>
      </c>
      <c r="E784" s="8" t="s">
        <v>793</v>
      </c>
      <c r="F784" s="8" t="s">
        <v>11</v>
      </c>
      <c r="G784" s="9"/>
      <c r="H784" s="8">
        <v>0</v>
      </c>
      <c r="I784" s="8">
        <v>0</v>
      </c>
      <c r="J784" s="8">
        <v>77375</v>
      </c>
      <c r="K784" s="8">
        <v>0</v>
      </c>
      <c r="L784" s="8" t="s">
        <v>20</v>
      </c>
      <c r="M784" s="8" t="str">
        <f>IF(Titanic[[#This Row],[Sobrevive]]=1, "SOBREVIVE", "NO SOBREVIVE")</f>
        <v>NO SOBREVIVE</v>
      </c>
      <c r="N784" s="8" t="str">
        <f>LOOKUP(Titanic[[#This Row],[Clase]],{1,2,3}, {"PRIMERA","SEGUNDA","TERCERA"})</f>
        <v>TERCERA</v>
      </c>
      <c r="O784" s="8" t="str">
        <f>IF(Titanic[[#This Row],[Sexo]]="Hombre", "HOMBRE", "MUJER")</f>
        <v>HOMBRE</v>
      </c>
      <c r="P784" s="8" t="str">
        <f>IF(Titanic[[#This Row],[Edad]]="", "", IF(Titanic[[#This Row],[Edad]]&gt;=100, Titanic[[#This Row],[Edad]] / 10, Titanic[[#This Row],[Edad]]))</f>
        <v/>
      </c>
      <c r="Q784" s="8" t="str">
        <f>IFERROR(LOOKUP(Titanic[[#This Row],[Edad Corrigida]],'Práctica 1'!$K$231:$K$240,'Práctica 1'!$L$231:$L$240), "DESCONOCIDO")</f>
        <v>DESCONOCIDO</v>
      </c>
      <c r="R784" s="8">
        <f>Titanic[[#This Row],[Familia Horizontal]]+Titanic[[#This Row],[Familia Vertical]]</f>
        <v>0</v>
      </c>
      <c r="S784" s="8"/>
      <c r="T784" s="8"/>
      <c r="U784" s="8"/>
      <c r="V784" s="8"/>
    </row>
    <row r="785" spans="2:22" x14ac:dyDescent="0.2">
      <c r="B785" s="6">
        <v>780</v>
      </c>
      <c r="C785" s="7">
        <v>1</v>
      </c>
      <c r="D785" s="8">
        <v>1</v>
      </c>
      <c r="E785" s="8" t="s">
        <v>794</v>
      </c>
      <c r="F785" s="8" t="s">
        <v>14</v>
      </c>
      <c r="G785" s="8">
        <v>43</v>
      </c>
      <c r="H785" s="8">
        <v>0</v>
      </c>
      <c r="I785" s="8">
        <v>1</v>
      </c>
      <c r="J785" s="8">
        <v>2113375</v>
      </c>
      <c r="K785" s="8">
        <v>1</v>
      </c>
      <c r="L785" s="8" t="s">
        <v>12</v>
      </c>
      <c r="M785" s="8" t="str">
        <f>IF(Titanic[[#This Row],[Sobrevive]]=1, "SOBREVIVE", "NO SOBREVIVE")</f>
        <v>SOBREVIVE</v>
      </c>
      <c r="N785" s="8" t="str">
        <f>LOOKUP(Titanic[[#This Row],[Clase]],{1,2,3}, {"PRIMERA","SEGUNDA","TERCERA"})</f>
        <v>PRIMERA</v>
      </c>
      <c r="O785" s="8" t="str">
        <f>IF(Titanic[[#This Row],[Sexo]]="Hombre", "HOMBRE", "MUJER")</f>
        <v>MUJER</v>
      </c>
      <c r="P785" s="8">
        <f>IF(Titanic[[#This Row],[Edad]]="", "", IF(Titanic[[#This Row],[Edad]]&gt;=100, Titanic[[#This Row],[Edad]] / 10, Titanic[[#This Row],[Edad]]))</f>
        <v>43</v>
      </c>
      <c r="Q785" s="8" t="str">
        <f>IFERROR(LOOKUP(Titanic[[#This Row],[Edad Corrigida]],'Práctica 1'!$K$231:$K$240,'Práctica 1'!$L$231:$L$240), "DESCONOCIDO")</f>
        <v>8. ADULTO 3</v>
      </c>
      <c r="R785" s="8">
        <f>Titanic[[#This Row],[Familia Horizontal]]+Titanic[[#This Row],[Familia Vertical]]</f>
        <v>1</v>
      </c>
      <c r="S785" s="8"/>
      <c r="T785" s="8"/>
      <c r="U785" s="8"/>
      <c r="V785" s="8"/>
    </row>
    <row r="786" spans="2:22" x14ac:dyDescent="0.2">
      <c r="B786" s="6">
        <v>781</v>
      </c>
      <c r="C786" s="7">
        <v>1</v>
      </c>
      <c r="D786" s="8">
        <v>3</v>
      </c>
      <c r="E786" s="8" t="s">
        <v>795</v>
      </c>
      <c r="F786" s="8" t="s">
        <v>14</v>
      </c>
      <c r="G786" s="8">
        <v>13</v>
      </c>
      <c r="H786" s="8">
        <v>0</v>
      </c>
      <c r="I786" s="8">
        <v>0</v>
      </c>
      <c r="J786" s="8">
        <v>72292</v>
      </c>
      <c r="K786" s="8">
        <v>0</v>
      </c>
      <c r="L786" s="8" t="s">
        <v>15</v>
      </c>
      <c r="M786" s="8" t="str">
        <f>IF(Titanic[[#This Row],[Sobrevive]]=1, "SOBREVIVE", "NO SOBREVIVE")</f>
        <v>SOBREVIVE</v>
      </c>
      <c r="N786" s="8" t="str">
        <f>LOOKUP(Titanic[[#This Row],[Clase]],{1,2,3}, {"PRIMERA","SEGUNDA","TERCERA"})</f>
        <v>TERCERA</v>
      </c>
      <c r="O786" s="8" t="str">
        <f>IF(Titanic[[#This Row],[Sexo]]="Hombre", "HOMBRE", "MUJER")</f>
        <v>MUJER</v>
      </c>
      <c r="P786" s="8">
        <f>IF(Titanic[[#This Row],[Edad]]="", "", IF(Titanic[[#This Row],[Edad]]&gt;=100, Titanic[[#This Row],[Edad]] / 10, Titanic[[#This Row],[Edad]]))</f>
        <v>13</v>
      </c>
      <c r="Q786" s="8" t="str">
        <f>IFERROR(LOOKUP(Titanic[[#This Row],[Edad Corrigida]],'Práctica 1'!$K$231:$K$240,'Práctica 1'!$L$231:$L$240), "DESCONOCIDO")</f>
        <v>DESCONOCIDO</v>
      </c>
      <c r="R786" s="8">
        <f>Titanic[[#This Row],[Familia Horizontal]]+Titanic[[#This Row],[Familia Vertical]]</f>
        <v>0</v>
      </c>
      <c r="S786" s="8"/>
      <c r="T786" s="8"/>
      <c r="U786" s="8"/>
      <c r="V786" s="8"/>
    </row>
    <row r="787" spans="2:22" x14ac:dyDescent="0.2">
      <c r="B787" s="6">
        <v>782</v>
      </c>
      <c r="C787" s="7">
        <v>1</v>
      </c>
      <c r="D787" s="8">
        <v>1</v>
      </c>
      <c r="E787" s="8" t="s">
        <v>796</v>
      </c>
      <c r="F787" s="8" t="s">
        <v>14</v>
      </c>
      <c r="G787" s="8">
        <v>17</v>
      </c>
      <c r="H787" s="8">
        <v>1</v>
      </c>
      <c r="I787" s="8">
        <v>0</v>
      </c>
      <c r="J787" s="8">
        <v>57</v>
      </c>
      <c r="K787" s="8">
        <v>1</v>
      </c>
      <c r="L787" s="8" t="s">
        <v>12</v>
      </c>
      <c r="M787" s="8" t="str">
        <f>IF(Titanic[[#This Row],[Sobrevive]]=1, "SOBREVIVE", "NO SOBREVIVE")</f>
        <v>SOBREVIVE</v>
      </c>
      <c r="N787" s="8" t="str">
        <f>LOOKUP(Titanic[[#This Row],[Clase]],{1,2,3}, {"PRIMERA","SEGUNDA","TERCERA"})</f>
        <v>PRIMERA</v>
      </c>
      <c r="O787" s="8" t="str">
        <f>IF(Titanic[[#This Row],[Sexo]]="Hombre", "HOMBRE", "MUJER")</f>
        <v>MUJER</v>
      </c>
      <c r="P787" s="8">
        <f>IF(Titanic[[#This Row],[Edad]]="", "", IF(Titanic[[#This Row],[Edad]]&gt;=100, Titanic[[#This Row],[Edad]] / 10, Titanic[[#This Row],[Edad]]))</f>
        <v>17</v>
      </c>
      <c r="Q787" s="8" t="str">
        <f>IFERROR(LOOKUP(Titanic[[#This Row],[Edad Corrigida]],'Práctica 1'!$K$231:$K$240,'Práctica 1'!$L$231:$L$240), "DESCONOCIDO")</f>
        <v>1. INFANTE</v>
      </c>
      <c r="R787" s="8">
        <f>Titanic[[#This Row],[Familia Horizontal]]+Titanic[[#This Row],[Familia Vertical]]</f>
        <v>1</v>
      </c>
      <c r="S787" s="8"/>
      <c r="T787" s="8"/>
      <c r="U787" s="8"/>
      <c r="V787" s="8"/>
    </row>
    <row r="788" spans="2:22" x14ac:dyDescent="0.2">
      <c r="B788" s="6">
        <v>783</v>
      </c>
      <c r="C788" s="7">
        <v>0</v>
      </c>
      <c r="D788" s="8">
        <v>1</v>
      </c>
      <c r="E788" s="8" t="s">
        <v>797</v>
      </c>
      <c r="F788" s="8" t="s">
        <v>11</v>
      </c>
      <c r="G788" s="8">
        <v>29</v>
      </c>
      <c r="H788" s="8">
        <v>0</v>
      </c>
      <c r="I788" s="8">
        <v>0</v>
      </c>
      <c r="J788" s="8">
        <v>30</v>
      </c>
      <c r="K788" s="8">
        <v>1</v>
      </c>
      <c r="L788" s="8" t="s">
        <v>12</v>
      </c>
      <c r="M788" s="8" t="str">
        <f>IF(Titanic[[#This Row],[Sobrevive]]=1, "SOBREVIVE", "NO SOBREVIVE")</f>
        <v>NO SOBREVIVE</v>
      </c>
      <c r="N788" s="8" t="str">
        <f>LOOKUP(Titanic[[#This Row],[Clase]],{1,2,3}, {"PRIMERA","SEGUNDA","TERCERA"})</f>
        <v>PRIMERA</v>
      </c>
      <c r="O788" s="8" t="str">
        <f>IF(Titanic[[#This Row],[Sexo]]="Hombre", "HOMBRE", "MUJER")</f>
        <v>HOMBRE</v>
      </c>
      <c r="P788" s="8">
        <f>IF(Titanic[[#This Row],[Edad]]="", "", IF(Titanic[[#This Row],[Edad]]&gt;=100, Titanic[[#This Row],[Edad]] / 10, Titanic[[#This Row],[Edad]]))</f>
        <v>29</v>
      </c>
      <c r="Q788" s="8" t="str">
        <f>IFERROR(LOOKUP(Titanic[[#This Row],[Edad Corrigida]],'Práctica 1'!$K$231:$K$240,'Práctica 1'!$L$231:$L$240), "DESCONOCIDO")</f>
        <v>5. ADULTO</v>
      </c>
      <c r="R788" s="8">
        <f>Titanic[[#This Row],[Familia Horizontal]]+Titanic[[#This Row],[Familia Vertical]]</f>
        <v>0</v>
      </c>
      <c r="S788" s="8"/>
      <c r="T788" s="8"/>
      <c r="U788" s="8"/>
      <c r="V788" s="8"/>
    </row>
    <row r="789" spans="2:22" x14ac:dyDescent="0.2">
      <c r="B789" s="6">
        <v>784</v>
      </c>
      <c r="C789" s="7">
        <v>0</v>
      </c>
      <c r="D789" s="8">
        <v>3</v>
      </c>
      <c r="E789" s="8" t="s">
        <v>798</v>
      </c>
      <c r="F789" s="8" t="s">
        <v>11</v>
      </c>
      <c r="G789" s="9"/>
      <c r="H789" s="8">
        <v>1</v>
      </c>
      <c r="I789" s="8">
        <v>2</v>
      </c>
      <c r="J789" s="8">
        <v>2345</v>
      </c>
      <c r="K789" s="8">
        <v>0</v>
      </c>
      <c r="L789" s="8" t="s">
        <v>12</v>
      </c>
      <c r="M789" s="8" t="str">
        <f>IF(Titanic[[#This Row],[Sobrevive]]=1, "SOBREVIVE", "NO SOBREVIVE")</f>
        <v>NO SOBREVIVE</v>
      </c>
      <c r="N789" s="8" t="str">
        <f>LOOKUP(Titanic[[#This Row],[Clase]],{1,2,3}, {"PRIMERA","SEGUNDA","TERCERA"})</f>
        <v>TERCERA</v>
      </c>
      <c r="O789" s="8" t="str">
        <f>IF(Titanic[[#This Row],[Sexo]]="Hombre", "HOMBRE", "MUJER")</f>
        <v>HOMBRE</v>
      </c>
      <c r="P789" s="8" t="str">
        <f>IF(Titanic[[#This Row],[Edad]]="", "", IF(Titanic[[#This Row],[Edad]]&gt;=100, Titanic[[#This Row],[Edad]] / 10, Titanic[[#This Row],[Edad]]))</f>
        <v/>
      </c>
      <c r="Q789" s="8" t="str">
        <f>IFERROR(LOOKUP(Titanic[[#This Row],[Edad Corrigida]],'Práctica 1'!$K$231:$K$240,'Práctica 1'!$L$231:$L$240), "DESCONOCIDO")</f>
        <v>DESCONOCIDO</v>
      </c>
      <c r="R789" s="8">
        <f>Titanic[[#This Row],[Familia Horizontal]]+Titanic[[#This Row],[Familia Vertical]]</f>
        <v>3</v>
      </c>
      <c r="S789" s="8"/>
      <c r="T789" s="8"/>
      <c r="U789" s="8"/>
      <c r="V789" s="8"/>
    </row>
    <row r="790" spans="2:22" x14ac:dyDescent="0.2">
      <c r="B790" s="6">
        <v>785</v>
      </c>
      <c r="C790" s="7">
        <v>0</v>
      </c>
      <c r="D790" s="8">
        <v>3</v>
      </c>
      <c r="E790" s="8" t="s">
        <v>799</v>
      </c>
      <c r="F790" s="8" t="s">
        <v>11</v>
      </c>
      <c r="G790" s="8">
        <v>25</v>
      </c>
      <c r="H790" s="8">
        <v>0</v>
      </c>
      <c r="I790" s="8">
        <v>0</v>
      </c>
      <c r="J790" s="8">
        <v>705</v>
      </c>
      <c r="K790" s="8">
        <v>0</v>
      </c>
      <c r="L790" s="8" t="s">
        <v>12</v>
      </c>
      <c r="M790" s="8" t="str">
        <f>IF(Titanic[[#This Row],[Sobrevive]]=1, "SOBREVIVE", "NO SOBREVIVE")</f>
        <v>NO SOBREVIVE</v>
      </c>
      <c r="N790" s="8" t="str">
        <f>LOOKUP(Titanic[[#This Row],[Clase]],{1,2,3}, {"PRIMERA","SEGUNDA","TERCERA"})</f>
        <v>TERCERA</v>
      </c>
      <c r="O790" s="8" t="str">
        <f>IF(Titanic[[#This Row],[Sexo]]="Hombre", "HOMBRE", "MUJER")</f>
        <v>HOMBRE</v>
      </c>
      <c r="P790" s="8">
        <f>IF(Titanic[[#This Row],[Edad]]="", "", IF(Titanic[[#This Row],[Edad]]&gt;=100, Titanic[[#This Row],[Edad]] / 10, Titanic[[#This Row],[Edad]]))</f>
        <v>25</v>
      </c>
      <c r="Q790" s="8" t="str">
        <f>IFERROR(LOOKUP(Titanic[[#This Row],[Edad Corrigida]],'Práctica 1'!$K$231:$K$240,'Práctica 1'!$L$231:$L$240), "DESCONOCIDO")</f>
        <v>4. ADULTO JOVEN</v>
      </c>
      <c r="R790" s="8">
        <f>Titanic[[#This Row],[Familia Horizontal]]+Titanic[[#This Row],[Familia Vertical]]</f>
        <v>0</v>
      </c>
      <c r="S790" s="8"/>
      <c r="T790" s="8"/>
      <c r="U790" s="8"/>
      <c r="V790" s="8"/>
    </row>
    <row r="791" spans="2:22" x14ac:dyDescent="0.2">
      <c r="B791" s="6">
        <v>786</v>
      </c>
      <c r="C791" s="7">
        <v>0</v>
      </c>
      <c r="D791" s="8">
        <v>3</v>
      </c>
      <c r="E791" s="8" t="s">
        <v>800</v>
      </c>
      <c r="F791" s="8" t="s">
        <v>11</v>
      </c>
      <c r="G791" s="8">
        <v>25</v>
      </c>
      <c r="H791" s="8">
        <v>0</v>
      </c>
      <c r="I791" s="8">
        <v>0</v>
      </c>
      <c r="J791" s="8">
        <v>725</v>
      </c>
      <c r="K791" s="8">
        <v>0</v>
      </c>
      <c r="L791" s="8" t="s">
        <v>12</v>
      </c>
      <c r="M791" s="8" t="str">
        <f>IF(Titanic[[#This Row],[Sobrevive]]=1, "SOBREVIVE", "NO SOBREVIVE")</f>
        <v>NO SOBREVIVE</v>
      </c>
      <c r="N791" s="8" t="str">
        <f>LOOKUP(Titanic[[#This Row],[Clase]],{1,2,3}, {"PRIMERA","SEGUNDA","TERCERA"})</f>
        <v>TERCERA</v>
      </c>
      <c r="O791" s="8" t="str">
        <f>IF(Titanic[[#This Row],[Sexo]]="Hombre", "HOMBRE", "MUJER")</f>
        <v>HOMBRE</v>
      </c>
      <c r="P791" s="8">
        <f>IF(Titanic[[#This Row],[Edad]]="", "", IF(Titanic[[#This Row],[Edad]]&gt;=100, Titanic[[#This Row],[Edad]] / 10, Titanic[[#This Row],[Edad]]))</f>
        <v>25</v>
      </c>
      <c r="Q791" s="8" t="str">
        <f>IFERROR(LOOKUP(Titanic[[#This Row],[Edad Corrigida]],'Práctica 1'!$K$231:$K$240,'Práctica 1'!$L$231:$L$240), "DESCONOCIDO")</f>
        <v>4. ADULTO JOVEN</v>
      </c>
      <c r="R791" s="8">
        <f>Titanic[[#This Row],[Familia Horizontal]]+Titanic[[#This Row],[Familia Vertical]]</f>
        <v>0</v>
      </c>
      <c r="S791" s="8"/>
      <c r="T791" s="8"/>
      <c r="U791" s="8"/>
      <c r="V791" s="8"/>
    </row>
    <row r="792" spans="2:22" x14ac:dyDescent="0.2">
      <c r="B792" s="6">
        <v>787</v>
      </c>
      <c r="C792" s="7">
        <v>1</v>
      </c>
      <c r="D792" s="8">
        <v>3</v>
      </c>
      <c r="E792" s="8" t="s">
        <v>801</v>
      </c>
      <c r="F792" s="8" t="s">
        <v>14</v>
      </c>
      <c r="G792" s="8">
        <v>18</v>
      </c>
      <c r="H792" s="8">
        <v>0</v>
      </c>
      <c r="I792" s="8">
        <v>0</v>
      </c>
      <c r="J792" s="8">
        <v>74958</v>
      </c>
      <c r="K792" s="8">
        <v>0</v>
      </c>
      <c r="L792" s="8" t="s">
        <v>12</v>
      </c>
      <c r="M792" s="8" t="str">
        <f>IF(Titanic[[#This Row],[Sobrevive]]=1, "SOBREVIVE", "NO SOBREVIVE")</f>
        <v>SOBREVIVE</v>
      </c>
      <c r="N792" s="8" t="str">
        <f>LOOKUP(Titanic[[#This Row],[Clase]],{1,2,3}, {"PRIMERA","SEGUNDA","TERCERA"})</f>
        <v>TERCERA</v>
      </c>
      <c r="O792" s="8" t="str">
        <f>IF(Titanic[[#This Row],[Sexo]]="Hombre", "HOMBRE", "MUJER")</f>
        <v>MUJER</v>
      </c>
      <c r="P792" s="8">
        <f>IF(Titanic[[#This Row],[Edad]]="", "", IF(Titanic[[#This Row],[Edad]]&gt;=100, Titanic[[#This Row],[Edad]] / 10, Titanic[[#This Row],[Edad]]))</f>
        <v>18</v>
      </c>
      <c r="Q792" s="8" t="str">
        <f>IFERROR(LOOKUP(Titanic[[#This Row],[Edad Corrigida]],'Práctica 1'!$K$231:$K$240,'Práctica 1'!$L$231:$L$240), "DESCONOCIDO")</f>
        <v>1. INFANTE</v>
      </c>
      <c r="R792" s="8">
        <f>Titanic[[#This Row],[Familia Horizontal]]+Titanic[[#This Row],[Familia Vertical]]</f>
        <v>0</v>
      </c>
      <c r="S792" s="8"/>
      <c r="T792" s="8"/>
      <c r="U792" s="8"/>
      <c r="V792" s="8"/>
    </row>
    <row r="793" spans="2:22" x14ac:dyDescent="0.2">
      <c r="B793" s="6">
        <v>788</v>
      </c>
      <c r="C793" s="7">
        <v>0</v>
      </c>
      <c r="D793" s="8">
        <v>3</v>
      </c>
      <c r="E793" s="8" t="s">
        <v>802</v>
      </c>
      <c r="F793" s="8" t="s">
        <v>11</v>
      </c>
      <c r="G793" s="8">
        <v>8</v>
      </c>
      <c r="H793" s="8">
        <v>4</v>
      </c>
      <c r="I793" s="8">
        <v>1</v>
      </c>
      <c r="J793" s="8">
        <v>29125</v>
      </c>
      <c r="K793" s="8">
        <v>0</v>
      </c>
      <c r="L793" s="8" t="s">
        <v>20</v>
      </c>
      <c r="M793" s="8" t="str">
        <f>IF(Titanic[[#This Row],[Sobrevive]]=1, "SOBREVIVE", "NO SOBREVIVE")</f>
        <v>NO SOBREVIVE</v>
      </c>
      <c r="N793" s="8" t="str">
        <f>LOOKUP(Titanic[[#This Row],[Clase]],{1,2,3}, {"PRIMERA","SEGUNDA","TERCERA"})</f>
        <v>TERCERA</v>
      </c>
      <c r="O793" s="8" t="str">
        <f>IF(Titanic[[#This Row],[Sexo]]="Hombre", "HOMBRE", "MUJER")</f>
        <v>HOMBRE</v>
      </c>
      <c r="P793" s="8">
        <f>IF(Titanic[[#This Row],[Edad]]="", "", IF(Titanic[[#This Row],[Edad]]&gt;=100, Titanic[[#This Row],[Edad]] / 10, Titanic[[#This Row],[Edad]]))</f>
        <v>8</v>
      </c>
      <c r="Q793" s="8" t="str">
        <f>IFERROR(LOOKUP(Titanic[[#This Row],[Edad Corrigida]],'Práctica 1'!$K$231:$K$240,'Práctica 1'!$L$231:$L$240), "DESCONOCIDO")</f>
        <v>DESCONOCIDO</v>
      </c>
      <c r="R793" s="8">
        <f>Titanic[[#This Row],[Familia Horizontal]]+Titanic[[#This Row],[Familia Vertical]]</f>
        <v>5</v>
      </c>
      <c r="S793" s="8"/>
      <c r="T793" s="8"/>
      <c r="U793" s="8"/>
      <c r="V793" s="8"/>
    </row>
    <row r="794" spans="2:22" x14ac:dyDescent="0.2">
      <c r="B794" s="6">
        <v>789</v>
      </c>
      <c r="C794" s="7">
        <v>1</v>
      </c>
      <c r="D794" s="8">
        <v>3</v>
      </c>
      <c r="E794" s="8" t="s">
        <v>803</v>
      </c>
      <c r="F794" s="8" t="s">
        <v>11</v>
      </c>
      <c r="G794" s="8">
        <v>1</v>
      </c>
      <c r="H794" s="8">
        <v>1</v>
      </c>
      <c r="I794" s="8">
        <v>2</v>
      </c>
      <c r="J794" s="8">
        <v>20575</v>
      </c>
      <c r="K794" s="8">
        <v>0</v>
      </c>
      <c r="L794" s="8" t="s">
        <v>12</v>
      </c>
      <c r="M794" s="8" t="str">
        <f>IF(Titanic[[#This Row],[Sobrevive]]=1, "SOBREVIVE", "NO SOBREVIVE")</f>
        <v>SOBREVIVE</v>
      </c>
      <c r="N794" s="8" t="str">
        <f>LOOKUP(Titanic[[#This Row],[Clase]],{1,2,3}, {"PRIMERA","SEGUNDA","TERCERA"})</f>
        <v>TERCERA</v>
      </c>
      <c r="O794" s="8" t="str">
        <f>IF(Titanic[[#This Row],[Sexo]]="Hombre", "HOMBRE", "MUJER")</f>
        <v>HOMBRE</v>
      </c>
      <c r="P794" s="8">
        <f>IF(Titanic[[#This Row],[Edad]]="", "", IF(Titanic[[#This Row],[Edad]]&gt;=100, Titanic[[#This Row],[Edad]] / 10, Titanic[[#This Row],[Edad]]))</f>
        <v>1</v>
      </c>
      <c r="Q794" s="8" t="str">
        <f>IFERROR(LOOKUP(Titanic[[#This Row],[Edad Corrigida]],'Práctica 1'!$K$231:$K$240,'Práctica 1'!$L$231:$L$240), "DESCONOCIDO")</f>
        <v>DESCONOCIDO</v>
      </c>
      <c r="R794" s="8">
        <f>Titanic[[#This Row],[Familia Horizontal]]+Titanic[[#This Row],[Familia Vertical]]</f>
        <v>3</v>
      </c>
      <c r="S794" s="8"/>
      <c r="T794" s="8"/>
      <c r="U794" s="8"/>
      <c r="V794" s="8"/>
    </row>
    <row r="795" spans="2:22" x14ac:dyDescent="0.2">
      <c r="B795" s="6">
        <v>790</v>
      </c>
      <c r="C795" s="7">
        <v>0</v>
      </c>
      <c r="D795" s="8">
        <v>1</v>
      </c>
      <c r="E795" s="8" t="s">
        <v>804</v>
      </c>
      <c r="F795" s="8" t="s">
        <v>11</v>
      </c>
      <c r="G795" s="8">
        <v>46</v>
      </c>
      <c r="H795" s="8">
        <v>0</v>
      </c>
      <c r="I795" s="8">
        <v>0</v>
      </c>
      <c r="J795" s="8">
        <v>792</v>
      </c>
      <c r="K795" s="8">
        <v>1</v>
      </c>
      <c r="L795" s="8" t="s">
        <v>15</v>
      </c>
      <c r="M795" s="8" t="str">
        <f>IF(Titanic[[#This Row],[Sobrevive]]=1, "SOBREVIVE", "NO SOBREVIVE")</f>
        <v>NO SOBREVIVE</v>
      </c>
      <c r="N795" s="8" t="str">
        <f>LOOKUP(Titanic[[#This Row],[Clase]],{1,2,3}, {"PRIMERA","SEGUNDA","TERCERA"})</f>
        <v>PRIMERA</v>
      </c>
      <c r="O795" s="8" t="str">
        <f>IF(Titanic[[#This Row],[Sexo]]="Hombre", "HOMBRE", "MUJER")</f>
        <v>HOMBRE</v>
      </c>
      <c r="P795" s="8">
        <f>IF(Titanic[[#This Row],[Edad]]="", "", IF(Titanic[[#This Row],[Edad]]&gt;=100, Titanic[[#This Row],[Edad]] / 10, Titanic[[#This Row],[Edad]]))</f>
        <v>46</v>
      </c>
      <c r="Q795" s="8" t="str">
        <f>IFERROR(LOOKUP(Titanic[[#This Row],[Edad Corrigida]],'Práctica 1'!$K$231:$K$240,'Práctica 1'!$L$231:$L$240), "DESCONOCIDO")</f>
        <v>8. ADULTO 3</v>
      </c>
      <c r="R795" s="8">
        <f>Titanic[[#This Row],[Familia Horizontal]]+Titanic[[#This Row],[Familia Vertical]]</f>
        <v>0</v>
      </c>
      <c r="S795" s="8"/>
      <c r="T795" s="8"/>
      <c r="U795" s="8"/>
      <c r="V795" s="8"/>
    </row>
    <row r="796" spans="2:22" x14ac:dyDescent="0.2">
      <c r="B796" s="6">
        <v>791</v>
      </c>
      <c r="C796" s="7">
        <v>0</v>
      </c>
      <c r="D796" s="8">
        <v>3</v>
      </c>
      <c r="E796" s="8" t="s">
        <v>805</v>
      </c>
      <c r="F796" s="8" t="s">
        <v>11</v>
      </c>
      <c r="G796" s="9"/>
      <c r="H796" s="8">
        <v>0</v>
      </c>
      <c r="I796" s="8">
        <v>0</v>
      </c>
      <c r="J796" s="8">
        <v>775</v>
      </c>
      <c r="K796" s="8">
        <v>0</v>
      </c>
      <c r="L796" s="8" t="s">
        <v>20</v>
      </c>
      <c r="M796" s="8" t="str">
        <f>IF(Titanic[[#This Row],[Sobrevive]]=1, "SOBREVIVE", "NO SOBREVIVE")</f>
        <v>NO SOBREVIVE</v>
      </c>
      <c r="N796" s="8" t="str">
        <f>LOOKUP(Titanic[[#This Row],[Clase]],{1,2,3}, {"PRIMERA","SEGUNDA","TERCERA"})</f>
        <v>TERCERA</v>
      </c>
      <c r="O796" s="8" t="str">
        <f>IF(Titanic[[#This Row],[Sexo]]="Hombre", "HOMBRE", "MUJER")</f>
        <v>HOMBRE</v>
      </c>
      <c r="P796" s="8" t="str">
        <f>IF(Titanic[[#This Row],[Edad]]="", "", IF(Titanic[[#This Row],[Edad]]&gt;=100, Titanic[[#This Row],[Edad]] / 10, Titanic[[#This Row],[Edad]]))</f>
        <v/>
      </c>
      <c r="Q796" s="8" t="str">
        <f>IFERROR(LOOKUP(Titanic[[#This Row],[Edad Corrigida]],'Práctica 1'!$K$231:$K$240,'Práctica 1'!$L$231:$L$240), "DESCONOCIDO")</f>
        <v>DESCONOCIDO</v>
      </c>
      <c r="R796" s="8">
        <f>Titanic[[#This Row],[Familia Horizontal]]+Titanic[[#This Row],[Familia Vertical]]</f>
        <v>0</v>
      </c>
      <c r="S796" s="8"/>
      <c r="T796" s="8"/>
      <c r="U796" s="8"/>
      <c r="V796" s="8"/>
    </row>
    <row r="797" spans="2:22" x14ac:dyDescent="0.2">
      <c r="B797" s="6">
        <v>792</v>
      </c>
      <c r="C797" s="7">
        <v>0</v>
      </c>
      <c r="D797" s="8">
        <v>2</v>
      </c>
      <c r="E797" s="8" t="s">
        <v>806</v>
      </c>
      <c r="F797" s="8" t="s">
        <v>11</v>
      </c>
      <c r="G797" s="8">
        <v>16</v>
      </c>
      <c r="H797" s="8">
        <v>0</v>
      </c>
      <c r="I797" s="8">
        <v>0</v>
      </c>
      <c r="J797" s="8">
        <v>26</v>
      </c>
      <c r="K797" s="8">
        <v>0</v>
      </c>
      <c r="L797" s="8" t="s">
        <v>12</v>
      </c>
      <c r="M797" s="8" t="str">
        <f>IF(Titanic[[#This Row],[Sobrevive]]=1, "SOBREVIVE", "NO SOBREVIVE")</f>
        <v>NO SOBREVIVE</v>
      </c>
      <c r="N797" s="8" t="str">
        <f>LOOKUP(Titanic[[#This Row],[Clase]],{1,2,3}, {"PRIMERA","SEGUNDA","TERCERA"})</f>
        <v>SEGUNDA</v>
      </c>
      <c r="O797" s="8" t="str">
        <f>IF(Titanic[[#This Row],[Sexo]]="Hombre", "HOMBRE", "MUJER")</f>
        <v>HOMBRE</v>
      </c>
      <c r="P797" s="8">
        <f>IF(Titanic[[#This Row],[Edad]]="", "", IF(Titanic[[#This Row],[Edad]]&gt;=100, Titanic[[#This Row],[Edad]] / 10, Titanic[[#This Row],[Edad]]))</f>
        <v>16</v>
      </c>
      <c r="Q797" s="8" t="str">
        <f>IFERROR(LOOKUP(Titanic[[#This Row],[Edad Corrigida]],'Práctica 1'!$K$231:$K$240,'Práctica 1'!$L$231:$L$240), "DESCONOCIDO")</f>
        <v>1. INFANTE</v>
      </c>
      <c r="R797" s="8">
        <f>Titanic[[#This Row],[Familia Horizontal]]+Titanic[[#This Row],[Familia Vertical]]</f>
        <v>0</v>
      </c>
      <c r="S797" s="8"/>
      <c r="T797" s="8"/>
      <c r="U797" s="8"/>
      <c r="V797" s="8"/>
    </row>
    <row r="798" spans="2:22" x14ac:dyDescent="0.2">
      <c r="B798" s="6">
        <v>793</v>
      </c>
      <c r="C798" s="7">
        <v>0</v>
      </c>
      <c r="D798" s="8">
        <v>3</v>
      </c>
      <c r="E798" s="8" t="s">
        <v>807</v>
      </c>
      <c r="F798" s="8" t="s">
        <v>14</v>
      </c>
      <c r="G798" s="9"/>
      <c r="H798" s="8">
        <v>8</v>
      </c>
      <c r="I798" s="8">
        <v>2</v>
      </c>
      <c r="J798" s="8">
        <v>6955</v>
      </c>
      <c r="K798" s="8">
        <v>0</v>
      </c>
      <c r="L798" s="8" t="s">
        <v>12</v>
      </c>
      <c r="M798" s="8" t="str">
        <f>IF(Titanic[[#This Row],[Sobrevive]]=1, "SOBREVIVE", "NO SOBREVIVE")</f>
        <v>NO SOBREVIVE</v>
      </c>
      <c r="N798" s="8" t="str">
        <f>LOOKUP(Titanic[[#This Row],[Clase]],{1,2,3}, {"PRIMERA","SEGUNDA","TERCERA"})</f>
        <v>TERCERA</v>
      </c>
      <c r="O798" s="8" t="str">
        <f>IF(Titanic[[#This Row],[Sexo]]="Hombre", "HOMBRE", "MUJER")</f>
        <v>MUJER</v>
      </c>
      <c r="P798" s="8" t="str">
        <f>IF(Titanic[[#This Row],[Edad]]="", "", IF(Titanic[[#This Row],[Edad]]&gt;=100, Titanic[[#This Row],[Edad]] / 10, Titanic[[#This Row],[Edad]]))</f>
        <v/>
      </c>
      <c r="Q798" s="8" t="str">
        <f>IFERROR(LOOKUP(Titanic[[#This Row],[Edad Corrigida]],'Práctica 1'!$K$231:$K$240,'Práctica 1'!$L$231:$L$240), "DESCONOCIDO")</f>
        <v>DESCONOCIDO</v>
      </c>
      <c r="R798" s="8">
        <f>Titanic[[#This Row],[Familia Horizontal]]+Titanic[[#This Row],[Familia Vertical]]</f>
        <v>10</v>
      </c>
      <c r="S798" s="8"/>
      <c r="T798" s="8"/>
      <c r="U798" s="8"/>
      <c r="V798" s="8"/>
    </row>
    <row r="799" spans="2:22" x14ac:dyDescent="0.2">
      <c r="B799" s="6">
        <v>794</v>
      </c>
      <c r="C799" s="7">
        <v>0</v>
      </c>
      <c r="D799" s="8">
        <v>1</v>
      </c>
      <c r="E799" s="8" t="s">
        <v>808</v>
      </c>
      <c r="F799" s="8" t="s">
        <v>11</v>
      </c>
      <c r="G799" s="9"/>
      <c r="H799" s="8">
        <v>0</v>
      </c>
      <c r="I799" s="8">
        <v>0</v>
      </c>
      <c r="J799" s="8">
        <v>306958</v>
      </c>
      <c r="K799" s="8">
        <v>0</v>
      </c>
      <c r="L799" s="8" t="s">
        <v>15</v>
      </c>
      <c r="M799" s="8" t="str">
        <f>IF(Titanic[[#This Row],[Sobrevive]]=1, "SOBREVIVE", "NO SOBREVIVE")</f>
        <v>NO SOBREVIVE</v>
      </c>
      <c r="N799" s="8" t="str">
        <f>LOOKUP(Titanic[[#This Row],[Clase]],{1,2,3}, {"PRIMERA","SEGUNDA","TERCERA"})</f>
        <v>PRIMERA</v>
      </c>
      <c r="O799" s="8" t="str">
        <f>IF(Titanic[[#This Row],[Sexo]]="Hombre", "HOMBRE", "MUJER")</f>
        <v>HOMBRE</v>
      </c>
      <c r="P799" s="8" t="str">
        <f>IF(Titanic[[#This Row],[Edad]]="", "", IF(Titanic[[#This Row],[Edad]]&gt;=100, Titanic[[#This Row],[Edad]] / 10, Titanic[[#This Row],[Edad]]))</f>
        <v/>
      </c>
      <c r="Q799" s="8" t="str">
        <f>IFERROR(LOOKUP(Titanic[[#This Row],[Edad Corrigida]],'Práctica 1'!$K$231:$K$240,'Práctica 1'!$L$231:$L$240), "DESCONOCIDO")</f>
        <v>DESCONOCIDO</v>
      </c>
      <c r="R799" s="8">
        <f>Titanic[[#This Row],[Familia Horizontal]]+Titanic[[#This Row],[Familia Vertical]]</f>
        <v>0</v>
      </c>
      <c r="S799" s="8"/>
      <c r="T799" s="8"/>
      <c r="U799" s="8"/>
      <c r="V799" s="8"/>
    </row>
    <row r="800" spans="2:22" x14ac:dyDescent="0.2">
      <c r="B800" s="6">
        <v>795</v>
      </c>
      <c r="C800" s="7">
        <v>0</v>
      </c>
      <c r="D800" s="8">
        <v>3</v>
      </c>
      <c r="E800" s="8" t="s">
        <v>809</v>
      </c>
      <c r="F800" s="8" t="s">
        <v>11</v>
      </c>
      <c r="G800" s="8">
        <v>25</v>
      </c>
      <c r="H800" s="8">
        <v>0</v>
      </c>
      <c r="I800" s="8">
        <v>0</v>
      </c>
      <c r="J800" s="8">
        <v>78958</v>
      </c>
      <c r="K800" s="8">
        <v>0</v>
      </c>
      <c r="L800" s="8" t="s">
        <v>12</v>
      </c>
      <c r="M800" s="8" t="str">
        <f>IF(Titanic[[#This Row],[Sobrevive]]=1, "SOBREVIVE", "NO SOBREVIVE")</f>
        <v>NO SOBREVIVE</v>
      </c>
      <c r="N800" s="8" t="str">
        <f>LOOKUP(Titanic[[#This Row],[Clase]],{1,2,3}, {"PRIMERA","SEGUNDA","TERCERA"})</f>
        <v>TERCERA</v>
      </c>
      <c r="O800" s="8" t="str">
        <f>IF(Titanic[[#This Row],[Sexo]]="Hombre", "HOMBRE", "MUJER")</f>
        <v>HOMBRE</v>
      </c>
      <c r="P800" s="8">
        <f>IF(Titanic[[#This Row],[Edad]]="", "", IF(Titanic[[#This Row],[Edad]]&gt;=100, Titanic[[#This Row],[Edad]] / 10, Titanic[[#This Row],[Edad]]))</f>
        <v>25</v>
      </c>
      <c r="Q800" s="8" t="str">
        <f>IFERROR(LOOKUP(Titanic[[#This Row],[Edad Corrigida]],'Práctica 1'!$K$231:$K$240,'Práctica 1'!$L$231:$L$240), "DESCONOCIDO")</f>
        <v>4. ADULTO JOVEN</v>
      </c>
      <c r="R800" s="8">
        <f>Titanic[[#This Row],[Familia Horizontal]]+Titanic[[#This Row],[Familia Vertical]]</f>
        <v>0</v>
      </c>
      <c r="S800" s="8"/>
      <c r="T800" s="8"/>
      <c r="U800" s="8"/>
      <c r="V800" s="8"/>
    </row>
    <row r="801" spans="2:22" x14ac:dyDescent="0.2">
      <c r="B801" s="6">
        <v>796</v>
      </c>
      <c r="C801" s="7">
        <v>0</v>
      </c>
      <c r="D801" s="8">
        <v>2</v>
      </c>
      <c r="E801" s="8" t="s">
        <v>810</v>
      </c>
      <c r="F801" s="8" t="s">
        <v>11</v>
      </c>
      <c r="G801" s="8">
        <v>39</v>
      </c>
      <c r="H801" s="8">
        <v>0</v>
      </c>
      <c r="I801" s="8">
        <v>0</v>
      </c>
      <c r="J801" s="8">
        <v>13</v>
      </c>
      <c r="K801" s="8">
        <v>0</v>
      </c>
      <c r="L801" s="8" t="s">
        <v>12</v>
      </c>
      <c r="M801" s="8" t="str">
        <f>IF(Titanic[[#This Row],[Sobrevive]]=1, "SOBREVIVE", "NO SOBREVIVE")</f>
        <v>NO SOBREVIVE</v>
      </c>
      <c r="N801" s="8" t="str">
        <f>LOOKUP(Titanic[[#This Row],[Clase]],{1,2,3}, {"PRIMERA","SEGUNDA","TERCERA"})</f>
        <v>SEGUNDA</v>
      </c>
      <c r="O801" s="8" t="str">
        <f>IF(Titanic[[#This Row],[Sexo]]="Hombre", "HOMBRE", "MUJER")</f>
        <v>HOMBRE</v>
      </c>
      <c r="P801" s="8">
        <f>IF(Titanic[[#This Row],[Edad]]="", "", IF(Titanic[[#This Row],[Edad]]&gt;=100, Titanic[[#This Row],[Edad]] / 10, Titanic[[#This Row],[Edad]]))</f>
        <v>39</v>
      </c>
      <c r="Q801" s="8" t="str">
        <f>IFERROR(LOOKUP(Titanic[[#This Row],[Edad Corrigida]],'Práctica 1'!$K$231:$K$240,'Práctica 1'!$L$231:$L$240), "DESCONOCIDO")</f>
        <v>7. ADULTO 2</v>
      </c>
      <c r="R801" s="8">
        <f>Titanic[[#This Row],[Familia Horizontal]]+Titanic[[#This Row],[Familia Vertical]]</f>
        <v>0</v>
      </c>
      <c r="S801" s="8"/>
      <c r="T801" s="8"/>
      <c r="U801" s="8"/>
      <c r="V801" s="8"/>
    </row>
    <row r="802" spans="2:22" x14ac:dyDescent="0.2">
      <c r="B802" s="6">
        <v>797</v>
      </c>
      <c r="C802" s="7">
        <v>1</v>
      </c>
      <c r="D802" s="8">
        <v>1</v>
      </c>
      <c r="E802" s="8" t="s">
        <v>811</v>
      </c>
      <c r="F802" s="8" t="s">
        <v>14</v>
      </c>
      <c r="G802" s="8">
        <v>49</v>
      </c>
      <c r="H802" s="8">
        <v>0</v>
      </c>
      <c r="I802" s="8">
        <v>0</v>
      </c>
      <c r="J802" s="8">
        <v>259292</v>
      </c>
      <c r="K802" s="8">
        <v>1</v>
      </c>
      <c r="L802" s="8" t="s">
        <v>12</v>
      </c>
      <c r="M802" s="8" t="str">
        <f>IF(Titanic[[#This Row],[Sobrevive]]=1, "SOBREVIVE", "NO SOBREVIVE")</f>
        <v>SOBREVIVE</v>
      </c>
      <c r="N802" s="8" t="str">
        <f>LOOKUP(Titanic[[#This Row],[Clase]],{1,2,3}, {"PRIMERA","SEGUNDA","TERCERA"})</f>
        <v>PRIMERA</v>
      </c>
      <c r="O802" s="8" t="str">
        <f>IF(Titanic[[#This Row],[Sexo]]="Hombre", "HOMBRE", "MUJER")</f>
        <v>MUJER</v>
      </c>
      <c r="P802" s="8">
        <f>IF(Titanic[[#This Row],[Edad]]="", "", IF(Titanic[[#This Row],[Edad]]&gt;=100, Titanic[[#This Row],[Edad]] / 10, Titanic[[#This Row],[Edad]]))</f>
        <v>49</v>
      </c>
      <c r="Q802" s="8" t="str">
        <f>IFERROR(LOOKUP(Titanic[[#This Row],[Edad Corrigida]],'Práctica 1'!$K$231:$K$240,'Práctica 1'!$L$231:$L$240), "DESCONOCIDO")</f>
        <v>8. ADULTO 3</v>
      </c>
      <c r="R802" s="8">
        <f>Titanic[[#This Row],[Familia Horizontal]]+Titanic[[#This Row],[Familia Vertical]]</f>
        <v>0</v>
      </c>
      <c r="S802" s="8"/>
      <c r="T802" s="8"/>
      <c r="U802" s="8"/>
      <c r="V802" s="8"/>
    </row>
    <row r="803" spans="2:22" x14ac:dyDescent="0.2">
      <c r="B803" s="6">
        <v>798</v>
      </c>
      <c r="C803" s="7">
        <v>1</v>
      </c>
      <c r="D803" s="8">
        <v>3</v>
      </c>
      <c r="E803" s="8" t="s">
        <v>812</v>
      </c>
      <c r="F803" s="8" t="s">
        <v>14</v>
      </c>
      <c r="G803" s="8">
        <v>31</v>
      </c>
      <c r="H803" s="8">
        <v>0</v>
      </c>
      <c r="I803" s="8">
        <v>0</v>
      </c>
      <c r="J803" s="8">
        <v>86833</v>
      </c>
      <c r="K803" s="8">
        <v>0</v>
      </c>
      <c r="L803" s="8" t="s">
        <v>12</v>
      </c>
      <c r="M803" s="8" t="str">
        <f>IF(Titanic[[#This Row],[Sobrevive]]=1, "SOBREVIVE", "NO SOBREVIVE")</f>
        <v>SOBREVIVE</v>
      </c>
      <c r="N803" s="8" t="str">
        <f>LOOKUP(Titanic[[#This Row],[Clase]],{1,2,3}, {"PRIMERA","SEGUNDA","TERCERA"})</f>
        <v>TERCERA</v>
      </c>
      <c r="O803" s="8" t="str">
        <f>IF(Titanic[[#This Row],[Sexo]]="Hombre", "HOMBRE", "MUJER")</f>
        <v>MUJER</v>
      </c>
      <c r="P803" s="8">
        <f>IF(Titanic[[#This Row],[Edad]]="", "", IF(Titanic[[#This Row],[Edad]]&gt;=100, Titanic[[#This Row],[Edad]] / 10, Titanic[[#This Row],[Edad]]))</f>
        <v>31</v>
      </c>
      <c r="Q803" s="8" t="str">
        <f>IFERROR(LOOKUP(Titanic[[#This Row],[Edad Corrigida]],'Práctica 1'!$K$231:$K$240,'Práctica 1'!$L$231:$L$240), "DESCONOCIDO")</f>
        <v>5. ADULTO</v>
      </c>
      <c r="R803" s="8">
        <f>Titanic[[#This Row],[Familia Horizontal]]+Titanic[[#This Row],[Familia Vertical]]</f>
        <v>0</v>
      </c>
      <c r="S803" s="8"/>
      <c r="T803" s="8"/>
      <c r="U803" s="8"/>
      <c r="V803" s="8"/>
    </row>
    <row r="804" spans="2:22" x14ac:dyDescent="0.2">
      <c r="B804" s="6">
        <v>799</v>
      </c>
      <c r="C804" s="7">
        <v>0</v>
      </c>
      <c r="D804" s="8">
        <v>3</v>
      </c>
      <c r="E804" s="8" t="s">
        <v>813</v>
      </c>
      <c r="F804" s="8" t="s">
        <v>11</v>
      </c>
      <c r="G804" s="8">
        <v>30</v>
      </c>
      <c r="H804" s="8">
        <v>0</v>
      </c>
      <c r="I804" s="8">
        <v>0</v>
      </c>
      <c r="J804" s="8">
        <v>72292</v>
      </c>
      <c r="K804" s="8">
        <v>0</v>
      </c>
      <c r="L804" s="8" t="s">
        <v>15</v>
      </c>
      <c r="M804" s="8" t="str">
        <f>IF(Titanic[[#This Row],[Sobrevive]]=1, "SOBREVIVE", "NO SOBREVIVE")</f>
        <v>NO SOBREVIVE</v>
      </c>
      <c r="N804" s="8" t="str">
        <f>LOOKUP(Titanic[[#This Row],[Clase]],{1,2,3}, {"PRIMERA","SEGUNDA","TERCERA"})</f>
        <v>TERCERA</v>
      </c>
      <c r="O804" s="8" t="str">
        <f>IF(Titanic[[#This Row],[Sexo]]="Hombre", "HOMBRE", "MUJER")</f>
        <v>HOMBRE</v>
      </c>
      <c r="P804" s="8">
        <f>IF(Titanic[[#This Row],[Edad]]="", "", IF(Titanic[[#This Row],[Edad]]&gt;=100, Titanic[[#This Row],[Edad]] / 10, Titanic[[#This Row],[Edad]]))</f>
        <v>30</v>
      </c>
      <c r="Q804" s="8" t="str">
        <f>IFERROR(LOOKUP(Titanic[[#This Row],[Edad Corrigida]],'Práctica 1'!$K$231:$K$240,'Práctica 1'!$L$231:$L$240), "DESCONOCIDO")</f>
        <v>5. ADULTO</v>
      </c>
      <c r="R804" s="8">
        <f>Titanic[[#This Row],[Familia Horizontal]]+Titanic[[#This Row],[Familia Vertical]]</f>
        <v>0</v>
      </c>
      <c r="S804" s="8"/>
      <c r="T804" s="8"/>
      <c r="U804" s="8"/>
      <c r="V804" s="8"/>
    </row>
    <row r="805" spans="2:22" x14ac:dyDescent="0.2">
      <c r="B805" s="6">
        <v>800</v>
      </c>
      <c r="C805" s="7">
        <v>0</v>
      </c>
      <c r="D805" s="8">
        <v>3</v>
      </c>
      <c r="E805" s="8" t="s">
        <v>814</v>
      </c>
      <c r="F805" s="8" t="s">
        <v>14</v>
      </c>
      <c r="G805" s="8">
        <v>30</v>
      </c>
      <c r="H805" s="8">
        <v>1</v>
      </c>
      <c r="I805" s="8">
        <v>1</v>
      </c>
      <c r="J805" s="8">
        <v>2415</v>
      </c>
      <c r="K805" s="8">
        <v>0</v>
      </c>
      <c r="L805" s="8" t="s">
        <v>12</v>
      </c>
      <c r="M805" s="8" t="str">
        <f>IF(Titanic[[#This Row],[Sobrevive]]=1, "SOBREVIVE", "NO SOBREVIVE")</f>
        <v>NO SOBREVIVE</v>
      </c>
      <c r="N805" s="8" t="str">
        <f>LOOKUP(Titanic[[#This Row],[Clase]],{1,2,3}, {"PRIMERA","SEGUNDA","TERCERA"})</f>
        <v>TERCERA</v>
      </c>
      <c r="O805" s="8" t="str">
        <f>IF(Titanic[[#This Row],[Sexo]]="Hombre", "HOMBRE", "MUJER")</f>
        <v>MUJER</v>
      </c>
      <c r="P805" s="8">
        <f>IF(Titanic[[#This Row],[Edad]]="", "", IF(Titanic[[#This Row],[Edad]]&gt;=100, Titanic[[#This Row],[Edad]] / 10, Titanic[[#This Row],[Edad]]))</f>
        <v>30</v>
      </c>
      <c r="Q805" s="8" t="str">
        <f>IFERROR(LOOKUP(Titanic[[#This Row],[Edad Corrigida]],'Práctica 1'!$K$231:$K$240,'Práctica 1'!$L$231:$L$240), "DESCONOCIDO")</f>
        <v>5. ADULTO</v>
      </c>
      <c r="R805" s="8">
        <f>Titanic[[#This Row],[Familia Horizontal]]+Titanic[[#This Row],[Familia Vertical]]</f>
        <v>2</v>
      </c>
      <c r="S805" s="8"/>
      <c r="T805" s="8"/>
      <c r="U805" s="8"/>
      <c r="V805" s="8"/>
    </row>
    <row r="806" spans="2:22" x14ac:dyDescent="0.2">
      <c r="B806" s="6">
        <v>801</v>
      </c>
      <c r="C806" s="7">
        <v>0</v>
      </c>
      <c r="D806" s="8">
        <v>2</v>
      </c>
      <c r="E806" s="8" t="s">
        <v>815</v>
      </c>
      <c r="F806" s="8" t="s">
        <v>11</v>
      </c>
      <c r="G806" s="8">
        <v>34</v>
      </c>
      <c r="H806" s="8">
        <v>0</v>
      </c>
      <c r="I806" s="8">
        <v>0</v>
      </c>
      <c r="J806" s="8">
        <v>13</v>
      </c>
      <c r="K806" s="8">
        <v>0</v>
      </c>
      <c r="L806" s="8" t="s">
        <v>12</v>
      </c>
      <c r="M806" s="8" t="str">
        <f>IF(Titanic[[#This Row],[Sobrevive]]=1, "SOBREVIVE", "NO SOBREVIVE")</f>
        <v>NO SOBREVIVE</v>
      </c>
      <c r="N806" s="8" t="str">
        <f>LOOKUP(Titanic[[#This Row],[Clase]],{1,2,3}, {"PRIMERA","SEGUNDA","TERCERA"})</f>
        <v>SEGUNDA</v>
      </c>
      <c r="O806" s="8" t="str">
        <f>IF(Titanic[[#This Row],[Sexo]]="Hombre", "HOMBRE", "MUJER")</f>
        <v>HOMBRE</v>
      </c>
      <c r="P806" s="8">
        <f>IF(Titanic[[#This Row],[Edad]]="", "", IF(Titanic[[#This Row],[Edad]]&gt;=100, Titanic[[#This Row],[Edad]] / 10, Titanic[[#This Row],[Edad]]))</f>
        <v>34</v>
      </c>
      <c r="Q806" s="8" t="str">
        <f>IFERROR(LOOKUP(Titanic[[#This Row],[Edad Corrigida]],'Práctica 1'!$K$231:$K$240,'Práctica 1'!$L$231:$L$240), "DESCONOCIDO")</f>
        <v>6. ADULTO 1</v>
      </c>
      <c r="R806" s="8">
        <f>Titanic[[#This Row],[Familia Horizontal]]+Titanic[[#This Row],[Familia Vertical]]</f>
        <v>0</v>
      </c>
      <c r="S806" s="8"/>
      <c r="T806" s="8"/>
      <c r="U806" s="8"/>
      <c r="V806" s="8"/>
    </row>
    <row r="807" spans="2:22" x14ac:dyDescent="0.2">
      <c r="B807" s="6">
        <v>802</v>
      </c>
      <c r="C807" s="7">
        <v>1</v>
      </c>
      <c r="D807" s="8">
        <v>2</v>
      </c>
      <c r="E807" s="8" t="s">
        <v>816</v>
      </c>
      <c r="F807" s="8" t="s">
        <v>14</v>
      </c>
      <c r="G807" s="8">
        <v>31</v>
      </c>
      <c r="H807" s="8">
        <v>1</v>
      </c>
      <c r="I807" s="8">
        <v>1</v>
      </c>
      <c r="J807" s="8">
        <v>2625</v>
      </c>
      <c r="K807" s="8">
        <v>0</v>
      </c>
      <c r="L807" s="8" t="s">
        <v>12</v>
      </c>
      <c r="M807" s="8" t="str">
        <f>IF(Titanic[[#This Row],[Sobrevive]]=1, "SOBREVIVE", "NO SOBREVIVE")</f>
        <v>SOBREVIVE</v>
      </c>
      <c r="N807" s="8" t="str">
        <f>LOOKUP(Titanic[[#This Row],[Clase]],{1,2,3}, {"PRIMERA","SEGUNDA","TERCERA"})</f>
        <v>SEGUNDA</v>
      </c>
      <c r="O807" s="8" t="str">
        <f>IF(Titanic[[#This Row],[Sexo]]="Hombre", "HOMBRE", "MUJER")</f>
        <v>MUJER</v>
      </c>
      <c r="P807" s="8">
        <f>IF(Titanic[[#This Row],[Edad]]="", "", IF(Titanic[[#This Row],[Edad]]&gt;=100, Titanic[[#This Row],[Edad]] / 10, Titanic[[#This Row],[Edad]]))</f>
        <v>31</v>
      </c>
      <c r="Q807" s="8" t="str">
        <f>IFERROR(LOOKUP(Titanic[[#This Row],[Edad Corrigida]],'Práctica 1'!$K$231:$K$240,'Práctica 1'!$L$231:$L$240), "DESCONOCIDO")</f>
        <v>5. ADULTO</v>
      </c>
      <c r="R807" s="8">
        <f>Titanic[[#This Row],[Familia Horizontal]]+Titanic[[#This Row],[Familia Vertical]]</f>
        <v>2</v>
      </c>
      <c r="S807" s="8"/>
      <c r="T807" s="8"/>
      <c r="U807" s="8"/>
      <c r="V807" s="8"/>
    </row>
    <row r="808" spans="2:22" x14ac:dyDescent="0.2">
      <c r="B808" s="6">
        <v>803</v>
      </c>
      <c r="C808" s="7">
        <v>1</v>
      </c>
      <c r="D808" s="8">
        <v>1</v>
      </c>
      <c r="E808" s="8" t="s">
        <v>817</v>
      </c>
      <c r="F808" s="8" t="s">
        <v>11</v>
      </c>
      <c r="G808" s="8">
        <v>11</v>
      </c>
      <c r="H808" s="8">
        <v>1</v>
      </c>
      <c r="I808" s="8">
        <v>2</v>
      </c>
      <c r="J808" s="8">
        <v>120</v>
      </c>
      <c r="K808" s="8">
        <v>1</v>
      </c>
      <c r="L808" s="8" t="s">
        <v>12</v>
      </c>
      <c r="M808" s="8" t="str">
        <f>IF(Titanic[[#This Row],[Sobrevive]]=1, "SOBREVIVE", "NO SOBREVIVE")</f>
        <v>SOBREVIVE</v>
      </c>
      <c r="N808" s="8" t="str">
        <f>LOOKUP(Titanic[[#This Row],[Clase]],{1,2,3}, {"PRIMERA","SEGUNDA","TERCERA"})</f>
        <v>PRIMERA</v>
      </c>
      <c r="O808" s="8" t="str">
        <f>IF(Titanic[[#This Row],[Sexo]]="Hombre", "HOMBRE", "MUJER")</f>
        <v>HOMBRE</v>
      </c>
      <c r="P808" s="8">
        <f>IF(Titanic[[#This Row],[Edad]]="", "", IF(Titanic[[#This Row],[Edad]]&gt;=100, Titanic[[#This Row],[Edad]] / 10, Titanic[[#This Row],[Edad]]))</f>
        <v>11</v>
      </c>
      <c r="Q808" s="8" t="str">
        <f>IFERROR(LOOKUP(Titanic[[#This Row],[Edad Corrigida]],'Práctica 1'!$K$231:$K$240,'Práctica 1'!$L$231:$L$240), "DESCONOCIDO")</f>
        <v>DESCONOCIDO</v>
      </c>
      <c r="R808" s="8">
        <f>Titanic[[#This Row],[Familia Horizontal]]+Titanic[[#This Row],[Familia Vertical]]</f>
        <v>3</v>
      </c>
      <c r="S808" s="8"/>
      <c r="T808" s="8"/>
      <c r="U808" s="8"/>
      <c r="V808" s="8"/>
    </row>
    <row r="809" spans="2:22" x14ac:dyDescent="0.2">
      <c r="B809" s="6">
        <v>804</v>
      </c>
      <c r="C809" s="7">
        <v>1</v>
      </c>
      <c r="D809" s="8">
        <v>3</v>
      </c>
      <c r="E809" s="8" t="s">
        <v>818</v>
      </c>
      <c r="F809" s="8" t="s">
        <v>11</v>
      </c>
      <c r="G809" s="8">
        <v>42</v>
      </c>
      <c r="H809" s="8">
        <v>0</v>
      </c>
      <c r="I809" s="8">
        <v>1</v>
      </c>
      <c r="J809" s="8">
        <v>85167</v>
      </c>
      <c r="K809" s="8">
        <v>0</v>
      </c>
      <c r="L809" s="8" t="s">
        <v>15</v>
      </c>
      <c r="M809" s="8" t="str">
        <f>IF(Titanic[[#This Row],[Sobrevive]]=1, "SOBREVIVE", "NO SOBREVIVE")</f>
        <v>SOBREVIVE</v>
      </c>
      <c r="N809" s="8" t="str">
        <f>LOOKUP(Titanic[[#This Row],[Clase]],{1,2,3}, {"PRIMERA","SEGUNDA","TERCERA"})</f>
        <v>TERCERA</v>
      </c>
      <c r="O809" s="8" t="str">
        <f>IF(Titanic[[#This Row],[Sexo]]="Hombre", "HOMBRE", "MUJER")</f>
        <v>HOMBRE</v>
      </c>
      <c r="P809" s="8">
        <f>IF(Titanic[[#This Row],[Edad]]="", "", IF(Titanic[[#This Row],[Edad]]&gt;=100, Titanic[[#This Row],[Edad]] / 10, Titanic[[#This Row],[Edad]]))</f>
        <v>42</v>
      </c>
      <c r="Q809" s="8" t="str">
        <f>IFERROR(LOOKUP(Titanic[[#This Row],[Edad Corrigida]],'Práctica 1'!$K$231:$K$240,'Práctica 1'!$L$231:$L$240), "DESCONOCIDO")</f>
        <v>8. ADULTO 3</v>
      </c>
      <c r="R809" s="8">
        <f>Titanic[[#This Row],[Familia Horizontal]]+Titanic[[#This Row],[Familia Vertical]]</f>
        <v>1</v>
      </c>
      <c r="S809" s="8"/>
      <c r="T809" s="8"/>
      <c r="U809" s="8"/>
      <c r="V809" s="8"/>
    </row>
    <row r="810" spans="2:22" x14ac:dyDescent="0.2">
      <c r="B810" s="6">
        <v>805</v>
      </c>
      <c r="C810" s="7">
        <v>1</v>
      </c>
      <c r="D810" s="8">
        <v>3</v>
      </c>
      <c r="E810" s="8" t="s">
        <v>819</v>
      </c>
      <c r="F810" s="8" t="s">
        <v>11</v>
      </c>
      <c r="G810" s="8">
        <v>27</v>
      </c>
      <c r="H810" s="8">
        <v>0</v>
      </c>
      <c r="I810" s="8">
        <v>0</v>
      </c>
      <c r="J810" s="8">
        <v>6975</v>
      </c>
      <c r="K810" s="8">
        <v>0</v>
      </c>
      <c r="L810" s="8" t="s">
        <v>12</v>
      </c>
      <c r="M810" s="8" t="str">
        <f>IF(Titanic[[#This Row],[Sobrevive]]=1, "SOBREVIVE", "NO SOBREVIVE")</f>
        <v>SOBREVIVE</v>
      </c>
      <c r="N810" s="8" t="str">
        <f>LOOKUP(Titanic[[#This Row],[Clase]],{1,2,3}, {"PRIMERA","SEGUNDA","TERCERA"})</f>
        <v>TERCERA</v>
      </c>
      <c r="O810" s="8" t="str">
        <f>IF(Titanic[[#This Row],[Sexo]]="Hombre", "HOMBRE", "MUJER")</f>
        <v>HOMBRE</v>
      </c>
      <c r="P810" s="8">
        <f>IF(Titanic[[#This Row],[Edad]]="", "", IF(Titanic[[#This Row],[Edad]]&gt;=100, Titanic[[#This Row],[Edad]] / 10, Titanic[[#This Row],[Edad]]))</f>
        <v>27</v>
      </c>
      <c r="Q810" s="8" t="str">
        <f>IFERROR(LOOKUP(Titanic[[#This Row],[Edad Corrigida]],'Práctica 1'!$K$231:$K$240,'Práctica 1'!$L$231:$L$240), "DESCONOCIDO")</f>
        <v>4. ADULTO JOVEN</v>
      </c>
      <c r="R810" s="8">
        <f>Titanic[[#This Row],[Familia Horizontal]]+Titanic[[#This Row],[Familia Vertical]]</f>
        <v>0</v>
      </c>
      <c r="S810" s="8"/>
      <c r="T810" s="8"/>
      <c r="U810" s="8"/>
      <c r="V810" s="8"/>
    </row>
    <row r="811" spans="2:22" x14ac:dyDescent="0.2">
      <c r="B811" s="6">
        <v>806</v>
      </c>
      <c r="C811" s="7">
        <v>0</v>
      </c>
      <c r="D811" s="8">
        <v>3</v>
      </c>
      <c r="E811" s="8" t="s">
        <v>820</v>
      </c>
      <c r="F811" s="8" t="s">
        <v>11</v>
      </c>
      <c r="G811" s="8">
        <v>31</v>
      </c>
      <c r="H811" s="8">
        <v>0</v>
      </c>
      <c r="I811" s="8">
        <v>0</v>
      </c>
      <c r="J811" s="8">
        <v>7775</v>
      </c>
      <c r="K811" s="8">
        <v>0</v>
      </c>
      <c r="L811" s="8" t="s">
        <v>12</v>
      </c>
      <c r="M811" s="8" t="str">
        <f>IF(Titanic[[#This Row],[Sobrevive]]=1, "SOBREVIVE", "NO SOBREVIVE")</f>
        <v>NO SOBREVIVE</v>
      </c>
      <c r="N811" s="8" t="str">
        <f>LOOKUP(Titanic[[#This Row],[Clase]],{1,2,3}, {"PRIMERA","SEGUNDA","TERCERA"})</f>
        <v>TERCERA</v>
      </c>
      <c r="O811" s="8" t="str">
        <f>IF(Titanic[[#This Row],[Sexo]]="Hombre", "HOMBRE", "MUJER")</f>
        <v>HOMBRE</v>
      </c>
      <c r="P811" s="8">
        <f>IF(Titanic[[#This Row],[Edad]]="", "", IF(Titanic[[#This Row],[Edad]]&gt;=100, Titanic[[#This Row],[Edad]] / 10, Titanic[[#This Row],[Edad]]))</f>
        <v>31</v>
      </c>
      <c r="Q811" s="8" t="str">
        <f>IFERROR(LOOKUP(Titanic[[#This Row],[Edad Corrigida]],'Práctica 1'!$K$231:$K$240,'Práctica 1'!$L$231:$L$240), "DESCONOCIDO")</f>
        <v>5. ADULTO</v>
      </c>
      <c r="R811" s="8">
        <f>Titanic[[#This Row],[Familia Horizontal]]+Titanic[[#This Row],[Familia Vertical]]</f>
        <v>0</v>
      </c>
      <c r="S811" s="8"/>
      <c r="T811" s="8"/>
      <c r="U811" s="8"/>
      <c r="V811" s="8"/>
    </row>
    <row r="812" spans="2:22" x14ac:dyDescent="0.2">
      <c r="B812" s="6">
        <v>807</v>
      </c>
      <c r="C812" s="7">
        <v>0</v>
      </c>
      <c r="D812" s="8">
        <v>1</v>
      </c>
      <c r="E812" s="8" t="s">
        <v>821</v>
      </c>
      <c r="F812" s="8" t="s">
        <v>11</v>
      </c>
      <c r="G812" s="8">
        <v>39</v>
      </c>
      <c r="H812" s="8">
        <v>0</v>
      </c>
      <c r="I812" s="8">
        <v>0</v>
      </c>
      <c r="J812" s="8">
        <v>0</v>
      </c>
      <c r="K812" s="8">
        <v>1</v>
      </c>
      <c r="L812" s="8" t="s">
        <v>12</v>
      </c>
      <c r="M812" s="8" t="str">
        <f>IF(Titanic[[#This Row],[Sobrevive]]=1, "SOBREVIVE", "NO SOBREVIVE")</f>
        <v>NO SOBREVIVE</v>
      </c>
      <c r="N812" s="8" t="str">
        <f>LOOKUP(Titanic[[#This Row],[Clase]],{1,2,3}, {"PRIMERA","SEGUNDA","TERCERA"})</f>
        <v>PRIMERA</v>
      </c>
      <c r="O812" s="8" t="str">
        <f>IF(Titanic[[#This Row],[Sexo]]="Hombre", "HOMBRE", "MUJER")</f>
        <v>HOMBRE</v>
      </c>
      <c r="P812" s="8">
        <f>IF(Titanic[[#This Row],[Edad]]="", "", IF(Titanic[[#This Row],[Edad]]&gt;=100, Titanic[[#This Row],[Edad]] / 10, Titanic[[#This Row],[Edad]]))</f>
        <v>39</v>
      </c>
      <c r="Q812" s="8" t="str">
        <f>IFERROR(LOOKUP(Titanic[[#This Row],[Edad Corrigida]],'Práctica 1'!$K$231:$K$240,'Práctica 1'!$L$231:$L$240), "DESCONOCIDO")</f>
        <v>7. ADULTO 2</v>
      </c>
      <c r="R812" s="8">
        <f>Titanic[[#This Row],[Familia Horizontal]]+Titanic[[#This Row],[Familia Vertical]]</f>
        <v>0</v>
      </c>
      <c r="S812" s="8"/>
      <c r="T812" s="8"/>
      <c r="U812" s="8"/>
      <c r="V812" s="8"/>
    </row>
    <row r="813" spans="2:22" x14ac:dyDescent="0.2">
      <c r="B813" s="6">
        <v>808</v>
      </c>
      <c r="C813" s="7">
        <v>0</v>
      </c>
      <c r="D813" s="8">
        <v>3</v>
      </c>
      <c r="E813" s="8" t="s">
        <v>822</v>
      </c>
      <c r="F813" s="8" t="s">
        <v>14</v>
      </c>
      <c r="G813" s="8">
        <v>18</v>
      </c>
      <c r="H813" s="8">
        <v>0</v>
      </c>
      <c r="I813" s="8">
        <v>0</v>
      </c>
      <c r="J813" s="8">
        <v>7775</v>
      </c>
      <c r="K813" s="8">
        <v>0</v>
      </c>
      <c r="L813" s="8" t="s">
        <v>12</v>
      </c>
      <c r="M813" s="8" t="str">
        <f>IF(Titanic[[#This Row],[Sobrevive]]=1, "SOBREVIVE", "NO SOBREVIVE")</f>
        <v>NO SOBREVIVE</v>
      </c>
      <c r="N813" s="8" t="str">
        <f>LOOKUP(Titanic[[#This Row],[Clase]],{1,2,3}, {"PRIMERA","SEGUNDA","TERCERA"})</f>
        <v>TERCERA</v>
      </c>
      <c r="O813" s="8" t="str">
        <f>IF(Titanic[[#This Row],[Sexo]]="Hombre", "HOMBRE", "MUJER")</f>
        <v>MUJER</v>
      </c>
      <c r="P813" s="8">
        <f>IF(Titanic[[#This Row],[Edad]]="", "", IF(Titanic[[#This Row],[Edad]]&gt;=100, Titanic[[#This Row],[Edad]] / 10, Titanic[[#This Row],[Edad]]))</f>
        <v>18</v>
      </c>
      <c r="Q813" s="8" t="str">
        <f>IFERROR(LOOKUP(Titanic[[#This Row],[Edad Corrigida]],'Práctica 1'!$K$231:$K$240,'Práctica 1'!$L$231:$L$240), "DESCONOCIDO")</f>
        <v>1. INFANTE</v>
      </c>
      <c r="R813" s="8">
        <f>Titanic[[#This Row],[Familia Horizontal]]+Titanic[[#This Row],[Familia Vertical]]</f>
        <v>0</v>
      </c>
      <c r="S813" s="8"/>
      <c r="T813" s="8"/>
      <c r="U813" s="8"/>
      <c r="V813" s="8"/>
    </row>
    <row r="814" spans="2:22" x14ac:dyDescent="0.2">
      <c r="B814" s="6">
        <v>809</v>
      </c>
      <c r="C814" s="7">
        <v>0</v>
      </c>
      <c r="D814" s="8">
        <v>2</v>
      </c>
      <c r="E814" s="8" t="s">
        <v>823</v>
      </c>
      <c r="F814" s="8" t="s">
        <v>11</v>
      </c>
      <c r="G814" s="8">
        <v>39</v>
      </c>
      <c r="H814" s="8">
        <v>0</v>
      </c>
      <c r="I814" s="8">
        <v>0</v>
      </c>
      <c r="J814" s="8">
        <v>13</v>
      </c>
      <c r="K814" s="8">
        <v>0</v>
      </c>
      <c r="L814" s="8" t="s">
        <v>12</v>
      </c>
      <c r="M814" s="8" t="str">
        <f>IF(Titanic[[#This Row],[Sobrevive]]=1, "SOBREVIVE", "NO SOBREVIVE")</f>
        <v>NO SOBREVIVE</v>
      </c>
      <c r="N814" s="8" t="str">
        <f>LOOKUP(Titanic[[#This Row],[Clase]],{1,2,3}, {"PRIMERA","SEGUNDA","TERCERA"})</f>
        <v>SEGUNDA</v>
      </c>
      <c r="O814" s="8" t="str">
        <f>IF(Titanic[[#This Row],[Sexo]]="Hombre", "HOMBRE", "MUJER")</f>
        <v>HOMBRE</v>
      </c>
      <c r="P814" s="8">
        <f>IF(Titanic[[#This Row],[Edad]]="", "", IF(Titanic[[#This Row],[Edad]]&gt;=100, Titanic[[#This Row],[Edad]] / 10, Titanic[[#This Row],[Edad]]))</f>
        <v>39</v>
      </c>
      <c r="Q814" s="8" t="str">
        <f>IFERROR(LOOKUP(Titanic[[#This Row],[Edad Corrigida]],'Práctica 1'!$K$231:$K$240,'Práctica 1'!$L$231:$L$240), "DESCONOCIDO")</f>
        <v>7. ADULTO 2</v>
      </c>
      <c r="R814" s="8">
        <f>Titanic[[#This Row],[Familia Horizontal]]+Titanic[[#This Row],[Familia Vertical]]</f>
        <v>0</v>
      </c>
      <c r="S814" s="8"/>
      <c r="T814" s="8"/>
      <c r="U814" s="8"/>
      <c r="V814" s="8"/>
    </row>
    <row r="815" spans="2:22" x14ac:dyDescent="0.2">
      <c r="B815" s="6">
        <v>810</v>
      </c>
      <c r="C815" s="7">
        <v>1</v>
      </c>
      <c r="D815" s="8">
        <v>1</v>
      </c>
      <c r="E815" s="8" t="s">
        <v>824</v>
      </c>
      <c r="F815" s="8" t="s">
        <v>14</v>
      </c>
      <c r="G815" s="8">
        <v>33</v>
      </c>
      <c r="H815" s="8">
        <v>1</v>
      </c>
      <c r="I815" s="8">
        <v>0</v>
      </c>
      <c r="J815" s="8">
        <v>531</v>
      </c>
      <c r="K815" s="8">
        <v>1</v>
      </c>
      <c r="L815" s="8" t="s">
        <v>12</v>
      </c>
      <c r="M815" s="8" t="str">
        <f>IF(Titanic[[#This Row],[Sobrevive]]=1, "SOBREVIVE", "NO SOBREVIVE")</f>
        <v>SOBREVIVE</v>
      </c>
      <c r="N815" s="8" t="str">
        <f>LOOKUP(Titanic[[#This Row],[Clase]],{1,2,3}, {"PRIMERA","SEGUNDA","TERCERA"})</f>
        <v>PRIMERA</v>
      </c>
      <c r="O815" s="8" t="str">
        <f>IF(Titanic[[#This Row],[Sexo]]="Hombre", "HOMBRE", "MUJER")</f>
        <v>MUJER</v>
      </c>
      <c r="P815" s="8">
        <f>IF(Titanic[[#This Row],[Edad]]="", "", IF(Titanic[[#This Row],[Edad]]&gt;=100, Titanic[[#This Row],[Edad]] / 10, Titanic[[#This Row],[Edad]]))</f>
        <v>33</v>
      </c>
      <c r="Q815" s="8" t="str">
        <f>IFERROR(LOOKUP(Titanic[[#This Row],[Edad Corrigida]],'Práctica 1'!$K$231:$K$240,'Práctica 1'!$L$231:$L$240), "DESCONOCIDO")</f>
        <v>6. ADULTO 1</v>
      </c>
      <c r="R815" s="8">
        <f>Titanic[[#This Row],[Familia Horizontal]]+Titanic[[#This Row],[Familia Vertical]]</f>
        <v>1</v>
      </c>
      <c r="S815" s="8"/>
      <c r="T815" s="8"/>
      <c r="U815" s="8"/>
      <c r="V815" s="8"/>
    </row>
    <row r="816" spans="2:22" x14ac:dyDescent="0.2">
      <c r="B816" s="6">
        <v>811</v>
      </c>
      <c r="C816" s="7">
        <v>0</v>
      </c>
      <c r="D816" s="8">
        <v>3</v>
      </c>
      <c r="E816" s="8" t="s">
        <v>825</v>
      </c>
      <c r="F816" s="8" t="s">
        <v>11</v>
      </c>
      <c r="G816" s="8">
        <v>26</v>
      </c>
      <c r="H816" s="8">
        <v>0</v>
      </c>
      <c r="I816" s="8">
        <v>0</v>
      </c>
      <c r="J816" s="8">
        <v>78875</v>
      </c>
      <c r="K816" s="8">
        <v>0</v>
      </c>
      <c r="L816" s="8" t="s">
        <v>12</v>
      </c>
      <c r="M816" s="8" t="str">
        <f>IF(Titanic[[#This Row],[Sobrevive]]=1, "SOBREVIVE", "NO SOBREVIVE")</f>
        <v>NO SOBREVIVE</v>
      </c>
      <c r="N816" s="8" t="str">
        <f>LOOKUP(Titanic[[#This Row],[Clase]],{1,2,3}, {"PRIMERA","SEGUNDA","TERCERA"})</f>
        <v>TERCERA</v>
      </c>
      <c r="O816" s="8" t="str">
        <f>IF(Titanic[[#This Row],[Sexo]]="Hombre", "HOMBRE", "MUJER")</f>
        <v>HOMBRE</v>
      </c>
      <c r="P816" s="8">
        <f>IF(Titanic[[#This Row],[Edad]]="", "", IF(Titanic[[#This Row],[Edad]]&gt;=100, Titanic[[#This Row],[Edad]] / 10, Titanic[[#This Row],[Edad]]))</f>
        <v>26</v>
      </c>
      <c r="Q816" s="8" t="str">
        <f>IFERROR(LOOKUP(Titanic[[#This Row],[Edad Corrigida]],'Práctica 1'!$K$231:$K$240,'Práctica 1'!$L$231:$L$240), "DESCONOCIDO")</f>
        <v>4. ADULTO JOVEN</v>
      </c>
      <c r="R816" s="8">
        <f>Titanic[[#This Row],[Familia Horizontal]]+Titanic[[#This Row],[Familia Vertical]]</f>
        <v>0</v>
      </c>
      <c r="S816" s="8"/>
      <c r="T816" s="8"/>
      <c r="U816" s="8"/>
      <c r="V816" s="8"/>
    </row>
    <row r="817" spans="2:22" x14ac:dyDescent="0.2">
      <c r="B817" s="6">
        <v>812</v>
      </c>
      <c r="C817" s="7">
        <v>0</v>
      </c>
      <c r="D817" s="8">
        <v>3</v>
      </c>
      <c r="E817" s="8" t="s">
        <v>826</v>
      </c>
      <c r="F817" s="8" t="s">
        <v>11</v>
      </c>
      <c r="G817" s="8">
        <v>39</v>
      </c>
      <c r="H817" s="8">
        <v>0</v>
      </c>
      <c r="I817" s="8">
        <v>0</v>
      </c>
      <c r="J817" s="8">
        <v>2415</v>
      </c>
      <c r="K817" s="8">
        <v>0</v>
      </c>
      <c r="L817" s="8" t="s">
        <v>12</v>
      </c>
      <c r="M817" s="8" t="str">
        <f>IF(Titanic[[#This Row],[Sobrevive]]=1, "SOBREVIVE", "NO SOBREVIVE")</f>
        <v>NO SOBREVIVE</v>
      </c>
      <c r="N817" s="8" t="str">
        <f>LOOKUP(Titanic[[#This Row],[Clase]],{1,2,3}, {"PRIMERA","SEGUNDA","TERCERA"})</f>
        <v>TERCERA</v>
      </c>
      <c r="O817" s="8" t="str">
        <f>IF(Titanic[[#This Row],[Sexo]]="Hombre", "HOMBRE", "MUJER")</f>
        <v>HOMBRE</v>
      </c>
      <c r="P817" s="8">
        <f>IF(Titanic[[#This Row],[Edad]]="", "", IF(Titanic[[#This Row],[Edad]]&gt;=100, Titanic[[#This Row],[Edad]] / 10, Titanic[[#This Row],[Edad]]))</f>
        <v>39</v>
      </c>
      <c r="Q817" s="8" t="str">
        <f>IFERROR(LOOKUP(Titanic[[#This Row],[Edad Corrigida]],'Práctica 1'!$K$231:$K$240,'Práctica 1'!$L$231:$L$240), "DESCONOCIDO")</f>
        <v>7. ADULTO 2</v>
      </c>
      <c r="R817" s="8">
        <f>Titanic[[#This Row],[Familia Horizontal]]+Titanic[[#This Row],[Familia Vertical]]</f>
        <v>0</v>
      </c>
      <c r="S817" s="8"/>
      <c r="T817" s="8"/>
      <c r="U817" s="8"/>
      <c r="V817" s="8"/>
    </row>
    <row r="818" spans="2:22" x14ac:dyDescent="0.2">
      <c r="B818" s="6">
        <v>813</v>
      </c>
      <c r="C818" s="7">
        <v>0</v>
      </c>
      <c r="D818" s="8">
        <v>2</v>
      </c>
      <c r="E818" s="8" t="s">
        <v>827</v>
      </c>
      <c r="F818" s="8" t="s">
        <v>11</v>
      </c>
      <c r="G818" s="8">
        <v>35</v>
      </c>
      <c r="H818" s="8">
        <v>0</v>
      </c>
      <c r="I818" s="8">
        <v>0</v>
      </c>
      <c r="J818" s="8">
        <v>105</v>
      </c>
      <c r="K818" s="8">
        <v>0</v>
      </c>
      <c r="L818" s="8" t="s">
        <v>12</v>
      </c>
      <c r="M818" s="8" t="str">
        <f>IF(Titanic[[#This Row],[Sobrevive]]=1, "SOBREVIVE", "NO SOBREVIVE")</f>
        <v>NO SOBREVIVE</v>
      </c>
      <c r="N818" s="8" t="str">
        <f>LOOKUP(Titanic[[#This Row],[Clase]],{1,2,3}, {"PRIMERA","SEGUNDA","TERCERA"})</f>
        <v>SEGUNDA</v>
      </c>
      <c r="O818" s="8" t="str">
        <f>IF(Titanic[[#This Row],[Sexo]]="Hombre", "HOMBRE", "MUJER")</f>
        <v>HOMBRE</v>
      </c>
      <c r="P818" s="8">
        <f>IF(Titanic[[#This Row],[Edad]]="", "", IF(Titanic[[#This Row],[Edad]]&gt;=100, Titanic[[#This Row],[Edad]] / 10, Titanic[[#This Row],[Edad]]))</f>
        <v>35</v>
      </c>
      <c r="Q818" s="8" t="str">
        <f>IFERROR(LOOKUP(Titanic[[#This Row],[Edad Corrigida]],'Práctica 1'!$K$231:$K$240,'Práctica 1'!$L$231:$L$240), "DESCONOCIDO")</f>
        <v>6. ADULTO 1</v>
      </c>
      <c r="R818" s="8">
        <f>Titanic[[#This Row],[Familia Horizontal]]+Titanic[[#This Row],[Familia Vertical]]</f>
        <v>0</v>
      </c>
      <c r="S818" s="8"/>
      <c r="T818" s="8"/>
      <c r="U818" s="8"/>
      <c r="V818" s="8"/>
    </row>
    <row r="819" spans="2:22" x14ac:dyDescent="0.2">
      <c r="B819" s="6">
        <v>814</v>
      </c>
      <c r="C819" s="7">
        <v>0</v>
      </c>
      <c r="D819" s="8">
        <v>3</v>
      </c>
      <c r="E819" s="8" t="s">
        <v>828</v>
      </c>
      <c r="F819" s="8" t="s">
        <v>14</v>
      </c>
      <c r="G819" s="8">
        <v>6</v>
      </c>
      <c r="H819" s="8">
        <v>4</v>
      </c>
      <c r="I819" s="8">
        <v>2</v>
      </c>
      <c r="J819" s="8">
        <v>31275</v>
      </c>
      <c r="K819" s="8">
        <v>0</v>
      </c>
      <c r="L819" s="8" t="s">
        <v>12</v>
      </c>
      <c r="M819" s="8" t="str">
        <f>IF(Titanic[[#This Row],[Sobrevive]]=1, "SOBREVIVE", "NO SOBREVIVE")</f>
        <v>NO SOBREVIVE</v>
      </c>
      <c r="N819" s="8" t="str">
        <f>LOOKUP(Titanic[[#This Row],[Clase]],{1,2,3}, {"PRIMERA","SEGUNDA","TERCERA"})</f>
        <v>TERCERA</v>
      </c>
      <c r="O819" s="8" t="str">
        <f>IF(Titanic[[#This Row],[Sexo]]="Hombre", "HOMBRE", "MUJER")</f>
        <v>MUJER</v>
      </c>
      <c r="P819" s="8">
        <f>IF(Titanic[[#This Row],[Edad]]="", "", IF(Titanic[[#This Row],[Edad]]&gt;=100, Titanic[[#This Row],[Edad]] / 10, Titanic[[#This Row],[Edad]]))</f>
        <v>6</v>
      </c>
      <c r="Q819" s="8" t="str">
        <f>IFERROR(LOOKUP(Titanic[[#This Row],[Edad Corrigida]],'Práctica 1'!$K$231:$K$240,'Práctica 1'!$L$231:$L$240), "DESCONOCIDO")</f>
        <v>DESCONOCIDO</v>
      </c>
      <c r="R819" s="8">
        <f>Titanic[[#This Row],[Familia Horizontal]]+Titanic[[#This Row],[Familia Vertical]]</f>
        <v>6</v>
      </c>
      <c r="S819" s="8"/>
      <c r="T819" s="8"/>
      <c r="U819" s="8"/>
      <c r="V819" s="8"/>
    </row>
    <row r="820" spans="2:22" x14ac:dyDescent="0.2">
      <c r="B820" s="6">
        <v>815</v>
      </c>
      <c r="C820" s="7">
        <v>0</v>
      </c>
      <c r="D820" s="8">
        <v>3</v>
      </c>
      <c r="E820" s="8" t="s">
        <v>829</v>
      </c>
      <c r="F820" s="8" t="s">
        <v>11</v>
      </c>
      <c r="G820" s="8">
        <v>305</v>
      </c>
      <c r="H820" s="8">
        <v>0</v>
      </c>
      <c r="I820" s="8">
        <v>0</v>
      </c>
      <c r="J820" s="8">
        <v>805</v>
      </c>
      <c r="K820" s="8">
        <v>0</v>
      </c>
      <c r="L820" s="8" t="s">
        <v>12</v>
      </c>
      <c r="M820" s="8" t="str">
        <f>IF(Titanic[[#This Row],[Sobrevive]]=1, "SOBREVIVE", "NO SOBREVIVE")</f>
        <v>NO SOBREVIVE</v>
      </c>
      <c r="N820" s="8" t="str">
        <f>LOOKUP(Titanic[[#This Row],[Clase]],{1,2,3}, {"PRIMERA","SEGUNDA","TERCERA"})</f>
        <v>TERCERA</v>
      </c>
      <c r="O820" s="8" t="str">
        <f>IF(Titanic[[#This Row],[Sexo]]="Hombre", "HOMBRE", "MUJER")</f>
        <v>HOMBRE</v>
      </c>
      <c r="P820" s="8">
        <f>IF(Titanic[[#This Row],[Edad]]="", "", IF(Titanic[[#This Row],[Edad]]&gt;=100, Titanic[[#This Row],[Edad]] / 10, Titanic[[#This Row],[Edad]]))</f>
        <v>30.5</v>
      </c>
      <c r="Q820" s="8" t="str">
        <f>IFERROR(LOOKUP(Titanic[[#This Row],[Edad Corrigida]],'Práctica 1'!$K$231:$K$240,'Práctica 1'!$L$231:$L$240), "DESCONOCIDO")</f>
        <v>5. ADULTO</v>
      </c>
      <c r="R820" s="8">
        <f>Titanic[[#This Row],[Familia Horizontal]]+Titanic[[#This Row],[Familia Vertical]]</f>
        <v>0</v>
      </c>
      <c r="S820" s="8"/>
      <c r="T820" s="8"/>
      <c r="U820" s="8"/>
      <c r="V820" s="8"/>
    </row>
    <row r="821" spans="2:22" x14ac:dyDescent="0.2">
      <c r="B821" s="6">
        <v>816</v>
      </c>
      <c r="C821" s="7">
        <v>0</v>
      </c>
      <c r="D821" s="8">
        <v>1</v>
      </c>
      <c r="E821" s="8" t="s">
        <v>830</v>
      </c>
      <c r="F821" s="8" t="s">
        <v>11</v>
      </c>
      <c r="G821" s="9"/>
      <c r="H821" s="8">
        <v>0</v>
      </c>
      <c r="I821" s="8">
        <v>0</v>
      </c>
      <c r="J821" s="8">
        <v>0</v>
      </c>
      <c r="K821" s="8">
        <v>1</v>
      </c>
      <c r="L821" s="8" t="s">
        <v>12</v>
      </c>
      <c r="M821" s="8" t="str">
        <f>IF(Titanic[[#This Row],[Sobrevive]]=1, "SOBREVIVE", "NO SOBREVIVE")</f>
        <v>NO SOBREVIVE</v>
      </c>
      <c r="N821" s="8" t="str">
        <f>LOOKUP(Titanic[[#This Row],[Clase]],{1,2,3}, {"PRIMERA","SEGUNDA","TERCERA"})</f>
        <v>PRIMERA</v>
      </c>
      <c r="O821" s="8" t="str">
        <f>IF(Titanic[[#This Row],[Sexo]]="Hombre", "HOMBRE", "MUJER")</f>
        <v>HOMBRE</v>
      </c>
      <c r="P821" s="8" t="str">
        <f>IF(Titanic[[#This Row],[Edad]]="", "", IF(Titanic[[#This Row],[Edad]]&gt;=100, Titanic[[#This Row],[Edad]] / 10, Titanic[[#This Row],[Edad]]))</f>
        <v/>
      </c>
      <c r="Q821" s="8" t="str">
        <f>IFERROR(LOOKUP(Titanic[[#This Row],[Edad Corrigida]],'Práctica 1'!$K$231:$K$240,'Práctica 1'!$L$231:$L$240), "DESCONOCIDO")</f>
        <v>DESCONOCIDO</v>
      </c>
      <c r="R821" s="8">
        <f>Titanic[[#This Row],[Familia Horizontal]]+Titanic[[#This Row],[Familia Vertical]]</f>
        <v>0</v>
      </c>
      <c r="S821" s="8"/>
      <c r="T821" s="8"/>
      <c r="U821" s="8"/>
      <c r="V821" s="8"/>
    </row>
    <row r="822" spans="2:22" x14ac:dyDescent="0.2">
      <c r="B822" s="6">
        <v>817</v>
      </c>
      <c r="C822" s="7">
        <v>0</v>
      </c>
      <c r="D822" s="8">
        <v>3</v>
      </c>
      <c r="E822" s="8" t="s">
        <v>831</v>
      </c>
      <c r="F822" s="8" t="s">
        <v>14</v>
      </c>
      <c r="G822" s="8">
        <v>23</v>
      </c>
      <c r="H822" s="8">
        <v>0</v>
      </c>
      <c r="I822" s="8">
        <v>0</v>
      </c>
      <c r="J822" s="8">
        <v>7925</v>
      </c>
      <c r="K822" s="8">
        <v>0</v>
      </c>
      <c r="L822" s="8" t="s">
        <v>12</v>
      </c>
      <c r="M822" s="8" t="str">
        <f>IF(Titanic[[#This Row],[Sobrevive]]=1, "SOBREVIVE", "NO SOBREVIVE")</f>
        <v>NO SOBREVIVE</v>
      </c>
      <c r="N822" s="8" t="str">
        <f>LOOKUP(Titanic[[#This Row],[Clase]],{1,2,3}, {"PRIMERA","SEGUNDA","TERCERA"})</f>
        <v>TERCERA</v>
      </c>
      <c r="O822" s="8" t="str">
        <f>IF(Titanic[[#This Row],[Sexo]]="Hombre", "HOMBRE", "MUJER")</f>
        <v>MUJER</v>
      </c>
      <c r="P822" s="8">
        <f>IF(Titanic[[#This Row],[Edad]]="", "", IF(Titanic[[#This Row],[Edad]]&gt;=100, Titanic[[#This Row],[Edad]] / 10, Titanic[[#This Row],[Edad]]))</f>
        <v>23</v>
      </c>
      <c r="Q822" s="8" t="str">
        <f>IFERROR(LOOKUP(Titanic[[#This Row],[Edad Corrigida]],'Práctica 1'!$K$231:$K$240,'Práctica 1'!$L$231:$L$240), "DESCONOCIDO")</f>
        <v>3. JOVEN</v>
      </c>
      <c r="R822" s="8">
        <f>Titanic[[#This Row],[Familia Horizontal]]+Titanic[[#This Row],[Familia Vertical]]</f>
        <v>0</v>
      </c>
      <c r="S822" s="8"/>
      <c r="T822" s="8"/>
      <c r="U822" s="8"/>
      <c r="V822" s="8"/>
    </row>
    <row r="823" spans="2:22" x14ac:dyDescent="0.2">
      <c r="B823" s="6">
        <v>818</v>
      </c>
      <c r="C823" s="7">
        <v>0</v>
      </c>
      <c r="D823" s="8">
        <v>2</v>
      </c>
      <c r="E823" s="8" t="s">
        <v>832</v>
      </c>
      <c r="F823" s="8" t="s">
        <v>11</v>
      </c>
      <c r="G823" s="8">
        <v>31</v>
      </c>
      <c r="H823" s="8">
        <v>1</v>
      </c>
      <c r="I823" s="8">
        <v>1</v>
      </c>
      <c r="J823" s="8">
        <v>370042</v>
      </c>
      <c r="K823" s="8">
        <v>0</v>
      </c>
      <c r="L823" s="8" t="s">
        <v>15</v>
      </c>
      <c r="M823" s="8" t="str">
        <f>IF(Titanic[[#This Row],[Sobrevive]]=1, "SOBREVIVE", "NO SOBREVIVE")</f>
        <v>NO SOBREVIVE</v>
      </c>
      <c r="N823" s="8" t="str">
        <f>LOOKUP(Titanic[[#This Row],[Clase]],{1,2,3}, {"PRIMERA","SEGUNDA","TERCERA"})</f>
        <v>SEGUNDA</v>
      </c>
      <c r="O823" s="8" t="str">
        <f>IF(Titanic[[#This Row],[Sexo]]="Hombre", "HOMBRE", "MUJER")</f>
        <v>HOMBRE</v>
      </c>
      <c r="P823" s="8">
        <f>IF(Titanic[[#This Row],[Edad]]="", "", IF(Titanic[[#This Row],[Edad]]&gt;=100, Titanic[[#This Row],[Edad]] / 10, Titanic[[#This Row],[Edad]]))</f>
        <v>31</v>
      </c>
      <c r="Q823" s="8" t="str">
        <f>IFERROR(LOOKUP(Titanic[[#This Row],[Edad Corrigida]],'Práctica 1'!$K$231:$K$240,'Práctica 1'!$L$231:$L$240), "DESCONOCIDO")</f>
        <v>5. ADULTO</v>
      </c>
      <c r="R823" s="8">
        <f>Titanic[[#This Row],[Familia Horizontal]]+Titanic[[#This Row],[Familia Vertical]]</f>
        <v>2</v>
      </c>
      <c r="S823" s="8"/>
      <c r="T823" s="8"/>
      <c r="U823" s="8"/>
      <c r="V823" s="8"/>
    </row>
    <row r="824" spans="2:22" x14ac:dyDescent="0.2">
      <c r="B824" s="6">
        <v>819</v>
      </c>
      <c r="C824" s="7">
        <v>0</v>
      </c>
      <c r="D824" s="8">
        <v>3</v>
      </c>
      <c r="E824" s="8" t="s">
        <v>833</v>
      </c>
      <c r="F824" s="8" t="s">
        <v>11</v>
      </c>
      <c r="G824" s="8">
        <v>43</v>
      </c>
      <c r="H824" s="8">
        <v>0</v>
      </c>
      <c r="I824" s="8">
        <v>0</v>
      </c>
      <c r="J824" s="8">
        <v>645</v>
      </c>
      <c r="K824" s="8">
        <v>0</v>
      </c>
      <c r="L824" s="8" t="s">
        <v>12</v>
      </c>
      <c r="M824" s="8" t="str">
        <f>IF(Titanic[[#This Row],[Sobrevive]]=1, "SOBREVIVE", "NO SOBREVIVE")</f>
        <v>NO SOBREVIVE</v>
      </c>
      <c r="N824" s="8" t="str">
        <f>LOOKUP(Titanic[[#This Row],[Clase]],{1,2,3}, {"PRIMERA","SEGUNDA","TERCERA"})</f>
        <v>TERCERA</v>
      </c>
      <c r="O824" s="8" t="str">
        <f>IF(Titanic[[#This Row],[Sexo]]="Hombre", "HOMBRE", "MUJER")</f>
        <v>HOMBRE</v>
      </c>
      <c r="P824" s="8">
        <f>IF(Titanic[[#This Row],[Edad]]="", "", IF(Titanic[[#This Row],[Edad]]&gt;=100, Titanic[[#This Row],[Edad]] / 10, Titanic[[#This Row],[Edad]]))</f>
        <v>43</v>
      </c>
      <c r="Q824" s="8" t="str">
        <f>IFERROR(LOOKUP(Titanic[[#This Row],[Edad Corrigida]],'Práctica 1'!$K$231:$K$240,'Práctica 1'!$L$231:$L$240), "DESCONOCIDO")</f>
        <v>8. ADULTO 3</v>
      </c>
      <c r="R824" s="8">
        <f>Titanic[[#This Row],[Familia Horizontal]]+Titanic[[#This Row],[Familia Vertical]]</f>
        <v>0</v>
      </c>
      <c r="S824" s="8"/>
      <c r="T824" s="8"/>
      <c r="U824" s="8"/>
      <c r="V824" s="8"/>
    </row>
    <row r="825" spans="2:22" x14ac:dyDescent="0.2">
      <c r="B825" s="6">
        <v>820</v>
      </c>
      <c r="C825" s="7">
        <v>0</v>
      </c>
      <c r="D825" s="8">
        <v>3</v>
      </c>
      <c r="E825" s="8" t="s">
        <v>834</v>
      </c>
      <c r="F825" s="8" t="s">
        <v>11</v>
      </c>
      <c r="G825" s="8">
        <v>10</v>
      </c>
      <c r="H825" s="8">
        <v>3</v>
      </c>
      <c r="I825" s="8">
        <v>2</v>
      </c>
      <c r="J825" s="8">
        <v>279</v>
      </c>
      <c r="K825" s="8">
        <v>0</v>
      </c>
      <c r="L825" s="8" t="s">
        <v>12</v>
      </c>
      <c r="M825" s="8" t="str">
        <f>IF(Titanic[[#This Row],[Sobrevive]]=1, "SOBREVIVE", "NO SOBREVIVE")</f>
        <v>NO SOBREVIVE</v>
      </c>
      <c r="N825" s="8" t="str">
        <f>LOOKUP(Titanic[[#This Row],[Clase]],{1,2,3}, {"PRIMERA","SEGUNDA","TERCERA"})</f>
        <v>TERCERA</v>
      </c>
      <c r="O825" s="8" t="str">
        <f>IF(Titanic[[#This Row],[Sexo]]="Hombre", "HOMBRE", "MUJER")</f>
        <v>HOMBRE</v>
      </c>
      <c r="P825" s="8">
        <f>IF(Titanic[[#This Row],[Edad]]="", "", IF(Titanic[[#This Row],[Edad]]&gt;=100, Titanic[[#This Row],[Edad]] / 10, Titanic[[#This Row],[Edad]]))</f>
        <v>10</v>
      </c>
      <c r="Q825" s="8" t="str">
        <f>IFERROR(LOOKUP(Titanic[[#This Row],[Edad Corrigida]],'Práctica 1'!$K$231:$K$240,'Práctica 1'!$L$231:$L$240), "DESCONOCIDO")</f>
        <v>DESCONOCIDO</v>
      </c>
      <c r="R825" s="8">
        <f>Titanic[[#This Row],[Familia Horizontal]]+Titanic[[#This Row],[Familia Vertical]]</f>
        <v>5</v>
      </c>
      <c r="S825" s="8"/>
      <c r="T825" s="8"/>
      <c r="U825" s="8"/>
      <c r="V825" s="8"/>
    </row>
    <row r="826" spans="2:22" x14ac:dyDescent="0.2">
      <c r="B826" s="6">
        <v>821</v>
      </c>
      <c r="C826" s="7">
        <v>1</v>
      </c>
      <c r="D826" s="8">
        <v>1</v>
      </c>
      <c r="E826" s="8" t="s">
        <v>835</v>
      </c>
      <c r="F826" s="8" t="s">
        <v>14</v>
      </c>
      <c r="G826" s="8">
        <v>52</v>
      </c>
      <c r="H826" s="8">
        <v>1</v>
      </c>
      <c r="I826" s="8">
        <v>1</v>
      </c>
      <c r="J826" s="8">
        <v>935</v>
      </c>
      <c r="K826" s="8">
        <v>1</v>
      </c>
      <c r="L826" s="8" t="s">
        <v>12</v>
      </c>
      <c r="M826" s="8" t="str">
        <f>IF(Titanic[[#This Row],[Sobrevive]]=1, "SOBREVIVE", "NO SOBREVIVE")</f>
        <v>SOBREVIVE</v>
      </c>
      <c r="N826" s="8" t="str">
        <f>LOOKUP(Titanic[[#This Row],[Clase]],{1,2,3}, {"PRIMERA","SEGUNDA","TERCERA"})</f>
        <v>PRIMERA</v>
      </c>
      <c r="O826" s="8" t="str">
        <f>IF(Titanic[[#This Row],[Sexo]]="Hombre", "HOMBRE", "MUJER")</f>
        <v>MUJER</v>
      </c>
      <c r="P826" s="8">
        <f>IF(Titanic[[#This Row],[Edad]]="", "", IF(Titanic[[#This Row],[Edad]]&gt;=100, Titanic[[#This Row],[Edad]] / 10, Titanic[[#This Row],[Edad]]))</f>
        <v>52</v>
      </c>
      <c r="Q826" s="8" t="str">
        <f>IFERROR(LOOKUP(Titanic[[#This Row],[Edad Corrigida]],'Práctica 1'!$K$231:$K$240,'Práctica 1'!$L$231:$L$240), "DESCONOCIDO")</f>
        <v>9. ADULTO 4</v>
      </c>
      <c r="R826" s="8">
        <f>Titanic[[#This Row],[Familia Horizontal]]+Titanic[[#This Row],[Familia Vertical]]</f>
        <v>2</v>
      </c>
      <c r="S826" s="8"/>
      <c r="T826" s="8"/>
      <c r="U826" s="8"/>
      <c r="V826" s="8"/>
    </row>
    <row r="827" spans="2:22" x14ac:dyDescent="0.2">
      <c r="B827" s="6">
        <v>822</v>
      </c>
      <c r="C827" s="7">
        <v>1</v>
      </c>
      <c r="D827" s="8">
        <v>3</v>
      </c>
      <c r="E827" s="8" t="s">
        <v>836</v>
      </c>
      <c r="F827" s="8" t="s">
        <v>11</v>
      </c>
      <c r="G827" s="8">
        <v>27</v>
      </c>
      <c r="H827" s="8">
        <v>0</v>
      </c>
      <c r="I827" s="8">
        <v>0</v>
      </c>
      <c r="J827" s="8">
        <v>86625</v>
      </c>
      <c r="K827" s="8">
        <v>0</v>
      </c>
      <c r="L827" s="8" t="s">
        <v>12</v>
      </c>
      <c r="M827" s="8" t="str">
        <f>IF(Titanic[[#This Row],[Sobrevive]]=1, "SOBREVIVE", "NO SOBREVIVE")</f>
        <v>SOBREVIVE</v>
      </c>
      <c r="N827" s="8" t="str">
        <f>LOOKUP(Titanic[[#This Row],[Clase]],{1,2,3}, {"PRIMERA","SEGUNDA","TERCERA"})</f>
        <v>TERCERA</v>
      </c>
      <c r="O827" s="8" t="str">
        <f>IF(Titanic[[#This Row],[Sexo]]="Hombre", "HOMBRE", "MUJER")</f>
        <v>HOMBRE</v>
      </c>
      <c r="P827" s="8">
        <f>IF(Titanic[[#This Row],[Edad]]="", "", IF(Titanic[[#This Row],[Edad]]&gt;=100, Titanic[[#This Row],[Edad]] / 10, Titanic[[#This Row],[Edad]]))</f>
        <v>27</v>
      </c>
      <c r="Q827" s="8" t="str">
        <f>IFERROR(LOOKUP(Titanic[[#This Row],[Edad Corrigida]],'Práctica 1'!$K$231:$K$240,'Práctica 1'!$L$231:$L$240), "DESCONOCIDO")</f>
        <v>4. ADULTO JOVEN</v>
      </c>
      <c r="R827" s="8">
        <f>Titanic[[#This Row],[Familia Horizontal]]+Titanic[[#This Row],[Familia Vertical]]</f>
        <v>0</v>
      </c>
      <c r="S827" s="8"/>
      <c r="T827" s="8"/>
      <c r="U827" s="8"/>
      <c r="V827" s="8"/>
    </row>
    <row r="828" spans="2:22" x14ac:dyDescent="0.2">
      <c r="B828" s="6">
        <v>823</v>
      </c>
      <c r="C828" s="7">
        <v>0</v>
      </c>
      <c r="D828" s="8">
        <v>1</v>
      </c>
      <c r="E828" s="8" t="s">
        <v>837</v>
      </c>
      <c r="F828" s="8" t="s">
        <v>11</v>
      </c>
      <c r="G828" s="8">
        <v>38</v>
      </c>
      <c r="H828" s="8">
        <v>0</v>
      </c>
      <c r="I828" s="8">
        <v>0</v>
      </c>
      <c r="J828" s="8">
        <v>0</v>
      </c>
      <c r="K828" s="8">
        <v>0</v>
      </c>
      <c r="L828" s="8" t="s">
        <v>12</v>
      </c>
      <c r="M828" s="8" t="str">
        <f>IF(Titanic[[#This Row],[Sobrevive]]=1, "SOBREVIVE", "NO SOBREVIVE")</f>
        <v>NO SOBREVIVE</v>
      </c>
      <c r="N828" s="8" t="str">
        <f>LOOKUP(Titanic[[#This Row],[Clase]],{1,2,3}, {"PRIMERA","SEGUNDA","TERCERA"})</f>
        <v>PRIMERA</v>
      </c>
      <c r="O828" s="8" t="str">
        <f>IF(Titanic[[#This Row],[Sexo]]="Hombre", "HOMBRE", "MUJER")</f>
        <v>HOMBRE</v>
      </c>
      <c r="P828" s="8">
        <f>IF(Titanic[[#This Row],[Edad]]="", "", IF(Titanic[[#This Row],[Edad]]&gt;=100, Titanic[[#This Row],[Edad]] / 10, Titanic[[#This Row],[Edad]]))</f>
        <v>38</v>
      </c>
      <c r="Q828" s="8" t="str">
        <f>IFERROR(LOOKUP(Titanic[[#This Row],[Edad Corrigida]],'Práctica 1'!$K$231:$K$240,'Práctica 1'!$L$231:$L$240), "DESCONOCIDO")</f>
        <v>7. ADULTO 2</v>
      </c>
      <c r="R828" s="8">
        <f>Titanic[[#This Row],[Familia Horizontal]]+Titanic[[#This Row],[Familia Vertical]]</f>
        <v>0</v>
      </c>
      <c r="S828" s="8"/>
      <c r="T828" s="8"/>
      <c r="U828" s="8"/>
      <c r="V828" s="8"/>
    </row>
    <row r="829" spans="2:22" x14ac:dyDescent="0.2">
      <c r="B829" s="6">
        <v>824</v>
      </c>
      <c r="C829" s="7">
        <v>1</v>
      </c>
      <c r="D829" s="8">
        <v>3</v>
      </c>
      <c r="E829" s="8" t="s">
        <v>838</v>
      </c>
      <c r="F829" s="8" t="s">
        <v>14</v>
      </c>
      <c r="G829" s="8">
        <v>27</v>
      </c>
      <c r="H829" s="8">
        <v>0</v>
      </c>
      <c r="I829" s="8">
        <v>1</v>
      </c>
      <c r="J829" s="8">
        <v>12475</v>
      </c>
      <c r="K829" s="8">
        <v>1</v>
      </c>
      <c r="L829" s="8" t="s">
        <v>12</v>
      </c>
      <c r="M829" s="8" t="str">
        <f>IF(Titanic[[#This Row],[Sobrevive]]=1, "SOBREVIVE", "NO SOBREVIVE")</f>
        <v>SOBREVIVE</v>
      </c>
      <c r="N829" s="8" t="str">
        <f>LOOKUP(Titanic[[#This Row],[Clase]],{1,2,3}, {"PRIMERA","SEGUNDA","TERCERA"})</f>
        <v>TERCERA</v>
      </c>
      <c r="O829" s="8" t="str">
        <f>IF(Titanic[[#This Row],[Sexo]]="Hombre", "HOMBRE", "MUJER")</f>
        <v>MUJER</v>
      </c>
      <c r="P829" s="8">
        <f>IF(Titanic[[#This Row],[Edad]]="", "", IF(Titanic[[#This Row],[Edad]]&gt;=100, Titanic[[#This Row],[Edad]] / 10, Titanic[[#This Row],[Edad]]))</f>
        <v>27</v>
      </c>
      <c r="Q829" s="8" t="str">
        <f>IFERROR(LOOKUP(Titanic[[#This Row],[Edad Corrigida]],'Práctica 1'!$K$231:$K$240,'Práctica 1'!$L$231:$L$240), "DESCONOCIDO")</f>
        <v>4. ADULTO JOVEN</v>
      </c>
      <c r="R829" s="8">
        <f>Titanic[[#This Row],[Familia Horizontal]]+Titanic[[#This Row],[Familia Vertical]]</f>
        <v>1</v>
      </c>
      <c r="S829" s="8"/>
      <c r="T829" s="8"/>
      <c r="U829" s="8"/>
      <c r="V829" s="8"/>
    </row>
    <row r="830" spans="2:22" x14ac:dyDescent="0.2">
      <c r="B830" s="6">
        <v>825</v>
      </c>
      <c r="C830" s="7">
        <v>0</v>
      </c>
      <c r="D830" s="8">
        <v>3</v>
      </c>
      <c r="E830" s="8" t="s">
        <v>839</v>
      </c>
      <c r="F830" s="8" t="s">
        <v>11</v>
      </c>
      <c r="G830" s="8">
        <v>2</v>
      </c>
      <c r="H830" s="8">
        <v>4</v>
      </c>
      <c r="I830" s="8">
        <v>1</v>
      </c>
      <c r="J830" s="8">
        <v>396875</v>
      </c>
      <c r="K830" s="8">
        <v>0</v>
      </c>
      <c r="L830" s="8" t="s">
        <v>12</v>
      </c>
      <c r="M830" s="8" t="str">
        <f>IF(Titanic[[#This Row],[Sobrevive]]=1, "SOBREVIVE", "NO SOBREVIVE")</f>
        <v>NO SOBREVIVE</v>
      </c>
      <c r="N830" s="8" t="str">
        <f>LOOKUP(Titanic[[#This Row],[Clase]],{1,2,3}, {"PRIMERA","SEGUNDA","TERCERA"})</f>
        <v>TERCERA</v>
      </c>
      <c r="O830" s="8" t="str">
        <f>IF(Titanic[[#This Row],[Sexo]]="Hombre", "HOMBRE", "MUJER")</f>
        <v>HOMBRE</v>
      </c>
      <c r="P830" s="8">
        <f>IF(Titanic[[#This Row],[Edad]]="", "", IF(Titanic[[#This Row],[Edad]]&gt;=100, Titanic[[#This Row],[Edad]] / 10, Titanic[[#This Row],[Edad]]))</f>
        <v>2</v>
      </c>
      <c r="Q830" s="8" t="str">
        <f>IFERROR(LOOKUP(Titanic[[#This Row],[Edad Corrigida]],'Práctica 1'!$K$231:$K$240,'Práctica 1'!$L$231:$L$240), "DESCONOCIDO")</f>
        <v>DESCONOCIDO</v>
      </c>
      <c r="R830" s="8">
        <f>Titanic[[#This Row],[Familia Horizontal]]+Titanic[[#This Row],[Familia Vertical]]</f>
        <v>5</v>
      </c>
      <c r="S830" s="8"/>
      <c r="T830" s="8"/>
      <c r="U830" s="8"/>
      <c r="V830" s="8"/>
    </row>
    <row r="831" spans="2:22" x14ac:dyDescent="0.2">
      <c r="B831" s="6">
        <v>826</v>
      </c>
      <c r="C831" s="7">
        <v>0</v>
      </c>
      <c r="D831" s="8">
        <v>3</v>
      </c>
      <c r="E831" s="8" t="s">
        <v>840</v>
      </c>
      <c r="F831" s="8" t="s">
        <v>11</v>
      </c>
      <c r="G831" s="9"/>
      <c r="H831" s="8">
        <v>0</v>
      </c>
      <c r="I831" s="8">
        <v>0</v>
      </c>
      <c r="J831" s="8">
        <v>695</v>
      </c>
      <c r="K831" s="8">
        <v>0</v>
      </c>
      <c r="L831" s="8" t="s">
        <v>20</v>
      </c>
      <c r="M831" s="8" t="str">
        <f>IF(Titanic[[#This Row],[Sobrevive]]=1, "SOBREVIVE", "NO SOBREVIVE")</f>
        <v>NO SOBREVIVE</v>
      </c>
      <c r="N831" s="8" t="str">
        <f>LOOKUP(Titanic[[#This Row],[Clase]],{1,2,3}, {"PRIMERA","SEGUNDA","TERCERA"})</f>
        <v>TERCERA</v>
      </c>
      <c r="O831" s="8" t="str">
        <f>IF(Titanic[[#This Row],[Sexo]]="Hombre", "HOMBRE", "MUJER")</f>
        <v>HOMBRE</v>
      </c>
      <c r="P831" s="8" t="str">
        <f>IF(Titanic[[#This Row],[Edad]]="", "", IF(Titanic[[#This Row],[Edad]]&gt;=100, Titanic[[#This Row],[Edad]] / 10, Titanic[[#This Row],[Edad]]))</f>
        <v/>
      </c>
      <c r="Q831" s="8" t="str">
        <f>IFERROR(LOOKUP(Titanic[[#This Row],[Edad Corrigida]],'Práctica 1'!$K$231:$K$240,'Práctica 1'!$L$231:$L$240), "DESCONOCIDO")</f>
        <v>DESCONOCIDO</v>
      </c>
      <c r="R831" s="8">
        <f>Titanic[[#This Row],[Familia Horizontal]]+Titanic[[#This Row],[Familia Vertical]]</f>
        <v>0</v>
      </c>
      <c r="S831" s="8"/>
      <c r="T831" s="8"/>
      <c r="U831" s="8"/>
      <c r="V831" s="8"/>
    </row>
    <row r="832" spans="2:22" x14ac:dyDescent="0.2">
      <c r="B832" s="6">
        <v>827</v>
      </c>
      <c r="C832" s="7">
        <v>0</v>
      </c>
      <c r="D832" s="8">
        <v>3</v>
      </c>
      <c r="E832" s="8" t="s">
        <v>841</v>
      </c>
      <c r="F832" s="8" t="s">
        <v>11</v>
      </c>
      <c r="G832" s="9"/>
      <c r="H832" s="8">
        <v>0</v>
      </c>
      <c r="I832" s="8">
        <v>0</v>
      </c>
      <c r="J832" s="8">
        <v>564958</v>
      </c>
      <c r="K832" s="8">
        <v>0</v>
      </c>
      <c r="L832" s="8" t="s">
        <v>12</v>
      </c>
      <c r="M832" s="8" t="str">
        <f>IF(Titanic[[#This Row],[Sobrevive]]=1, "SOBREVIVE", "NO SOBREVIVE")</f>
        <v>NO SOBREVIVE</v>
      </c>
      <c r="N832" s="8" t="str">
        <f>LOOKUP(Titanic[[#This Row],[Clase]],{1,2,3}, {"PRIMERA","SEGUNDA","TERCERA"})</f>
        <v>TERCERA</v>
      </c>
      <c r="O832" s="8" t="str">
        <f>IF(Titanic[[#This Row],[Sexo]]="Hombre", "HOMBRE", "MUJER")</f>
        <v>HOMBRE</v>
      </c>
      <c r="P832" s="8" t="str">
        <f>IF(Titanic[[#This Row],[Edad]]="", "", IF(Titanic[[#This Row],[Edad]]&gt;=100, Titanic[[#This Row],[Edad]] / 10, Titanic[[#This Row],[Edad]]))</f>
        <v/>
      </c>
      <c r="Q832" s="8" t="str">
        <f>IFERROR(LOOKUP(Titanic[[#This Row],[Edad Corrigida]],'Práctica 1'!$K$231:$K$240,'Práctica 1'!$L$231:$L$240), "DESCONOCIDO")</f>
        <v>DESCONOCIDO</v>
      </c>
      <c r="R832" s="8">
        <f>Titanic[[#This Row],[Familia Horizontal]]+Titanic[[#This Row],[Familia Vertical]]</f>
        <v>0</v>
      </c>
      <c r="S832" s="8"/>
      <c r="T832" s="8"/>
      <c r="U832" s="8"/>
      <c r="V832" s="8"/>
    </row>
    <row r="833" spans="2:22" x14ac:dyDescent="0.2">
      <c r="B833" s="6">
        <v>828</v>
      </c>
      <c r="C833" s="7">
        <v>1</v>
      </c>
      <c r="D833" s="8">
        <v>2</v>
      </c>
      <c r="E833" s="8" t="s">
        <v>842</v>
      </c>
      <c r="F833" s="8" t="s">
        <v>11</v>
      </c>
      <c r="G833" s="8">
        <v>1</v>
      </c>
      <c r="H833" s="8">
        <v>0</v>
      </c>
      <c r="I833" s="8">
        <v>2</v>
      </c>
      <c r="J833" s="8">
        <v>370042</v>
      </c>
      <c r="K833" s="8">
        <v>0</v>
      </c>
      <c r="L833" s="8" t="s">
        <v>15</v>
      </c>
      <c r="M833" s="8" t="str">
        <f>IF(Titanic[[#This Row],[Sobrevive]]=1, "SOBREVIVE", "NO SOBREVIVE")</f>
        <v>SOBREVIVE</v>
      </c>
      <c r="N833" s="8" t="str">
        <f>LOOKUP(Titanic[[#This Row],[Clase]],{1,2,3}, {"PRIMERA","SEGUNDA","TERCERA"})</f>
        <v>SEGUNDA</v>
      </c>
      <c r="O833" s="8" t="str">
        <f>IF(Titanic[[#This Row],[Sexo]]="Hombre", "HOMBRE", "MUJER")</f>
        <v>HOMBRE</v>
      </c>
      <c r="P833" s="8">
        <f>IF(Titanic[[#This Row],[Edad]]="", "", IF(Titanic[[#This Row],[Edad]]&gt;=100, Titanic[[#This Row],[Edad]] / 10, Titanic[[#This Row],[Edad]]))</f>
        <v>1</v>
      </c>
      <c r="Q833" s="8" t="str">
        <f>IFERROR(LOOKUP(Titanic[[#This Row],[Edad Corrigida]],'Práctica 1'!$K$231:$K$240,'Práctica 1'!$L$231:$L$240), "DESCONOCIDO")</f>
        <v>DESCONOCIDO</v>
      </c>
      <c r="R833" s="8">
        <f>Titanic[[#This Row],[Familia Horizontal]]+Titanic[[#This Row],[Familia Vertical]]</f>
        <v>2</v>
      </c>
      <c r="S833" s="8"/>
      <c r="T833" s="8"/>
      <c r="U833" s="8"/>
      <c r="V833" s="8"/>
    </row>
    <row r="834" spans="2:22" x14ac:dyDescent="0.2">
      <c r="B834" s="6">
        <v>829</v>
      </c>
      <c r="C834" s="7">
        <v>1</v>
      </c>
      <c r="D834" s="8">
        <v>3</v>
      </c>
      <c r="E834" s="8" t="s">
        <v>843</v>
      </c>
      <c r="F834" s="8" t="s">
        <v>11</v>
      </c>
      <c r="G834" s="9"/>
      <c r="H834" s="8">
        <v>0</v>
      </c>
      <c r="I834" s="8">
        <v>0</v>
      </c>
      <c r="J834" s="8">
        <v>775</v>
      </c>
      <c r="K834" s="8">
        <v>0</v>
      </c>
      <c r="L834" s="8" t="s">
        <v>20</v>
      </c>
      <c r="M834" s="8" t="str">
        <f>IF(Titanic[[#This Row],[Sobrevive]]=1, "SOBREVIVE", "NO SOBREVIVE")</f>
        <v>SOBREVIVE</v>
      </c>
      <c r="N834" s="8" t="str">
        <f>LOOKUP(Titanic[[#This Row],[Clase]],{1,2,3}, {"PRIMERA","SEGUNDA","TERCERA"})</f>
        <v>TERCERA</v>
      </c>
      <c r="O834" s="8" t="str">
        <f>IF(Titanic[[#This Row],[Sexo]]="Hombre", "HOMBRE", "MUJER")</f>
        <v>HOMBRE</v>
      </c>
      <c r="P834" s="8" t="str">
        <f>IF(Titanic[[#This Row],[Edad]]="", "", IF(Titanic[[#This Row],[Edad]]&gt;=100, Titanic[[#This Row],[Edad]] / 10, Titanic[[#This Row],[Edad]]))</f>
        <v/>
      </c>
      <c r="Q834" s="8" t="str">
        <f>IFERROR(LOOKUP(Titanic[[#This Row],[Edad Corrigida]],'Práctica 1'!$K$231:$K$240,'Práctica 1'!$L$231:$L$240), "DESCONOCIDO")</f>
        <v>DESCONOCIDO</v>
      </c>
      <c r="R834" s="8">
        <f>Titanic[[#This Row],[Familia Horizontal]]+Titanic[[#This Row],[Familia Vertical]]</f>
        <v>0</v>
      </c>
      <c r="S834" s="8"/>
      <c r="T834" s="8"/>
      <c r="U834" s="8"/>
      <c r="V834" s="8"/>
    </row>
    <row r="835" spans="2:22" x14ac:dyDescent="0.2">
      <c r="B835" s="6">
        <v>830</v>
      </c>
      <c r="C835" s="7">
        <v>1</v>
      </c>
      <c r="D835" s="8">
        <v>1</v>
      </c>
      <c r="E835" s="8" t="s">
        <v>844</v>
      </c>
      <c r="F835" s="8" t="s">
        <v>14</v>
      </c>
      <c r="G835" s="8">
        <v>62</v>
      </c>
      <c r="H835" s="8">
        <v>0</v>
      </c>
      <c r="I835" s="8">
        <v>0</v>
      </c>
      <c r="J835" s="8">
        <v>80</v>
      </c>
      <c r="K835" s="8">
        <v>1</v>
      </c>
      <c r="L835" s="9"/>
      <c r="M835" s="8" t="str">
        <f>IF(Titanic[[#This Row],[Sobrevive]]=1, "SOBREVIVE", "NO SOBREVIVE")</f>
        <v>SOBREVIVE</v>
      </c>
      <c r="N835" s="8" t="str">
        <f>LOOKUP(Titanic[[#This Row],[Clase]],{1,2,3}, {"PRIMERA","SEGUNDA","TERCERA"})</f>
        <v>PRIMERA</v>
      </c>
      <c r="O835" s="8" t="str">
        <f>IF(Titanic[[#This Row],[Sexo]]="Hombre", "HOMBRE", "MUJER")</f>
        <v>MUJER</v>
      </c>
      <c r="P835" s="8">
        <f>IF(Titanic[[#This Row],[Edad]]="", "", IF(Titanic[[#This Row],[Edad]]&gt;=100, Titanic[[#This Row],[Edad]] / 10, Titanic[[#This Row],[Edad]]))</f>
        <v>62</v>
      </c>
      <c r="Q835" s="8" t="str">
        <f>IFERROR(LOOKUP(Titanic[[#This Row],[Edad Corrigida]],'Práctica 1'!$K$231:$K$240,'Práctica 1'!$L$231:$L$240), "DESCONOCIDO")</f>
        <v>9. ADULTO 4</v>
      </c>
      <c r="R835" s="8">
        <f>Titanic[[#This Row],[Familia Horizontal]]+Titanic[[#This Row],[Familia Vertical]]</f>
        <v>0</v>
      </c>
      <c r="S835" s="8"/>
      <c r="T835" s="8"/>
      <c r="U835" s="8"/>
      <c r="V835" s="8"/>
    </row>
    <row r="836" spans="2:22" x14ac:dyDescent="0.2">
      <c r="B836" s="6">
        <v>831</v>
      </c>
      <c r="C836" s="7">
        <v>1</v>
      </c>
      <c r="D836" s="8">
        <v>3</v>
      </c>
      <c r="E836" s="8" t="s">
        <v>845</v>
      </c>
      <c r="F836" s="8" t="s">
        <v>14</v>
      </c>
      <c r="G836" s="8">
        <v>15</v>
      </c>
      <c r="H836" s="8">
        <v>1</v>
      </c>
      <c r="I836" s="8">
        <v>0</v>
      </c>
      <c r="J836" s="8">
        <v>144542</v>
      </c>
      <c r="K836" s="8">
        <v>0</v>
      </c>
      <c r="L836" s="8" t="s">
        <v>15</v>
      </c>
      <c r="M836" s="8" t="str">
        <f>IF(Titanic[[#This Row],[Sobrevive]]=1, "SOBREVIVE", "NO SOBREVIVE")</f>
        <v>SOBREVIVE</v>
      </c>
      <c r="N836" s="8" t="str">
        <f>LOOKUP(Titanic[[#This Row],[Clase]],{1,2,3}, {"PRIMERA","SEGUNDA","TERCERA"})</f>
        <v>TERCERA</v>
      </c>
      <c r="O836" s="8" t="str">
        <f>IF(Titanic[[#This Row],[Sexo]]="Hombre", "HOMBRE", "MUJER")</f>
        <v>MUJER</v>
      </c>
      <c r="P836" s="8">
        <f>IF(Titanic[[#This Row],[Edad]]="", "", IF(Titanic[[#This Row],[Edad]]&gt;=100, Titanic[[#This Row],[Edad]] / 10, Titanic[[#This Row],[Edad]]))</f>
        <v>15</v>
      </c>
      <c r="Q836" s="8" t="str">
        <f>IFERROR(LOOKUP(Titanic[[#This Row],[Edad Corrigida]],'Práctica 1'!$K$231:$K$240,'Práctica 1'!$L$231:$L$240), "DESCONOCIDO")</f>
        <v>1. INFANTE</v>
      </c>
      <c r="R836" s="8">
        <f>Titanic[[#This Row],[Familia Horizontal]]+Titanic[[#This Row],[Familia Vertical]]</f>
        <v>1</v>
      </c>
      <c r="S836" s="8"/>
      <c r="T836" s="8"/>
      <c r="U836" s="8"/>
      <c r="V836" s="8"/>
    </row>
    <row r="837" spans="2:22" x14ac:dyDescent="0.2">
      <c r="B837" s="6">
        <v>832</v>
      </c>
      <c r="C837" s="7">
        <v>1</v>
      </c>
      <c r="D837" s="8">
        <v>2</v>
      </c>
      <c r="E837" s="8" t="s">
        <v>846</v>
      </c>
      <c r="F837" s="8" t="s">
        <v>11</v>
      </c>
      <c r="G837" s="8">
        <v>83</v>
      </c>
      <c r="H837" s="8">
        <v>1</v>
      </c>
      <c r="I837" s="8">
        <v>1</v>
      </c>
      <c r="J837" s="8">
        <v>1875</v>
      </c>
      <c r="K837" s="8">
        <v>0</v>
      </c>
      <c r="L837" s="8" t="s">
        <v>12</v>
      </c>
      <c r="M837" s="8" t="str">
        <f>IF(Titanic[[#This Row],[Sobrevive]]=1, "SOBREVIVE", "NO SOBREVIVE")</f>
        <v>SOBREVIVE</v>
      </c>
      <c r="N837" s="8" t="str">
        <f>LOOKUP(Titanic[[#This Row],[Clase]],{1,2,3}, {"PRIMERA","SEGUNDA","TERCERA"})</f>
        <v>SEGUNDA</v>
      </c>
      <c r="O837" s="8" t="str">
        <f>IF(Titanic[[#This Row],[Sexo]]="Hombre", "HOMBRE", "MUJER")</f>
        <v>HOMBRE</v>
      </c>
      <c r="P837" s="8">
        <f>IF(Titanic[[#This Row],[Edad]]="", "", IF(Titanic[[#This Row],[Edad]]&gt;=100, Titanic[[#This Row],[Edad]] / 10, Titanic[[#This Row],[Edad]]))</f>
        <v>83</v>
      </c>
      <c r="Q837" s="8" t="str">
        <f>IFERROR(LOOKUP(Titanic[[#This Row],[Edad Corrigida]],'Práctica 1'!$K$231:$K$240,'Práctica 1'!$L$231:$L$240), "DESCONOCIDO")</f>
        <v>9. ADULTO 4</v>
      </c>
      <c r="R837" s="8">
        <f>Titanic[[#This Row],[Familia Horizontal]]+Titanic[[#This Row],[Familia Vertical]]</f>
        <v>2</v>
      </c>
      <c r="S837" s="8"/>
      <c r="T837" s="8"/>
      <c r="U837" s="8"/>
      <c r="V837" s="8"/>
    </row>
    <row r="838" spans="2:22" x14ac:dyDescent="0.2">
      <c r="B838" s="6">
        <v>833</v>
      </c>
      <c r="C838" s="7">
        <v>0</v>
      </c>
      <c r="D838" s="8">
        <v>3</v>
      </c>
      <c r="E838" s="8" t="s">
        <v>847</v>
      </c>
      <c r="F838" s="8" t="s">
        <v>11</v>
      </c>
      <c r="G838" s="9"/>
      <c r="H838" s="8">
        <v>0</v>
      </c>
      <c r="I838" s="8">
        <v>0</v>
      </c>
      <c r="J838" s="8">
        <v>72292</v>
      </c>
      <c r="K838" s="8">
        <v>0</v>
      </c>
      <c r="L838" s="8" t="s">
        <v>15</v>
      </c>
      <c r="M838" s="8" t="str">
        <f>IF(Titanic[[#This Row],[Sobrevive]]=1, "SOBREVIVE", "NO SOBREVIVE")</f>
        <v>NO SOBREVIVE</v>
      </c>
      <c r="N838" s="8" t="str">
        <f>LOOKUP(Titanic[[#This Row],[Clase]],{1,2,3}, {"PRIMERA","SEGUNDA","TERCERA"})</f>
        <v>TERCERA</v>
      </c>
      <c r="O838" s="8" t="str">
        <f>IF(Titanic[[#This Row],[Sexo]]="Hombre", "HOMBRE", "MUJER")</f>
        <v>HOMBRE</v>
      </c>
      <c r="P838" s="8" t="str">
        <f>IF(Titanic[[#This Row],[Edad]]="", "", IF(Titanic[[#This Row],[Edad]]&gt;=100, Titanic[[#This Row],[Edad]] / 10, Titanic[[#This Row],[Edad]]))</f>
        <v/>
      </c>
      <c r="Q838" s="8" t="str">
        <f>IFERROR(LOOKUP(Titanic[[#This Row],[Edad Corrigida]],'Práctica 1'!$K$231:$K$240,'Práctica 1'!$L$231:$L$240), "DESCONOCIDO")</f>
        <v>DESCONOCIDO</v>
      </c>
      <c r="R838" s="8">
        <f>Titanic[[#This Row],[Familia Horizontal]]+Titanic[[#This Row],[Familia Vertical]]</f>
        <v>0</v>
      </c>
      <c r="S838" s="8"/>
      <c r="T838" s="8"/>
      <c r="U838" s="8"/>
      <c r="V838" s="8"/>
    </row>
    <row r="839" spans="2:22" x14ac:dyDescent="0.2">
      <c r="B839" s="6">
        <v>834</v>
      </c>
      <c r="C839" s="7">
        <v>0</v>
      </c>
      <c r="D839" s="8">
        <v>3</v>
      </c>
      <c r="E839" s="8" t="s">
        <v>848</v>
      </c>
      <c r="F839" s="8" t="s">
        <v>11</v>
      </c>
      <c r="G839" s="8">
        <v>23</v>
      </c>
      <c r="H839" s="8">
        <v>0</v>
      </c>
      <c r="I839" s="8">
        <v>0</v>
      </c>
      <c r="J839" s="8">
        <v>78542</v>
      </c>
      <c r="K839" s="8">
        <v>0</v>
      </c>
      <c r="L839" s="8" t="s">
        <v>12</v>
      </c>
      <c r="M839" s="8" t="str">
        <f>IF(Titanic[[#This Row],[Sobrevive]]=1, "SOBREVIVE", "NO SOBREVIVE")</f>
        <v>NO SOBREVIVE</v>
      </c>
      <c r="N839" s="8" t="str">
        <f>LOOKUP(Titanic[[#This Row],[Clase]],{1,2,3}, {"PRIMERA","SEGUNDA","TERCERA"})</f>
        <v>TERCERA</v>
      </c>
      <c r="O839" s="8" t="str">
        <f>IF(Titanic[[#This Row],[Sexo]]="Hombre", "HOMBRE", "MUJER")</f>
        <v>HOMBRE</v>
      </c>
      <c r="P839" s="8">
        <f>IF(Titanic[[#This Row],[Edad]]="", "", IF(Titanic[[#This Row],[Edad]]&gt;=100, Titanic[[#This Row],[Edad]] / 10, Titanic[[#This Row],[Edad]]))</f>
        <v>23</v>
      </c>
      <c r="Q839" s="8" t="str">
        <f>IFERROR(LOOKUP(Titanic[[#This Row],[Edad Corrigida]],'Práctica 1'!$K$231:$K$240,'Práctica 1'!$L$231:$L$240), "DESCONOCIDO")</f>
        <v>3. JOVEN</v>
      </c>
      <c r="R839" s="8">
        <f>Titanic[[#This Row],[Familia Horizontal]]+Titanic[[#This Row],[Familia Vertical]]</f>
        <v>0</v>
      </c>
      <c r="S839" s="8"/>
      <c r="T839" s="8"/>
      <c r="U839" s="8"/>
      <c r="V839" s="8"/>
    </row>
    <row r="840" spans="2:22" x14ac:dyDescent="0.2">
      <c r="B840" s="6">
        <v>835</v>
      </c>
      <c r="C840" s="7">
        <v>0</v>
      </c>
      <c r="D840" s="8">
        <v>3</v>
      </c>
      <c r="E840" s="8" t="s">
        <v>849</v>
      </c>
      <c r="F840" s="8" t="s">
        <v>11</v>
      </c>
      <c r="G840" s="8">
        <v>18</v>
      </c>
      <c r="H840" s="8">
        <v>0</v>
      </c>
      <c r="I840" s="8">
        <v>0</v>
      </c>
      <c r="J840" s="8">
        <v>83</v>
      </c>
      <c r="K840" s="8">
        <v>0</v>
      </c>
      <c r="L840" s="8" t="s">
        <v>12</v>
      </c>
      <c r="M840" s="8" t="str">
        <f>IF(Titanic[[#This Row],[Sobrevive]]=1, "SOBREVIVE", "NO SOBREVIVE")</f>
        <v>NO SOBREVIVE</v>
      </c>
      <c r="N840" s="8" t="str">
        <f>LOOKUP(Titanic[[#This Row],[Clase]],{1,2,3}, {"PRIMERA","SEGUNDA","TERCERA"})</f>
        <v>TERCERA</v>
      </c>
      <c r="O840" s="8" t="str">
        <f>IF(Titanic[[#This Row],[Sexo]]="Hombre", "HOMBRE", "MUJER")</f>
        <v>HOMBRE</v>
      </c>
      <c r="P840" s="8">
        <f>IF(Titanic[[#This Row],[Edad]]="", "", IF(Titanic[[#This Row],[Edad]]&gt;=100, Titanic[[#This Row],[Edad]] / 10, Titanic[[#This Row],[Edad]]))</f>
        <v>18</v>
      </c>
      <c r="Q840" s="8" t="str">
        <f>IFERROR(LOOKUP(Titanic[[#This Row],[Edad Corrigida]],'Práctica 1'!$K$231:$K$240,'Práctica 1'!$L$231:$L$240), "DESCONOCIDO")</f>
        <v>1. INFANTE</v>
      </c>
      <c r="R840" s="8">
        <f>Titanic[[#This Row],[Familia Horizontal]]+Titanic[[#This Row],[Familia Vertical]]</f>
        <v>0</v>
      </c>
      <c r="S840" s="8"/>
      <c r="T840" s="8"/>
      <c r="U840" s="8"/>
      <c r="V840" s="8"/>
    </row>
    <row r="841" spans="2:22" x14ac:dyDescent="0.2">
      <c r="B841" s="6">
        <v>836</v>
      </c>
      <c r="C841" s="7">
        <v>1</v>
      </c>
      <c r="D841" s="8">
        <v>1</v>
      </c>
      <c r="E841" s="8" t="s">
        <v>850</v>
      </c>
      <c r="F841" s="8" t="s">
        <v>14</v>
      </c>
      <c r="G841" s="8">
        <v>39</v>
      </c>
      <c r="H841" s="8">
        <v>1</v>
      </c>
      <c r="I841" s="8">
        <v>1</v>
      </c>
      <c r="J841" s="8">
        <v>831583</v>
      </c>
      <c r="K841" s="8">
        <v>1</v>
      </c>
      <c r="L841" s="8" t="s">
        <v>15</v>
      </c>
      <c r="M841" s="8" t="str">
        <f>IF(Titanic[[#This Row],[Sobrevive]]=1, "SOBREVIVE", "NO SOBREVIVE")</f>
        <v>SOBREVIVE</v>
      </c>
      <c r="N841" s="8" t="str">
        <f>LOOKUP(Titanic[[#This Row],[Clase]],{1,2,3}, {"PRIMERA","SEGUNDA","TERCERA"})</f>
        <v>PRIMERA</v>
      </c>
      <c r="O841" s="8" t="str">
        <f>IF(Titanic[[#This Row],[Sexo]]="Hombre", "HOMBRE", "MUJER")</f>
        <v>MUJER</v>
      </c>
      <c r="P841" s="8">
        <f>IF(Titanic[[#This Row],[Edad]]="", "", IF(Titanic[[#This Row],[Edad]]&gt;=100, Titanic[[#This Row],[Edad]] / 10, Titanic[[#This Row],[Edad]]))</f>
        <v>39</v>
      </c>
      <c r="Q841" s="8" t="str">
        <f>IFERROR(LOOKUP(Titanic[[#This Row],[Edad Corrigida]],'Práctica 1'!$K$231:$K$240,'Práctica 1'!$L$231:$L$240), "DESCONOCIDO")</f>
        <v>7. ADULTO 2</v>
      </c>
      <c r="R841" s="8">
        <f>Titanic[[#This Row],[Familia Horizontal]]+Titanic[[#This Row],[Familia Vertical]]</f>
        <v>2</v>
      </c>
      <c r="S841" s="8"/>
      <c r="T841" s="8"/>
      <c r="U841" s="8"/>
      <c r="V841" s="8"/>
    </row>
    <row r="842" spans="2:22" x14ac:dyDescent="0.2">
      <c r="B842" s="6">
        <v>837</v>
      </c>
      <c r="C842" s="7">
        <v>0</v>
      </c>
      <c r="D842" s="8">
        <v>3</v>
      </c>
      <c r="E842" s="8" t="s">
        <v>851</v>
      </c>
      <c r="F842" s="8" t="s">
        <v>11</v>
      </c>
      <c r="G842" s="8">
        <v>21</v>
      </c>
      <c r="H842" s="8">
        <v>0</v>
      </c>
      <c r="I842" s="8">
        <v>0</v>
      </c>
      <c r="J842" s="8">
        <v>86625</v>
      </c>
      <c r="K842" s="8">
        <v>0</v>
      </c>
      <c r="L842" s="8" t="s">
        <v>12</v>
      </c>
      <c r="M842" s="8" t="str">
        <f>IF(Titanic[[#This Row],[Sobrevive]]=1, "SOBREVIVE", "NO SOBREVIVE")</f>
        <v>NO SOBREVIVE</v>
      </c>
      <c r="N842" s="8" t="str">
        <f>LOOKUP(Titanic[[#This Row],[Clase]],{1,2,3}, {"PRIMERA","SEGUNDA","TERCERA"})</f>
        <v>TERCERA</v>
      </c>
      <c r="O842" s="8" t="str">
        <f>IF(Titanic[[#This Row],[Sexo]]="Hombre", "HOMBRE", "MUJER")</f>
        <v>HOMBRE</v>
      </c>
      <c r="P842" s="8">
        <f>IF(Titanic[[#This Row],[Edad]]="", "", IF(Titanic[[#This Row],[Edad]]&gt;=100, Titanic[[#This Row],[Edad]] / 10, Titanic[[#This Row],[Edad]]))</f>
        <v>21</v>
      </c>
      <c r="Q842" s="8" t="str">
        <f>IFERROR(LOOKUP(Titanic[[#This Row],[Edad Corrigida]],'Práctica 1'!$K$231:$K$240,'Práctica 1'!$L$231:$L$240), "DESCONOCIDO")</f>
        <v>2. ADOLESCENTE</v>
      </c>
      <c r="R842" s="8">
        <f>Titanic[[#This Row],[Familia Horizontal]]+Titanic[[#This Row],[Familia Vertical]]</f>
        <v>0</v>
      </c>
      <c r="S842" s="8"/>
      <c r="T842" s="8"/>
      <c r="U842" s="8"/>
      <c r="V842" s="8"/>
    </row>
    <row r="843" spans="2:22" x14ac:dyDescent="0.2">
      <c r="B843" s="6">
        <v>838</v>
      </c>
      <c r="C843" s="7">
        <v>0</v>
      </c>
      <c r="D843" s="8">
        <v>3</v>
      </c>
      <c r="E843" s="8" t="s">
        <v>852</v>
      </c>
      <c r="F843" s="8" t="s">
        <v>11</v>
      </c>
      <c r="G843" s="9"/>
      <c r="H843" s="8">
        <v>0</v>
      </c>
      <c r="I843" s="8">
        <v>0</v>
      </c>
      <c r="J843" s="8">
        <v>805</v>
      </c>
      <c r="K843" s="8">
        <v>0</v>
      </c>
      <c r="L843" s="8" t="s">
        <v>12</v>
      </c>
      <c r="M843" s="8" t="str">
        <f>IF(Titanic[[#This Row],[Sobrevive]]=1, "SOBREVIVE", "NO SOBREVIVE")</f>
        <v>NO SOBREVIVE</v>
      </c>
      <c r="N843" s="8" t="str">
        <f>LOOKUP(Titanic[[#This Row],[Clase]],{1,2,3}, {"PRIMERA","SEGUNDA","TERCERA"})</f>
        <v>TERCERA</v>
      </c>
      <c r="O843" s="8" t="str">
        <f>IF(Titanic[[#This Row],[Sexo]]="Hombre", "HOMBRE", "MUJER")</f>
        <v>HOMBRE</v>
      </c>
      <c r="P843" s="8" t="str">
        <f>IF(Titanic[[#This Row],[Edad]]="", "", IF(Titanic[[#This Row],[Edad]]&gt;=100, Titanic[[#This Row],[Edad]] / 10, Titanic[[#This Row],[Edad]]))</f>
        <v/>
      </c>
      <c r="Q843" s="8" t="str">
        <f>IFERROR(LOOKUP(Titanic[[#This Row],[Edad Corrigida]],'Práctica 1'!$K$231:$K$240,'Práctica 1'!$L$231:$L$240), "DESCONOCIDO")</f>
        <v>DESCONOCIDO</v>
      </c>
      <c r="R843" s="8">
        <f>Titanic[[#This Row],[Familia Horizontal]]+Titanic[[#This Row],[Familia Vertical]]</f>
        <v>0</v>
      </c>
      <c r="S843" s="8"/>
      <c r="T843" s="8"/>
      <c r="U843" s="8"/>
      <c r="V843" s="8"/>
    </row>
    <row r="844" spans="2:22" x14ac:dyDescent="0.2">
      <c r="B844" s="6">
        <v>839</v>
      </c>
      <c r="C844" s="7">
        <v>1</v>
      </c>
      <c r="D844" s="8">
        <v>3</v>
      </c>
      <c r="E844" s="8" t="s">
        <v>853</v>
      </c>
      <c r="F844" s="8" t="s">
        <v>11</v>
      </c>
      <c r="G844" s="8">
        <v>32</v>
      </c>
      <c r="H844" s="8">
        <v>0</v>
      </c>
      <c r="I844" s="8">
        <v>0</v>
      </c>
      <c r="J844" s="8">
        <v>564958</v>
      </c>
      <c r="K844" s="8">
        <v>0</v>
      </c>
      <c r="L844" s="8" t="s">
        <v>12</v>
      </c>
      <c r="M844" s="8" t="str">
        <f>IF(Titanic[[#This Row],[Sobrevive]]=1, "SOBREVIVE", "NO SOBREVIVE")</f>
        <v>SOBREVIVE</v>
      </c>
      <c r="N844" s="8" t="str">
        <f>LOOKUP(Titanic[[#This Row],[Clase]],{1,2,3}, {"PRIMERA","SEGUNDA","TERCERA"})</f>
        <v>TERCERA</v>
      </c>
      <c r="O844" s="8" t="str">
        <f>IF(Titanic[[#This Row],[Sexo]]="Hombre", "HOMBRE", "MUJER")</f>
        <v>HOMBRE</v>
      </c>
      <c r="P844" s="8">
        <f>IF(Titanic[[#This Row],[Edad]]="", "", IF(Titanic[[#This Row],[Edad]]&gt;=100, Titanic[[#This Row],[Edad]] / 10, Titanic[[#This Row],[Edad]]))</f>
        <v>32</v>
      </c>
      <c r="Q844" s="8" t="str">
        <f>IFERROR(LOOKUP(Titanic[[#This Row],[Edad Corrigida]],'Práctica 1'!$K$231:$K$240,'Práctica 1'!$L$231:$L$240), "DESCONOCIDO")</f>
        <v>6. ADULTO 1</v>
      </c>
      <c r="R844" s="8">
        <f>Titanic[[#This Row],[Familia Horizontal]]+Titanic[[#This Row],[Familia Vertical]]</f>
        <v>0</v>
      </c>
      <c r="S844" s="8"/>
      <c r="T844" s="8"/>
      <c r="U844" s="8"/>
      <c r="V844" s="8"/>
    </row>
    <row r="845" spans="2:22" x14ac:dyDescent="0.2">
      <c r="B845" s="6">
        <v>840</v>
      </c>
      <c r="C845" s="7">
        <v>1</v>
      </c>
      <c r="D845" s="8">
        <v>1</v>
      </c>
      <c r="E845" s="8" t="s">
        <v>854</v>
      </c>
      <c r="F845" s="8" t="s">
        <v>11</v>
      </c>
      <c r="G845" s="9"/>
      <c r="H845" s="8">
        <v>0</v>
      </c>
      <c r="I845" s="8">
        <v>0</v>
      </c>
      <c r="J845" s="8">
        <v>297</v>
      </c>
      <c r="K845" s="8">
        <v>1</v>
      </c>
      <c r="L845" s="8" t="s">
        <v>15</v>
      </c>
      <c r="M845" s="8" t="str">
        <f>IF(Titanic[[#This Row],[Sobrevive]]=1, "SOBREVIVE", "NO SOBREVIVE")</f>
        <v>SOBREVIVE</v>
      </c>
      <c r="N845" s="8" t="str">
        <f>LOOKUP(Titanic[[#This Row],[Clase]],{1,2,3}, {"PRIMERA","SEGUNDA","TERCERA"})</f>
        <v>PRIMERA</v>
      </c>
      <c r="O845" s="8" t="str">
        <f>IF(Titanic[[#This Row],[Sexo]]="Hombre", "HOMBRE", "MUJER")</f>
        <v>HOMBRE</v>
      </c>
      <c r="P845" s="8" t="str">
        <f>IF(Titanic[[#This Row],[Edad]]="", "", IF(Titanic[[#This Row],[Edad]]&gt;=100, Titanic[[#This Row],[Edad]] / 10, Titanic[[#This Row],[Edad]]))</f>
        <v/>
      </c>
      <c r="Q845" s="8" t="str">
        <f>IFERROR(LOOKUP(Titanic[[#This Row],[Edad Corrigida]],'Práctica 1'!$K$231:$K$240,'Práctica 1'!$L$231:$L$240), "DESCONOCIDO")</f>
        <v>DESCONOCIDO</v>
      </c>
      <c r="R845" s="8">
        <f>Titanic[[#This Row],[Familia Horizontal]]+Titanic[[#This Row],[Familia Vertical]]</f>
        <v>0</v>
      </c>
      <c r="S845" s="8"/>
      <c r="T845" s="8"/>
      <c r="U845" s="8"/>
      <c r="V845" s="8"/>
    </row>
    <row r="846" spans="2:22" x14ac:dyDescent="0.2">
      <c r="B846" s="6">
        <v>841</v>
      </c>
      <c r="C846" s="7">
        <v>0</v>
      </c>
      <c r="D846" s="8">
        <v>3</v>
      </c>
      <c r="E846" s="8" t="s">
        <v>855</v>
      </c>
      <c r="F846" s="8" t="s">
        <v>11</v>
      </c>
      <c r="G846" s="8">
        <v>20</v>
      </c>
      <c r="H846" s="8">
        <v>0</v>
      </c>
      <c r="I846" s="8">
        <v>0</v>
      </c>
      <c r="J846" s="8">
        <v>7925</v>
      </c>
      <c r="K846" s="8">
        <v>0</v>
      </c>
      <c r="L846" s="8" t="s">
        <v>12</v>
      </c>
      <c r="M846" s="8" t="str">
        <f>IF(Titanic[[#This Row],[Sobrevive]]=1, "SOBREVIVE", "NO SOBREVIVE")</f>
        <v>NO SOBREVIVE</v>
      </c>
      <c r="N846" s="8" t="str">
        <f>LOOKUP(Titanic[[#This Row],[Clase]],{1,2,3}, {"PRIMERA","SEGUNDA","TERCERA"})</f>
        <v>TERCERA</v>
      </c>
      <c r="O846" s="8" t="str">
        <f>IF(Titanic[[#This Row],[Sexo]]="Hombre", "HOMBRE", "MUJER")</f>
        <v>HOMBRE</v>
      </c>
      <c r="P846" s="8">
        <f>IF(Titanic[[#This Row],[Edad]]="", "", IF(Titanic[[#This Row],[Edad]]&gt;=100, Titanic[[#This Row],[Edad]] / 10, Titanic[[#This Row],[Edad]]))</f>
        <v>20</v>
      </c>
      <c r="Q846" s="8" t="str">
        <f>IFERROR(LOOKUP(Titanic[[#This Row],[Edad Corrigida]],'Práctica 1'!$K$231:$K$240,'Práctica 1'!$L$231:$L$240), "DESCONOCIDO")</f>
        <v>2. ADOLESCENTE</v>
      </c>
      <c r="R846" s="8">
        <f>Titanic[[#This Row],[Familia Horizontal]]+Titanic[[#This Row],[Familia Vertical]]</f>
        <v>0</v>
      </c>
      <c r="S846" s="8"/>
      <c r="T846" s="8"/>
      <c r="U846" s="8"/>
      <c r="V846" s="8"/>
    </row>
    <row r="847" spans="2:22" x14ac:dyDescent="0.2">
      <c r="B847" s="6">
        <v>842</v>
      </c>
      <c r="C847" s="7">
        <v>0</v>
      </c>
      <c r="D847" s="8">
        <v>2</v>
      </c>
      <c r="E847" s="8" t="s">
        <v>856</v>
      </c>
      <c r="F847" s="8" t="s">
        <v>11</v>
      </c>
      <c r="G847" s="8">
        <v>16</v>
      </c>
      <c r="H847" s="8">
        <v>0</v>
      </c>
      <c r="I847" s="8">
        <v>0</v>
      </c>
      <c r="J847" s="8">
        <v>105</v>
      </c>
      <c r="K847" s="8">
        <v>0</v>
      </c>
      <c r="L847" s="8" t="s">
        <v>12</v>
      </c>
      <c r="M847" s="8" t="str">
        <f>IF(Titanic[[#This Row],[Sobrevive]]=1, "SOBREVIVE", "NO SOBREVIVE")</f>
        <v>NO SOBREVIVE</v>
      </c>
      <c r="N847" s="8" t="str">
        <f>LOOKUP(Titanic[[#This Row],[Clase]],{1,2,3}, {"PRIMERA","SEGUNDA","TERCERA"})</f>
        <v>SEGUNDA</v>
      </c>
      <c r="O847" s="8" t="str">
        <f>IF(Titanic[[#This Row],[Sexo]]="Hombre", "HOMBRE", "MUJER")</f>
        <v>HOMBRE</v>
      </c>
      <c r="P847" s="8">
        <f>IF(Titanic[[#This Row],[Edad]]="", "", IF(Titanic[[#This Row],[Edad]]&gt;=100, Titanic[[#This Row],[Edad]] / 10, Titanic[[#This Row],[Edad]]))</f>
        <v>16</v>
      </c>
      <c r="Q847" s="8" t="str">
        <f>IFERROR(LOOKUP(Titanic[[#This Row],[Edad Corrigida]],'Práctica 1'!$K$231:$K$240,'Práctica 1'!$L$231:$L$240), "DESCONOCIDO")</f>
        <v>1. INFANTE</v>
      </c>
      <c r="R847" s="8">
        <f>Titanic[[#This Row],[Familia Horizontal]]+Titanic[[#This Row],[Familia Vertical]]</f>
        <v>0</v>
      </c>
      <c r="S847" s="8"/>
      <c r="T847" s="8"/>
      <c r="U847" s="8"/>
      <c r="V847" s="8"/>
    </row>
    <row r="848" spans="2:22" x14ac:dyDescent="0.2">
      <c r="B848" s="6">
        <v>843</v>
      </c>
      <c r="C848" s="7">
        <v>1</v>
      </c>
      <c r="D848" s="8">
        <v>1</v>
      </c>
      <c r="E848" s="8" t="s">
        <v>857</v>
      </c>
      <c r="F848" s="8" t="s">
        <v>14</v>
      </c>
      <c r="G848" s="8">
        <v>30</v>
      </c>
      <c r="H848" s="8">
        <v>0</v>
      </c>
      <c r="I848" s="8">
        <v>0</v>
      </c>
      <c r="J848" s="8">
        <v>31</v>
      </c>
      <c r="K848" s="8">
        <v>0</v>
      </c>
      <c r="L848" s="8" t="s">
        <v>15</v>
      </c>
      <c r="M848" s="8" t="str">
        <f>IF(Titanic[[#This Row],[Sobrevive]]=1, "SOBREVIVE", "NO SOBREVIVE")</f>
        <v>SOBREVIVE</v>
      </c>
      <c r="N848" s="8" t="str">
        <f>LOOKUP(Titanic[[#This Row],[Clase]],{1,2,3}, {"PRIMERA","SEGUNDA","TERCERA"})</f>
        <v>PRIMERA</v>
      </c>
      <c r="O848" s="8" t="str">
        <f>IF(Titanic[[#This Row],[Sexo]]="Hombre", "HOMBRE", "MUJER")</f>
        <v>MUJER</v>
      </c>
      <c r="P848" s="8">
        <f>IF(Titanic[[#This Row],[Edad]]="", "", IF(Titanic[[#This Row],[Edad]]&gt;=100, Titanic[[#This Row],[Edad]] / 10, Titanic[[#This Row],[Edad]]))</f>
        <v>30</v>
      </c>
      <c r="Q848" s="8" t="str">
        <f>IFERROR(LOOKUP(Titanic[[#This Row],[Edad Corrigida]],'Práctica 1'!$K$231:$K$240,'Práctica 1'!$L$231:$L$240), "DESCONOCIDO")</f>
        <v>5. ADULTO</v>
      </c>
      <c r="R848" s="8">
        <f>Titanic[[#This Row],[Familia Horizontal]]+Titanic[[#This Row],[Familia Vertical]]</f>
        <v>0</v>
      </c>
      <c r="S848" s="8"/>
      <c r="T848" s="8"/>
      <c r="U848" s="8"/>
      <c r="V848" s="8"/>
    </row>
    <row r="849" spans="2:22" x14ac:dyDescent="0.2">
      <c r="B849" s="6">
        <v>844</v>
      </c>
      <c r="C849" s="7">
        <v>0</v>
      </c>
      <c r="D849" s="8">
        <v>3</v>
      </c>
      <c r="E849" s="8" t="s">
        <v>858</v>
      </c>
      <c r="F849" s="8" t="s">
        <v>11</v>
      </c>
      <c r="G849" s="8">
        <v>345</v>
      </c>
      <c r="H849" s="8">
        <v>0</v>
      </c>
      <c r="I849" s="8">
        <v>0</v>
      </c>
      <c r="J849" s="8">
        <v>64375</v>
      </c>
      <c r="K849" s="8">
        <v>0</v>
      </c>
      <c r="L849" s="8" t="s">
        <v>15</v>
      </c>
      <c r="M849" s="8" t="str">
        <f>IF(Titanic[[#This Row],[Sobrevive]]=1, "SOBREVIVE", "NO SOBREVIVE")</f>
        <v>NO SOBREVIVE</v>
      </c>
      <c r="N849" s="8" t="str">
        <f>LOOKUP(Titanic[[#This Row],[Clase]],{1,2,3}, {"PRIMERA","SEGUNDA","TERCERA"})</f>
        <v>TERCERA</v>
      </c>
      <c r="O849" s="8" t="str">
        <f>IF(Titanic[[#This Row],[Sexo]]="Hombre", "HOMBRE", "MUJER")</f>
        <v>HOMBRE</v>
      </c>
      <c r="P849" s="8">
        <f>IF(Titanic[[#This Row],[Edad]]="", "", IF(Titanic[[#This Row],[Edad]]&gt;=100, Titanic[[#This Row],[Edad]] / 10, Titanic[[#This Row],[Edad]]))</f>
        <v>34.5</v>
      </c>
      <c r="Q849" s="8" t="str">
        <f>IFERROR(LOOKUP(Titanic[[#This Row],[Edad Corrigida]],'Práctica 1'!$K$231:$K$240,'Práctica 1'!$L$231:$L$240), "DESCONOCIDO")</f>
        <v>6. ADULTO 1</v>
      </c>
      <c r="R849" s="8">
        <f>Titanic[[#This Row],[Familia Horizontal]]+Titanic[[#This Row],[Familia Vertical]]</f>
        <v>0</v>
      </c>
      <c r="S849" s="8"/>
      <c r="T849" s="8"/>
      <c r="U849" s="8"/>
      <c r="V849" s="8"/>
    </row>
    <row r="850" spans="2:22" x14ac:dyDescent="0.2">
      <c r="B850" s="6">
        <v>845</v>
      </c>
      <c r="C850" s="7">
        <v>0</v>
      </c>
      <c r="D850" s="8">
        <v>3</v>
      </c>
      <c r="E850" s="8" t="s">
        <v>859</v>
      </c>
      <c r="F850" s="8" t="s">
        <v>11</v>
      </c>
      <c r="G850" s="8">
        <v>17</v>
      </c>
      <c r="H850" s="8">
        <v>0</v>
      </c>
      <c r="I850" s="8">
        <v>0</v>
      </c>
      <c r="J850" s="8">
        <v>86625</v>
      </c>
      <c r="K850" s="8">
        <v>0</v>
      </c>
      <c r="L850" s="8" t="s">
        <v>12</v>
      </c>
      <c r="M850" s="8" t="str">
        <f>IF(Titanic[[#This Row],[Sobrevive]]=1, "SOBREVIVE", "NO SOBREVIVE")</f>
        <v>NO SOBREVIVE</v>
      </c>
      <c r="N850" s="8" t="str">
        <f>LOOKUP(Titanic[[#This Row],[Clase]],{1,2,3}, {"PRIMERA","SEGUNDA","TERCERA"})</f>
        <v>TERCERA</v>
      </c>
      <c r="O850" s="8" t="str">
        <f>IF(Titanic[[#This Row],[Sexo]]="Hombre", "HOMBRE", "MUJER")</f>
        <v>HOMBRE</v>
      </c>
      <c r="P850" s="8">
        <f>IF(Titanic[[#This Row],[Edad]]="", "", IF(Titanic[[#This Row],[Edad]]&gt;=100, Titanic[[#This Row],[Edad]] / 10, Titanic[[#This Row],[Edad]]))</f>
        <v>17</v>
      </c>
      <c r="Q850" s="8" t="str">
        <f>IFERROR(LOOKUP(Titanic[[#This Row],[Edad Corrigida]],'Práctica 1'!$K$231:$K$240,'Práctica 1'!$L$231:$L$240), "DESCONOCIDO")</f>
        <v>1. INFANTE</v>
      </c>
      <c r="R850" s="8">
        <f>Titanic[[#This Row],[Familia Horizontal]]+Titanic[[#This Row],[Familia Vertical]]</f>
        <v>0</v>
      </c>
      <c r="S850" s="8"/>
      <c r="T850" s="8"/>
      <c r="U850" s="8"/>
      <c r="V850" s="8"/>
    </row>
    <row r="851" spans="2:22" x14ac:dyDescent="0.2">
      <c r="B851" s="6">
        <v>846</v>
      </c>
      <c r="C851" s="7">
        <v>0</v>
      </c>
      <c r="D851" s="8">
        <v>3</v>
      </c>
      <c r="E851" s="8" t="s">
        <v>860</v>
      </c>
      <c r="F851" s="8" t="s">
        <v>11</v>
      </c>
      <c r="G851" s="8">
        <v>42</v>
      </c>
      <c r="H851" s="8">
        <v>0</v>
      </c>
      <c r="I851" s="8">
        <v>0</v>
      </c>
      <c r="J851" s="8">
        <v>755</v>
      </c>
      <c r="K851" s="8">
        <v>0</v>
      </c>
      <c r="L851" s="8" t="s">
        <v>12</v>
      </c>
      <c r="M851" s="8" t="str">
        <f>IF(Titanic[[#This Row],[Sobrevive]]=1, "SOBREVIVE", "NO SOBREVIVE")</f>
        <v>NO SOBREVIVE</v>
      </c>
      <c r="N851" s="8" t="str">
        <f>LOOKUP(Titanic[[#This Row],[Clase]],{1,2,3}, {"PRIMERA","SEGUNDA","TERCERA"})</f>
        <v>TERCERA</v>
      </c>
      <c r="O851" s="8" t="str">
        <f>IF(Titanic[[#This Row],[Sexo]]="Hombre", "HOMBRE", "MUJER")</f>
        <v>HOMBRE</v>
      </c>
      <c r="P851" s="8">
        <f>IF(Titanic[[#This Row],[Edad]]="", "", IF(Titanic[[#This Row],[Edad]]&gt;=100, Titanic[[#This Row],[Edad]] / 10, Titanic[[#This Row],[Edad]]))</f>
        <v>42</v>
      </c>
      <c r="Q851" s="8" t="str">
        <f>IFERROR(LOOKUP(Titanic[[#This Row],[Edad Corrigida]],'Práctica 1'!$K$231:$K$240,'Práctica 1'!$L$231:$L$240), "DESCONOCIDO")</f>
        <v>8. ADULTO 3</v>
      </c>
      <c r="R851" s="8">
        <f>Titanic[[#This Row],[Familia Horizontal]]+Titanic[[#This Row],[Familia Vertical]]</f>
        <v>0</v>
      </c>
      <c r="S851" s="8"/>
      <c r="T851" s="8"/>
      <c r="U851" s="8"/>
      <c r="V851" s="8"/>
    </row>
    <row r="852" spans="2:22" x14ac:dyDescent="0.2">
      <c r="B852" s="6">
        <v>847</v>
      </c>
      <c r="C852" s="7">
        <v>0</v>
      </c>
      <c r="D852" s="8">
        <v>3</v>
      </c>
      <c r="E852" s="8" t="s">
        <v>861</v>
      </c>
      <c r="F852" s="8" t="s">
        <v>11</v>
      </c>
      <c r="G852" s="9"/>
      <c r="H852" s="8">
        <v>8</v>
      </c>
      <c r="I852" s="8">
        <v>2</v>
      </c>
      <c r="J852" s="8">
        <v>6955</v>
      </c>
      <c r="K852" s="8">
        <v>0</v>
      </c>
      <c r="L852" s="8" t="s">
        <v>12</v>
      </c>
      <c r="M852" s="8" t="str">
        <f>IF(Titanic[[#This Row],[Sobrevive]]=1, "SOBREVIVE", "NO SOBREVIVE")</f>
        <v>NO SOBREVIVE</v>
      </c>
      <c r="N852" s="8" t="str">
        <f>LOOKUP(Titanic[[#This Row],[Clase]],{1,2,3}, {"PRIMERA","SEGUNDA","TERCERA"})</f>
        <v>TERCERA</v>
      </c>
      <c r="O852" s="8" t="str">
        <f>IF(Titanic[[#This Row],[Sexo]]="Hombre", "HOMBRE", "MUJER")</f>
        <v>HOMBRE</v>
      </c>
      <c r="P852" s="8" t="str">
        <f>IF(Titanic[[#This Row],[Edad]]="", "", IF(Titanic[[#This Row],[Edad]]&gt;=100, Titanic[[#This Row],[Edad]] / 10, Titanic[[#This Row],[Edad]]))</f>
        <v/>
      </c>
      <c r="Q852" s="8" t="str">
        <f>IFERROR(LOOKUP(Titanic[[#This Row],[Edad Corrigida]],'Práctica 1'!$K$231:$K$240,'Práctica 1'!$L$231:$L$240), "DESCONOCIDO")</f>
        <v>DESCONOCIDO</v>
      </c>
      <c r="R852" s="8">
        <f>Titanic[[#This Row],[Familia Horizontal]]+Titanic[[#This Row],[Familia Vertical]]</f>
        <v>10</v>
      </c>
      <c r="S852" s="8"/>
      <c r="T852" s="8"/>
      <c r="U852" s="8"/>
      <c r="V852" s="8"/>
    </row>
    <row r="853" spans="2:22" x14ac:dyDescent="0.2">
      <c r="B853" s="6">
        <v>848</v>
      </c>
      <c r="C853" s="7">
        <v>0</v>
      </c>
      <c r="D853" s="8">
        <v>3</v>
      </c>
      <c r="E853" s="8" t="s">
        <v>862</v>
      </c>
      <c r="F853" s="8" t="s">
        <v>11</v>
      </c>
      <c r="G853" s="8">
        <v>35</v>
      </c>
      <c r="H853" s="8">
        <v>0</v>
      </c>
      <c r="I853" s="8">
        <v>0</v>
      </c>
      <c r="J853" s="8">
        <v>78958</v>
      </c>
      <c r="K853" s="8">
        <v>0</v>
      </c>
      <c r="L853" s="8" t="s">
        <v>15</v>
      </c>
      <c r="M853" s="8" t="str">
        <f>IF(Titanic[[#This Row],[Sobrevive]]=1, "SOBREVIVE", "NO SOBREVIVE")</f>
        <v>NO SOBREVIVE</v>
      </c>
      <c r="N853" s="8" t="str">
        <f>LOOKUP(Titanic[[#This Row],[Clase]],{1,2,3}, {"PRIMERA","SEGUNDA","TERCERA"})</f>
        <v>TERCERA</v>
      </c>
      <c r="O853" s="8" t="str">
        <f>IF(Titanic[[#This Row],[Sexo]]="Hombre", "HOMBRE", "MUJER")</f>
        <v>HOMBRE</v>
      </c>
      <c r="P853" s="8">
        <f>IF(Titanic[[#This Row],[Edad]]="", "", IF(Titanic[[#This Row],[Edad]]&gt;=100, Titanic[[#This Row],[Edad]] / 10, Titanic[[#This Row],[Edad]]))</f>
        <v>35</v>
      </c>
      <c r="Q853" s="8" t="str">
        <f>IFERROR(LOOKUP(Titanic[[#This Row],[Edad Corrigida]],'Práctica 1'!$K$231:$K$240,'Práctica 1'!$L$231:$L$240), "DESCONOCIDO")</f>
        <v>6. ADULTO 1</v>
      </c>
      <c r="R853" s="8">
        <f>Titanic[[#This Row],[Familia Horizontal]]+Titanic[[#This Row],[Familia Vertical]]</f>
        <v>0</v>
      </c>
      <c r="S853" s="8"/>
      <c r="T853" s="8"/>
      <c r="U853" s="8"/>
      <c r="V853" s="8"/>
    </row>
    <row r="854" spans="2:22" x14ac:dyDescent="0.2">
      <c r="B854" s="6">
        <v>849</v>
      </c>
      <c r="C854" s="7">
        <v>0</v>
      </c>
      <c r="D854" s="8">
        <v>2</v>
      </c>
      <c r="E854" s="8" t="s">
        <v>863</v>
      </c>
      <c r="F854" s="8" t="s">
        <v>11</v>
      </c>
      <c r="G854" s="8">
        <v>28</v>
      </c>
      <c r="H854" s="8">
        <v>0</v>
      </c>
      <c r="I854" s="8">
        <v>1</v>
      </c>
      <c r="J854" s="8">
        <v>33</v>
      </c>
      <c r="K854" s="8">
        <v>0</v>
      </c>
      <c r="L854" s="8" t="s">
        <v>12</v>
      </c>
      <c r="M854" s="8" t="str">
        <f>IF(Titanic[[#This Row],[Sobrevive]]=1, "SOBREVIVE", "NO SOBREVIVE")</f>
        <v>NO SOBREVIVE</v>
      </c>
      <c r="N854" s="8" t="str">
        <f>LOOKUP(Titanic[[#This Row],[Clase]],{1,2,3}, {"PRIMERA","SEGUNDA","TERCERA"})</f>
        <v>SEGUNDA</v>
      </c>
      <c r="O854" s="8" t="str">
        <f>IF(Titanic[[#This Row],[Sexo]]="Hombre", "HOMBRE", "MUJER")</f>
        <v>HOMBRE</v>
      </c>
      <c r="P854" s="8">
        <f>IF(Titanic[[#This Row],[Edad]]="", "", IF(Titanic[[#This Row],[Edad]]&gt;=100, Titanic[[#This Row],[Edad]] / 10, Titanic[[#This Row],[Edad]]))</f>
        <v>28</v>
      </c>
      <c r="Q854" s="8" t="str">
        <f>IFERROR(LOOKUP(Titanic[[#This Row],[Edad Corrigida]],'Práctica 1'!$K$231:$K$240,'Práctica 1'!$L$231:$L$240), "DESCONOCIDO")</f>
        <v>4. ADULTO JOVEN</v>
      </c>
      <c r="R854" s="8">
        <f>Titanic[[#This Row],[Familia Horizontal]]+Titanic[[#This Row],[Familia Vertical]]</f>
        <v>1</v>
      </c>
      <c r="S854" s="8"/>
      <c r="T854" s="8"/>
      <c r="U854" s="8"/>
      <c r="V854" s="8"/>
    </row>
    <row r="855" spans="2:22" x14ac:dyDescent="0.2">
      <c r="B855" s="6">
        <v>850</v>
      </c>
      <c r="C855" s="7">
        <v>1</v>
      </c>
      <c r="D855" s="8">
        <v>1</v>
      </c>
      <c r="E855" s="8" t="s">
        <v>864</v>
      </c>
      <c r="F855" s="8" t="s">
        <v>14</v>
      </c>
      <c r="G855" s="9"/>
      <c r="H855" s="8">
        <v>1</v>
      </c>
      <c r="I855" s="8">
        <v>0</v>
      </c>
      <c r="J855" s="8">
        <v>891042</v>
      </c>
      <c r="K855" s="8">
        <v>1</v>
      </c>
      <c r="L855" s="8" t="s">
        <v>15</v>
      </c>
      <c r="M855" s="8" t="str">
        <f>IF(Titanic[[#This Row],[Sobrevive]]=1, "SOBREVIVE", "NO SOBREVIVE")</f>
        <v>SOBREVIVE</v>
      </c>
      <c r="N855" s="8" t="str">
        <f>LOOKUP(Titanic[[#This Row],[Clase]],{1,2,3}, {"PRIMERA","SEGUNDA","TERCERA"})</f>
        <v>PRIMERA</v>
      </c>
      <c r="O855" s="8" t="str">
        <f>IF(Titanic[[#This Row],[Sexo]]="Hombre", "HOMBRE", "MUJER")</f>
        <v>MUJER</v>
      </c>
      <c r="P855" s="8" t="str">
        <f>IF(Titanic[[#This Row],[Edad]]="", "", IF(Titanic[[#This Row],[Edad]]&gt;=100, Titanic[[#This Row],[Edad]] / 10, Titanic[[#This Row],[Edad]]))</f>
        <v/>
      </c>
      <c r="Q855" s="8" t="str">
        <f>IFERROR(LOOKUP(Titanic[[#This Row],[Edad Corrigida]],'Práctica 1'!$K$231:$K$240,'Práctica 1'!$L$231:$L$240), "DESCONOCIDO")</f>
        <v>DESCONOCIDO</v>
      </c>
      <c r="R855" s="8">
        <f>Titanic[[#This Row],[Familia Horizontal]]+Titanic[[#This Row],[Familia Vertical]]</f>
        <v>1</v>
      </c>
      <c r="S855" s="8"/>
      <c r="T855" s="8"/>
      <c r="U855" s="8"/>
      <c r="V855" s="8"/>
    </row>
    <row r="856" spans="2:22" x14ac:dyDescent="0.2">
      <c r="B856" s="6">
        <v>851</v>
      </c>
      <c r="C856" s="7">
        <v>0</v>
      </c>
      <c r="D856" s="8">
        <v>3</v>
      </c>
      <c r="E856" s="8" t="s">
        <v>865</v>
      </c>
      <c r="F856" s="8" t="s">
        <v>11</v>
      </c>
      <c r="G856" s="8">
        <v>4</v>
      </c>
      <c r="H856" s="8">
        <v>4</v>
      </c>
      <c r="I856" s="8">
        <v>2</v>
      </c>
      <c r="J856" s="8">
        <v>31275</v>
      </c>
      <c r="K856" s="8">
        <v>0</v>
      </c>
      <c r="L856" s="8" t="s">
        <v>12</v>
      </c>
      <c r="M856" s="8" t="str">
        <f>IF(Titanic[[#This Row],[Sobrevive]]=1, "SOBREVIVE", "NO SOBREVIVE")</f>
        <v>NO SOBREVIVE</v>
      </c>
      <c r="N856" s="8" t="str">
        <f>LOOKUP(Titanic[[#This Row],[Clase]],{1,2,3}, {"PRIMERA","SEGUNDA","TERCERA"})</f>
        <v>TERCERA</v>
      </c>
      <c r="O856" s="8" t="str">
        <f>IF(Titanic[[#This Row],[Sexo]]="Hombre", "HOMBRE", "MUJER")</f>
        <v>HOMBRE</v>
      </c>
      <c r="P856" s="8">
        <f>IF(Titanic[[#This Row],[Edad]]="", "", IF(Titanic[[#This Row],[Edad]]&gt;=100, Titanic[[#This Row],[Edad]] / 10, Titanic[[#This Row],[Edad]]))</f>
        <v>4</v>
      </c>
      <c r="Q856" s="8" t="str">
        <f>IFERROR(LOOKUP(Titanic[[#This Row],[Edad Corrigida]],'Práctica 1'!$K$231:$K$240,'Práctica 1'!$L$231:$L$240), "DESCONOCIDO")</f>
        <v>DESCONOCIDO</v>
      </c>
      <c r="R856" s="8">
        <f>Titanic[[#This Row],[Familia Horizontal]]+Titanic[[#This Row],[Familia Vertical]]</f>
        <v>6</v>
      </c>
      <c r="S856" s="8"/>
      <c r="T856" s="8"/>
      <c r="U856" s="8"/>
      <c r="V856" s="8"/>
    </row>
    <row r="857" spans="2:22" x14ac:dyDescent="0.2">
      <c r="B857" s="6">
        <v>852</v>
      </c>
      <c r="C857" s="7">
        <v>0</v>
      </c>
      <c r="D857" s="8">
        <v>3</v>
      </c>
      <c r="E857" s="8" t="s">
        <v>866</v>
      </c>
      <c r="F857" s="8" t="s">
        <v>11</v>
      </c>
      <c r="G857" s="8">
        <v>74</v>
      </c>
      <c r="H857" s="8">
        <v>0</v>
      </c>
      <c r="I857" s="8">
        <v>0</v>
      </c>
      <c r="J857" s="8">
        <v>7775</v>
      </c>
      <c r="K857" s="8">
        <v>0</v>
      </c>
      <c r="L857" s="8" t="s">
        <v>12</v>
      </c>
      <c r="M857" s="8" t="str">
        <f>IF(Titanic[[#This Row],[Sobrevive]]=1, "SOBREVIVE", "NO SOBREVIVE")</f>
        <v>NO SOBREVIVE</v>
      </c>
      <c r="N857" s="8" t="str">
        <f>LOOKUP(Titanic[[#This Row],[Clase]],{1,2,3}, {"PRIMERA","SEGUNDA","TERCERA"})</f>
        <v>TERCERA</v>
      </c>
      <c r="O857" s="8" t="str">
        <f>IF(Titanic[[#This Row],[Sexo]]="Hombre", "HOMBRE", "MUJER")</f>
        <v>HOMBRE</v>
      </c>
      <c r="P857" s="8">
        <f>IF(Titanic[[#This Row],[Edad]]="", "", IF(Titanic[[#This Row],[Edad]]&gt;=100, Titanic[[#This Row],[Edad]] / 10, Titanic[[#This Row],[Edad]]))</f>
        <v>74</v>
      </c>
      <c r="Q857" s="8" t="str">
        <f>IFERROR(LOOKUP(Titanic[[#This Row],[Edad Corrigida]],'Práctica 1'!$K$231:$K$240,'Práctica 1'!$L$231:$L$240), "DESCONOCIDO")</f>
        <v>9. ADULTO 4</v>
      </c>
      <c r="R857" s="8">
        <f>Titanic[[#This Row],[Familia Horizontal]]+Titanic[[#This Row],[Familia Vertical]]</f>
        <v>0</v>
      </c>
      <c r="S857" s="8"/>
      <c r="T857" s="8"/>
      <c r="U857" s="8"/>
      <c r="V857" s="8"/>
    </row>
    <row r="858" spans="2:22" x14ac:dyDescent="0.2">
      <c r="B858" s="6">
        <v>853</v>
      </c>
      <c r="C858" s="7">
        <v>0</v>
      </c>
      <c r="D858" s="8">
        <v>3</v>
      </c>
      <c r="E858" s="8" t="s">
        <v>867</v>
      </c>
      <c r="F858" s="8" t="s">
        <v>14</v>
      </c>
      <c r="G858" s="8">
        <v>9</v>
      </c>
      <c r="H858" s="8">
        <v>1</v>
      </c>
      <c r="I858" s="8">
        <v>1</v>
      </c>
      <c r="J858" s="8">
        <v>152458</v>
      </c>
      <c r="K858" s="8">
        <v>0</v>
      </c>
      <c r="L858" s="8" t="s">
        <v>15</v>
      </c>
      <c r="M858" s="8" t="str">
        <f>IF(Titanic[[#This Row],[Sobrevive]]=1, "SOBREVIVE", "NO SOBREVIVE")</f>
        <v>NO SOBREVIVE</v>
      </c>
      <c r="N858" s="8" t="str">
        <f>LOOKUP(Titanic[[#This Row],[Clase]],{1,2,3}, {"PRIMERA","SEGUNDA","TERCERA"})</f>
        <v>TERCERA</v>
      </c>
      <c r="O858" s="8" t="str">
        <f>IF(Titanic[[#This Row],[Sexo]]="Hombre", "HOMBRE", "MUJER")</f>
        <v>MUJER</v>
      </c>
      <c r="P858" s="8">
        <f>IF(Titanic[[#This Row],[Edad]]="", "", IF(Titanic[[#This Row],[Edad]]&gt;=100, Titanic[[#This Row],[Edad]] / 10, Titanic[[#This Row],[Edad]]))</f>
        <v>9</v>
      </c>
      <c r="Q858" s="8" t="str">
        <f>IFERROR(LOOKUP(Titanic[[#This Row],[Edad Corrigida]],'Práctica 1'!$K$231:$K$240,'Práctica 1'!$L$231:$L$240), "DESCONOCIDO")</f>
        <v>DESCONOCIDO</v>
      </c>
      <c r="R858" s="8">
        <f>Titanic[[#This Row],[Familia Horizontal]]+Titanic[[#This Row],[Familia Vertical]]</f>
        <v>2</v>
      </c>
      <c r="S858" s="8"/>
      <c r="T858" s="8"/>
      <c r="U858" s="8"/>
      <c r="V858" s="8"/>
    </row>
    <row r="859" spans="2:22" x14ac:dyDescent="0.2">
      <c r="B859" s="6">
        <v>854</v>
      </c>
      <c r="C859" s="7">
        <v>1</v>
      </c>
      <c r="D859" s="8">
        <v>1</v>
      </c>
      <c r="E859" s="8" t="s">
        <v>868</v>
      </c>
      <c r="F859" s="8" t="s">
        <v>14</v>
      </c>
      <c r="G859" s="8">
        <v>16</v>
      </c>
      <c r="H859" s="8">
        <v>0</v>
      </c>
      <c r="I859" s="8">
        <v>1</v>
      </c>
      <c r="J859" s="8">
        <v>394</v>
      </c>
      <c r="K859" s="8">
        <v>1</v>
      </c>
      <c r="L859" s="8" t="s">
        <v>12</v>
      </c>
      <c r="M859" s="8" t="str">
        <f>IF(Titanic[[#This Row],[Sobrevive]]=1, "SOBREVIVE", "NO SOBREVIVE")</f>
        <v>SOBREVIVE</v>
      </c>
      <c r="N859" s="8" t="str">
        <f>LOOKUP(Titanic[[#This Row],[Clase]],{1,2,3}, {"PRIMERA","SEGUNDA","TERCERA"})</f>
        <v>PRIMERA</v>
      </c>
      <c r="O859" s="8" t="str">
        <f>IF(Titanic[[#This Row],[Sexo]]="Hombre", "HOMBRE", "MUJER")</f>
        <v>MUJER</v>
      </c>
      <c r="P859" s="8">
        <f>IF(Titanic[[#This Row],[Edad]]="", "", IF(Titanic[[#This Row],[Edad]]&gt;=100, Titanic[[#This Row],[Edad]] / 10, Titanic[[#This Row],[Edad]]))</f>
        <v>16</v>
      </c>
      <c r="Q859" s="8" t="str">
        <f>IFERROR(LOOKUP(Titanic[[#This Row],[Edad Corrigida]],'Práctica 1'!$K$231:$K$240,'Práctica 1'!$L$231:$L$240), "DESCONOCIDO")</f>
        <v>1. INFANTE</v>
      </c>
      <c r="R859" s="8">
        <f>Titanic[[#This Row],[Familia Horizontal]]+Titanic[[#This Row],[Familia Vertical]]</f>
        <v>1</v>
      </c>
      <c r="S859" s="8"/>
      <c r="T859" s="8"/>
      <c r="U859" s="8"/>
      <c r="V859" s="8"/>
    </row>
    <row r="860" spans="2:22" x14ac:dyDescent="0.2">
      <c r="B860" s="6">
        <v>855</v>
      </c>
      <c r="C860" s="7">
        <v>0</v>
      </c>
      <c r="D860" s="8">
        <v>2</v>
      </c>
      <c r="E860" s="8" t="s">
        <v>869</v>
      </c>
      <c r="F860" s="8" t="s">
        <v>14</v>
      </c>
      <c r="G860" s="8">
        <v>44</v>
      </c>
      <c r="H860" s="8">
        <v>1</v>
      </c>
      <c r="I860" s="8">
        <v>0</v>
      </c>
      <c r="J860" s="8">
        <v>26</v>
      </c>
      <c r="K860" s="8">
        <v>0</v>
      </c>
      <c r="L860" s="8" t="s">
        <v>12</v>
      </c>
      <c r="M860" s="8" t="str">
        <f>IF(Titanic[[#This Row],[Sobrevive]]=1, "SOBREVIVE", "NO SOBREVIVE")</f>
        <v>NO SOBREVIVE</v>
      </c>
      <c r="N860" s="8" t="str">
        <f>LOOKUP(Titanic[[#This Row],[Clase]],{1,2,3}, {"PRIMERA","SEGUNDA","TERCERA"})</f>
        <v>SEGUNDA</v>
      </c>
      <c r="O860" s="8" t="str">
        <f>IF(Titanic[[#This Row],[Sexo]]="Hombre", "HOMBRE", "MUJER")</f>
        <v>MUJER</v>
      </c>
      <c r="P860" s="8">
        <f>IF(Titanic[[#This Row],[Edad]]="", "", IF(Titanic[[#This Row],[Edad]]&gt;=100, Titanic[[#This Row],[Edad]] / 10, Titanic[[#This Row],[Edad]]))</f>
        <v>44</v>
      </c>
      <c r="Q860" s="8" t="str">
        <f>IFERROR(LOOKUP(Titanic[[#This Row],[Edad Corrigida]],'Práctica 1'!$K$231:$K$240,'Práctica 1'!$L$231:$L$240), "DESCONOCIDO")</f>
        <v>8. ADULTO 3</v>
      </c>
      <c r="R860" s="8">
        <f>Titanic[[#This Row],[Familia Horizontal]]+Titanic[[#This Row],[Familia Vertical]]</f>
        <v>1</v>
      </c>
      <c r="S860" s="8"/>
      <c r="T860" s="8"/>
      <c r="U860" s="8"/>
      <c r="V860" s="8"/>
    </row>
    <row r="861" spans="2:22" x14ac:dyDescent="0.2">
      <c r="B861" s="6">
        <v>856</v>
      </c>
      <c r="C861" s="7">
        <v>1</v>
      </c>
      <c r="D861" s="8">
        <v>3</v>
      </c>
      <c r="E861" s="8" t="s">
        <v>870</v>
      </c>
      <c r="F861" s="8" t="s">
        <v>14</v>
      </c>
      <c r="G861" s="8">
        <v>18</v>
      </c>
      <c r="H861" s="8">
        <v>0</v>
      </c>
      <c r="I861" s="8">
        <v>1</v>
      </c>
      <c r="J861" s="8">
        <v>935</v>
      </c>
      <c r="K861" s="8">
        <v>0</v>
      </c>
      <c r="L861" s="8" t="s">
        <v>12</v>
      </c>
      <c r="M861" s="8" t="str">
        <f>IF(Titanic[[#This Row],[Sobrevive]]=1, "SOBREVIVE", "NO SOBREVIVE")</f>
        <v>SOBREVIVE</v>
      </c>
      <c r="N861" s="8" t="str">
        <f>LOOKUP(Titanic[[#This Row],[Clase]],{1,2,3}, {"PRIMERA","SEGUNDA","TERCERA"})</f>
        <v>TERCERA</v>
      </c>
      <c r="O861" s="8" t="str">
        <f>IF(Titanic[[#This Row],[Sexo]]="Hombre", "HOMBRE", "MUJER")</f>
        <v>MUJER</v>
      </c>
      <c r="P861" s="8">
        <f>IF(Titanic[[#This Row],[Edad]]="", "", IF(Titanic[[#This Row],[Edad]]&gt;=100, Titanic[[#This Row],[Edad]] / 10, Titanic[[#This Row],[Edad]]))</f>
        <v>18</v>
      </c>
      <c r="Q861" s="8" t="str">
        <f>IFERROR(LOOKUP(Titanic[[#This Row],[Edad Corrigida]],'Práctica 1'!$K$231:$K$240,'Práctica 1'!$L$231:$L$240), "DESCONOCIDO")</f>
        <v>1. INFANTE</v>
      </c>
      <c r="R861" s="8">
        <f>Titanic[[#This Row],[Familia Horizontal]]+Titanic[[#This Row],[Familia Vertical]]</f>
        <v>1</v>
      </c>
      <c r="S861" s="8"/>
      <c r="T861" s="8"/>
      <c r="U861" s="8"/>
      <c r="V861" s="8"/>
    </row>
    <row r="862" spans="2:22" x14ac:dyDescent="0.2">
      <c r="B862" s="6">
        <v>857</v>
      </c>
      <c r="C862" s="7">
        <v>1</v>
      </c>
      <c r="D862" s="8">
        <v>1</v>
      </c>
      <c r="E862" s="8" t="s">
        <v>871</v>
      </c>
      <c r="F862" s="8" t="s">
        <v>14</v>
      </c>
      <c r="G862" s="8">
        <v>45</v>
      </c>
      <c r="H862" s="8">
        <v>1</v>
      </c>
      <c r="I862" s="8">
        <v>1</v>
      </c>
      <c r="J862" s="8">
        <v>1648667</v>
      </c>
      <c r="K862" s="8">
        <v>0</v>
      </c>
      <c r="L862" s="8" t="s">
        <v>12</v>
      </c>
      <c r="M862" s="8" t="str">
        <f>IF(Titanic[[#This Row],[Sobrevive]]=1, "SOBREVIVE", "NO SOBREVIVE")</f>
        <v>SOBREVIVE</v>
      </c>
      <c r="N862" s="8" t="str">
        <f>LOOKUP(Titanic[[#This Row],[Clase]],{1,2,3}, {"PRIMERA","SEGUNDA","TERCERA"})</f>
        <v>PRIMERA</v>
      </c>
      <c r="O862" s="8" t="str">
        <f>IF(Titanic[[#This Row],[Sexo]]="Hombre", "HOMBRE", "MUJER")</f>
        <v>MUJER</v>
      </c>
      <c r="P862" s="8">
        <f>IF(Titanic[[#This Row],[Edad]]="", "", IF(Titanic[[#This Row],[Edad]]&gt;=100, Titanic[[#This Row],[Edad]] / 10, Titanic[[#This Row],[Edad]]))</f>
        <v>45</v>
      </c>
      <c r="Q862" s="8" t="str">
        <f>IFERROR(LOOKUP(Titanic[[#This Row],[Edad Corrigida]],'Práctica 1'!$K$231:$K$240,'Práctica 1'!$L$231:$L$240), "DESCONOCIDO")</f>
        <v>8. ADULTO 3</v>
      </c>
      <c r="R862" s="8">
        <f>Titanic[[#This Row],[Familia Horizontal]]+Titanic[[#This Row],[Familia Vertical]]</f>
        <v>2</v>
      </c>
      <c r="S862" s="8"/>
      <c r="T862" s="8"/>
      <c r="U862" s="8"/>
      <c r="V862" s="8"/>
    </row>
    <row r="863" spans="2:22" x14ac:dyDescent="0.2">
      <c r="B863" s="6">
        <v>858</v>
      </c>
      <c r="C863" s="7">
        <v>1</v>
      </c>
      <c r="D863" s="8">
        <v>1</v>
      </c>
      <c r="E863" s="8" t="s">
        <v>872</v>
      </c>
      <c r="F863" s="8" t="s">
        <v>11</v>
      </c>
      <c r="G863" s="8">
        <v>51</v>
      </c>
      <c r="H863" s="8">
        <v>0</v>
      </c>
      <c r="I863" s="8">
        <v>0</v>
      </c>
      <c r="J863" s="8">
        <v>2655</v>
      </c>
      <c r="K863" s="8">
        <v>1</v>
      </c>
      <c r="L863" s="8" t="s">
        <v>12</v>
      </c>
      <c r="M863" s="8" t="str">
        <f>IF(Titanic[[#This Row],[Sobrevive]]=1, "SOBREVIVE", "NO SOBREVIVE")</f>
        <v>SOBREVIVE</v>
      </c>
      <c r="N863" s="8" t="str">
        <f>LOOKUP(Titanic[[#This Row],[Clase]],{1,2,3}, {"PRIMERA","SEGUNDA","TERCERA"})</f>
        <v>PRIMERA</v>
      </c>
      <c r="O863" s="8" t="str">
        <f>IF(Titanic[[#This Row],[Sexo]]="Hombre", "HOMBRE", "MUJER")</f>
        <v>HOMBRE</v>
      </c>
      <c r="P863" s="8">
        <f>IF(Titanic[[#This Row],[Edad]]="", "", IF(Titanic[[#This Row],[Edad]]&gt;=100, Titanic[[#This Row],[Edad]] / 10, Titanic[[#This Row],[Edad]]))</f>
        <v>51</v>
      </c>
      <c r="Q863" s="8" t="str">
        <f>IFERROR(LOOKUP(Titanic[[#This Row],[Edad Corrigida]],'Práctica 1'!$K$231:$K$240,'Práctica 1'!$L$231:$L$240), "DESCONOCIDO")</f>
        <v>9. ADULTO 4</v>
      </c>
      <c r="R863" s="8">
        <f>Titanic[[#This Row],[Familia Horizontal]]+Titanic[[#This Row],[Familia Vertical]]</f>
        <v>0</v>
      </c>
      <c r="S863" s="8"/>
      <c r="T863" s="8"/>
      <c r="U863" s="8"/>
      <c r="V863" s="8"/>
    </row>
    <row r="864" spans="2:22" x14ac:dyDescent="0.2">
      <c r="B864" s="6">
        <v>859</v>
      </c>
      <c r="C864" s="7">
        <v>1</v>
      </c>
      <c r="D864" s="8">
        <v>3</v>
      </c>
      <c r="E864" s="8" t="s">
        <v>873</v>
      </c>
      <c r="F864" s="8" t="s">
        <v>14</v>
      </c>
      <c r="G864" s="8">
        <v>24</v>
      </c>
      <c r="H864" s="8">
        <v>0</v>
      </c>
      <c r="I864" s="8">
        <v>3</v>
      </c>
      <c r="J864" s="8">
        <v>192583</v>
      </c>
      <c r="K864" s="8">
        <v>0</v>
      </c>
      <c r="L864" s="8" t="s">
        <v>15</v>
      </c>
      <c r="M864" s="8" t="str">
        <f>IF(Titanic[[#This Row],[Sobrevive]]=1, "SOBREVIVE", "NO SOBREVIVE")</f>
        <v>SOBREVIVE</v>
      </c>
      <c r="N864" s="8" t="str">
        <f>LOOKUP(Titanic[[#This Row],[Clase]],{1,2,3}, {"PRIMERA","SEGUNDA","TERCERA"})</f>
        <v>TERCERA</v>
      </c>
      <c r="O864" s="8" t="str">
        <f>IF(Titanic[[#This Row],[Sexo]]="Hombre", "HOMBRE", "MUJER")</f>
        <v>MUJER</v>
      </c>
      <c r="P864" s="8">
        <f>IF(Titanic[[#This Row],[Edad]]="", "", IF(Titanic[[#This Row],[Edad]]&gt;=100, Titanic[[#This Row],[Edad]] / 10, Titanic[[#This Row],[Edad]]))</f>
        <v>24</v>
      </c>
      <c r="Q864" s="8" t="str">
        <f>IFERROR(LOOKUP(Titanic[[#This Row],[Edad Corrigida]],'Práctica 1'!$K$231:$K$240,'Práctica 1'!$L$231:$L$240), "DESCONOCIDO")</f>
        <v>3. JOVEN</v>
      </c>
      <c r="R864" s="8">
        <f>Titanic[[#This Row],[Familia Horizontal]]+Titanic[[#This Row],[Familia Vertical]]</f>
        <v>3</v>
      </c>
      <c r="S864" s="8"/>
      <c r="T864" s="8"/>
      <c r="U864" s="8"/>
      <c r="V864" s="8"/>
    </row>
    <row r="865" spans="2:22" x14ac:dyDescent="0.2">
      <c r="B865" s="6">
        <v>860</v>
      </c>
      <c r="C865" s="7">
        <v>0</v>
      </c>
      <c r="D865" s="8">
        <v>3</v>
      </c>
      <c r="E865" s="8" t="s">
        <v>874</v>
      </c>
      <c r="F865" s="8" t="s">
        <v>11</v>
      </c>
      <c r="G865" s="9"/>
      <c r="H865" s="8">
        <v>0</v>
      </c>
      <c r="I865" s="8">
        <v>0</v>
      </c>
      <c r="J865" s="8">
        <v>72292</v>
      </c>
      <c r="K865" s="8">
        <v>0</v>
      </c>
      <c r="L865" s="8" t="s">
        <v>15</v>
      </c>
      <c r="M865" s="8" t="str">
        <f>IF(Titanic[[#This Row],[Sobrevive]]=1, "SOBREVIVE", "NO SOBREVIVE")</f>
        <v>NO SOBREVIVE</v>
      </c>
      <c r="N865" s="8" t="str">
        <f>LOOKUP(Titanic[[#This Row],[Clase]],{1,2,3}, {"PRIMERA","SEGUNDA","TERCERA"})</f>
        <v>TERCERA</v>
      </c>
      <c r="O865" s="8" t="str">
        <f>IF(Titanic[[#This Row],[Sexo]]="Hombre", "HOMBRE", "MUJER")</f>
        <v>HOMBRE</v>
      </c>
      <c r="P865" s="8" t="str">
        <f>IF(Titanic[[#This Row],[Edad]]="", "", IF(Titanic[[#This Row],[Edad]]&gt;=100, Titanic[[#This Row],[Edad]] / 10, Titanic[[#This Row],[Edad]]))</f>
        <v/>
      </c>
      <c r="Q865" s="8" t="str">
        <f>IFERROR(LOOKUP(Titanic[[#This Row],[Edad Corrigida]],'Práctica 1'!$K$231:$K$240,'Práctica 1'!$L$231:$L$240), "DESCONOCIDO")</f>
        <v>DESCONOCIDO</v>
      </c>
      <c r="R865" s="8">
        <f>Titanic[[#This Row],[Familia Horizontal]]+Titanic[[#This Row],[Familia Vertical]]</f>
        <v>0</v>
      </c>
      <c r="S865" s="8"/>
      <c r="T865" s="8"/>
      <c r="U865" s="8"/>
      <c r="V865" s="8"/>
    </row>
    <row r="866" spans="2:22" x14ac:dyDescent="0.2">
      <c r="B866" s="6">
        <v>861</v>
      </c>
      <c r="C866" s="7">
        <v>0</v>
      </c>
      <c r="D866" s="8">
        <v>3</v>
      </c>
      <c r="E866" s="8" t="s">
        <v>875</v>
      </c>
      <c r="F866" s="8" t="s">
        <v>11</v>
      </c>
      <c r="G866" s="8">
        <v>41</v>
      </c>
      <c r="H866" s="8">
        <v>2</v>
      </c>
      <c r="I866" s="8">
        <v>0</v>
      </c>
      <c r="J866" s="8">
        <v>141083</v>
      </c>
      <c r="K866" s="8">
        <v>0</v>
      </c>
      <c r="L866" s="8" t="s">
        <v>12</v>
      </c>
      <c r="M866" s="8" t="str">
        <f>IF(Titanic[[#This Row],[Sobrevive]]=1, "SOBREVIVE", "NO SOBREVIVE")</f>
        <v>NO SOBREVIVE</v>
      </c>
      <c r="N866" s="8" t="str">
        <f>LOOKUP(Titanic[[#This Row],[Clase]],{1,2,3}, {"PRIMERA","SEGUNDA","TERCERA"})</f>
        <v>TERCERA</v>
      </c>
      <c r="O866" s="8" t="str">
        <f>IF(Titanic[[#This Row],[Sexo]]="Hombre", "HOMBRE", "MUJER")</f>
        <v>HOMBRE</v>
      </c>
      <c r="P866" s="8">
        <f>IF(Titanic[[#This Row],[Edad]]="", "", IF(Titanic[[#This Row],[Edad]]&gt;=100, Titanic[[#This Row],[Edad]] / 10, Titanic[[#This Row],[Edad]]))</f>
        <v>41</v>
      </c>
      <c r="Q866" s="8" t="str">
        <f>IFERROR(LOOKUP(Titanic[[#This Row],[Edad Corrigida]],'Práctica 1'!$K$231:$K$240,'Práctica 1'!$L$231:$L$240), "DESCONOCIDO")</f>
        <v>7. ADULTO 2</v>
      </c>
      <c r="R866" s="8">
        <f>Titanic[[#This Row],[Familia Horizontal]]+Titanic[[#This Row],[Familia Vertical]]</f>
        <v>2</v>
      </c>
      <c r="S866" s="8"/>
      <c r="T866" s="8"/>
      <c r="U866" s="8"/>
      <c r="V866" s="8"/>
    </row>
    <row r="867" spans="2:22" x14ac:dyDescent="0.2">
      <c r="B867" s="6">
        <v>862</v>
      </c>
      <c r="C867" s="7">
        <v>0</v>
      </c>
      <c r="D867" s="8">
        <v>2</v>
      </c>
      <c r="E867" s="8" t="s">
        <v>876</v>
      </c>
      <c r="F867" s="8" t="s">
        <v>11</v>
      </c>
      <c r="G867" s="8">
        <v>21</v>
      </c>
      <c r="H867" s="8">
        <v>1</v>
      </c>
      <c r="I867" s="8">
        <v>0</v>
      </c>
      <c r="J867" s="8">
        <v>115</v>
      </c>
      <c r="K867" s="8">
        <v>0</v>
      </c>
      <c r="L867" s="8" t="s">
        <v>12</v>
      </c>
      <c r="M867" s="8" t="str">
        <f>IF(Titanic[[#This Row],[Sobrevive]]=1, "SOBREVIVE", "NO SOBREVIVE")</f>
        <v>NO SOBREVIVE</v>
      </c>
      <c r="N867" s="8" t="str">
        <f>LOOKUP(Titanic[[#This Row],[Clase]],{1,2,3}, {"PRIMERA","SEGUNDA","TERCERA"})</f>
        <v>SEGUNDA</v>
      </c>
      <c r="O867" s="8" t="str">
        <f>IF(Titanic[[#This Row],[Sexo]]="Hombre", "HOMBRE", "MUJER")</f>
        <v>HOMBRE</v>
      </c>
      <c r="P867" s="8">
        <f>IF(Titanic[[#This Row],[Edad]]="", "", IF(Titanic[[#This Row],[Edad]]&gt;=100, Titanic[[#This Row],[Edad]] / 10, Titanic[[#This Row],[Edad]]))</f>
        <v>21</v>
      </c>
      <c r="Q867" s="8" t="str">
        <f>IFERROR(LOOKUP(Titanic[[#This Row],[Edad Corrigida]],'Práctica 1'!$K$231:$K$240,'Práctica 1'!$L$231:$L$240), "DESCONOCIDO")</f>
        <v>2. ADOLESCENTE</v>
      </c>
      <c r="R867" s="8">
        <f>Titanic[[#This Row],[Familia Horizontal]]+Titanic[[#This Row],[Familia Vertical]]</f>
        <v>1</v>
      </c>
      <c r="S867" s="8"/>
      <c r="T867" s="8"/>
      <c r="U867" s="8"/>
      <c r="V867" s="8"/>
    </row>
    <row r="868" spans="2:22" x14ac:dyDescent="0.2">
      <c r="B868" s="6">
        <v>863</v>
      </c>
      <c r="C868" s="7">
        <v>1</v>
      </c>
      <c r="D868" s="8">
        <v>1</v>
      </c>
      <c r="E868" s="8" t="s">
        <v>877</v>
      </c>
      <c r="F868" s="8" t="s">
        <v>14</v>
      </c>
      <c r="G868" s="8">
        <v>48</v>
      </c>
      <c r="H868" s="8">
        <v>0</v>
      </c>
      <c r="I868" s="8">
        <v>0</v>
      </c>
      <c r="J868" s="8">
        <v>259292</v>
      </c>
      <c r="K868" s="8">
        <v>1</v>
      </c>
      <c r="L868" s="8" t="s">
        <v>12</v>
      </c>
      <c r="M868" s="8" t="str">
        <f>IF(Titanic[[#This Row],[Sobrevive]]=1, "SOBREVIVE", "NO SOBREVIVE")</f>
        <v>SOBREVIVE</v>
      </c>
      <c r="N868" s="8" t="str">
        <f>LOOKUP(Titanic[[#This Row],[Clase]],{1,2,3}, {"PRIMERA","SEGUNDA","TERCERA"})</f>
        <v>PRIMERA</v>
      </c>
      <c r="O868" s="8" t="str">
        <f>IF(Titanic[[#This Row],[Sexo]]="Hombre", "HOMBRE", "MUJER")</f>
        <v>MUJER</v>
      </c>
      <c r="P868" s="8">
        <f>IF(Titanic[[#This Row],[Edad]]="", "", IF(Titanic[[#This Row],[Edad]]&gt;=100, Titanic[[#This Row],[Edad]] / 10, Titanic[[#This Row],[Edad]]))</f>
        <v>48</v>
      </c>
      <c r="Q868" s="8" t="str">
        <f>IFERROR(LOOKUP(Titanic[[#This Row],[Edad Corrigida]],'Práctica 1'!$K$231:$K$240,'Práctica 1'!$L$231:$L$240), "DESCONOCIDO")</f>
        <v>8. ADULTO 3</v>
      </c>
      <c r="R868" s="8">
        <f>Titanic[[#This Row],[Familia Horizontal]]+Titanic[[#This Row],[Familia Vertical]]</f>
        <v>0</v>
      </c>
      <c r="S868" s="8"/>
      <c r="T868" s="8"/>
      <c r="U868" s="8"/>
      <c r="V868" s="8"/>
    </row>
    <row r="869" spans="2:22" x14ac:dyDescent="0.2">
      <c r="B869" s="6">
        <v>864</v>
      </c>
      <c r="C869" s="7">
        <v>0</v>
      </c>
      <c r="D869" s="8">
        <v>3</v>
      </c>
      <c r="E869" s="8" t="s">
        <v>878</v>
      </c>
      <c r="F869" s="8" t="s">
        <v>14</v>
      </c>
      <c r="G869" s="9"/>
      <c r="H869" s="8">
        <v>8</v>
      </c>
      <c r="I869" s="8">
        <v>2</v>
      </c>
      <c r="J869" s="8">
        <v>6955</v>
      </c>
      <c r="K869" s="8">
        <v>0</v>
      </c>
      <c r="L869" s="8" t="s">
        <v>12</v>
      </c>
      <c r="M869" s="8" t="str">
        <f>IF(Titanic[[#This Row],[Sobrevive]]=1, "SOBREVIVE", "NO SOBREVIVE")</f>
        <v>NO SOBREVIVE</v>
      </c>
      <c r="N869" s="8" t="str">
        <f>LOOKUP(Titanic[[#This Row],[Clase]],{1,2,3}, {"PRIMERA","SEGUNDA","TERCERA"})</f>
        <v>TERCERA</v>
      </c>
      <c r="O869" s="8" t="str">
        <f>IF(Titanic[[#This Row],[Sexo]]="Hombre", "HOMBRE", "MUJER")</f>
        <v>MUJER</v>
      </c>
      <c r="P869" s="8" t="str">
        <f>IF(Titanic[[#This Row],[Edad]]="", "", IF(Titanic[[#This Row],[Edad]]&gt;=100, Titanic[[#This Row],[Edad]] / 10, Titanic[[#This Row],[Edad]]))</f>
        <v/>
      </c>
      <c r="Q869" s="8" t="str">
        <f>IFERROR(LOOKUP(Titanic[[#This Row],[Edad Corrigida]],'Práctica 1'!$K$231:$K$240,'Práctica 1'!$L$231:$L$240), "DESCONOCIDO")</f>
        <v>DESCONOCIDO</v>
      </c>
      <c r="R869" s="8">
        <f>Titanic[[#This Row],[Familia Horizontal]]+Titanic[[#This Row],[Familia Vertical]]</f>
        <v>10</v>
      </c>
      <c r="S869" s="8"/>
      <c r="T869" s="8"/>
      <c r="U869" s="8"/>
      <c r="V869" s="8"/>
    </row>
    <row r="870" spans="2:22" x14ac:dyDescent="0.2">
      <c r="B870" s="6">
        <v>865</v>
      </c>
      <c r="C870" s="7">
        <v>0</v>
      </c>
      <c r="D870" s="8">
        <v>2</v>
      </c>
      <c r="E870" s="8" t="s">
        <v>879</v>
      </c>
      <c r="F870" s="8" t="s">
        <v>11</v>
      </c>
      <c r="G870" s="8">
        <v>24</v>
      </c>
      <c r="H870" s="8">
        <v>0</v>
      </c>
      <c r="I870" s="8">
        <v>0</v>
      </c>
      <c r="J870" s="8">
        <v>13</v>
      </c>
      <c r="K870" s="8">
        <v>0</v>
      </c>
      <c r="L870" s="8" t="s">
        <v>12</v>
      </c>
      <c r="M870" s="8" t="str">
        <f>IF(Titanic[[#This Row],[Sobrevive]]=1, "SOBREVIVE", "NO SOBREVIVE")</f>
        <v>NO SOBREVIVE</v>
      </c>
      <c r="N870" s="8" t="str">
        <f>LOOKUP(Titanic[[#This Row],[Clase]],{1,2,3}, {"PRIMERA","SEGUNDA","TERCERA"})</f>
        <v>SEGUNDA</v>
      </c>
      <c r="O870" s="8" t="str">
        <f>IF(Titanic[[#This Row],[Sexo]]="Hombre", "HOMBRE", "MUJER")</f>
        <v>HOMBRE</v>
      </c>
      <c r="P870" s="8">
        <f>IF(Titanic[[#This Row],[Edad]]="", "", IF(Titanic[[#This Row],[Edad]]&gt;=100, Titanic[[#This Row],[Edad]] / 10, Titanic[[#This Row],[Edad]]))</f>
        <v>24</v>
      </c>
      <c r="Q870" s="8" t="str">
        <f>IFERROR(LOOKUP(Titanic[[#This Row],[Edad Corrigida]],'Práctica 1'!$K$231:$K$240,'Práctica 1'!$L$231:$L$240), "DESCONOCIDO")</f>
        <v>3. JOVEN</v>
      </c>
      <c r="R870" s="8">
        <f>Titanic[[#This Row],[Familia Horizontal]]+Titanic[[#This Row],[Familia Vertical]]</f>
        <v>0</v>
      </c>
      <c r="S870" s="8"/>
      <c r="T870" s="8"/>
      <c r="U870" s="8"/>
      <c r="V870" s="8"/>
    </row>
    <row r="871" spans="2:22" x14ac:dyDescent="0.2">
      <c r="B871" s="6">
        <v>866</v>
      </c>
      <c r="C871" s="7">
        <v>1</v>
      </c>
      <c r="D871" s="8">
        <v>2</v>
      </c>
      <c r="E871" s="8" t="s">
        <v>880</v>
      </c>
      <c r="F871" s="8" t="s">
        <v>14</v>
      </c>
      <c r="G871" s="8">
        <v>42</v>
      </c>
      <c r="H871" s="8">
        <v>0</v>
      </c>
      <c r="I871" s="8">
        <v>0</v>
      </c>
      <c r="J871" s="8">
        <v>13</v>
      </c>
      <c r="K871" s="8">
        <v>0</v>
      </c>
      <c r="L871" s="8" t="s">
        <v>12</v>
      </c>
      <c r="M871" s="8" t="str">
        <f>IF(Titanic[[#This Row],[Sobrevive]]=1, "SOBREVIVE", "NO SOBREVIVE")</f>
        <v>SOBREVIVE</v>
      </c>
      <c r="N871" s="8" t="str">
        <f>LOOKUP(Titanic[[#This Row],[Clase]],{1,2,3}, {"PRIMERA","SEGUNDA","TERCERA"})</f>
        <v>SEGUNDA</v>
      </c>
      <c r="O871" s="8" t="str">
        <f>IF(Titanic[[#This Row],[Sexo]]="Hombre", "HOMBRE", "MUJER")</f>
        <v>MUJER</v>
      </c>
      <c r="P871" s="8">
        <f>IF(Titanic[[#This Row],[Edad]]="", "", IF(Titanic[[#This Row],[Edad]]&gt;=100, Titanic[[#This Row],[Edad]] / 10, Titanic[[#This Row],[Edad]]))</f>
        <v>42</v>
      </c>
      <c r="Q871" s="8" t="str">
        <f>IFERROR(LOOKUP(Titanic[[#This Row],[Edad Corrigida]],'Práctica 1'!$K$231:$K$240,'Práctica 1'!$L$231:$L$240), "DESCONOCIDO")</f>
        <v>8. ADULTO 3</v>
      </c>
      <c r="R871" s="8">
        <f>Titanic[[#This Row],[Familia Horizontal]]+Titanic[[#This Row],[Familia Vertical]]</f>
        <v>0</v>
      </c>
      <c r="S871" s="8"/>
      <c r="T871" s="8"/>
      <c r="U871" s="8"/>
      <c r="V871" s="8"/>
    </row>
    <row r="872" spans="2:22" x14ac:dyDescent="0.2">
      <c r="B872" s="6">
        <v>867</v>
      </c>
      <c r="C872" s="7">
        <v>1</v>
      </c>
      <c r="D872" s="8">
        <v>2</v>
      </c>
      <c r="E872" s="8" t="s">
        <v>881</v>
      </c>
      <c r="F872" s="8" t="s">
        <v>14</v>
      </c>
      <c r="G872" s="8">
        <v>27</v>
      </c>
      <c r="H872" s="8">
        <v>1</v>
      </c>
      <c r="I872" s="8">
        <v>0</v>
      </c>
      <c r="J872" s="8">
        <v>138583</v>
      </c>
      <c r="K872" s="8">
        <v>0</v>
      </c>
      <c r="L872" s="8" t="s">
        <v>15</v>
      </c>
      <c r="M872" s="8" t="str">
        <f>IF(Titanic[[#This Row],[Sobrevive]]=1, "SOBREVIVE", "NO SOBREVIVE")</f>
        <v>SOBREVIVE</v>
      </c>
      <c r="N872" s="8" t="str">
        <f>LOOKUP(Titanic[[#This Row],[Clase]],{1,2,3}, {"PRIMERA","SEGUNDA","TERCERA"})</f>
        <v>SEGUNDA</v>
      </c>
      <c r="O872" s="8" t="str">
        <f>IF(Titanic[[#This Row],[Sexo]]="Hombre", "HOMBRE", "MUJER")</f>
        <v>MUJER</v>
      </c>
      <c r="P872" s="8">
        <f>IF(Titanic[[#This Row],[Edad]]="", "", IF(Titanic[[#This Row],[Edad]]&gt;=100, Titanic[[#This Row],[Edad]] / 10, Titanic[[#This Row],[Edad]]))</f>
        <v>27</v>
      </c>
      <c r="Q872" s="8" t="str">
        <f>IFERROR(LOOKUP(Titanic[[#This Row],[Edad Corrigida]],'Práctica 1'!$K$231:$K$240,'Práctica 1'!$L$231:$L$240), "DESCONOCIDO")</f>
        <v>4. ADULTO JOVEN</v>
      </c>
      <c r="R872" s="8">
        <f>Titanic[[#This Row],[Familia Horizontal]]+Titanic[[#This Row],[Familia Vertical]]</f>
        <v>1</v>
      </c>
      <c r="S872" s="8"/>
      <c r="T872" s="8"/>
      <c r="U872" s="8"/>
      <c r="V872" s="8"/>
    </row>
    <row r="873" spans="2:22" x14ac:dyDescent="0.2">
      <c r="B873" s="6">
        <v>868</v>
      </c>
      <c r="C873" s="7">
        <v>0</v>
      </c>
      <c r="D873" s="8">
        <v>1</v>
      </c>
      <c r="E873" s="8" t="s">
        <v>882</v>
      </c>
      <c r="F873" s="8" t="s">
        <v>11</v>
      </c>
      <c r="G873" s="8">
        <v>31</v>
      </c>
      <c r="H873" s="8">
        <v>0</v>
      </c>
      <c r="I873" s="8">
        <v>0</v>
      </c>
      <c r="J873" s="8">
        <v>504958</v>
      </c>
      <c r="K873" s="8">
        <v>1</v>
      </c>
      <c r="L873" s="8" t="s">
        <v>12</v>
      </c>
      <c r="M873" s="8" t="str">
        <f>IF(Titanic[[#This Row],[Sobrevive]]=1, "SOBREVIVE", "NO SOBREVIVE")</f>
        <v>NO SOBREVIVE</v>
      </c>
      <c r="N873" s="8" t="str">
        <f>LOOKUP(Titanic[[#This Row],[Clase]],{1,2,3}, {"PRIMERA","SEGUNDA","TERCERA"})</f>
        <v>PRIMERA</v>
      </c>
      <c r="O873" s="8" t="str">
        <f>IF(Titanic[[#This Row],[Sexo]]="Hombre", "HOMBRE", "MUJER")</f>
        <v>HOMBRE</v>
      </c>
      <c r="P873" s="8">
        <f>IF(Titanic[[#This Row],[Edad]]="", "", IF(Titanic[[#This Row],[Edad]]&gt;=100, Titanic[[#This Row],[Edad]] / 10, Titanic[[#This Row],[Edad]]))</f>
        <v>31</v>
      </c>
      <c r="Q873" s="8" t="str">
        <f>IFERROR(LOOKUP(Titanic[[#This Row],[Edad Corrigida]],'Práctica 1'!$K$231:$K$240,'Práctica 1'!$L$231:$L$240), "DESCONOCIDO")</f>
        <v>5. ADULTO</v>
      </c>
      <c r="R873" s="8">
        <f>Titanic[[#This Row],[Familia Horizontal]]+Titanic[[#This Row],[Familia Vertical]]</f>
        <v>0</v>
      </c>
      <c r="S873" s="8"/>
      <c r="T873" s="8"/>
      <c r="U873" s="8"/>
      <c r="V873" s="8"/>
    </row>
    <row r="874" spans="2:22" x14ac:dyDescent="0.2">
      <c r="B874" s="6">
        <v>869</v>
      </c>
      <c r="C874" s="7">
        <v>0</v>
      </c>
      <c r="D874" s="8">
        <v>3</v>
      </c>
      <c r="E874" s="8" t="s">
        <v>883</v>
      </c>
      <c r="F874" s="8" t="s">
        <v>11</v>
      </c>
      <c r="G874" s="9"/>
      <c r="H874" s="8">
        <v>0</v>
      </c>
      <c r="I874" s="8">
        <v>0</v>
      </c>
      <c r="J874" s="8">
        <v>95</v>
      </c>
      <c r="K874" s="8">
        <v>0</v>
      </c>
      <c r="L874" s="8" t="s">
        <v>12</v>
      </c>
      <c r="M874" s="8" t="str">
        <f>IF(Titanic[[#This Row],[Sobrevive]]=1, "SOBREVIVE", "NO SOBREVIVE")</f>
        <v>NO SOBREVIVE</v>
      </c>
      <c r="N874" s="8" t="str">
        <f>LOOKUP(Titanic[[#This Row],[Clase]],{1,2,3}, {"PRIMERA","SEGUNDA","TERCERA"})</f>
        <v>TERCERA</v>
      </c>
      <c r="O874" s="8" t="str">
        <f>IF(Titanic[[#This Row],[Sexo]]="Hombre", "HOMBRE", "MUJER")</f>
        <v>HOMBRE</v>
      </c>
      <c r="P874" s="8" t="str">
        <f>IF(Titanic[[#This Row],[Edad]]="", "", IF(Titanic[[#This Row],[Edad]]&gt;=100, Titanic[[#This Row],[Edad]] / 10, Titanic[[#This Row],[Edad]]))</f>
        <v/>
      </c>
      <c r="Q874" s="8" t="str">
        <f>IFERROR(LOOKUP(Titanic[[#This Row],[Edad Corrigida]],'Práctica 1'!$K$231:$K$240,'Práctica 1'!$L$231:$L$240), "DESCONOCIDO")</f>
        <v>DESCONOCIDO</v>
      </c>
      <c r="R874" s="8">
        <f>Titanic[[#This Row],[Familia Horizontal]]+Titanic[[#This Row],[Familia Vertical]]</f>
        <v>0</v>
      </c>
      <c r="S874" s="8"/>
      <c r="T874" s="8"/>
      <c r="U874" s="8"/>
      <c r="V874" s="8"/>
    </row>
    <row r="875" spans="2:22" x14ac:dyDescent="0.2">
      <c r="B875" s="6">
        <v>870</v>
      </c>
      <c r="C875" s="7">
        <v>1</v>
      </c>
      <c r="D875" s="8">
        <v>3</v>
      </c>
      <c r="E875" s="8" t="s">
        <v>884</v>
      </c>
      <c r="F875" s="8" t="s">
        <v>11</v>
      </c>
      <c r="G875" s="8">
        <v>4</v>
      </c>
      <c r="H875" s="8">
        <v>1</v>
      </c>
      <c r="I875" s="8">
        <v>1</v>
      </c>
      <c r="J875" s="8">
        <v>111333</v>
      </c>
      <c r="K875" s="8">
        <v>0</v>
      </c>
      <c r="L875" s="8" t="s">
        <v>12</v>
      </c>
      <c r="M875" s="8" t="str">
        <f>IF(Titanic[[#This Row],[Sobrevive]]=1, "SOBREVIVE", "NO SOBREVIVE")</f>
        <v>SOBREVIVE</v>
      </c>
      <c r="N875" s="8" t="str">
        <f>LOOKUP(Titanic[[#This Row],[Clase]],{1,2,3}, {"PRIMERA","SEGUNDA","TERCERA"})</f>
        <v>TERCERA</v>
      </c>
      <c r="O875" s="8" t="str">
        <f>IF(Titanic[[#This Row],[Sexo]]="Hombre", "HOMBRE", "MUJER")</f>
        <v>HOMBRE</v>
      </c>
      <c r="P875" s="8">
        <f>IF(Titanic[[#This Row],[Edad]]="", "", IF(Titanic[[#This Row],[Edad]]&gt;=100, Titanic[[#This Row],[Edad]] / 10, Titanic[[#This Row],[Edad]]))</f>
        <v>4</v>
      </c>
      <c r="Q875" s="8" t="str">
        <f>IFERROR(LOOKUP(Titanic[[#This Row],[Edad Corrigida]],'Práctica 1'!$K$231:$K$240,'Práctica 1'!$L$231:$L$240), "DESCONOCIDO")</f>
        <v>DESCONOCIDO</v>
      </c>
      <c r="R875" s="8">
        <f>Titanic[[#This Row],[Familia Horizontal]]+Titanic[[#This Row],[Familia Vertical]]</f>
        <v>2</v>
      </c>
      <c r="S875" s="8"/>
      <c r="T875" s="8"/>
      <c r="U875" s="8"/>
      <c r="V875" s="8"/>
    </row>
    <row r="876" spans="2:22" x14ac:dyDescent="0.2">
      <c r="B876" s="6">
        <v>871</v>
      </c>
      <c r="C876" s="7">
        <v>0</v>
      </c>
      <c r="D876" s="8">
        <v>3</v>
      </c>
      <c r="E876" s="8" t="s">
        <v>885</v>
      </c>
      <c r="F876" s="8" t="s">
        <v>11</v>
      </c>
      <c r="G876" s="8">
        <v>26</v>
      </c>
      <c r="H876" s="8">
        <v>0</v>
      </c>
      <c r="I876" s="8">
        <v>0</v>
      </c>
      <c r="J876" s="8">
        <v>78958</v>
      </c>
      <c r="K876" s="8">
        <v>0</v>
      </c>
      <c r="L876" s="8" t="s">
        <v>12</v>
      </c>
      <c r="M876" s="8" t="str">
        <f>IF(Titanic[[#This Row],[Sobrevive]]=1, "SOBREVIVE", "NO SOBREVIVE")</f>
        <v>NO SOBREVIVE</v>
      </c>
      <c r="N876" s="8" t="str">
        <f>LOOKUP(Titanic[[#This Row],[Clase]],{1,2,3}, {"PRIMERA","SEGUNDA","TERCERA"})</f>
        <v>TERCERA</v>
      </c>
      <c r="O876" s="8" t="str">
        <f>IF(Titanic[[#This Row],[Sexo]]="Hombre", "HOMBRE", "MUJER")</f>
        <v>HOMBRE</v>
      </c>
      <c r="P876" s="8">
        <f>IF(Titanic[[#This Row],[Edad]]="", "", IF(Titanic[[#This Row],[Edad]]&gt;=100, Titanic[[#This Row],[Edad]] / 10, Titanic[[#This Row],[Edad]]))</f>
        <v>26</v>
      </c>
      <c r="Q876" s="8" t="str">
        <f>IFERROR(LOOKUP(Titanic[[#This Row],[Edad Corrigida]],'Práctica 1'!$K$231:$K$240,'Práctica 1'!$L$231:$L$240), "DESCONOCIDO")</f>
        <v>4. ADULTO JOVEN</v>
      </c>
      <c r="R876" s="8">
        <f>Titanic[[#This Row],[Familia Horizontal]]+Titanic[[#This Row],[Familia Vertical]]</f>
        <v>0</v>
      </c>
      <c r="S876" s="8"/>
      <c r="T876" s="8"/>
      <c r="U876" s="8"/>
      <c r="V876" s="8"/>
    </row>
    <row r="877" spans="2:22" x14ac:dyDescent="0.2">
      <c r="B877" s="6">
        <v>872</v>
      </c>
      <c r="C877" s="7">
        <v>1</v>
      </c>
      <c r="D877" s="8">
        <v>1</v>
      </c>
      <c r="E877" s="8" t="s">
        <v>886</v>
      </c>
      <c r="F877" s="8" t="s">
        <v>14</v>
      </c>
      <c r="G877" s="8">
        <v>47</v>
      </c>
      <c r="H877" s="8">
        <v>1</v>
      </c>
      <c r="I877" s="8">
        <v>1</v>
      </c>
      <c r="J877" s="8">
        <v>525542</v>
      </c>
      <c r="K877" s="8">
        <v>1</v>
      </c>
      <c r="L877" s="8" t="s">
        <v>12</v>
      </c>
      <c r="M877" s="8" t="str">
        <f>IF(Titanic[[#This Row],[Sobrevive]]=1, "SOBREVIVE", "NO SOBREVIVE")</f>
        <v>SOBREVIVE</v>
      </c>
      <c r="N877" s="8" t="str">
        <f>LOOKUP(Titanic[[#This Row],[Clase]],{1,2,3}, {"PRIMERA","SEGUNDA","TERCERA"})</f>
        <v>PRIMERA</v>
      </c>
      <c r="O877" s="8" t="str">
        <f>IF(Titanic[[#This Row],[Sexo]]="Hombre", "HOMBRE", "MUJER")</f>
        <v>MUJER</v>
      </c>
      <c r="P877" s="8">
        <f>IF(Titanic[[#This Row],[Edad]]="", "", IF(Titanic[[#This Row],[Edad]]&gt;=100, Titanic[[#This Row],[Edad]] / 10, Titanic[[#This Row],[Edad]]))</f>
        <v>47</v>
      </c>
      <c r="Q877" s="8" t="str">
        <f>IFERROR(LOOKUP(Titanic[[#This Row],[Edad Corrigida]],'Práctica 1'!$K$231:$K$240,'Práctica 1'!$L$231:$L$240), "DESCONOCIDO")</f>
        <v>8. ADULTO 3</v>
      </c>
      <c r="R877" s="8">
        <f>Titanic[[#This Row],[Familia Horizontal]]+Titanic[[#This Row],[Familia Vertical]]</f>
        <v>2</v>
      </c>
      <c r="S877" s="8"/>
      <c r="T877" s="8"/>
      <c r="U877" s="8"/>
      <c r="V877" s="8"/>
    </row>
    <row r="878" spans="2:22" x14ac:dyDescent="0.2">
      <c r="B878" s="6">
        <v>873</v>
      </c>
      <c r="C878" s="7">
        <v>0</v>
      </c>
      <c r="D878" s="8">
        <v>1</v>
      </c>
      <c r="E878" s="8" t="s">
        <v>887</v>
      </c>
      <c r="F878" s="8" t="s">
        <v>11</v>
      </c>
      <c r="G878" s="8">
        <v>33</v>
      </c>
      <c r="H878" s="8">
        <v>0</v>
      </c>
      <c r="I878" s="8">
        <v>0</v>
      </c>
      <c r="J878" s="8">
        <v>5</v>
      </c>
      <c r="K878" s="8">
        <v>1</v>
      </c>
      <c r="L878" s="8" t="s">
        <v>12</v>
      </c>
      <c r="M878" s="8" t="str">
        <f>IF(Titanic[[#This Row],[Sobrevive]]=1, "SOBREVIVE", "NO SOBREVIVE")</f>
        <v>NO SOBREVIVE</v>
      </c>
      <c r="N878" s="8" t="str">
        <f>LOOKUP(Titanic[[#This Row],[Clase]],{1,2,3}, {"PRIMERA","SEGUNDA","TERCERA"})</f>
        <v>PRIMERA</v>
      </c>
      <c r="O878" s="8" t="str">
        <f>IF(Titanic[[#This Row],[Sexo]]="Hombre", "HOMBRE", "MUJER")</f>
        <v>HOMBRE</v>
      </c>
      <c r="P878" s="8">
        <f>IF(Titanic[[#This Row],[Edad]]="", "", IF(Titanic[[#This Row],[Edad]]&gt;=100, Titanic[[#This Row],[Edad]] / 10, Titanic[[#This Row],[Edad]]))</f>
        <v>33</v>
      </c>
      <c r="Q878" s="8" t="str">
        <f>IFERROR(LOOKUP(Titanic[[#This Row],[Edad Corrigida]],'Práctica 1'!$K$231:$K$240,'Práctica 1'!$L$231:$L$240), "DESCONOCIDO")</f>
        <v>6. ADULTO 1</v>
      </c>
      <c r="R878" s="8">
        <f>Titanic[[#This Row],[Familia Horizontal]]+Titanic[[#This Row],[Familia Vertical]]</f>
        <v>0</v>
      </c>
      <c r="S878" s="8"/>
      <c r="T878" s="8"/>
      <c r="U878" s="8"/>
      <c r="V878" s="8"/>
    </row>
    <row r="879" spans="2:22" x14ac:dyDescent="0.2">
      <c r="B879" s="6">
        <v>874</v>
      </c>
      <c r="C879" s="7">
        <v>0</v>
      </c>
      <c r="D879" s="8">
        <v>3</v>
      </c>
      <c r="E879" s="8" t="s">
        <v>888</v>
      </c>
      <c r="F879" s="8" t="s">
        <v>11</v>
      </c>
      <c r="G879" s="8">
        <v>47</v>
      </c>
      <c r="H879" s="8">
        <v>0</v>
      </c>
      <c r="I879" s="8">
        <v>0</v>
      </c>
      <c r="J879" s="8">
        <v>9</v>
      </c>
      <c r="K879" s="8">
        <v>0</v>
      </c>
      <c r="L879" s="8" t="s">
        <v>12</v>
      </c>
      <c r="M879" s="8" t="str">
        <f>IF(Titanic[[#This Row],[Sobrevive]]=1, "SOBREVIVE", "NO SOBREVIVE")</f>
        <v>NO SOBREVIVE</v>
      </c>
      <c r="N879" s="8" t="str">
        <f>LOOKUP(Titanic[[#This Row],[Clase]],{1,2,3}, {"PRIMERA","SEGUNDA","TERCERA"})</f>
        <v>TERCERA</v>
      </c>
      <c r="O879" s="8" t="str">
        <f>IF(Titanic[[#This Row],[Sexo]]="Hombre", "HOMBRE", "MUJER")</f>
        <v>HOMBRE</v>
      </c>
      <c r="P879" s="8">
        <f>IF(Titanic[[#This Row],[Edad]]="", "", IF(Titanic[[#This Row],[Edad]]&gt;=100, Titanic[[#This Row],[Edad]] / 10, Titanic[[#This Row],[Edad]]))</f>
        <v>47</v>
      </c>
      <c r="Q879" s="8" t="str">
        <f>IFERROR(LOOKUP(Titanic[[#This Row],[Edad Corrigida]],'Práctica 1'!$K$231:$K$240,'Práctica 1'!$L$231:$L$240), "DESCONOCIDO")</f>
        <v>8. ADULTO 3</v>
      </c>
      <c r="R879" s="8">
        <f>Titanic[[#This Row],[Familia Horizontal]]+Titanic[[#This Row],[Familia Vertical]]</f>
        <v>0</v>
      </c>
      <c r="S879" s="8"/>
      <c r="T879" s="8"/>
      <c r="U879" s="8"/>
      <c r="V879" s="8"/>
    </row>
    <row r="880" spans="2:22" x14ac:dyDescent="0.2">
      <c r="B880" s="6">
        <v>875</v>
      </c>
      <c r="C880" s="7">
        <v>1</v>
      </c>
      <c r="D880" s="8">
        <v>2</v>
      </c>
      <c r="E880" s="8" t="s">
        <v>889</v>
      </c>
      <c r="F880" s="8" t="s">
        <v>14</v>
      </c>
      <c r="G880" s="8">
        <v>28</v>
      </c>
      <c r="H880" s="8">
        <v>1</v>
      </c>
      <c r="I880" s="8">
        <v>0</v>
      </c>
      <c r="J880" s="8">
        <v>24</v>
      </c>
      <c r="K880" s="8">
        <v>0</v>
      </c>
      <c r="L880" s="8" t="s">
        <v>15</v>
      </c>
      <c r="M880" s="8" t="str">
        <f>IF(Titanic[[#This Row],[Sobrevive]]=1, "SOBREVIVE", "NO SOBREVIVE")</f>
        <v>SOBREVIVE</v>
      </c>
      <c r="N880" s="8" t="str">
        <f>LOOKUP(Titanic[[#This Row],[Clase]],{1,2,3}, {"PRIMERA","SEGUNDA","TERCERA"})</f>
        <v>SEGUNDA</v>
      </c>
      <c r="O880" s="8" t="str">
        <f>IF(Titanic[[#This Row],[Sexo]]="Hombre", "HOMBRE", "MUJER")</f>
        <v>MUJER</v>
      </c>
      <c r="P880" s="8">
        <f>IF(Titanic[[#This Row],[Edad]]="", "", IF(Titanic[[#This Row],[Edad]]&gt;=100, Titanic[[#This Row],[Edad]] / 10, Titanic[[#This Row],[Edad]]))</f>
        <v>28</v>
      </c>
      <c r="Q880" s="8" t="str">
        <f>IFERROR(LOOKUP(Titanic[[#This Row],[Edad Corrigida]],'Práctica 1'!$K$231:$K$240,'Práctica 1'!$L$231:$L$240), "DESCONOCIDO")</f>
        <v>4. ADULTO JOVEN</v>
      </c>
      <c r="R880" s="8">
        <f>Titanic[[#This Row],[Familia Horizontal]]+Titanic[[#This Row],[Familia Vertical]]</f>
        <v>1</v>
      </c>
      <c r="S880" s="8"/>
      <c r="T880" s="8"/>
      <c r="U880" s="8"/>
      <c r="V880" s="8"/>
    </row>
    <row r="881" spans="2:22" x14ac:dyDescent="0.2">
      <c r="B881" s="6">
        <v>876</v>
      </c>
      <c r="C881" s="7">
        <v>1</v>
      </c>
      <c r="D881" s="8">
        <v>3</v>
      </c>
      <c r="E881" s="8" t="s">
        <v>890</v>
      </c>
      <c r="F881" s="8" t="s">
        <v>14</v>
      </c>
      <c r="G881" s="8">
        <v>15</v>
      </c>
      <c r="H881" s="8">
        <v>0</v>
      </c>
      <c r="I881" s="8">
        <v>0</v>
      </c>
      <c r="J881" s="8">
        <v>7225</v>
      </c>
      <c r="K881" s="8">
        <v>0</v>
      </c>
      <c r="L881" s="8" t="s">
        <v>15</v>
      </c>
      <c r="M881" s="8" t="str">
        <f>IF(Titanic[[#This Row],[Sobrevive]]=1, "SOBREVIVE", "NO SOBREVIVE")</f>
        <v>SOBREVIVE</v>
      </c>
      <c r="N881" s="8" t="str">
        <f>LOOKUP(Titanic[[#This Row],[Clase]],{1,2,3}, {"PRIMERA","SEGUNDA","TERCERA"})</f>
        <v>TERCERA</v>
      </c>
      <c r="O881" s="8" t="str">
        <f>IF(Titanic[[#This Row],[Sexo]]="Hombre", "HOMBRE", "MUJER")</f>
        <v>MUJER</v>
      </c>
      <c r="P881" s="8">
        <f>IF(Titanic[[#This Row],[Edad]]="", "", IF(Titanic[[#This Row],[Edad]]&gt;=100, Titanic[[#This Row],[Edad]] / 10, Titanic[[#This Row],[Edad]]))</f>
        <v>15</v>
      </c>
      <c r="Q881" s="8" t="str">
        <f>IFERROR(LOOKUP(Titanic[[#This Row],[Edad Corrigida]],'Práctica 1'!$K$231:$K$240,'Práctica 1'!$L$231:$L$240), "DESCONOCIDO")</f>
        <v>1. INFANTE</v>
      </c>
      <c r="R881" s="8">
        <f>Titanic[[#This Row],[Familia Horizontal]]+Titanic[[#This Row],[Familia Vertical]]</f>
        <v>0</v>
      </c>
      <c r="S881" s="8"/>
      <c r="T881" s="8"/>
      <c r="U881" s="8"/>
      <c r="V881" s="8"/>
    </row>
    <row r="882" spans="2:22" x14ac:dyDescent="0.2">
      <c r="B882" s="6">
        <v>877</v>
      </c>
      <c r="C882" s="7">
        <v>0</v>
      </c>
      <c r="D882" s="8">
        <v>3</v>
      </c>
      <c r="E882" s="8" t="s">
        <v>891</v>
      </c>
      <c r="F882" s="8" t="s">
        <v>11</v>
      </c>
      <c r="G882" s="8">
        <v>20</v>
      </c>
      <c r="H882" s="8">
        <v>0</v>
      </c>
      <c r="I882" s="8">
        <v>0</v>
      </c>
      <c r="J882" s="8">
        <v>98458</v>
      </c>
      <c r="K882" s="8">
        <v>0</v>
      </c>
      <c r="L882" s="8" t="s">
        <v>12</v>
      </c>
      <c r="M882" s="8" t="str">
        <f>IF(Titanic[[#This Row],[Sobrevive]]=1, "SOBREVIVE", "NO SOBREVIVE")</f>
        <v>NO SOBREVIVE</v>
      </c>
      <c r="N882" s="8" t="str">
        <f>LOOKUP(Titanic[[#This Row],[Clase]],{1,2,3}, {"PRIMERA","SEGUNDA","TERCERA"})</f>
        <v>TERCERA</v>
      </c>
      <c r="O882" s="8" t="str">
        <f>IF(Titanic[[#This Row],[Sexo]]="Hombre", "HOMBRE", "MUJER")</f>
        <v>HOMBRE</v>
      </c>
      <c r="P882" s="8">
        <f>IF(Titanic[[#This Row],[Edad]]="", "", IF(Titanic[[#This Row],[Edad]]&gt;=100, Titanic[[#This Row],[Edad]] / 10, Titanic[[#This Row],[Edad]]))</f>
        <v>20</v>
      </c>
      <c r="Q882" s="8" t="str">
        <f>IFERROR(LOOKUP(Titanic[[#This Row],[Edad Corrigida]],'Práctica 1'!$K$231:$K$240,'Práctica 1'!$L$231:$L$240), "DESCONOCIDO")</f>
        <v>2. ADOLESCENTE</v>
      </c>
      <c r="R882" s="8">
        <f>Titanic[[#This Row],[Familia Horizontal]]+Titanic[[#This Row],[Familia Vertical]]</f>
        <v>0</v>
      </c>
      <c r="S882" s="8"/>
      <c r="T882" s="8"/>
      <c r="U882" s="8"/>
      <c r="V882" s="8"/>
    </row>
    <row r="883" spans="2:22" x14ac:dyDescent="0.2">
      <c r="B883" s="6">
        <v>878</v>
      </c>
      <c r="C883" s="7">
        <v>0</v>
      </c>
      <c r="D883" s="8">
        <v>3</v>
      </c>
      <c r="E883" s="8" t="s">
        <v>892</v>
      </c>
      <c r="F883" s="8" t="s">
        <v>11</v>
      </c>
      <c r="G883" s="8">
        <v>19</v>
      </c>
      <c r="H883" s="8">
        <v>0</v>
      </c>
      <c r="I883" s="8">
        <v>0</v>
      </c>
      <c r="J883" s="8">
        <v>78958</v>
      </c>
      <c r="K883" s="8">
        <v>0</v>
      </c>
      <c r="L883" s="8" t="s">
        <v>12</v>
      </c>
      <c r="M883" s="8" t="str">
        <f>IF(Titanic[[#This Row],[Sobrevive]]=1, "SOBREVIVE", "NO SOBREVIVE")</f>
        <v>NO SOBREVIVE</v>
      </c>
      <c r="N883" s="8" t="str">
        <f>LOOKUP(Titanic[[#This Row],[Clase]],{1,2,3}, {"PRIMERA","SEGUNDA","TERCERA"})</f>
        <v>TERCERA</v>
      </c>
      <c r="O883" s="8" t="str">
        <f>IF(Titanic[[#This Row],[Sexo]]="Hombre", "HOMBRE", "MUJER")</f>
        <v>HOMBRE</v>
      </c>
      <c r="P883" s="8">
        <f>IF(Titanic[[#This Row],[Edad]]="", "", IF(Titanic[[#This Row],[Edad]]&gt;=100, Titanic[[#This Row],[Edad]] / 10, Titanic[[#This Row],[Edad]]))</f>
        <v>19</v>
      </c>
      <c r="Q883" s="8" t="str">
        <f>IFERROR(LOOKUP(Titanic[[#This Row],[Edad Corrigida]],'Práctica 1'!$K$231:$K$240,'Práctica 1'!$L$231:$L$240), "DESCONOCIDO")</f>
        <v>2. ADOLESCENTE</v>
      </c>
      <c r="R883" s="8">
        <f>Titanic[[#This Row],[Familia Horizontal]]+Titanic[[#This Row],[Familia Vertical]]</f>
        <v>0</v>
      </c>
      <c r="S883" s="8"/>
      <c r="T883" s="8"/>
      <c r="U883" s="8"/>
      <c r="V883" s="8"/>
    </row>
    <row r="884" spans="2:22" x14ac:dyDescent="0.2">
      <c r="B884" s="6">
        <v>879</v>
      </c>
      <c r="C884" s="7">
        <v>0</v>
      </c>
      <c r="D884" s="8">
        <v>3</v>
      </c>
      <c r="E884" s="8" t="s">
        <v>893</v>
      </c>
      <c r="F884" s="8" t="s">
        <v>11</v>
      </c>
      <c r="G884" s="9"/>
      <c r="H884" s="8">
        <v>0</v>
      </c>
      <c r="I884" s="8">
        <v>0</v>
      </c>
      <c r="J884" s="8">
        <v>78958</v>
      </c>
      <c r="K884" s="8">
        <v>0</v>
      </c>
      <c r="L884" s="8" t="s">
        <v>12</v>
      </c>
      <c r="M884" s="8" t="str">
        <f>IF(Titanic[[#This Row],[Sobrevive]]=1, "SOBREVIVE", "NO SOBREVIVE")</f>
        <v>NO SOBREVIVE</v>
      </c>
      <c r="N884" s="8" t="str">
        <f>LOOKUP(Titanic[[#This Row],[Clase]],{1,2,3}, {"PRIMERA","SEGUNDA","TERCERA"})</f>
        <v>TERCERA</v>
      </c>
      <c r="O884" s="8" t="str">
        <f>IF(Titanic[[#This Row],[Sexo]]="Hombre", "HOMBRE", "MUJER")</f>
        <v>HOMBRE</v>
      </c>
      <c r="P884" s="8" t="str">
        <f>IF(Titanic[[#This Row],[Edad]]="", "", IF(Titanic[[#This Row],[Edad]]&gt;=100, Titanic[[#This Row],[Edad]] / 10, Titanic[[#This Row],[Edad]]))</f>
        <v/>
      </c>
      <c r="Q884" s="8" t="str">
        <f>IFERROR(LOOKUP(Titanic[[#This Row],[Edad Corrigida]],'Práctica 1'!$K$231:$K$240,'Práctica 1'!$L$231:$L$240), "DESCONOCIDO")</f>
        <v>DESCONOCIDO</v>
      </c>
      <c r="R884" s="8">
        <f>Titanic[[#This Row],[Familia Horizontal]]+Titanic[[#This Row],[Familia Vertical]]</f>
        <v>0</v>
      </c>
      <c r="S884" s="8"/>
      <c r="T884" s="8"/>
      <c r="U884" s="8"/>
      <c r="V884" s="8"/>
    </row>
    <row r="885" spans="2:22" x14ac:dyDescent="0.2">
      <c r="B885" s="6">
        <v>880</v>
      </c>
      <c r="C885" s="7">
        <v>1</v>
      </c>
      <c r="D885" s="8">
        <v>1</v>
      </c>
      <c r="E885" s="8" t="s">
        <v>894</v>
      </c>
      <c r="F885" s="8" t="s">
        <v>14</v>
      </c>
      <c r="G885" s="8">
        <v>56</v>
      </c>
      <c r="H885" s="8">
        <v>0</v>
      </c>
      <c r="I885" s="8">
        <v>1</v>
      </c>
      <c r="J885" s="8">
        <v>831583</v>
      </c>
      <c r="K885" s="8">
        <v>1</v>
      </c>
      <c r="L885" s="8" t="s">
        <v>15</v>
      </c>
      <c r="M885" s="8" t="str">
        <f>IF(Titanic[[#This Row],[Sobrevive]]=1, "SOBREVIVE", "NO SOBREVIVE")</f>
        <v>SOBREVIVE</v>
      </c>
      <c r="N885" s="8" t="str">
        <f>LOOKUP(Titanic[[#This Row],[Clase]],{1,2,3}, {"PRIMERA","SEGUNDA","TERCERA"})</f>
        <v>PRIMERA</v>
      </c>
      <c r="O885" s="8" t="str">
        <f>IF(Titanic[[#This Row],[Sexo]]="Hombre", "HOMBRE", "MUJER")</f>
        <v>MUJER</v>
      </c>
      <c r="P885" s="8">
        <f>IF(Titanic[[#This Row],[Edad]]="", "", IF(Titanic[[#This Row],[Edad]]&gt;=100, Titanic[[#This Row],[Edad]] / 10, Titanic[[#This Row],[Edad]]))</f>
        <v>56</v>
      </c>
      <c r="Q885" s="8" t="str">
        <f>IFERROR(LOOKUP(Titanic[[#This Row],[Edad Corrigida]],'Práctica 1'!$K$231:$K$240,'Práctica 1'!$L$231:$L$240), "DESCONOCIDO")</f>
        <v>9. ADULTO 4</v>
      </c>
      <c r="R885" s="8">
        <f>Titanic[[#This Row],[Familia Horizontal]]+Titanic[[#This Row],[Familia Vertical]]</f>
        <v>1</v>
      </c>
      <c r="S885" s="8"/>
      <c r="T885" s="8"/>
      <c r="U885" s="8"/>
      <c r="V885" s="8"/>
    </row>
    <row r="886" spans="2:22" x14ac:dyDescent="0.2">
      <c r="B886" s="6">
        <v>881</v>
      </c>
      <c r="C886" s="7">
        <v>1</v>
      </c>
      <c r="D886" s="8">
        <v>2</v>
      </c>
      <c r="E886" s="8" t="s">
        <v>895</v>
      </c>
      <c r="F886" s="8" t="s">
        <v>14</v>
      </c>
      <c r="G886" s="8">
        <v>25</v>
      </c>
      <c r="H886" s="8">
        <v>0</v>
      </c>
      <c r="I886" s="8">
        <v>1</v>
      </c>
      <c r="J886" s="8">
        <v>26</v>
      </c>
      <c r="K886" s="8">
        <v>0</v>
      </c>
      <c r="L886" s="8" t="s">
        <v>12</v>
      </c>
      <c r="M886" s="8" t="str">
        <f>IF(Titanic[[#This Row],[Sobrevive]]=1, "SOBREVIVE", "NO SOBREVIVE")</f>
        <v>SOBREVIVE</v>
      </c>
      <c r="N886" s="8" t="str">
        <f>LOOKUP(Titanic[[#This Row],[Clase]],{1,2,3}, {"PRIMERA","SEGUNDA","TERCERA"})</f>
        <v>SEGUNDA</v>
      </c>
      <c r="O886" s="8" t="str">
        <f>IF(Titanic[[#This Row],[Sexo]]="Hombre", "HOMBRE", "MUJER")</f>
        <v>MUJER</v>
      </c>
      <c r="P886" s="8">
        <f>IF(Titanic[[#This Row],[Edad]]="", "", IF(Titanic[[#This Row],[Edad]]&gt;=100, Titanic[[#This Row],[Edad]] / 10, Titanic[[#This Row],[Edad]]))</f>
        <v>25</v>
      </c>
      <c r="Q886" s="8" t="str">
        <f>IFERROR(LOOKUP(Titanic[[#This Row],[Edad Corrigida]],'Práctica 1'!$K$231:$K$240,'Práctica 1'!$L$231:$L$240), "DESCONOCIDO")</f>
        <v>4. ADULTO JOVEN</v>
      </c>
      <c r="R886" s="8">
        <f>Titanic[[#This Row],[Familia Horizontal]]+Titanic[[#This Row],[Familia Vertical]]</f>
        <v>1</v>
      </c>
      <c r="S886" s="8"/>
      <c r="T886" s="8"/>
      <c r="U886" s="8"/>
      <c r="V886" s="8"/>
    </row>
    <row r="887" spans="2:22" x14ac:dyDescent="0.2">
      <c r="B887" s="6">
        <v>882</v>
      </c>
      <c r="C887" s="7">
        <v>0</v>
      </c>
      <c r="D887" s="8">
        <v>3</v>
      </c>
      <c r="E887" s="8" t="s">
        <v>896</v>
      </c>
      <c r="F887" s="8" t="s">
        <v>11</v>
      </c>
      <c r="G887" s="8">
        <v>33</v>
      </c>
      <c r="H887" s="8">
        <v>0</v>
      </c>
      <c r="I887" s="8">
        <v>0</v>
      </c>
      <c r="J887" s="8">
        <v>78958</v>
      </c>
      <c r="K887" s="8">
        <v>0</v>
      </c>
      <c r="L887" s="8" t="s">
        <v>12</v>
      </c>
      <c r="M887" s="8" t="str">
        <f>IF(Titanic[[#This Row],[Sobrevive]]=1, "SOBREVIVE", "NO SOBREVIVE")</f>
        <v>NO SOBREVIVE</v>
      </c>
      <c r="N887" s="8" t="str">
        <f>LOOKUP(Titanic[[#This Row],[Clase]],{1,2,3}, {"PRIMERA","SEGUNDA","TERCERA"})</f>
        <v>TERCERA</v>
      </c>
      <c r="O887" s="8" t="str">
        <f>IF(Titanic[[#This Row],[Sexo]]="Hombre", "HOMBRE", "MUJER")</f>
        <v>HOMBRE</v>
      </c>
      <c r="P887" s="8">
        <f>IF(Titanic[[#This Row],[Edad]]="", "", IF(Titanic[[#This Row],[Edad]]&gt;=100, Titanic[[#This Row],[Edad]] / 10, Titanic[[#This Row],[Edad]]))</f>
        <v>33</v>
      </c>
      <c r="Q887" s="8" t="str">
        <f>IFERROR(LOOKUP(Titanic[[#This Row],[Edad Corrigida]],'Práctica 1'!$K$231:$K$240,'Práctica 1'!$L$231:$L$240), "DESCONOCIDO")</f>
        <v>6. ADULTO 1</v>
      </c>
      <c r="R887" s="8">
        <f>Titanic[[#This Row],[Familia Horizontal]]+Titanic[[#This Row],[Familia Vertical]]</f>
        <v>0</v>
      </c>
      <c r="S887" s="8"/>
      <c r="T887" s="8"/>
      <c r="U887" s="8"/>
      <c r="V887" s="8"/>
    </row>
    <row r="888" spans="2:22" x14ac:dyDescent="0.2">
      <c r="B888" s="6">
        <v>883</v>
      </c>
      <c r="C888" s="7">
        <v>0</v>
      </c>
      <c r="D888" s="8">
        <v>3</v>
      </c>
      <c r="E888" s="8" t="s">
        <v>897</v>
      </c>
      <c r="F888" s="8" t="s">
        <v>14</v>
      </c>
      <c r="G888" s="8">
        <v>22</v>
      </c>
      <c r="H888" s="8">
        <v>0</v>
      </c>
      <c r="I888" s="8">
        <v>0</v>
      </c>
      <c r="J888" s="8">
        <v>105167</v>
      </c>
      <c r="K888" s="8">
        <v>0</v>
      </c>
      <c r="L888" s="8" t="s">
        <v>12</v>
      </c>
      <c r="M888" s="8" t="str">
        <f>IF(Titanic[[#This Row],[Sobrevive]]=1, "SOBREVIVE", "NO SOBREVIVE")</f>
        <v>NO SOBREVIVE</v>
      </c>
      <c r="N888" s="8" t="str">
        <f>LOOKUP(Titanic[[#This Row],[Clase]],{1,2,3}, {"PRIMERA","SEGUNDA","TERCERA"})</f>
        <v>TERCERA</v>
      </c>
      <c r="O888" s="8" t="str">
        <f>IF(Titanic[[#This Row],[Sexo]]="Hombre", "HOMBRE", "MUJER")</f>
        <v>MUJER</v>
      </c>
      <c r="P888" s="8">
        <f>IF(Titanic[[#This Row],[Edad]]="", "", IF(Titanic[[#This Row],[Edad]]&gt;=100, Titanic[[#This Row],[Edad]] / 10, Titanic[[#This Row],[Edad]]))</f>
        <v>22</v>
      </c>
      <c r="Q888" s="8" t="str">
        <f>IFERROR(LOOKUP(Titanic[[#This Row],[Edad Corrigida]],'Práctica 1'!$K$231:$K$240,'Práctica 1'!$L$231:$L$240), "DESCONOCIDO")</f>
        <v>3. JOVEN</v>
      </c>
      <c r="R888" s="8">
        <f>Titanic[[#This Row],[Familia Horizontal]]+Titanic[[#This Row],[Familia Vertical]]</f>
        <v>0</v>
      </c>
      <c r="S888" s="8"/>
      <c r="T888" s="8"/>
      <c r="U888" s="8"/>
      <c r="V888" s="8"/>
    </row>
    <row r="889" spans="2:22" x14ac:dyDescent="0.2">
      <c r="B889" s="6">
        <v>884</v>
      </c>
      <c r="C889" s="7">
        <v>0</v>
      </c>
      <c r="D889" s="8">
        <v>2</v>
      </c>
      <c r="E889" s="8" t="s">
        <v>898</v>
      </c>
      <c r="F889" s="8" t="s">
        <v>11</v>
      </c>
      <c r="G889" s="8">
        <v>28</v>
      </c>
      <c r="H889" s="8">
        <v>0</v>
      </c>
      <c r="I889" s="8">
        <v>0</v>
      </c>
      <c r="J889" s="8">
        <v>105</v>
      </c>
      <c r="K889" s="8">
        <v>0</v>
      </c>
      <c r="L889" s="8" t="s">
        <v>12</v>
      </c>
      <c r="M889" s="8" t="str">
        <f>IF(Titanic[[#This Row],[Sobrevive]]=1, "SOBREVIVE", "NO SOBREVIVE")</f>
        <v>NO SOBREVIVE</v>
      </c>
      <c r="N889" s="8" t="str">
        <f>LOOKUP(Titanic[[#This Row],[Clase]],{1,2,3}, {"PRIMERA","SEGUNDA","TERCERA"})</f>
        <v>SEGUNDA</v>
      </c>
      <c r="O889" s="8" t="str">
        <f>IF(Titanic[[#This Row],[Sexo]]="Hombre", "HOMBRE", "MUJER")</f>
        <v>HOMBRE</v>
      </c>
      <c r="P889" s="8">
        <f>IF(Titanic[[#This Row],[Edad]]="", "", IF(Titanic[[#This Row],[Edad]]&gt;=100, Titanic[[#This Row],[Edad]] / 10, Titanic[[#This Row],[Edad]]))</f>
        <v>28</v>
      </c>
      <c r="Q889" s="8" t="str">
        <f>IFERROR(LOOKUP(Titanic[[#This Row],[Edad Corrigida]],'Práctica 1'!$K$231:$K$240,'Práctica 1'!$L$231:$L$240), "DESCONOCIDO")</f>
        <v>4. ADULTO JOVEN</v>
      </c>
      <c r="R889" s="8">
        <f>Titanic[[#This Row],[Familia Horizontal]]+Titanic[[#This Row],[Familia Vertical]]</f>
        <v>0</v>
      </c>
      <c r="S889" s="8"/>
      <c r="T889" s="8"/>
      <c r="U889" s="8"/>
      <c r="V889" s="8"/>
    </row>
    <row r="890" spans="2:22" x14ac:dyDescent="0.2">
      <c r="B890" s="6">
        <v>885</v>
      </c>
      <c r="C890" s="7">
        <v>0</v>
      </c>
      <c r="D890" s="8">
        <v>3</v>
      </c>
      <c r="E890" s="8" t="s">
        <v>899</v>
      </c>
      <c r="F890" s="8" t="s">
        <v>11</v>
      </c>
      <c r="G890" s="8">
        <v>25</v>
      </c>
      <c r="H890" s="8">
        <v>0</v>
      </c>
      <c r="I890" s="8">
        <v>0</v>
      </c>
      <c r="J890" s="8">
        <v>705</v>
      </c>
      <c r="K890" s="8">
        <v>0</v>
      </c>
      <c r="L890" s="8" t="s">
        <v>12</v>
      </c>
      <c r="M890" s="8" t="str">
        <f>IF(Titanic[[#This Row],[Sobrevive]]=1, "SOBREVIVE", "NO SOBREVIVE")</f>
        <v>NO SOBREVIVE</v>
      </c>
      <c r="N890" s="8" t="str">
        <f>LOOKUP(Titanic[[#This Row],[Clase]],{1,2,3}, {"PRIMERA","SEGUNDA","TERCERA"})</f>
        <v>TERCERA</v>
      </c>
      <c r="O890" s="8" t="str">
        <f>IF(Titanic[[#This Row],[Sexo]]="Hombre", "HOMBRE", "MUJER")</f>
        <v>HOMBRE</v>
      </c>
      <c r="P890" s="8">
        <f>IF(Titanic[[#This Row],[Edad]]="", "", IF(Titanic[[#This Row],[Edad]]&gt;=100, Titanic[[#This Row],[Edad]] / 10, Titanic[[#This Row],[Edad]]))</f>
        <v>25</v>
      </c>
      <c r="Q890" s="8" t="str">
        <f>IFERROR(LOOKUP(Titanic[[#This Row],[Edad Corrigida]],'Práctica 1'!$K$231:$K$240,'Práctica 1'!$L$231:$L$240), "DESCONOCIDO")</f>
        <v>4. ADULTO JOVEN</v>
      </c>
      <c r="R890" s="8">
        <f>Titanic[[#This Row],[Familia Horizontal]]+Titanic[[#This Row],[Familia Vertical]]</f>
        <v>0</v>
      </c>
      <c r="S890" s="8"/>
      <c r="T890" s="8"/>
      <c r="U890" s="8"/>
      <c r="V890" s="8"/>
    </row>
    <row r="891" spans="2:22" x14ac:dyDescent="0.2">
      <c r="B891" s="6">
        <v>886</v>
      </c>
      <c r="C891" s="7">
        <v>0</v>
      </c>
      <c r="D891" s="8">
        <v>3</v>
      </c>
      <c r="E891" s="8" t="s">
        <v>900</v>
      </c>
      <c r="F891" s="8" t="s">
        <v>14</v>
      </c>
      <c r="G891" s="8">
        <v>39</v>
      </c>
      <c r="H891" s="8">
        <v>0</v>
      </c>
      <c r="I891" s="8">
        <v>5</v>
      </c>
      <c r="J891" s="8">
        <v>29125</v>
      </c>
      <c r="K891" s="8">
        <v>0</v>
      </c>
      <c r="L891" s="8" t="s">
        <v>20</v>
      </c>
      <c r="M891" s="8" t="str">
        <f>IF(Titanic[[#This Row],[Sobrevive]]=1, "SOBREVIVE", "NO SOBREVIVE")</f>
        <v>NO SOBREVIVE</v>
      </c>
      <c r="N891" s="8" t="str">
        <f>LOOKUP(Titanic[[#This Row],[Clase]],{1,2,3}, {"PRIMERA","SEGUNDA","TERCERA"})</f>
        <v>TERCERA</v>
      </c>
      <c r="O891" s="8" t="str">
        <f>IF(Titanic[[#This Row],[Sexo]]="Hombre", "HOMBRE", "MUJER")</f>
        <v>MUJER</v>
      </c>
      <c r="P891" s="8">
        <f>IF(Titanic[[#This Row],[Edad]]="", "", IF(Titanic[[#This Row],[Edad]]&gt;=100, Titanic[[#This Row],[Edad]] / 10, Titanic[[#This Row],[Edad]]))</f>
        <v>39</v>
      </c>
      <c r="Q891" s="8" t="str">
        <f>IFERROR(LOOKUP(Titanic[[#This Row],[Edad Corrigida]],'Práctica 1'!$K$231:$K$240,'Práctica 1'!$L$231:$L$240), "DESCONOCIDO")</f>
        <v>7. ADULTO 2</v>
      </c>
      <c r="R891" s="8">
        <f>Titanic[[#This Row],[Familia Horizontal]]+Titanic[[#This Row],[Familia Vertical]]</f>
        <v>5</v>
      </c>
      <c r="S891" s="8"/>
      <c r="T891" s="8"/>
      <c r="U891" s="8"/>
      <c r="V891" s="8"/>
    </row>
    <row r="892" spans="2:22" x14ac:dyDescent="0.2">
      <c r="B892" s="6">
        <v>887</v>
      </c>
      <c r="C892" s="7">
        <v>0</v>
      </c>
      <c r="D892" s="8">
        <v>2</v>
      </c>
      <c r="E892" s="8" t="s">
        <v>901</v>
      </c>
      <c r="F892" s="8" t="s">
        <v>11</v>
      </c>
      <c r="G892" s="8">
        <v>27</v>
      </c>
      <c r="H892" s="8">
        <v>0</v>
      </c>
      <c r="I892" s="8">
        <v>0</v>
      </c>
      <c r="J892" s="8">
        <v>13</v>
      </c>
      <c r="K892" s="8">
        <v>0</v>
      </c>
      <c r="L892" s="8" t="s">
        <v>12</v>
      </c>
      <c r="M892" s="8" t="str">
        <f>IF(Titanic[[#This Row],[Sobrevive]]=1, "SOBREVIVE", "NO SOBREVIVE")</f>
        <v>NO SOBREVIVE</v>
      </c>
      <c r="N892" s="8" t="str">
        <f>LOOKUP(Titanic[[#This Row],[Clase]],{1,2,3}, {"PRIMERA","SEGUNDA","TERCERA"})</f>
        <v>SEGUNDA</v>
      </c>
      <c r="O892" s="8" t="str">
        <f>IF(Titanic[[#This Row],[Sexo]]="Hombre", "HOMBRE", "MUJER")</f>
        <v>HOMBRE</v>
      </c>
      <c r="P892" s="8">
        <f>IF(Titanic[[#This Row],[Edad]]="", "", IF(Titanic[[#This Row],[Edad]]&gt;=100, Titanic[[#This Row],[Edad]] / 10, Titanic[[#This Row],[Edad]]))</f>
        <v>27</v>
      </c>
      <c r="Q892" s="8" t="str">
        <f>IFERROR(LOOKUP(Titanic[[#This Row],[Edad Corrigida]],'Práctica 1'!$K$231:$K$240,'Práctica 1'!$L$231:$L$240), "DESCONOCIDO")</f>
        <v>4. ADULTO JOVEN</v>
      </c>
      <c r="R892" s="8">
        <f>Titanic[[#This Row],[Familia Horizontal]]+Titanic[[#This Row],[Familia Vertical]]</f>
        <v>0</v>
      </c>
      <c r="S892" s="8"/>
      <c r="T892" s="8"/>
      <c r="U892" s="8"/>
      <c r="V892" s="8"/>
    </row>
    <row r="893" spans="2:22" x14ac:dyDescent="0.2">
      <c r="B893" s="6">
        <v>888</v>
      </c>
      <c r="C893" s="7">
        <v>1</v>
      </c>
      <c r="D893" s="8">
        <v>1</v>
      </c>
      <c r="E893" s="8" t="s">
        <v>902</v>
      </c>
      <c r="F893" s="8" t="s">
        <v>14</v>
      </c>
      <c r="G893" s="8">
        <v>19</v>
      </c>
      <c r="H893" s="8">
        <v>0</v>
      </c>
      <c r="I893" s="8">
        <v>0</v>
      </c>
      <c r="J893" s="8">
        <v>30</v>
      </c>
      <c r="K893" s="8">
        <v>1</v>
      </c>
      <c r="L893" s="8" t="s">
        <v>12</v>
      </c>
      <c r="M893" s="8" t="str">
        <f>IF(Titanic[[#This Row],[Sobrevive]]=1, "SOBREVIVE", "NO SOBREVIVE")</f>
        <v>SOBREVIVE</v>
      </c>
      <c r="N893" s="8" t="str">
        <f>LOOKUP(Titanic[[#This Row],[Clase]],{1,2,3}, {"PRIMERA","SEGUNDA","TERCERA"})</f>
        <v>PRIMERA</v>
      </c>
      <c r="O893" s="8" t="str">
        <f>IF(Titanic[[#This Row],[Sexo]]="Hombre", "HOMBRE", "MUJER")</f>
        <v>MUJER</v>
      </c>
      <c r="P893" s="8">
        <f>IF(Titanic[[#This Row],[Edad]]="", "", IF(Titanic[[#This Row],[Edad]]&gt;=100, Titanic[[#This Row],[Edad]] / 10, Titanic[[#This Row],[Edad]]))</f>
        <v>19</v>
      </c>
      <c r="Q893" s="8" t="str">
        <f>IFERROR(LOOKUP(Titanic[[#This Row],[Edad Corrigida]],'Práctica 1'!$K$231:$K$240,'Práctica 1'!$L$231:$L$240), "DESCONOCIDO")</f>
        <v>2. ADOLESCENTE</v>
      </c>
      <c r="R893" s="8">
        <f>Titanic[[#This Row],[Familia Horizontal]]+Titanic[[#This Row],[Familia Vertical]]</f>
        <v>0</v>
      </c>
      <c r="S893" s="8"/>
      <c r="T893" s="8"/>
      <c r="U893" s="8"/>
      <c r="V893" s="8"/>
    </row>
    <row r="894" spans="2:22" x14ac:dyDescent="0.2">
      <c r="B894" s="6">
        <v>889</v>
      </c>
      <c r="C894" s="7">
        <v>0</v>
      </c>
      <c r="D894" s="8">
        <v>3</v>
      </c>
      <c r="E894" s="8" t="s">
        <v>903</v>
      </c>
      <c r="F894" s="8" t="s">
        <v>14</v>
      </c>
      <c r="G894" s="9"/>
      <c r="H894" s="8">
        <v>1</v>
      </c>
      <c r="I894" s="8">
        <v>2</v>
      </c>
      <c r="J894" s="8">
        <v>2345</v>
      </c>
      <c r="K894" s="8">
        <v>0</v>
      </c>
      <c r="L894" s="8" t="s">
        <v>12</v>
      </c>
      <c r="M894" s="8" t="str">
        <f>IF(Titanic[[#This Row],[Sobrevive]]=1, "SOBREVIVE", "NO SOBREVIVE")</f>
        <v>NO SOBREVIVE</v>
      </c>
      <c r="N894" s="8" t="str">
        <f>LOOKUP(Titanic[[#This Row],[Clase]],{1,2,3}, {"PRIMERA","SEGUNDA","TERCERA"})</f>
        <v>TERCERA</v>
      </c>
      <c r="O894" s="8" t="str">
        <f>IF(Titanic[[#This Row],[Sexo]]="Hombre", "HOMBRE", "MUJER")</f>
        <v>MUJER</v>
      </c>
      <c r="P894" s="8" t="str">
        <f>IF(Titanic[[#This Row],[Edad]]="", "", IF(Titanic[[#This Row],[Edad]]&gt;=100, Titanic[[#This Row],[Edad]] / 10, Titanic[[#This Row],[Edad]]))</f>
        <v/>
      </c>
      <c r="Q894" s="8" t="str">
        <f>IFERROR(LOOKUP(Titanic[[#This Row],[Edad Corrigida]],'Práctica 1'!$K$231:$K$240,'Práctica 1'!$L$231:$L$240), "DESCONOCIDO")</f>
        <v>DESCONOCIDO</v>
      </c>
      <c r="R894" s="8">
        <f>Titanic[[#This Row],[Familia Horizontal]]+Titanic[[#This Row],[Familia Vertical]]</f>
        <v>3</v>
      </c>
      <c r="S894" s="8"/>
      <c r="T894" s="8"/>
      <c r="U894" s="8"/>
      <c r="V894" s="8"/>
    </row>
    <row r="895" spans="2:22" x14ac:dyDescent="0.2">
      <c r="B895" s="6">
        <v>890</v>
      </c>
      <c r="C895" s="7">
        <v>1</v>
      </c>
      <c r="D895" s="8">
        <v>1</v>
      </c>
      <c r="E895" s="8" t="s">
        <v>904</v>
      </c>
      <c r="F895" s="8" t="s">
        <v>11</v>
      </c>
      <c r="G895" s="8">
        <v>26</v>
      </c>
      <c r="H895" s="8">
        <v>0</v>
      </c>
      <c r="I895" s="8">
        <v>0</v>
      </c>
      <c r="J895" s="8">
        <v>30</v>
      </c>
      <c r="K895" s="8">
        <v>1</v>
      </c>
      <c r="L895" s="8" t="s">
        <v>15</v>
      </c>
      <c r="M895" s="8" t="str">
        <f>IF(Titanic[[#This Row],[Sobrevive]]=1, "SOBREVIVE", "NO SOBREVIVE")</f>
        <v>SOBREVIVE</v>
      </c>
      <c r="N895" s="8" t="str">
        <f>LOOKUP(Titanic[[#This Row],[Clase]],{1,2,3}, {"PRIMERA","SEGUNDA","TERCERA"})</f>
        <v>PRIMERA</v>
      </c>
      <c r="O895" s="8" t="str">
        <f>IF(Titanic[[#This Row],[Sexo]]="Hombre", "HOMBRE", "MUJER")</f>
        <v>HOMBRE</v>
      </c>
      <c r="P895" s="8">
        <f>IF(Titanic[[#This Row],[Edad]]="", "", IF(Titanic[[#This Row],[Edad]]&gt;=100, Titanic[[#This Row],[Edad]] / 10, Titanic[[#This Row],[Edad]]))</f>
        <v>26</v>
      </c>
      <c r="Q895" s="8" t="str">
        <f>IFERROR(LOOKUP(Titanic[[#This Row],[Edad Corrigida]],'Práctica 1'!$K$231:$K$240,'Práctica 1'!$L$231:$L$240), "DESCONOCIDO")</f>
        <v>4. ADULTO JOVEN</v>
      </c>
      <c r="R895" s="8">
        <f>Titanic[[#This Row],[Familia Horizontal]]+Titanic[[#This Row],[Familia Vertical]]</f>
        <v>0</v>
      </c>
      <c r="S895" s="8"/>
      <c r="T895" s="8"/>
      <c r="U895" s="8"/>
      <c r="V895" s="8"/>
    </row>
    <row r="896" spans="2:22" x14ac:dyDescent="0.2">
      <c r="B896" s="6">
        <v>891</v>
      </c>
      <c r="C896" s="7">
        <v>0</v>
      </c>
      <c r="D896" s="8">
        <v>3</v>
      </c>
      <c r="E896" s="8" t="s">
        <v>905</v>
      </c>
      <c r="F896" s="8" t="s">
        <v>11</v>
      </c>
      <c r="G896" s="8">
        <v>32</v>
      </c>
      <c r="H896" s="8">
        <v>0</v>
      </c>
      <c r="I896" s="8">
        <v>0</v>
      </c>
      <c r="J896" s="8">
        <v>775</v>
      </c>
      <c r="K896" s="8">
        <v>0</v>
      </c>
      <c r="L896" s="8" t="s">
        <v>20</v>
      </c>
      <c r="M896" s="8" t="str">
        <f>IF(Titanic[[#This Row],[Sobrevive]]=1, "SOBREVIVE", "NO SOBREVIVE")</f>
        <v>NO SOBREVIVE</v>
      </c>
      <c r="N896" s="8" t="str">
        <f>LOOKUP(Titanic[[#This Row],[Clase]],{1,2,3}, {"PRIMERA","SEGUNDA","TERCERA"})</f>
        <v>TERCERA</v>
      </c>
      <c r="O896" s="8" t="str">
        <f>IF(Titanic[[#This Row],[Sexo]]="Hombre", "HOMBRE", "MUJER")</f>
        <v>HOMBRE</v>
      </c>
      <c r="P896" s="8">
        <f>IF(Titanic[[#This Row],[Edad]]="", "", IF(Titanic[[#This Row],[Edad]]&gt;=100, Titanic[[#This Row],[Edad]] / 10, Titanic[[#This Row],[Edad]]))</f>
        <v>32</v>
      </c>
      <c r="Q896" s="8" t="str">
        <f>IFERROR(LOOKUP(Titanic[[#This Row],[Edad Corrigida]],'Práctica 1'!$K$231:$K$240,'Práctica 1'!$L$231:$L$240), "DESCONOCIDO")</f>
        <v>6. ADULTO 1</v>
      </c>
      <c r="R896" s="8">
        <f>Titanic[[#This Row],[Familia Horizontal]]+Titanic[[#This Row],[Familia Vertical]]</f>
        <v>0</v>
      </c>
      <c r="S896" s="8"/>
      <c r="T896" s="8"/>
      <c r="U896" s="8"/>
      <c r="V896" s="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D8FAE-79D0-8644-9E29-AB5E3DCAE78A}">
  <dimension ref="B3:R42"/>
  <sheetViews>
    <sheetView topLeftCell="A3" zoomScale="114" workbookViewId="0">
      <selection activeCell="K21" sqref="K21"/>
    </sheetView>
  </sheetViews>
  <sheetFormatPr baseColWidth="10" defaultRowHeight="16" x14ac:dyDescent="0.2"/>
  <cols>
    <col min="2" max="2" width="20.1640625" bestFit="1" customWidth="1"/>
    <col min="3" max="3" width="21.5" bestFit="1" customWidth="1"/>
    <col min="4" max="4" width="10.83203125" bestFit="1" customWidth="1"/>
    <col min="5" max="5" width="11.83203125" bestFit="1" customWidth="1"/>
  </cols>
  <sheetData>
    <row r="3" spans="2:5" x14ac:dyDescent="0.2">
      <c r="B3" s="18" t="s">
        <v>968</v>
      </c>
      <c r="C3" s="18" t="s">
        <v>963</v>
      </c>
    </row>
    <row r="4" spans="2:5" x14ac:dyDescent="0.2">
      <c r="B4" s="18" t="s">
        <v>967</v>
      </c>
      <c r="C4" t="s">
        <v>964</v>
      </c>
      <c r="D4" t="s">
        <v>965</v>
      </c>
      <c r="E4" t="s">
        <v>966</v>
      </c>
    </row>
    <row r="5" spans="2:5" x14ac:dyDescent="0.2">
      <c r="B5" s="19" t="s">
        <v>999</v>
      </c>
      <c r="C5" s="20">
        <v>1</v>
      </c>
      <c r="D5" s="20">
        <v>10</v>
      </c>
      <c r="E5" s="20">
        <v>11</v>
      </c>
    </row>
    <row r="6" spans="2:5" x14ac:dyDescent="0.2">
      <c r="B6" s="19" t="s">
        <v>1000</v>
      </c>
      <c r="C6" s="20">
        <v>3</v>
      </c>
      <c r="D6" s="20">
        <v>5</v>
      </c>
      <c r="E6" s="20">
        <v>8</v>
      </c>
    </row>
    <row r="7" spans="2:5" x14ac:dyDescent="0.2">
      <c r="B7" s="19" t="s">
        <v>1001</v>
      </c>
      <c r="C7" s="20">
        <v>3</v>
      </c>
      <c r="D7" s="20">
        <v>12</v>
      </c>
      <c r="E7" s="20">
        <v>15</v>
      </c>
    </row>
    <row r="8" spans="2:5" x14ac:dyDescent="0.2">
      <c r="B8" s="19" t="s">
        <v>1002</v>
      </c>
      <c r="C8" s="20">
        <v>4</v>
      </c>
      <c r="D8" s="20">
        <v>9</v>
      </c>
      <c r="E8" s="20">
        <v>13</v>
      </c>
    </row>
    <row r="9" spans="2:5" x14ac:dyDescent="0.2">
      <c r="B9" s="19" t="s">
        <v>1003</v>
      </c>
      <c r="C9" s="20">
        <v>5</v>
      </c>
      <c r="D9" s="20">
        <v>9</v>
      </c>
      <c r="E9" s="20">
        <v>14</v>
      </c>
    </row>
    <row r="10" spans="2:5" x14ac:dyDescent="0.2">
      <c r="B10" s="19" t="s">
        <v>1004</v>
      </c>
      <c r="C10" s="20">
        <v>1</v>
      </c>
      <c r="D10" s="20">
        <v>15</v>
      </c>
      <c r="E10" s="20">
        <v>16</v>
      </c>
    </row>
    <row r="11" spans="2:5" x14ac:dyDescent="0.2">
      <c r="B11" s="19" t="s">
        <v>1005</v>
      </c>
      <c r="C11" s="20">
        <v>9</v>
      </c>
      <c r="D11" s="20">
        <v>20</v>
      </c>
      <c r="E11" s="20">
        <v>29</v>
      </c>
    </row>
    <row r="12" spans="2:5" x14ac:dyDescent="0.2">
      <c r="B12" s="19" t="s">
        <v>1006</v>
      </c>
      <c r="C12" s="20">
        <v>13</v>
      </c>
      <c r="D12" s="20">
        <v>18</v>
      </c>
      <c r="E12" s="20">
        <v>31</v>
      </c>
    </row>
    <row r="13" spans="2:5" x14ac:dyDescent="0.2">
      <c r="B13" s="19" t="s">
        <v>1007</v>
      </c>
      <c r="C13" s="20">
        <v>24</v>
      </c>
      <c r="D13" s="20">
        <v>20</v>
      </c>
      <c r="E13" s="20">
        <v>44</v>
      </c>
    </row>
    <row r="14" spans="2:5" x14ac:dyDescent="0.2">
      <c r="B14" s="19" t="s">
        <v>1008</v>
      </c>
      <c r="C14" s="20"/>
      <c r="D14" s="20">
        <v>1</v>
      </c>
      <c r="E14" s="20">
        <v>1</v>
      </c>
    </row>
    <row r="15" spans="2:5" x14ac:dyDescent="0.2">
      <c r="B15" s="19" t="s">
        <v>966</v>
      </c>
      <c r="C15" s="20">
        <v>63</v>
      </c>
      <c r="D15" s="20">
        <v>119</v>
      </c>
      <c r="E15" s="20">
        <v>182</v>
      </c>
    </row>
    <row r="33" spans="13:18" x14ac:dyDescent="0.2">
      <c r="M33" s="32" t="s">
        <v>994</v>
      </c>
      <c r="N33" s="32"/>
      <c r="O33" s="32"/>
      <c r="P33" s="32"/>
      <c r="Q33" s="32"/>
      <c r="R33" s="32"/>
    </row>
    <row r="34" spans="13:18" x14ac:dyDescent="0.2">
      <c r="M34" s="32"/>
      <c r="N34" s="32"/>
      <c r="O34" s="32"/>
      <c r="P34" s="32"/>
      <c r="Q34" s="32"/>
      <c r="R34" s="32"/>
    </row>
    <row r="35" spans="13:18" x14ac:dyDescent="0.2">
      <c r="M35" s="32" t="s">
        <v>995</v>
      </c>
      <c r="N35" s="32"/>
      <c r="O35" s="32"/>
      <c r="P35" s="32"/>
      <c r="Q35" s="32"/>
      <c r="R35" s="32"/>
    </row>
    <row r="36" spans="13:18" x14ac:dyDescent="0.2">
      <c r="M36" s="32"/>
      <c r="N36" s="32"/>
      <c r="O36" s="32"/>
      <c r="P36" s="32"/>
      <c r="Q36" s="32"/>
      <c r="R36" s="32"/>
    </row>
    <row r="37" spans="13:18" x14ac:dyDescent="0.2">
      <c r="M37" s="36" t="s">
        <v>996</v>
      </c>
      <c r="N37" s="36"/>
      <c r="O37" s="36"/>
      <c r="P37" s="36"/>
      <c r="Q37" s="36"/>
      <c r="R37" s="36"/>
    </row>
    <row r="38" spans="13:18" x14ac:dyDescent="0.2">
      <c r="M38" s="36"/>
      <c r="N38" s="36"/>
      <c r="O38" s="36"/>
      <c r="P38" s="36"/>
      <c r="Q38" s="36"/>
      <c r="R38" s="36"/>
    </row>
    <row r="39" spans="13:18" x14ac:dyDescent="0.2">
      <c r="M39" s="36"/>
      <c r="N39" s="36"/>
      <c r="O39" s="36"/>
      <c r="P39" s="36"/>
      <c r="Q39" s="36"/>
      <c r="R39" s="36"/>
    </row>
    <row r="40" spans="13:18" x14ac:dyDescent="0.2">
      <c r="M40" s="32" t="s">
        <v>997</v>
      </c>
      <c r="N40" s="32"/>
      <c r="O40" s="32"/>
      <c r="P40" s="32"/>
      <c r="Q40" s="32"/>
      <c r="R40" s="32"/>
    </row>
    <row r="41" spans="13:18" x14ac:dyDescent="0.2">
      <c r="M41" s="32"/>
      <c r="N41" s="32"/>
      <c r="O41" s="32"/>
      <c r="P41" s="32"/>
      <c r="Q41" s="32"/>
      <c r="R41" s="32"/>
    </row>
    <row r="42" spans="13:18" x14ac:dyDescent="0.2">
      <c r="M42" s="32" t="s">
        <v>998</v>
      </c>
      <c r="N42" s="32"/>
      <c r="O42" s="32"/>
      <c r="P42" s="32"/>
      <c r="Q42" s="32"/>
      <c r="R42" s="32"/>
    </row>
  </sheetData>
  <mergeCells count="1">
    <mergeCell ref="M37:R39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16999-6D7F-2F45-A336-F2BC4B3DA9D7}">
  <dimension ref="B2:H12"/>
  <sheetViews>
    <sheetView tabSelected="1" zoomScale="178" workbookViewId="0">
      <selection activeCell="F13" sqref="F13"/>
    </sheetView>
  </sheetViews>
  <sheetFormatPr baseColWidth="10" defaultRowHeight="16" x14ac:dyDescent="0.2"/>
  <cols>
    <col min="4" max="4" width="18" customWidth="1"/>
    <col min="5" max="5" width="19.33203125" customWidth="1"/>
    <col min="6" max="6" width="16.33203125" customWidth="1"/>
    <col min="7" max="7" width="15.6640625" customWidth="1"/>
    <col min="8" max="8" width="20" customWidth="1"/>
  </cols>
  <sheetData>
    <row r="2" spans="2:8" x14ac:dyDescent="0.2">
      <c r="D2" t="s">
        <v>1009</v>
      </c>
      <c r="G2" t="s">
        <v>1010</v>
      </c>
    </row>
    <row r="3" spans="2:8" x14ac:dyDescent="0.2">
      <c r="B3">
        <v>0.2</v>
      </c>
      <c r="D3">
        <f>_xlfn.PERCENTILE.INC(Titanic[Familiares], B3)</f>
        <v>0</v>
      </c>
      <c r="E3" t="s">
        <v>1011</v>
      </c>
      <c r="G3">
        <f>_xlfn.PERCENTILE.INC(Titanic[Pagado], B3)</f>
        <v>105</v>
      </c>
      <c r="H3" t="s">
        <v>1015</v>
      </c>
    </row>
    <row r="4" spans="2:8" x14ac:dyDescent="0.2">
      <c r="B4">
        <v>0.4</v>
      </c>
      <c r="D4">
        <f>_xlfn.PERCENTILE.INC(Titanic[Familiares], B4)</f>
        <v>0</v>
      </c>
      <c r="G4">
        <f>_xlfn.PERCENTILE.INC(Titanic[Pagado], B4)</f>
        <v>775</v>
      </c>
      <c r="H4" t="s">
        <v>1014</v>
      </c>
    </row>
    <row r="5" spans="2:8" x14ac:dyDescent="0.2">
      <c r="B5">
        <v>0.6</v>
      </c>
      <c r="D5">
        <f>_xlfn.PERCENTILE.INC(Titanic[Familiares], B5)</f>
        <v>0</v>
      </c>
      <c r="G5">
        <f>_xlfn.PERCENTILE.INC(Titanic[Pagado], B5)</f>
        <v>7925</v>
      </c>
      <c r="H5" t="s">
        <v>1016</v>
      </c>
    </row>
    <row r="6" spans="2:8" x14ac:dyDescent="0.2">
      <c r="B6">
        <v>0.8</v>
      </c>
      <c r="D6">
        <f>_xlfn.PERCENTILE.INC(Titanic[Familiares], B6)</f>
        <v>2</v>
      </c>
      <c r="E6" t="s">
        <v>1012</v>
      </c>
      <c r="G6">
        <f>_xlfn.PERCENTILE.INC(Titanic[Pagado], B6)</f>
        <v>86625</v>
      </c>
      <c r="H6" t="s">
        <v>1017</v>
      </c>
    </row>
    <row r="7" spans="2:8" x14ac:dyDescent="0.2">
      <c r="B7">
        <v>1</v>
      </c>
      <c r="D7">
        <f>_xlfn.PERCENTILE.INC(Titanic[Familiares], B7)</f>
        <v>10</v>
      </c>
      <c r="E7" t="s">
        <v>1013</v>
      </c>
      <c r="G7">
        <f>_xlfn.PERCENTILE.INC(Titanic[Pagado], B7)</f>
        <v>5123292</v>
      </c>
      <c r="H7" t="s">
        <v>1018</v>
      </c>
    </row>
    <row r="10" spans="2:8" x14ac:dyDescent="0.2">
      <c r="D10">
        <v>0</v>
      </c>
      <c r="E10" t="s">
        <v>1011</v>
      </c>
    </row>
    <row r="11" spans="2:8" x14ac:dyDescent="0.2">
      <c r="D11">
        <v>2</v>
      </c>
      <c r="E11" t="s">
        <v>1012</v>
      </c>
    </row>
    <row r="12" spans="2:8" x14ac:dyDescent="0.2">
      <c r="D12">
        <v>10</v>
      </c>
      <c r="E12" t="s">
        <v>1013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0E194-D5FC-BA4A-AB4B-E8D116B282C8}">
  <dimension ref="B2:F894"/>
  <sheetViews>
    <sheetView zoomScale="183" workbookViewId="0">
      <selection activeCell="C4" sqref="C4"/>
    </sheetView>
  </sheetViews>
  <sheetFormatPr baseColWidth="10" defaultRowHeight="16" x14ac:dyDescent="0.2"/>
  <cols>
    <col min="3" max="4" width="15.1640625" customWidth="1"/>
    <col min="6" max="6" width="15.1640625" customWidth="1"/>
  </cols>
  <sheetData>
    <row r="2" spans="2:6" x14ac:dyDescent="0.2">
      <c r="C2" t="s">
        <v>925</v>
      </c>
    </row>
    <row r="4" spans="2:6" x14ac:dyDescent="0.2">
      <c r="B4" cm="1">
        <f t="array" ref="B4:B894">Titanic[Edad Corrigida]</f>
        <v>22</v>
      </c>
      <c r="C4" s="10">
        <f>IFERROR(_xlfn.PERCENTRANK.INC(Titanic[Edad Corrigida], B4), "")</f>
        <v>0.27600000000000002</v>
      </c>
      <c r="D4" s="10"/>
      <c r="E4" cm="1">
        <f t="array" ref="E4:E91">_xlfn._xlws.SORT(_xlfn.UNIQUE(Titanic[Edad Corrigida]))</f>
        <v>1</v>
      </c>
      <c r="F4">
        <f>IFERROR(ROUNDUP(E4/5, 0), "DESCONOCIDO")</f>
        <v>1</v>
      </c>
    </row>
    <row r="5" spans="2:6" x14ac:dyDescent="0.2">
      <c r="B5">
        <v>38</v>
      </c>
      <c r="C5" s="10">
        <f>IFERROR(_xlfn.PERCENTRANK.INC(Titanic[Edad Corrigida], B5), "")</f>
        <v>0.72699999999999998</v>
      </c>
      <c r="D5" s="10"/>
      <c r="E5">
        <v>2</v>
      </c>
      <c r="F5">
        <f t="shared" ref="F5:F68" si="0">IFERROR(ROUNDUP(E5/5, 0), "DESCONOCIDO")</f>
        <v>1</v>
      </c>
    </row>
    <row r="6" spans="2:6" x14ac:dyDescent="0.2">
      <c r="B6">
        <v>26</v>
      </c>
      <c r="C6" s="10">
        <f>IFERROR(_xlfn.PERCENTRANK.INC(Titanic[Edad Corrigida], B6), "")</f>
        <v>0.41199999999999998</v>
      </c>
      <c r="D6" s="10"/>
      <c r="E6">
        <v>3</v>
      </c>
      <c r="F6">
        <f t="shared" si="0"/>
        <v>1</v>
      </c>
    </row>
    <row r="7" spans="2:6" x14ac:dyDescent="0.2">
      <c r="B7">
        <v>35</v>
      </c>
      <c r="C7" s="10">
        <f>IFERROR(_xlfn.PERCENTRANK.INC(Titanic[Edad Corrigida], B7), "")</f>
        <v>0.66100000000000003</v>
      </c>
      <c r="D7" s="10"/>
      <c r="E7">
        <v>4</v>
      </c>
      <c r="F7">
        <f t="shared" si="0"/>
        <v>1</v>
      </c>
    </row>
    <row r="8" spans="2:6" x14ac:dyDescent="0.2">
      <c r="B8">
        <v>35</v>
      </c>
      <c r="C8" s="10">
        <f>IFERROR(_xlfn.PERCENTRANK.INC(Titanic[Edad Corrigida], B8), "")</f>
        <v>0.66100000000000003</v>
      </c>
      <c r="D8" s="10"/>
      <c r="E8">
        <v>5</v>
      </c>
      <c r="F8">
        <f t="shared" si="0"/>
        <v>1</v>
      </c>
    </row>
    <row r="9" spans="2:6" x14ac:dyDescent="0.2">
      <c r="B9" t="str">
        <v/>
      </c>
      <c r="C9" s="10" t="str">
        <f>IFERROR(_xlfn.PERCENTRANK.INC(Titanic[Edad Corrigida], B9), "")</f>
        <v/>
      </c>
      <c r="D9" s="10"/>
      <c r="E9">
        <v>6</v>
      </c>
      <c r="F9">
        <f t="shared" si="0"/>
        <v>2</v>
      </c>
    </row>
    <row r="10" spans="2:6" x14ac:dyDescent="0.2">
      <c r="B10">
        <v>54</v>
      </c>
      <c r="C10" s="10">
        <f>IFERROR(_xlfn.PERCENTRANK.INC(Titanic[Edad Corrigida], B10), "")</f>
        <v>0.92200000000000004</v>
      </c>
      <c r="D10" s="10"/>
      <c r="E10">
        <v>7</v>
      </c>
      <c r="F10">
        <f t="shared" si="0"/>
        <v>2</v>
      </c>
    </row>
    <row r="11" spans="2:6" x14ac:dyDescent="0.2">
      <c r="B11">
        <v>2</v>
      </c>
      <c r="C11" s="10">
        <f>IFERROR(_xlfn.PERCENTRANK.INC(Titanic[Edad Corrigida], B11), "")</f>
        <v>8.9999999999999993E-3</v>
      </c>
      <c r="D11" s="10"/>
      <c r="E11">
        <v>8</v>
      </c>
      <c r="F11">
        <f t="shared" si="0"/>
        <v>2</v>
      </c>
    </row>
    <row r="12" spans="2:6" x14ac:dyDescent="0.2">
      <c r="B12">
        <v>27</v>
      </c>
      <c r="C12" s="10">
        <f>IFERROR(_xlfn.PERCENTRANK.INC(Titanic[Edad Corrigida], B12), "")</f>
        <v>0.437</v>
      </c>
      <c r="D12" s="10"/>
      <c r="E12">
        <v>9</v>
      </c>
      <c r="F12">
        <f t="shared" si="0"/>
        <v>2</v>
      </c>
    </row>
    <row r="13" spans="2:6" x14ac:dyDescent="0.2">
      <c r="B13">
        <v>14</v>
      </c>
      <c r="C13" s="10">
        <f>IFERROR(_xlfn.PERCENTRANK.INC(Titanic[Edad Corrigida], B13), "")</f>
        <v>8.8999999999999996E-2</v>
      </c>
      <c r="D13" s="10"/>
      <c r="E13">
        <v>10</v>
      </c>
      <c r="F13">
        <f t="shared" si="0"/>
        <v>2</v>
      </c>
    </row>
    <row r="14" spans="2:6" x14ac:dyDescent="0.2">
      <c r="B14">
        <v>4</v>
      </c>
      <c r="C14" s="10">
        <f>IFERROR(_xlfn.PERCENTRANK.INC(Titanic[Edad Corrigida], B14), "")</f>
        <v>3.2000000000000001E-2</v>
      </c>
      <c r="D14" s="10"/>
      <c r="E14">
        <v>11</v>
      </c>
      <c r="F14">
        <f t="shared" si="0"/>
        <v>3</v>
      </c>
    </row>
    <row r="15" spans="2:6" x14ac:dyDescent="0.2">
      <c r="B15">
        <v>58</v>
      </c>
      <c r="C15" s="10">
        <f>IFERROR(_xlfn.PERCENTRANK.INC(Titanic[Edad Corrigida], B15), "")</f>
        <v>0.94599999999999995</v>
      </c>
      <c r="D15" s="10"/>
      <c r="E15">
        <v>12</v>
      </c>
      <c r="F15">
        <f t="shared" si="0"/>
        <v>3</v>
      </c>
    </row>
    <row r="16" spans="2:6" x14ac:dyDescent="0.2">
      <c r="B16">
        <v>20</v>
      </c>
      <c r="C16" s="10">
        <f>IFERROR(_xlfn.PERCENTRANK.INC(Titanic[Edad Corrigida], B16), "")</f>
        <v>0.22</v>
      </c>
      <c r="D16" s="10"/>
      <c r="E16">
        <v>13</v>
      </c>
      <c r="F16">
        <f t="shared" si="0"/>
        <v>3</v>
      </c>
    </row>
    <row r="17" spans="2:6" x14ac:dyDescent="0.2">
      <c r="B17">
        <v>39</v>
      </c>
      <c r="C17" s="10">
        <f>IFERROR(_xlfn.PERCENTRANK.INC(Titanic[Edad Corrigida], B17), "")</f>
        <v>0.74299999999999999</v>
      </c>
      <c r="D17" s="10"/>
      <c r="E17">
        <v>14</v>
      </c>
      <c r="F17">
        <f t="shared" si="0"/>
        <v>3</v>
      </c>
    </row>
    <row r="18" spans="2:6" x14ac:dyDescent="0.2">
      <c r="B18">
        <v>14</v>
      </c>
      <c r="C18" s="10">
        <f>IFERROR(_xlfn.PERCENTRANK.INC(Titanic[Edad Corrigida], B18), "")</f>
        <v>8.8999999999999996E-2</v>
      </c>
      <c r="D18" s="10"/>
      <c r="E18">
        <v>14.5</v>
      </c>
      <c r="F18">
        <f t="shared" si="0"/>
        <v>3</v>
      </c>
    </row>
    <row r="19" spans="2:6" x14ac:dyDescent="0.2">
      <c r="B19">
        <v>55</v>
      </c>
      <c r="C19" s="10">
        <f>IFERROR(_xlfn.PERCENTRANK.INC(Titanic[Edad Corrigida], B19), "")</f>
        <v>0.93400000000000005</v>
      </c>
      <c r="D19" s="10"/>
      <c r="E19">
        <v>15</v>
      </c>
      <c r="F19">
        <f t="shared" si="0"/>
        <v>3</v>
      </c>
    </row>
    <row r="20" spans="2:6" x14ac:dyDescent="0.2">
      <c r="B20">
        <v>2</v>
      </c>
      <c r="C20" s="10">
        <f>IFERROR(_xlfn.PERCENTRANK.INC(Titanic[Edad Corrigida], B20), "")</f>
        <v>8.9999999999999993E-3</v>
      </c>
      <c r="D20" s="10"/>
      <c r="E20">
        <v>16</v>
      </c>
      <c r="F20">
        <f t="shared" si="0"/>
        <v>4</v>
      </c>
    </row>
    <row r="21" spans="2:6" x14ac:dyDescent="0.2">
      <c r="B21" t="str">
        <v/>
      </c>
      <c r="C21" s="10" t="str">
        <f>IFERROR(_xlfn.PERCENTRANK.INC(Titanic[Edad Corrigida], B21), "")</f>
        <v/>
      </c>
      <c r="D21" s="10"/>
      <c r="E21">
        <v>17</v>
      </c>
      <c r="F21">
        <f t="shared" si="0"/>
        <v>4</v>
      </c>
    </row>
    <row r="22" spans="2:6" x14ac:dyDescent="0.2">
      <c r="B22">
        <v>31</v>
      </c>
      <c r="C22" s="10">
        <f>IFERROR(_xlfn.PERCENTRANK.INC(Titanic[Edad Corrigida], B22), "")</f>
        <v>0.56599999999999995</v>
      </c>
      <c r="D22" s="10"/>
      <c r="E22">
        <v>18</v>
      </c>
      <c r="F22">
        <f t="shared" si="0"/>
        <v>4</v>
      </c>
    </row>
    <row r="23" spans="2:6" x14ac:dyDescent="0.2">
      <c r="B23" t="str">
        <v/>
      </c>
      <c r="C23" s="10" t="str">
        <f>IFERROR(_xlfn.PERCENTRANK.INC(Titanic[Edad Corrigida], B23), "")</f>
        <v/>
      </c>
      <c r="D23" s="10"/>
      <c r="E23">
        <v>19</v>
      </c>
      <c r="F23">
        <f t="shared" si="0"/>
        <v>4</v>
      </c>
    </row>
    <row r="24" spans="2:6" x14ac:dyDescent="0.2">
      <c r="B24">
        <v>35</v>
      </c>
      <c r="C24" s="10">
        <f>IFERROR(_xlfn.PERCENTRANK.INC(Titanic[Edad Corrigida], B24), "")</f>
        <v>0.66100000000000003</v>
      </c>
      <c r="D24" s="10"/>
      <c r="E24">
        <v>20</v>
      </c>
      <c r="F24">
        <f t="shared" si="0"/>
        <v>4</v>
      </c>
    </row>
    <row r="25" spans="2:6" x14ac:dyDescent="0.2">
      <c r="B25">
        <v>34</v>
      </c>
      <c r="C25" s="10">
        <f>IFERROR(_xlfn.PERCENTRANK.INC(Titanic[Edad Corrigida], B25), "")</f>
        <v>0.63900000000000001</v>
      </c>
      <c r="D25" s="10"/>
      <c r="E25">
        <v>20.5</v>
      </c>
      <c r="F25">
        <f t="shared" si="0"/>
        <v>5</v>
      </c>
    </row>
    <row r="26" spans="2:6" x14ac:dyDescent="0.2">
      <c r="B26">
        <v>15</v>
      </c>
      <c r="C26" s="10">
        <f>IFERROR(_xlfn.PERCENTRANK.INC(Titanic[Edad Corrigida], B26), "")</f>
        <v>9.9000000000000005E-2</v>
      </c>
      <c r="D26" s="10"/>
      <c r="E26">
        <v>21</v>
      </c>
      <c r="F26">
        <f t="shared" si="0"/>
        <v>5</v>
      </c>
    </row>
    <row r="27" spans="2:6" x14ac:dyDescent="0.2">
      <c r="B27">
        <v>28</v>
      </c>
      <c r="C27" s="10">
        <f>IFERROR(_xlfn.PERCENTRANK.INC(Titanic[Edad Corrigida], B27), "")</f>
        <v>0.46200000000000002</v>
      </c>
      <c r="D27" s="10"/>
      <c r="E27">
        <v>22</v>
      </c>
      <c r="F27">
        <f t="shared" si="0"/>
        <v>5</v>
      </c>
    </row>
    <row r="28" spans="2:6" x14ac:dyDescent="0.2">
      <c r="B28">
        <v>8</v>
      </c>
      <c r="C28" s="10">
        <f>IFERROR(_xlfn.PERCENTRANK.INC(Titanic[Edad Corrigida], B28), "")</f>
        <v>0.06</v>
      </c>
      <c r="D28" s="10"/>
      <c r="E28">
        <v>23</v>
      </c>
      <c r="F28">
        <f t="shared" si="0"/>
        <v>5</v>
      </c>
    </row>
    <row r="29" spans="2:6" x14ac:dyDescent="0.2">
      <c r="B29">
        <v>38</v>
      </c>
      <c r="C29" s="10">
        <f>IFERROR(_xlfn.PERCENTRANK.INC(Titanic[Edad Corrigida], B29), "")</f>
        <v>0.72699999999999998</v>
      </c>
      <c r="D29" s="10"/>
      <c r="E29">
        <v>23.5</v>
      </c>
      <c r="F29">
        <f t="shared" si="0"/>
        <v>5</v>
      </c>
    </row>
    <row r="30" spans="2:6" x14ac:dyDescent="0.2">
      <c r="B30" t="str">
        <v/>
      </c>
      <c r="C30" s="10" t="str">
        <f>IFERROR(_xlfn.PERCENTRANK.INC(Titanic[Edad Corrigida], B30), "")</f>
        <v/>
      </c>
      <c r="D30" s="10"/>
      <c r="E30">
        <v>24</v>
      </c>
      <c r="F30">
        <f t="shared" si="0"/>
        <v>5</v>
      </c>
    </row>
    <row r="31" spans="2:6" x14ac:dyDescent="0.2">
      <c r="B31">
        <v>19</v>
      </c>
      <c r="C31" s="10">
        <f>IFERROR(_xlfn.PERCENTRANK.INC(Titanic[Edad Corrigida], B31), "")</f>
        <v>0.185</v>
      </c>
      <c r="D31" s="10"/>
      <c r="E31">
        <v>24.5</v>
      </c>
      <c r="F31">
        <f t="shared" si="0"/>
        <v>5</v>
      </c>
    </row>
    <row r="32" spans="2:6" x14ac:dyDescent="0.2">
      <c r="B32" t="str">
        <v/>
      </c>
      <c r="C32" s="10" t="str">
        <f>IFERROR(_xlfn.PERCENTRANK.INC(Titanic[Edad Corrigida], B32), "")</f>
        <v/>
      </c>
      <c r="D32" s="10"/>
      <c r="E32">
        <v>25</v>
      </c>
      <c r="F32">
        <f t="shared" si="0"/>
        <v>5</v>
      </c>
    </row>
    <row r="33" spans="2:6" x14ac:dyDescent="0.2">
      <c r="B33" t="str">
        <v/>
      </c>
      <c r="C33" s="10" t="str">
        <f>IFERROR(_xlfn.PERCENTRANK.INC(Titanic[Edad Corrigida], B33), "")</f>
        <v/>
      </c>
      <c r="D33" s="10"/>
      <c r="E33">
        <v>26</v>
      </c>
      <c r="F33">
        <f t="shared" si="0"/>
        <v>6</v>
      </c>
    </row>
    <row r="34" spans="2:6" x14ac:dyDescent="0.2">
      <c r="B34">
        <v>40</v>
      </c>
      <c r="C34" s="10">
        <f>IFERROR(_xlfn.PERCENTRANK.INC(Titanic[Edad Corrigida], B34), "")</f>
        <v>0.76200000000000001</v>
      </c>
      <c r="D34" s="10"/>
      <c r="E34">
        <v>27</v>
      </c>
      <c r="F34">
        <f t="shared" si="0"/>
        <v>6</v>
      </c>
    </row>
    <row r="35" spans="2:6" x14ac:dyDescent="0.2">
      <c r="B35" t="str">
        <v/>
      </c>
      <c r="C35" s="10" t="str">
        <f>IFERROR(_xlfn.PERCENTRANK.INC(Titanic[Edad Corrigida], B35), "")</f>
        <v/>
      </c>
      <c r="D35" s="10"/>
      <c r="E35">
        <v>28</v>
      </c>
      <c r="F35">
        <f t="shared" si="0"/>
        <v>6</v>
      </c>
    </row>
    <row r="36" spans="2:6" x14ac:dyDescent="0.2">
      <c r="B36" t="str">
        <v/>
      </c>
      <c r="C36" s="10" t="str">
        <f>IFERROR(_xlfn.PERCENTRANK.INC(Titanic[Edad Corrigida], B36), "")</f>
        <v/>
      </c>
      <c r="D36" s="10"/>
      <c r="E36">
        <v>28.5</v>
      </c>
      <c r="F36">
        <f t="shared" si="0"/>
        <v>6</v>
      </c>
    </row>
    <row r="37" spans="2:6" x14ac:dyDescent="0.2">
      <c r="B37">
        <v>66</v>
      </c>
      <c r="C37" s="10">
        <f>IFERROR(_xlfn.PERCENTRANK.INC(Titanic[Edad Corrigida], B37), "")</f>
        <v>0.98099999999999998</v>
      </c>
      <c r="D37" s="10"/>
      <c r="E37">
        <v>29</v>
      </c>
      <c r="F37">
        <f t="shared" si="0"/>
        <v>6</v>
      </c>
    </row>
    <row r="38" spans="2:6" x14ac:dyDescent="0.2">
      <c r="B38">
        <v>28</v>
      </c>
      <c r="C38" s="10">
        <f>IFERROR(_xlfn.PERCENTRANK.INC(Titanic[Edad Corrigida], B38), "")</f>
        <v>0.46200000000000002</v>
      </c>
      <c r="D38" s="10"/>
      <c r="E38">
        <v>30</v>
      </c>
      <c r="F38">
        <f t="shared" si="0"/>
        <v>6</v>
      </c>
    </row>
    <row r="39" spans="2:6" x14ac:dyDescent="0.2">
      <c r="B39">
        <v>42</v>
      </c>
      <c r="C39" s="10">
        <f>IFERROR(_xlfn.PERCENTRANK.INC(Titanic[Edad Corrigida], B39), "")</f>
        <v>0.79200000000000004</v>
      </c>
      <c r="D39" s="10"/>
      <c r="E39">
        <v>30.5</v>
      </c>
      <c r="F39">
        <f t="shared" si="0"/>
        <v>7</v>
      </c>
    </row>
    <row r="40" spans="2:6" x14ac:dyDescent="0.2">
      <c r="B40" t="str">
        <v/>
      </c>
      <c r="C40" s="10" t="str">
        <f>IFERROR(_xlfn.PERCENTRANK.INC(Titanic[Edad Corrigida], B40), "")</f>
        <v/>
      </c>
      <c r="D40" s="10"/>
      <c r="E40">
        <v>31</v>
      </c>
      <c r="F40">
        <f t="shared" si="0"/>
        <v>7</v>
      </c>
    </row>
    <row r="41" spans="2:6" x14ac:dyDescent="0.2">
      <c r="B41">
        <v>21</v>
      </c>
      <c r="C41" s="10">
        <f>IFERROR(_xlfn.PERCENTRANK.INC(Titanic[Edad Corrigida], B41), "")</f>
        <v>0.24199999999999999</v>
      </c>
      <c r="D41" s="10"/>
      <c r="E41">
        <v>32</v>
      </c>
      <c r="F41">
        <f t="shared" si="0"/>
        <v>7</v>
      </c>
    </row>
    <row r="42" spans="2:6" x14ac:dyDescent="0.2">
      <c r="B42">
        <v>18</v>
      </c>
      <c r="C42" s="10">
        <f>IFERROR(_xlfn.PERCENTRANK.INC(Titanic[Edad Corrigida], B42), "")</f>
        <v>0.14799999999999999</v>
      </c>
      <c r="D42" s="10"/>
      <c r="E42">
        <v>32.5</v>
      </c>
      <c r="F42">
        <f t="shared" si="0"/>
        <v>7</v>
      </c>
    </row>
    <row r="43" spans="2:6" x14ac:dyDescent="0.2">
      <c r="B43">
        <v>14</v>
      </c>
      <c r="C43" s="10">
        <f>IFERROR(_xlfn.PERCENTRANK.INC(Titanic[Edad Corrigida], B43), "")</f>
        <v>8.8999999999999996E-2</v>
      </c>
      <c r="D43" s="10"/>
      <c r="E43">
        <v>33</v>
      </c>
      <c r="F43">
        <f t="shared" si="0"/>
        <v>7</v>
      </c>
    </row>
    <row r="44" spans="2:6" x14ac:dyDescent="0.2">
      <c r="B44">
        <v>40</v>
      </c>
      <c r="C44" s="10">
        <f>IFERROR(_xlfn.PERCENTRANK.INC(Titanic[Edad Corrigida], B44), "")</f>
        <v>0.76200000000000001</v>
      </c>
      <c r="D44" s="10"/>
      <c r="E44">
        <v>34</v>
      </c>
      <c r="F44">
        <f t="shared" si="0"/>
        <v>7</v>
      </c>
    </row>
    <row r="45" spans="2:6" x14ac:dyDescent="0.2">
      <c r="B45">
        <v>27</v>
      </c>
      <c r="C45" s="10">
        <f>IFERROR(_xlfn.PERCENTRANK.INC(Titanic[Edad Corrigida], B45), "")</f>
        <v>0.437</v>
      </c>
      <c r="D45" s="10"/>
      <c r="E45">
        <v>34.5</v>
      </c>
      <c r="F45">
        <f t="shared" si="0"/>
        <v>7</v>
      </c>
    </row>
    <row r="46" spans="2:6" x14ac:dyDescent="0.2">
      <c r="B46" t="str">
        <v/>
      </c>
      <c r="C46" s="10" t="str">
        <f>IFERROR(_xlfn.PERCENTRANK.INC(Titanic[Edad Corrigida], B46), "")</f>
        <v/>
      </c>
      <c r="D46" s="10"/>
      <c r="E46">
        <v>35</v>
      </c>
      <c r="F46">
        <f t="shared" si="0"/>
        <v>7</v>
      </c>
    </row>
    <row r="47" spans="2:6" x14ac:dyDescent="0.2">
      <c r="B47">
        <v>3</v>
      </c>
      <c r="C47" s="10">
        <f>IFERROR(_xlfn.PERCENTRANK.INC(Titanic[Edad Corrigida], B47), "")</f>
        <v>2.3E-2</v>
      </c>
      <c r="D47" s="10"/>
      <c r="E47">
        <v>36</v>
      </c>
      <c r="F47">
        <f t="shared" si="0"/>
        <v>8</v>
      </c>
    </row>
    <row r="48" spans="2:6" x14ac:dyDescent="0.2">
      <c r="B48">
        <v>19</v>
      </c>
      <c r="C48" s="10">
        <f>IFERROR(_xlfn.PERCENTRANK.INC(Titanic[Edad Corrigida], B48), "")</f>
        <v>0.185</v>
      </c>
      <c r="D48" s="10"/>
      <c r="E48">
        <v>36.5</v>
      </c>
      <c r="F48">
        <f t="shared" si="0"/>
        <v>8</v>
      </c>
    </row>
    <row r="49" spans="2:6" x14ac:dyDescent="0.2">
      <c r="B49" t="str">
        <v/>
      </c>
      <c r="C49" s="10" t="str">
        <f>IFERROR(_xlfn.PERCENTRANK.INC(Titanic[Edad Corrigida], B49), "")</f>
        <v/>
      </c>
      <c r="D49" s="10"/>
      <c r="E49">
        <v>37</v>
      </c>
      <c r="F49">
        <f t="shared" si="0"/>
        <v>8</v>
      </c>
    </row>
    <row r="50" spans="2:6" x14ac:dyDescent="0.2">
      <c r="B50" t="str">
        <v/>
      </c>
      <c r="C50" s="10" t="str">
        <f>IFERROR(_xlfn.PERCENTRANK.INC(Titanic[Edad Corrigida], B50), "")</f>
        <v/>
      </c>
      <c r="D50" s="10"/>
      <c r="E50">
        <v>38</v>
      </c>
      <c r="F50">
        <f t="shared" si="0"/>
        <v>8</v>
      </c>
    </row>
    <row r="51" spans="2:6" x14ac:dyDescent="0.2">
      <c r="B51" t="str">
        <v/>
      </c>
      <c r="C51" s="10" t="str">
        <f>IFERROR(_xlfn.PERCENTRANK.INC(Titanic[Edad Corrigida], B51), "")</f>
        <v/>
      </c>
      <c r="D51" s="10"/>
      <c r="E51">
        <v>39</v>
      </c>
      <c r="F51">
        <f t="shared" si="0"/>
        <v>8</v>
      </c>
    </row>
    <row r="52" spans="2:6" x14ac:dyDescent="0.2">
      <c r="B52" t="str">
        <v/>
      </c>
      <c r="C52" s="10" t="str">
        <f>IFERROR(_xlfn.PERCENTRANK.INC(Titanic[Edad Corrigida], B52), "")</f>
        <v/>
      </c>
      <c r="D52" s="10"/>
      <c r="E52">
        <v>40</v>
      </c>
      <c r="F52">
        <f t="shared" si="0"/>
        <v>8</v>
      </c>
    </row>
    <row r="53" spans="2:6" x14ac:dyDescent="0.2">
      <c r="B53">
        <v>18</v>
      </c>
      <c r="C53" s="10">
        <f>IFERROR(_xlfn.PERCENTRANK.INC(Titanic[Edad Corrigida], B53), "")</f>
        <v>0.14799999999999999</v>
      </c>
      <c r="D53" s="10"/>
      <c r="E53">
        <v>40.5</v>
      </c>
      <c r="F53">
        <f t="shared" si="0"/>
        <v>9</v>
      </c>
    </row>
    <row r="54" spans="2:6" x14ac:dyDescent="0.2">
      <c r="B54">
        <v>7</v>
      </c>
      <c r="C54" s="10">
        <f>IFERROR(_xlfn.PERCENTRANK.INC(Titanic[Edad Corrigida], B54), "")</f>
        <v>5.6000000000000001E-2</v>
      </c>
      <c r="D54" s="10"/>
      <c r="E54">
        <v>41</v>
      </c>
      <c r="F54">
        <f t="shared" si="0"/>
        <v>9</v>
      </c>
    </row>
    <row r="55" spans="2:6" x14ac:dyDescent="0.2">
      <c r="B55">
        <v>21</v>
      </c>
      <c r="C55" s="10">
        <f>IFERROR(_xlfn.PERCENTRANK.INC(Titanic[Edad Corrigida], B55), "")</f>
        <v>0.24199999999999999</v>
      </c>
      <c r="D55" s="10"/>
      <c r="E55">
        <v>42</v>
      </c>
      <c r="F55">
        <f t="shared" si="0"/>
        <v>9</v>
      </c>
    </row>
    <row r="56" spans="2:6" x14ac:dyDescent="0.2">
      <c r="B56">
        <v>49</v>
      </c>
      <c r="C56" s="10">
        <f>IFERROR(_xlfn.PERCENTRANK.INC(Titanic[Edad Corrigida], B56), "")</f>
        <v>0.88</v>
      </c>
      <c r="D56" s="10"/>
      <c r="E56">
        <v>43</v>
      </c>
      <c r="F56">
        <f t="shared" si="0"/>
        <v>9</v>
      </c>
    </row>
    <row r="57" spans="2:6" x14ac:dyDescent="0.2">
      <c r="B57">
        <v>29</v>
      </c>
      <c r="C57" s="10">
        <f>IFERROR(_xlfn.PERCENTRANK.INC(Titanic[Edad Corrigida], B57), "")</f>
        <v>0.5</v>
      </c>
      <c r="D57" s="10"/>
      <c r="E57">
        <v>44</v>
      </c>
      <c r="F57">
        <f t="shared" si="0"/>
        <v>9</v>
      </c>
    </row>
    <row r="58" spans="2:6" x14ac:dyDescent="0.2">
      <c r="B58">
        <v>65</v>
      </c>
      <c r="C58" s="10">
        <f>IFERROR(_xlfn.PERCENTRANK.INC(Titanic[Edad Corrigida], B58), "")</f>
        <v>0.97699999999999998</v>
      </c>
      <c r="D58" s="10"/>
      <c r="E58">
        <v>45</v>
      </c>
      <c r="F58">
        <f t="shared" si="0"/>
        <v>9</v>
      </c>
    </row>
    <row r="59" spans="2:6" x14ac:dyDescent="0.2">
      <c r="B59" t="str">
        <v/>
      </c>
      <c r="C59" s="10" t="str">
        <f>IFERROR(_xlfn.PERCENTRANK.INC(Titanic[Edad Corrigida], B59), "")</f>
        <v/>
      </c>
      <c r="D59" s="10"/>
      <c r="E59">
        <v>45.5</v>
      </c>
      <c r="F59">
        <f t="shared" si="0"/>
        <v>10</v>
      </c>
    </row>
    <row r="60" spans="2:6" x14ac:dyDescent="0.2">
      <c r="B60">
        <v>21</v>
      </c>
      <c r="C60" s="10">
        <f>IFERROR(_xlfn.PERCENTRANK.INC(Titanic[Edad Corrigida], B60), "")</f>
        <v>0.24199999999999999</v>
      </c>
      <c r="D60" s="10"/>
      <c r="E60">
        <v>46</v>
      </c>
      <c r="F60">
        <f t="shared" si="0"/>
        <v>10</v>
      </c>
    </row>
    <row r="61" spans="2:6" x14ac:dyDescent="0.2">
      <c r="B61">
        <v>28.5</v>
      </c>
      <c r="C61" s="10">
        <f>IFERROR(_xlfn.PERCENTRANK.INC(Titanic[Edad Corrigida], B61), "")</f>
        <v>0.497</v>
      </c>
      <c r="D61" s="10"/>
      <c r="E61">
        <v>47</v>
      </c>
      <c r="F61">
        <f t="shared" si="0"/>
        <v>10</v>
      </c>
    </row>
    <row r="62" spans="2:6" x14ac:dyDescent="0.2">
      <c r="B62">
        <v>5</v>
      </c>
      <c r="C62" s="10">
        <f>IFERROR(_xlfn.PERCENTRANK.INC(Titanic[Edad Corrigida], B62), "")</f>
        <v>4.5999999999999999E-2</v>
      </c>
      <c r="D62" s="10"/>
      <c r="E62">
        <v>48</v>
      </c>
      <c r="F62">
        <f t="shared" si="0"/>
        <v>10</v>
      </c>
    </row>
    <row r="63" spans="2:6" x14ac:dyDescent="0.2">
      <c r="B63">
        <v>11</v>
      </c>
      <c r="C63" s="10">
        <f>IFERROR(_xlfn.PERCENTRANK.INC(Titanic[Edad Corrigida], B63), "")</f>
        <v>7.9000000000000001E-2</v>
      </c>
      <c r="D63" s="10"/>
      <c r="E63">
        <v>49</v>
      </c>
      <c r="F63">
        <f t="shared" si="0"/>
        <v>10</v>
      </c>
    </row>
    <row r="64" spans="2:6" x14ac:dyDescent="0.2">
      <c r="B64">
        <v>22</v>
      </c>
      <c r="C64" s="10">
        <f>IFERROR(_xlfn.PERCENTRANK.INC(Titanic[Edad Corrigida], B64), "")</f>
        <v>0.27600000000000002</v>
      </c>
      <c r="D64" s="10"/>
      <c r="E64">
        <v>50</v>
      </c>
      <c r="F64">
        <f t="shared" si="0"/>
        <v>10</v>
      </c>
    </row>
    <row r="65" spans="2:6" x14ac:dyDescent="0.2">
      <c r="B65">
        <v>38</v>
      </c>
      <c r="C65" s="10">
        <f>IFERROR(_xlfn.PERCENTRANK.INC(Titanic[Edad Corrigida], B65), "")</f>
        <v>0.72699999999999998</v>
      </c>
      <c r="D65" s="10"/>
      <c r="E65">
        <v>51</v>
      </c>
      <c r="F65">
        <f t="shared" si="0"/>
        <v>11</v>
      </c>
    </row>
    <row r="66" spans="2:6" x14ac:dyDescent="0.2">
      <c r="B66">
        <v>45</v>
      </c>
      <c r="C66" s="10">
        <f>IFERROR(_xlfn.PERCENTRANK.INC(Titanic[Edad Corrigida], B66), "")</f>
        <v>0.83099999999999996</v>
      </c>
      <c r="D66" s="10"/>
      <c r="E66">
        <v>52</v>
      </c>
      <c r="F66">
        <f t="shared" si="0"/>
        <v>11</v>
      </c>
    </row>
    <row r="67" spans="2:6" x14ac:dyDescent="0.2">
      <c r="B67">
        <v>4</v>
      </c>
      <c r="C67" s="10">
        <f>IFERROR(_xlfn.PERCENTRANK.INC(Titanic[Edad Corrigida], B67), "")</f>
        <v>3.2000000000000001E-2</v>
      </c>
      <c r="D67" s="10"/>
      <c r="E67">
        <v>53</v>
      </c>
      <c r="F67">
        <f t="shared" si="0"/>
        <v>11</v>
      </c>
    </row>
    <row r="68" spans="2:6" x14ac:dyDescent="0.2">
      <c r="B68" t="str">
        <v/>
      </c>
      <c r="C68" s="10" t="str">
        <f>IFERROR(_xlfn.PERCENTRANK.INC(Titanic[Edad Corrigida], B68), "")</f>
        <v/>
      </c>
      <c r="D68" s="10"/>
      <c r="E68">
        <v>54</v>
      </c>
      <c r="F68">
        <f t="shared" si="0"/>
        <v>11</v>
      </c>
    </row>
    <row r="69" spans="2:6" x14ac:dyDescent="0.2">
      <c r="B69" t="str">
        <v/>
      </c>
      <c r="C69" s="10" t="str">
        <f>IFERROR(_xlfn.PERCENTRANK.INC(Titanic[Edad Corrigida], B69), "")</f>
        <v/>
      </c>
      <c r="D69" s="10"/>
      <c r="E69">
        <v>55</v>
      </c>
      <c r="F69">
        <f t="shared" ref="F69:F91" si="1">IFERROR(ROUNDUP(E69/5, 0), "DESCONOCIDO")</f>
        <v>11</v>
      </c>
    </row>
    <row r="70" spans="2:6" x14ac:dyDescent="0.2">
      <c r="B70">
        <v>29</v>
      </c>
      <c r="C70" s="10">
        <f>IFERROR(_xlfn.PERCENTRANK.INC(Titanic[Edad Corrigida], B70), "")</f>
        <v>0.5</v>
      </c>
      <c r="D70" s="10"/>
      <c r="E70">
        <v>55.5</v>
      </c>
      <c r="F70">
        <f t="shared" si="1"/>
        <v>12</v>
      </c>
    </row>
    <row r="71" spans="2:6" x14ac:dyDescent="0.2">
      <c r="B71">
        <v>19</v>
      </c>
      <c r="C71" s="10">
        <f>IFERROR(_xlfn.PERCENTRANK.INC(Titanic[Edad Corrigida], B71), "")</f>
        <v>0.185</v>
      </c>
      <c r="D71" s="10"/>
      <c r="E71">
        <v>56</v>
      </c>
      <c r="F71">
        <f t="shared" si="1"/>
        <v>12</v>
      </c>
    </row>
    <row r="72" spans="2:6" x14ac:dyDescent="0.2">
      <c r="B72">
        <v>17</v>
      </c>
      <c r="C72" s="10">
        <f>IFERROR(_xlfn.PERCENTRANK.INC(Titanic[Edad Corrigida], B72), "")</f>
        <v>0.13</v>
      </c>
      <c r="D72" s="10"/>
      <c r="E72">
        <v>57</v>
      </c>
      <c r="F72">
        <f t="shared" si="1"/>
        <v>12</v>
      </c>
    </row>
    <row r="73" spans="2:6" x14ac:dyDescent="0.2">
      <c r="B73">
        <v>26</v>
      </c>
      <c r="C73" s="10">
        <f>IFERROR(_xlfn.PERCENTRANK.INC(Titanic[Edad Corrigida], B73), "")</f>
        <v>0.41199999999999998</v>
      </c>
      <c r="D73" s="10"/>
      <c r="E73">
        <v>58</v>
      </c>
      <c r="F73">
        <f t="shared" si="1"/>
        <v>12</v>
      </c>
    </row>
    <row r="74" spans="2:6" x14ac:dyDescent="0.2">
      <c r="B74">
        <v>32</v>
      </c>
      <c r="C74" s="10">
        <f>IFERROR(_xlfn.PERCENTRANK.INC(Titanic[Edad Corrigida], B74), "")</f>
        <v>0.59</v>
      </c>
      <c r="D74" s="10"/>
      <c r="E74">
        <v>59</v>
      </c>
      <c r="F74">
        <f t="shared" si="1"/>
        <v>12</v>
      </c>
    </row>
    <row r="75" spans="2:6" x14ac:dyDescent="0.2">
      <c r="B75">
        <v>16</v>
      </c>
      <c r="C75" s="10">
        <f>IFERROR(_xlfn.PERCENTRANK.INC(Titanic[Edad Corrigida], B75), "")</f>
        <v>0.106</v>
      </c>
      <c r="D75" s="10"/>
      <c r="E75">
        <v>60</v>
      </c>
      <c r="F75">
        <f t="shared" si="1"/>
        <v>12</v>
      </c>
    </row>
    <row r="76" spans="2:6" x14ac:dyDescent="0.2">
      <c r="B76">
        <v>21</v>
      </c>
      <c r="C76" s="10">
        <f>IFERROR(_xlfn.PERCENTRANK.INC(Titanic[Edad Corrigida], B76), "")</f>
        <v>0.24199999999999999</v>
      </c>
      <c r="D76" s="10"/>
      <c r="E76">
        <v>61</v>
      </c>
      <c r="F76">
        <f t="shared" si="1"/>
        <v>13</v>
      </c>
    </row>
    <row r="77" spans="2:6" x14ac:dyDescent="0.2">
      <c r="B77">
        <v>26</v>
      </c>
      <c r="C77" s="10">
        <f>IFERROR(_xlfn.PERCENTRANK.INC(Titanic[Edad Corrigida], B77), "")</f>
        <v>0.41199999999999998</v>
      </c>
      <c r="D77" s="10"/>
      <c r="E77">
        <v>62</v>
      </c>
      <c r="F77">
        <f t="shared" si="1"/>
        <v>13</v>
      </c>
    </row>
    <row r="78" spans="2:6" x14ac:dyDescent="0.2">
      <c r="B78">
        <v>32</v>
      </c>
      <c r="C78" s="10">
        <f>IFERROR(_xlfn.PERCENTRANK.INC(Titanic[Edad Corrigida], B78), "")</f>
        <v>0.59</v>
      </c>
      <c r="D78" s="10"/>
      <c r="E78">
        <v>63</v>
      </c>
      <c r="F78">
        <f t="shared" si="1"/>
        <v>13</v>
      </c>
    </row>
    <row r="79" spans="2:6" x14ac:dyDescent="0.2">
      <c r="B79">
        <v>25</v>
      </c>
      <c r="C79" s="10">
        <f>IFERROR(_xlfn.PERCENTRANK.INC(Titanic[Edad Corrigida], B79), "")</f>
        <v>0.38</v>
      </c>
      <c r="D79" s="10"/>
      <c r="E79">
        <v>64</v>
      </c>
      <c r="F79">
        <f t="shared" si="1"/>
        <v>13</v>
      </c>
    </row>
    <row r="80" spans="2:6" x14ac:dyDescent="0.2">
      <c r="B80" t="str">
        <v/>
      </c>
      <c r="C80" s="10" t="str">
        <f>IFERROR(_xlfn.PERCENTRANK.INC(Titanic[Edad Corrigida], B80), "")</f>
        <v/>
      </c>
      <c r="D80" s="10"/>
      <c r="E80">
        <v>65</v>
      </c>
      <c r="F80">
        <f t="shared" si="1"/>
        <v>13</v>
      </c>
    </row>
    <row r="81" spans="2:6" x14ac:dyDescent="0.2">
      <c r="B81" t="str">
        <v/>
      </c>
      <c r="C81" s="10" t="str">
        <f>IFERROR(_xlfn.PERCENTRANK.INC(Titanic[Edad Corrigida], B81), "")</f>
        <v/>
      </c>
      <c r="D81" s="10"/>
      <c r="E81">
        <v>66</v>
      </c>
      <c r="F81">
        <f t="shared" si="1"/>
        <v>14</v>
      </c>
    </row>
    <row r="82" spans="2:6" x14ac:dyDescent="0.2">
      <c r="B82">
        <v>83</v>
      </c>
      <c r="C82" s="10">
        <f>IFERROR(_xlfn.PERCENTRANK.INC(Titanic[Edad Corrigida], B82), "")</f>
        <v>0.997</v>
      </c>
      <c r="D82" s="10"/>
      <c r="E82">
        <v>67</v>
      </c>
      <c r="F82">
        <f t="shared" si="1"/>
        <v>14</v>
      </c>
    </row>
    <row r="83" spans="2:6" x14ac:dyDescent="0.2">
      <c r="B83">
        <v>30</v>
      </c>
      <c r="C83" s="10">
        <f>IFERROR(_xlfn.PERCENTRANK.INC(Titanic[Edad Corrigida], B83), "")</f>
        <v>0.52800000000000002</v>
      </c>
      <c r="D83" s="10"/>
      <c r="E83">
        <v>70</v>
      </c>
      <c r="F83">
        <f t="shared" si="1"/>
        <v>14</v>
      </c>
    </row>
    <row r="84" spans="2:6" x14ac:dyDescent="0.2">
      <c r="B84">
        <v>22</v>
      </c>
      <c r="C84" s="10">
        <f>IFERROR(_xlfn.PERCENTRANK.INC(Titanic[Edad Corrigida], B84), "")</f>
        <v>0.27600000000000002</v>
      </c>
      <c r="D84" s="10"/>
      <c r="E84">
        <v>70.5</v>
      </c>
      <c r="F84">
        <f t="shared" si="1"/>
        <v>15</v>
      </c>
    </row>
    <row r="85" spans="2:6" x14ac:dyDescent="0.2">
      <c r="B85">
        <v>29</v>
      </c>
      <c r="C85" s="10">
        <f>IFERROR(_xlfn.PERCENTRANK.INC(Titanic[Edad Corrigida], B85), "")</f>
        <v>0.5</v>
      </c>
      <c r="D85" s="10"/>
      <c r="E85">
        <v>71</v>
      </c>
      <c r="F85">
        <f t="shared" si="1"/>
        <v>15</v>
      </c>
    </row>
    <row r="86" spans="2:6" x14ac:dyDescent="0.2">
      <c r="B86" t="str">
        <v/>
      </c>
      <c r="C86" s="10" t="str">
        <f>IFERROR(_xlfn.PERCENTRANK.INC(Titanic[Edad Corrigida], B86), "")</f>
        <v/>
      </c>
      <c r="D86" s="10"/>
      <c r="E86">
        <v>74</v>
      </c>
      <c r="F86">
        <f t="shared" si="1"/>
        <v>15</v>
      </c>
    </row>
    <row r="87" spans="2:6" x14ac:dyDescent="0.2">
      <c r="B87">
        <v>28</v>
      </c>
      <c r="C87" s="10">
        <f>IFERROR(_xlfn.PERCENTRANK.INC(Titanic[Edad Corrigida], B87), "")</f>
        <v>0.46200000000000002</v>
      </c>
      <c r="D87" s="10"/>
      <c r="E87">
        <v>75</v>
      </c>
      <c r="F87">
        <f t="shared" si="1"/>
        <v>15</v>
      </c>
    </row>
    <row r="88" spans="2:6" x14ac:dyDescent="0.2">
      <c r="B88">
        <v>17</v>
      </c>
      <c r="C88" s="10">
        <f>IFERROR(_xlfn.PERCENTRANK.INC(Titanic[Edad Corrigida], B88), "")</f>
        <v>0.13</v>
      </c>
      <c r="D88" s="10"/>
      <c r="E88">
        <v>80</v>
      </c>
      <c r="F88">
        <f t="shared" si="1"/>
        <v>16</v>
      </c>
    </row>
    <row r="89" spans="2:6" x14ac:dyDescent="0.2">
      <c r="B89">
        <v>33</v>
      </c>
      <c r="C89" s="10">
        <f>IFERROR(_xlfn.PERCENTRANK.INC(Titanic[Edad Corrigida], B89), "")</f>
        <v>0.61799999999999999</v>
      </c>
      <c r="D89" s="10"/>
      <c r="E89">
        <v>83</v>
      </c>
      <c r="F89">
        <f t="shared" si="1"/>
        <v>17</v>
      </c>
    </row>
    <row r="90" spans="2:6" x14ac:dyDescent="0.2">
      <c r="B90">
        <v>16</v>
      </c>
      <c r="C90" s="10">
        <f>IFERROR(_xlfn.PERCENTRANK.INC(Titanic[Edad Corrigida], B90), "")</f>
        <v>0.106</v>
      </c>
      <c r="D90" s="10"/>
      <c r="E90">
        <v>92</v>
      </c>
      <c r="F90">
        <f t="shared" si="1"/>
        <v>19</v>
      </c>
    </row>
    <row r="91" spans="2:6" x14ac:dyDescent="0.2">
      <c r="B91" t="str">
        <v/>
      </c>
      <c r="C91" s="10" t="str">
        <f>IFERROR(_xlfn.PERCENTRANK.INC(Titanic[Edad Corrigida], B91), "")</f>
        <v/>
      </c>
      <c r="D91" s="10"/>
      <c r="E91" t="str">
        <v/>
      </c>
      <c r="F91" t="str">
        <f t="shared" si="1"/>
        <v>DESCONOCIDO</v>
      </c>
    </row>
    <row r="92" spans="2:6" x14ac:dyDescent="0.2">
      <c r="B92">
        <v>23</v>
      </c>
      <c r="C92" s="10">
        <f>IFERROR(_xlfn.PERCENTRANK.INC(Titanic[Edad Corrigida], B92), "")</f>
        <v>0.314</v>
      </c>
      <c r="D92" s="10"/>
    </row>
    <row r="93" spans="2:6" x14ac:dyDescent="0.2">
      <c r="B93">
        <v>24</v>
      </c>
      <c r="C93" s="10">
        <f>IFERROR(_xlfn.PERCENTRANK.INC(Titanic[Edad Corrigida], B93), "")</f>
        <v>0.33600000000000002</v>
      </c>
      <c r="D93" s="10"/>
    </row>
    <row r="94" spans="2:6" x14ac:dyDescent="0.2">
      <c r="B94">
        <v>29</v>
      </c>
      <c r="C94" s="10">
        <f>IFERROR(_xlfn.PERCENTRANK.INC(Titanic[Edad Corrigida], B94), "")</f>
        <v>0.5</v>
      </c>
      <c r="D94" s="10"/>
    </row>
    <row r="95" spans="2:6" x14ac:dyDescent="0.2">
      <c r="B95">
        <v>20</v>
      </c>
      <c r="C95" s="10">
        <f>IFERROR(_xlfn.PERCENTRANK.INC(Titanic[Edad Corrigida], B95), "")</f>
        <v>0.22</v>
      </c>
      <c r="D95" s="10"/>
    </row>
    <row r="96" spans="2:6" x14ac:dyDescent="0.2">
      <c r="B96">
        <v>46</v>
      </c>
      <c r="C96" s="10">
        <f>IFERROR(_xlfn.PERCENTRANK.INC(Titanic[Edad Corrigida], B96), "")</f>
        <v>0.85099999999999998</v>
      </c>
      <c r="D96" s="10"/>
    </row>
    <row r="97" spans="2:4" x14ac:dyDescent="0.2">
      <c r="B97">
        <v>26</v>
      </c>
      <c r="C97" s="10">
        <f>IFERROR(_xlfn.PERCENTRANK.INC(Titanic[Edad Corrigida], B97), "")</f>
        <v>0.41199999999999998</v>
      </c>
      <c r="D97" s="10"/>
    </row>
    <row r="98" spans="2:4" x14ac:dyDescent="0.2">
      <c r="B98">
        <v>59</v>
      </c>
      <c r="C98" s="10">
        <f>IFERROR(_xlfn.PERCENTRANK.INC(Titanic[Edad Corrigida], B98), "")</f>
        <v>0.95299999999999996</v>
      </c>
      <c r="D98" s="10"/>
    </row>
    <row r="99" spans="2:4" x14ac:dyDescent="0.2">
      <c r="B99" t="str">
        <v/>
      </c>
      <c r="C99" s="10" t="str">
        <f>IFERROR(_xlfn.PERCENTRANK.INC(Titanic[Edad Corrigida], B99), "")</f>
        <v/>
      </c>
      <c r="D99" s="10"/>
    </row>
    <row r="100" spans="2:4" x14ac:dyDescent="0.2">
      <c r="B100">
        <v>71</v>
      </c>
      <c r="C100" s="10">
        <f>IFERROR(_xlfn.PERCENTRANK.INC(Titanic[Edad Corrigida], B100), "")</f>
        <v>0.98799999999999999</v>
      </c>
      <c r="D100" s="10"/>
    </row>
    <row r="101" spans="2:4" x14ac:dyDescent="0.2">
      <c r="B101">
        <v>23</v>
      </c>
      <c r="C101" s="10">
        <f>IFERROR(_xlfn.PERCENTRANK.INC(Titanic[Edad Corrigida], B101), "")</f>
        <v>0.314</v>
      </c>
      <c r="D101" s="10"/>
    </row>
    <row r="102" spans="2:4" x14ac:dyDescent="0.2">
      <c r="B102">
        <v>34</v>
      </c>
      <c r="C102" s="10">
        <f>IFERROR(_xlfn.PERCENTRANK.INC(Titanic[Edad Corrigida], B102), "")</f>
        <v>0.63900000000000001</v>
      </c>
      <c r="D102" s="10"/>
    </row>
    <row r="103" spans="2:4" x14ac:dyDescent="0.2">
      <c r="B103">
        <v>34</v>
      </c>
      <c r="C103" s="10">
        <f>IFERROR(_xlfn.PERCENTRANK.INC(Titanic[Edad Corrigida], B103), "")</f>
        <v>0.63900000000000001</v>
      </c>
      <c r="D103" s="10"/>
    </row>
    <row r="104" spans="2:4" x14ac:dyDescent="0.2">
      <c r="B104">
        <v>28</v>
      </c>
      <c r="C104" s="10">
        <f>IFERROR(_xlfn.PERCENTRANK.INC(Titanic[Edad Corrigida], B104), "")</f>
        <v>0.46200000000000002</v>
      </c>
      <c r="D104" s="10"/>
    </row>
    <row r="105" spans="2:4" x14ac:dyDescent="0.2">
      <c r="B105" t="str">
        <v/>
      </c>
      <c r="C105" s="10" t="str">
        <f>IFERROR(_xlfn.PERCENTRANK.INC(Titanic[Edad Corrigida], B105), "")</f>
        <v/>
      </c>
      <c r="D105" s="10"/>
    </row>
    <row r="106" spans="2:4" x14ac:dyDescent="0.2">
      <c r="B106">
        <v>21</v>
      </c>
      <c r="C106" s="10">
        <f>IFERROR(_xlfn.PERCENTRANK.INC(Titanic[Edad Corrigida], B106), "")</f>
        <v>0.24199999999999999</v>
      </c>
      <c r="D106" s="10"/>
    </row>
    <row r="107" spans="2:4" x14ac:dyDescent="0.2">
      <c r="B107">
        <v>33</v>
      </c>
      <c r="C107" s="10">
        <f>IFERROR(_xlfn.PERCENTRANK.INC(Titanic[Edad Corrigida], B107), "")</f>
        <v>0.61799999999999999</v>
      </c>
      <c r="D107" s="10"/>
    </row>
    <row r="108" spans="2:4" x14ac:dyDescent="0.2">
      <c r="B108">
        <v>37</v>
      </c>
      <c r="C108" s="10">
        <f>IFERROR(_xlfn.PERCENTRANK.INC(Titanic[Edad Corrigida], B108), "")</f>
        <v>0.71899999999999997</v>
      </c>
      <c r="D108" s="10"/>
    </row>
    <row r="109" spans="2:4" x14ac:dyDescent="0.2">
      <c r="B109">
        <v>28</v>
      </c>
      <c r="C109" s="10">
        <f>IFERROR(_xlfn.PERCENTRANK.INC(Titanic[Edad Corrigida], B109), "")</f>
        <v>0.46200000000000002</v>
      </c>
      <c r="D109" s="10"/>
    </row>
    <row r="110" spans="2:4" x14ac:dyDescent="0.2">
      <c r="B110">
        <v>21</v>
      </c>
      <c r="C110" s="10">
        <f>IFERROR(_xlfn.PERCENTRANK.INC(Titanic[Edad Corrigida], B110), "")</f>
        <v>0.24199999999999999</v>
      </c>
      <c r="D110" s="10"/>
    </row>
    <row r="111" spans="2:4" x14ac:dyDescent="0.2">
      <c r="B111" t="str">
        <v/>
      </c>
      <c r="C111" s="10" t="str">
        <f>IFERROR(_xlfn.PERCENTRANK.INC(Titanic[Edad Corrigida], B111), "")</f>
        <v/>
      </c>
      <c r="D111" s="10"/>
    </row>
    <row r="112" spans="2:4" x14ac:dyDescent="0.2">
      <c r="B112">
        <v>38</v>
      </c>
      <c r="C112" s="10">
        <f>IFERROR(_xlfn.PERCENTRANK.INC(Titanic[Edad Corrigida], B112), "")</f>
        <v>0.72699999999999998</v>
      </c>
      <c r="D112" s="10"/>
    </row>
    <row r="113" spans="2:4" x14ac:dyDescent="0.2">
      <c r="B113" t="str">
        <v/>
      </c>
      <c r="C113" s="10" t="str">
        <f>IFERROR(_xlfn.PERCENTRANK.INC(Titanic[Edad Corrigida], B113), "")</f>
        <v/>
      </c>
      <c r="D113" s="10"/>
    </row>
    <row r="114" spans="2:4" x14ac:dyDescent="0.2">
      <c r="B114">
        <v>47</v>
      </c>
      <c r="C114" s="10">
        <f>IFERROR(_xlfn.PERCENTRANK.INC(Titanic[Edad Corrigida], B114), "")</f>
        <v>0.85499999999999998</v>
      </c>
      <c r="D114" s="10"/>
    </row>
    <row r="115" spans="2:4" x14ac:dyDescent="0.2">
      <c r="B115">
        <v>14.5</v>
      </c>
      <c r="C115" s="10">
        <f>IFERROR(_xlfn.PERCENTRANK.INC(Titanic[Edad Corrigida], B115), "")</f>
        <v>9.8000000000000004E-2</v>
      </c>
      <c r="D115" s="10"/>
    </row>
    <row r="116" spans="2:4" x14ac:dyDescent="0.2">
      <c r="B116">
        <v>22</v>
      </c>
      <c r="C116" s="10">
        <f>IFERROR(_xlfn.PERCENTRANK.INC(Titanic[Edad Corrigida], B116), "")</f>
        <v>0.27600000000000002</v>
      </c>
      <c r="D116" s="10"/>
    </row>
    <row r="117" spans="2:4" x14ac:dyDescent="0.2">
      <c r="B117">
        <v>20</v>
      </c>
      <c r="C117" s="10">
        <f>IFERROR(_xlfn.PERCENTRANK.INC(Titanic[Edad Corrigida], B117), "")</f>
        <v>0.22</v>
      </c>
      <c r="D117" s="10"/>
    </row>
    <row r="118" spans="2:4" x14ac:dyDescent="0.2">
      <c r="B118">
        <v>17</v>
      </c>
      <c r="C118" s="10">
        <f>IFERROR(_xlfn.PERCENTRANK.INC(Titanic[Edad Corrigida], B118), "")</f>
        <v>0.13</v>
      </c>
      <c r="D118" s="10"/>
    </row>
    <row r="119" spans="2:4" x14ac:dyDescent="0.2">
      <c r="B119">
        <v>21</v>
      </c>
      <c r="C119" s="10">
        <f>IFERROR(_xlfn.PERCENTRANK.INC(Titanic[Edad Corrigida], B119), "")</f>
        <v>0.24199999999999999</v>
      </c>
      <c r="D119" s="10"/>
    </row>
    <row r="120" spans="2:4" x14ac:dyDescent="0.2">
      <c r="B120">
        <v>70.5</v>
      </c>
      <c r="C120" s="10">
        <f>IFERROR(_xlfn.PERCENTRANK.INC(Titanic[Edad Corrigida], B120), "")</f>
        <v>0.98699999999999999</v>
      </c>
      <c r="D120" s="10"/>
    </row>
    <row r="121" spans="2:4" x14ac:dyDescent="0.2">
      <c r="B121">
        <v>29</v>
      </c>
      <c r="C121" s="10">
        <f>IFERROR(_xlfn.PERCENTRANK.INC(Titanic[Edad Corrigida], B121), "")</f>
        <v>0.5</v>
      </c>
      <c r="D121" s="10"/>
    </row>
    <row r="122" spans="2:4" x14ac:dyDescent="0.2">
      <c r="B122">
        <v>24</v>
      </c>
      <c r="C122" s="10">
        <f>IFERROR(_xlfn.PERCENTRANK.INC(Titanic[Edad Corrigida], B122), "")</f>
        <v>0.33600000000000002</v>
      </c>
      <c r="D122" s="10"/>
    </row>
    <row r="123" spans="2:4" x14ac:dyDescent="0.2">
      <c r="B123">
        <v>2</v>
      </c>
      <c r="C123" s="10">
        <f>IFERROR(_xlfn.PERCENTRANK.INC(Titanic[Edad Corrigida], B123), "")</f>
        <v>8.9999999999999993E-3</v>
      </c>
      <c r="D123" s="10"/>
    </row>
    <row r="124" spans="2:4" x14ac:dyDescent="0.2">
      <c r="B124">
        <v>21</v>
      </c>
      <c r="C124" s="10">
        <f>IFERROR(_xlfn.PERCENTRANK.INC(Titanic[Edad Corrigida], B124), "")</f>
        <v>0.24199999999999999</v>
      </c>
      <c r="D124" s="10"/>
    </row>
    <row r="125" spans="2:4" x14ac:dyDescent="0.2">
      <c r="B125" t="str">
        <v/>
      </c>
      <c r="C125" s="10" t="str">
        <f>IFERROR(_xlfn.PERCENTRANK.INC(Titanic[Edad Corrigida], B125), "")</f>
        <v/>
      </c>
      <c r="D125" s="10"/>
    </row>
    <row r="126" spans="2:4" x14ac:dyDescent="0.2">
      <c r="B126">
        <v>32.5</v>
      </c>
      <c r="C126" s="10">
        <f>IFERROR(_xlfn.PERCENTRANK.INC(Titanic[Edad Corrigida], B126), "")</f>
        <v>0.61499999999999999</v>
      </c>
      <c r="D126" s="10"/>
    </row>
    <row r="127" spans="2:4" x14ac:dyDescent="0.2">
      <c r="B127">
        <v>32.5</v>
      </c>
      <c r="C127" s="10">
        <f>IFERROR(_xlfn.PERCENTRANK.INC(Titanic[Edad Corrigida], B127), "")</f>
        <v>0.61499999999999999</v>
      </c>
      <c r="D127" s="10"/>
    </row>
    <row r="128" spans="2:4" x14ac:dyDescent="0.2">
      <c r="B128">
        <v>54</v>
      </c>
      <c r="C128" s="10">
        <f>IFERROR(_xlfn.PERCENTRANK.INC(Titanic[Edad Corrigida], B128), "")</f>
        <v>0.92200000000000004</v>
      </c>
      <c r="D128" s="10"/>
    </row>
    <row r="129" spans="2:4" x14ac:dyDescent="0.2">
      <c r="B129">
        <v>12</v>
      </c>
      <c r="C129" s="10">
        <f>IFERROR(_xlfn.PERCENTRANK.INC(Titanic[Edad Corrigida], B129), "")</f>
        <v>8.5000000000000006E-2</v>
      </c>
      <c r="D129" s="10"/>
    </row>
    <row r="130" spans="2:4" x14ac:dyDescent="0.2">
      <c r="B130" t="str">
        <v/>
      </c>
      <c r="C130" s="10" t="str">
        <f>IFERROR(_xlfn.PERCENTRANK.INC(Titanic[Edad Corrigida], B130), "")</f>
        <v/>
      </c>
      <c r="D130" s="10"/>
    </row>
    <row r="131" spans="2:4" x14ac:dyDescent="0.2">
      <c r="B131">
        <v>24</v>
      </c>
      <c r="C131" s="10">
        <f>IFERROR(_xlfn.PERCENTRANK.INC(Titanic[Edad Corrigida], B131), "")</f>
        <v>0.33600000000000002</v>
      </c>
      <c r="D131" s="10"/>
    </row>
    <row r="132" spans="2:4" x14ac:dyDescent="0.2">
      <c r="B132" t="str">
        <v/>
      </c>
      <c r="C132" s="10" t="str">
        <f>IFERROR(_xlfn.PERCENTRANK.INC(Titanic[Edad Corrigida], B132), "")</f>
        <v/>
      </c>
      <c r="D132" s="10"/>
    </row>
    <row r="133" spans="2:4" x14ac:dyDescent="0.2">
      <c r="B133">
        <v>45</v>
      </c>
      <c r="C133" s="10">
        <f>IFERROR(_xlfn.PERCENTRANK.INC(Titanic[Edad Corrigida], B133), "")</f>
        <v>0.83099999999999996</v>
      </c>
      <c r="D133" s="10"/>
    </row>
    <row r="134" spans="2:4" x14ac:dyDescent="0.2">
      <c r="B134">
        <v>33</v>
      </c>
      <c r="C134" s="10">
        <f>IFERROR(_xlfn.PERCENTRANK.INC(Titanic[Edad Corrigida], B134), "")</f>
        <v>0.61799999999999999</v>
      </c>
      <c r="D134" s="10"/>
    </row>
    <row r="135" spans="2:4" x14ac:dyDescent="0.2">
      <c r="B135">
        <v>20</v>
      </c>
      <c r="C135" s="10">
        <f>IFERROR(_xlfn.PERCENTRANK.INC(Titanic[Edad Corrigida], B135), "")</f>
        <v>0.22</v>
      </c>
      <c r="D135" s="10"/>
    </row>
    <row r="136" spans="2:4" x14ac:dyDescent="0.2">
      <c r="B136">
        <v>47</v>
      </c>
      <c r="C136" s="10">
        <f>IFERROR(_xlfn.PERCENTRANK.INC(Titanic[Edad Corrigida], B136), "")</f>
        <v>0.85499999999999998</v>
      </c>
      <c r="D136" s="10"/>
    </row>
    <row r="137" spans="2:4" x14ac:dyDescent="0.2">
      <c r="B137">
        <v>29</v>
      </c>
      <c r="C137" s="10">
        <f>IFERROR(_xlfn.PERCENTRANK.INC(Titanic[Edad Corrigida], B137), "")</f>
        <v>0.5</v>
      </c>
      <c r="D137" s="10"/>
    </row>
    <row r="138" spans="2:4" x14ac:dyDescent="0.2">
      <c r="B138">
        <v>25</v>
      </c>
      <c r="C138" s="10">
        <f>IFERROR(_xlfn.PERCENTRANK.INC(Titanic[Edad Corrigida], B138), "")</f>
        <v>0.38</v>
      </c>
      <c r="D138" s="10"/>
    </row>
    <row r="139" spans="2:4" x14ac:dyDescent="0.2">
      <c r="B139">
        <v>23</v>
      </c>
      <c r="C139" s="10">
        <f>IFERROR(_xlfn.PERCENTRANK.INC(Titanic[Edad Corrigida], B139), "")</f>
        <v>0.314</v>
      </c>
      <c r="D139" s="10"/>
    </row>
    <row r="140" spans="2:4" x14ac:dyDescent="0.2">
      <c r="B140">
        <v>19</v>
      </c>
      <c r="C140" s="10">
        <f>IFERROR(_xlfn.PERCENTRANK.INC(Titanic[Edad Corrigida], B140), "")</f>
        <v>0.185</v>
      </c>
      <c r="D140" s="10"/>
    </row>
    <row r="141" spans="2:4" x14ac:dyDescent="0.2">
      <c r="B141">
        <v>37</v>
      </c>
      <c r="C141" s="10">
        <f>IFERROR(_xlfn.PERCENTRANK.INC(Titanic[Edad Corrigida], B141), "")</f>
        <v>0.71899999999999997</v>
      </c>
      <c r="D141" s="10"/>
    </row>
    <row r="142" spans="2:4" x14ac:dyDescent="0.2">
      <c r="B142">
        <v>16</v>
      </c>
      <c r="C142" s="10">
        <f>IFERROR(_xlfn.PERCENTRANK.INC(Titanic[Edad Corrigida], B142), "")</f>
        <v>0.106</v>
      </c>
      <c r="D142" s="10"/>
    </row>
    <row r="143" spans="2:4" x14ac:dyDescent="0.2">
      <c r="B143">
        <v>24</v>
      </c>
      <c r="C143" s="10">
        <f>IFERROR(_xlfn.PERCENTRANK.INC(Titanic[Edad Corrigida], B143), "")</f>
        <v>0.33600000000000002</v>
      </c>
      <c r="D143" s="10"/>
    </row>
    <row r="144" spans="2:4" x14ac:dyDescent="0.2">
      <c r="B144" t="str">
        <v/>
      </c>
      <c r="C144" s="10" t="str">
        <f>IFERROR(_xlfn.PERCENTRANK.INC(Titanic[Edad Corrigida], B144), "")</f>
        <v/>
      </c>
      <c r="D144" s="10"/>
    </row>
    <row r="145" spans="2:4" x14ac:dyDescent="0.2">
      <c r="B145">
        <v>22</v>
      </c>
      <c r="C145" s="10">
        <f>IFERROR(_xlfn.PERCENTRANK.INC(Titanic[Edad Corrigida], B145), "")</f>
        <v>0.27600000000000002</v>
      </c>
      <c r="D145" s="10"/>
    </row>
    <row r="146" spans="2:4" x14ac:dyDescent="0.2">
      <c r="B146">
        <v>24</v>
      </c>
      <c r="C146" s="10">
        <f>IFERROR(_xlfn.PERCENTRANK.INC(Titanic[Edad Corrigida], B146), "")</f>
        <v>0.33600000000000002</v>
      </c>
      <c r="D146" s="10"/>
    </row>
    <row r="147" spans="2:4" x14ac:dyDescent="0.2">
      <c r="B147">
        <v>19</v>
      </c>
      <c r="C147" s="10">
        <f>IFERROR(_xlfn.PERCENTRANK.INC(Titanic[Edad Corrigida], B147), "")</f>
        <v>0.185</v>
      </c>
      <c r="D147" s="10"/>
    </row>
    <row r="148" spans="2:4" x14ac:dyDescent="0.2">
      <c r="B148">
        <v>18</v>
      </c>
      <c r="C148" s="10">
        <f>IFERROR(_xlfn.PERCENTRANK.INC(Titanic[Edad Corrigida], B148), "")</f>
        <v>0.14799999999999999</v>
      </c>
      <c r="D148" s="10"/>
    </row>
    <row r="149" spans="2:4" x14ac:dyDescent="0.2">
      <c r="B149">
        <v>19</v>
      </c>
      <c r="C149" s="10">
        <f>IFERROR(_xlfn.PERCENTRANK.INC(Titanic[Edad Corrigida], B149), "")</f>
        <v>0.185</v>
      </c>
      <c r="D149" s="10"/>
    </row>
    <row r="150" spans="2:4" x14ac:dyDescent="0.2">
      <c r="B150">
        <v>27</v>
      </c>
      <c r="C150" s="10">
        <f>IFERROR(_xlfn.PERCENTRANK.INC(Titanic[Edad Corrigida], B150), "")</f>
        <v>0.437</v>
      </c>
      <c r="D150" s="10"/>
    </row>
    <row r="151" spans="2:4" x14ac:dyDescent="0.2">
      <c r="B151">
        <v>9</v>
      </c>
      <c r="C151" s="10">
        <f>IFERROR(_xlfn.PERCENTRANK.INC(Titanic[Edad Corrigida], B151), "")</f>
        <v>6.5000000000000002E-2</v>
      </c>
      <c r="D151" s="10"/>
    </row>
    <row r="152" spans="2:4" x14ac:dyDescent="0.2">
      <c r="B152">
        <v>36.5</v>
      </c>
      <c r="C152" s="10">
        <f>IFERROR(_xlfn.PERCENTRANK.INC(Titanic[Edad Corrigida], B152), "")</f>
        <v>0.71799999999999997</v>
      </c>
      <c r="D152" s="10"/>
    </row>
    <row r="153" spans="2:4" x14ac:dyDescent="0.2">
      <c r="B153">
        <v>42</v>
      </c>
      <c r="C153" s="10">
        <f>IFERROR(_xlfn.PERCENTRANK.INC(Titanic[Edad Corrigida], B153), "")</f>
        <v>0.79200000000000004</v>
      </c>
      <c r="D153" s="10"/>
    </row>
    <row r="154" spans="2:4" x14ac:dyDescent="0.2">
      <c r="B154">
        <v>51</v>
      </c>
      <c r="C154" s="10">
        <f>IFERROR(_xlfn.PERCENTRANK.INC(Titanic[Edad Corrigida], B154), "")</f>
        <v>0.90300000000000002</v>
      </c>
      <c r="D154" s="10"/>
    </row>
    <row r="155" spans="2:4" x14ac:dyDescent="0.2">
      <c r="B155">
        <v>22</v>
      </c>
      <c r="C155" s="10">
        <f>IFERROR(_xlfn.PERCENTRANK.INC(Titanic[Edad Corrigida], B155), "")</f>
        <v>0.27600000000000002</v>
      </c>
      <c r="D155" s="10"/>
    </row>
    <row r="156" spans="2:4" x14ac:dyDescent="0.2">
      <c r="B156">
        <v>55.5</v>
      </c>
      <c r="C156" s="10">
        <f>IFERROR(_xlfn.PERCENTRANK.INC(Titanic[Edad Corrigida], B156), "")</f>
        <v>0.93600000000000005</v>
      </c>
      <c r="D156" s="10"/>
    </row>
    <row r="157" spans="2:4" x14ac:dyDescent="0.2">
      <c r="B157">
        <v>40.5</v>
      </c>
      <c r="C157" s="10">
        <f>IFERROR(_xlfn.PERCENTRANK.INC(Titanic[Edad Corrigida], B157), "")</f>
        <v>0.78100000000000003</v>
      </c>
      <c r="D157" s="10"/>
    </row>
    <row r="158" spans="2:4" x14ac:dyDescent="0.2">
      <c r="B158" t="str">
        <v/>
      </c>
      <c r="C158" s="10" t="str">
        <f>IFERROR(_xlfn.PERCENTRANK.INC(Titanic[Edad Corrigida], B158), "")</f>
        <v/>
      </c>
      <c r="D158" s="10"/>
    </row>
    <row r="159" spans="2:4" x14ac:dyDescent="0.2">
      <c r="B159">
        <v>51</v>
      </c>
      <c r="C159" s="10">
        <f>IFERROR(_xlfn.PERCENTRANK.INC(Titanic[Edad Corrigida], B159), "")</f>
        <v>0.90300000000000002</v>
      </c>
      <c r="D159" s="10"/>
    </row>
    <row r="160" spans="2:4" x14ac:dyDescent="0.2">
      <c r="B160">
        <v>16</v>
      </c>
      <c r="C160" s="10">
        <f>IFERROR(_xlfn.PERCENTRANK.INC(Titanic[Edad Corrigida], B160), "")</f>
        <v>0.106</v>
      </c>
      <c r="D160" s="10"/>
    </row>
    <row r="161" spans="2:4" x14ac:dyDescent="0.2">
      <c r="B161">
        <v>30</v>
      </c>
      <c r="C161" s="10">
        <f>IFERROR(_xlfn.PERCENTRANK.INC(Titanic[Edad Corrigida], B161), "")</f>
        <v>0.52800000000000002</v>
      </c>
      <c r="D161" s="10"/>
    </row>
    <row r="162" spans="2:4" x14ac:dyDescent="0.2">
      <c r="B162" t="str">
        <v/>
      </c>
      <c r="C162" s="10" t="str">
        <f>IFERROR(_xlfn.PERCENTRANK.INC(Titanic[Edad Corrigida], B162), "")</f>
        <v/>
      </c>
      <c r="D162" s="10"/>
    </row>
    <row r="163" spans="2:4" x14ac:dyDescent="0.2">
      <c r="B163" t="str">
        <v/>
      </c>
      <c r="C163" s="10" t="str">
        <f>IFERROR(_xlfn.PERCENTRANK.INC(Titanic[Edad Corrigida], B163), "")</f>
        <v/>
      </c>
      <c r="D163" s="10"/>
    </row>
    <row r="164" spans="2:4" x14ac:dyDescent="0.2">
      <c r="B164">
        <v>44</v>
      </c>
      <c r="C164" s="10">
        <f>IFERROR(_xlfn.PERCENTRANK.INC(Titanic[Edad Corrigida], B164), "")</f>
        <v>0.81899999999999995</v>
      </c>
      <c r="D164" s="10"/>
    </row>
    <row r="165" spans="2:4" x14ac:dyDescent="0.2">
      <c r="B165">
        <v>40</v>
      </c>
      <c r="C165" s="10">
        <f>IFERROR(_xlfn.PERCENTRANK.INC(Titanic[Edad Corrigida], B165), "")</f>
        <v>0.76200000000000001</v>
      </c>
      <c r="D165" s="10"/>
    </row>
    <row r="166" spans="2:4" x14ac:dyDescent="0.2">
      <c r="B166">
        <v>26</v>
      </c>
      <c r="C166" s="10">
        <f>IFERROR(_xlfn.PERCENTRANK.INC(Titanic[Edad Corrigida], B166), "")</f>
        <v>0.41199999999999998</v>
      </c>
      <c r="D166" s="10"/>
    </row>
    <row r="167" spans="2:4" x14ac:dyDescent="0.2">
      <c r="B167">
        <v>17</v>
      </c>
      <c r="C167" s="10">
        <f>IFERROR(_xlfn.PERCENTRANK.INC(Titanic[Edad Corrigida], B167), "")</f>
        <v>0.13</v>
      </c>
      <c r="D167" s="10"/>
    </row>
    <row r="168" spans="2:4" x14ac:dyDescent="0.2">
      <c r="B168">
        <v>1</v>
      </c>
      <c r="C168" s="10">
        <f>IFERROR(_xlfn.PERCENTRANK.INC(Titanic[Edad Corrigida], B168), "")</f>
        <v>0</v>
      </c>
      <c r="D168" s="10"/>
    </row>
    <row r="169" spans="2:4" x14ac:dyDescent="0.2">
      <c r="B169">
        <v>9</v>
      </c>
      <c r="C169" s="10">
        <f>IFERROR(_xlfn.PERCENTRANK.INC(Titanic[Edad Corrigida], B169), "")</f>
        <v>6.5000000000000002E-2</v>
      </c>
      <c r="D169" s="10"/>
    </row>
    <row r="170" spans="2:4" x14ac:dyDescent="0.2">
      <c r="B170" t="str">
        <v/>
      </c>
      <c r="C170" s="10" t="str">
        <f>IFERROR(_xlfn.PERCENTRANK.INC(Titanic[Edad Corrigida], B170), "")</f>
        <v/>
      </c>
      <c r="D170" s="10"/>
    </row>
    <row r="171" spans="2:4" x14ac:dyDescent="0.2">
      <c r="B171">
        <v>45</v>
      </c>
      <c r="C171" s="10">
        <f>IFERROR(_xlfn.PERCENTRANK.INC(Titanic[Edad Corrigida], B171), "")</f>
        <v>0.83099999999999996</v>
      </c>
      <c r="D171" s="10"/>
    </row>
    <row r="172" spans="2:4" x14ac:dyDescent="0.2">
      <c r="B172" t="str">
        <v/>
      </c>
      <c r="C172" s="10" t="str">
        <f>IFERROR(_xlfn.PERCENTRANK.INC(Titanic[Edad Corrigida], B172), "")</f>
        <v/>
      </c>
      <c r="D172" s="10"/>
    </row>
    <row r="173" spans="2:4" x14ac:dyDescent="0.2">
      <c r="B173">
        <v>28</v>
      </c>
      <c r="C173" s="10">
        <f>IFERROR(_xlfn.PERCENTRANK.INC(Titanic[Edad Corrigida], B173), "")</f>
        <v>0.46200000000000002</v>
      </c>
      <c r="D173" s="10"/>
    </row>
    <row r="174" spans="2:4" x14ac:dyDescent="0.2">
      <c r="B174">
        <v>61</v>
      </c>
      <c r="C174" s="10">
        <f>IFERROR(_xlfn.PERCENTRANK.INC(Titanic[Edad Corrigida], B174), "")</f>
        <v>0.96199999999999997</v>
      </c>
      <c r="D174" s="10"/>
    </row>
    <row r="175" spans="2:4" x14ac:dyDescent="0.2">
      <c r="B175">
        <v>4</v>
      </c>
      <c r="C175" s="10">
        <f>IFERROR(_xlfn.PERCENTRANK.INC(Titanic[Edad Corrigida], B175), "")</f>
        <v>3.2000000000000001E-2</v>
      </c>
      <c r="D175" s="10"/>
    </row>
    <row r="176" spans="2:4" x14ac:dyDescent="0.2">
      <c r="B176">
        <v>1</v>
      </c>
      <c r="C176" s="10">
        <f>IFERROR(_xlfn.PERCENTRANK.INC(Titanic[Edad Corrigida], B176), "")</f>
        <v>0</v>
      </c>
      <c r="D176" s="10"/>
    </row>
    <row r="177" spans="2:4" x14ac:dyDescent="0.2">
      <c r="B177">
        <v>21</v>
      </c>
      <c r="C177" s="10">
        <f>IFERROR(_xlfn.PERCENTRANK.INC(Titanic[Edad Corrigida], B177), "")</f>
        <v>0.24199999999999999</v>
      </c>
      <c r="D177" s="10"/>
    </row>
    <row r="178" spans="2:4" x14ac:dyDescent="0.2">
      <c r="B178">
        <v>56</v>
      </c>
      <c r="C178" s="10">
        <f>IFERROR(_xlfn.PERCENTRANK.INC(Titanic[Edad Corrigida], B178), "")</f>
        <v>0.93799999999999994</v>
      </c>
      <c r="D178" s="10"/>
    </row>
    <row r="179" spans="2:4" x14ac:dyDescent="0.2">
      <c r="B179">
        <v>18</v>
      </c>
      <c r="C179" s="10">
        <f>IFERROR(_xlfn.PERCENTRANK.INC(Titanic[Edad Corrigida], B179), "")</f>
        <v>0.14799999999999999</v>
      </c>
      <c r="D179" s="10"/>
    </row>
    <row r="180" spans="2:4" x14ac:dyDescent="0.2">
      <c r="B180" t="str">
        <v/>
      </c>
      <c r="C180" s="10" t="str">
        <f>IFERROR(_xlfn.PERCENTRANK.INC(Titanic[Edad Corrigida], B180), "")</f>
        <v/>
      </c>
      <c r="D180" s="10"/>
    </row>
    <row r="181" spans="2:4" x14ac:dyDescent="0.2">
      <c r="B181">
        <v>50</v>
      </c>
      <c r="C181" s="10">
        <f>IFERROR(_xlfn.PERCENTRANK.INC(Titanic[Edad Corrigida], B181), "")</f>
        <v>0.88900000000000001</v>
      </c>
      <c r="D181" s="10"/>
    </row>
    <row r="182" spans="2:4" x14ac:dyDescent="0.2">
      <c r="B182">
        <v>30</v>
      </c>
      <c r="C182" s="10">
        <f>IFERROR(_xlfn.PERCENTRANK.INC(Titanic[Edad Corrigida], B182), "")</f>
        <v>0.52800000000000002</v>
      </c>
      <c r="D182" s="10"/>
    </row>
    <row r="183" spans="2:4" x14ac:dyDescent="0.2">
      <c r="B183">
        <v>36</v>
      </c>
      <c r="C183" s="10">
        <f>IFERROR(_xlfn.PERCENTRANK.INC(Titanic[Edad Corrigida], B183), "")</f>
        <v>0.68700000000000006</v>
      </c>
      <c r="D183" s="10"/>
    </row>
    <row r="184" spans="2:4" x14ac:dyDescent="0.2">
      <c r="B184" t="str">
        <v/>
      </c>
      <c r="C184" s="10" t="str">
        <f>IFERROR(_xlfn.PERCENTRANK.INC(Titanic[Edad Corrigida], B184), "")</f>
        <v/>
      </c>
      <c r="D184" s="10"/>
    </row>
    <row r="185" spans="2:4" x14ac:dyDescent="0.2">
      <c r="B185" t="str">
        <v/>
      </c>
      <c r="C185" s="10" t="str">
        <f>IFERROR(_xlfn.PERCENTRANK.INC(Titanic[Edad Corrigida], B185), "")</f>
        <v/>
      </c>
      <c r="D185" s="10"/>
    </row>
    <row r="186" spans="2:4" x14ac:dyDescent="0.2">
      <c r="B186">
        <v>9</v>
      </c>
      <c r="C186" s="10">
        <f>IFERROR(_xlfn.PERCENTRANK.INC(Titanic[Edad Corrigida], B186), "")</f>
        <v>6.5000000000000002E-2</v>
      </c>
      <c r="D186" s="10"/>
    </row>
    <row r="187" spans="2:4" x14ac:dyDescent="0.2">
      <c r="B187">
        <v>1</v>
      </c>
      <c r="C187" s="10">
        <f>IFERROR(_xlfn.PERCENTRANK.INC(Titanic[Edad Corrigida], B187), "")</f>
        <v>0</v>
      </c>
      <c r="D187" s="10"/>
    </row>
    <row r="188" spans="2:4" x14ac:dyDescent="0.2">
      <c r="B188">
        <v>4</v>
      </c>
      <c r="C188" s="10">
        <f>IFERROR(_xlfn.PERCENTRANK.INC(Titanic[Edad Corrigida], B188), "")</f>
        <v>3.2000000000000001E-2</v>
      </c>
      <c r="D188" s="10"/>
    </row>
    <row r="189" spans="2:4" x14ac:dyDescent="0.2">
      <c r="B189" t="str">
        <v/>
      </c>
      <c r="C189" s="10" t="str">
        <f>IFERROR(_xlfn.PERCENTRANK.INC(Titanic[Edad Corrigida], B189), "")</f>
        <v/>
      </c>
      <c r="D189" s="10"/>
    </row>
    <row r="190" spans="2:4" x14ac:dyDescent="0.2">
      <c r="B190" t="str">
        <v/>
      </c>
      <c r="C190" s="10" t="str">
        <f>IFERROR(_xlfn.PERCENTRANK.INC(Titanic[Edad Corrigida], B190), "")</f>
        <v/>
      </c>
      <c r="D190" s="10"/>
    </row>
    <row r="191" spans="2:4" x14ac:dyDescent="0.2">
      <c r="B191">
        <v>45</v>
      </c>
      <c r="C191" s="10">
        <f>IFERROR(_xlfn.PERCENTRANK.INC(Titanic[Edad Corrigida], B191), "")</f>
        <v>0.83099999999999996</v>
      </c>
      <c r="D191" s="10"/>
    </row>
    <row r="192" spans="2:4" x14ac:dyDescent="0.2">
      <c r="B192">
        <v>40</v>
      </c>
      <c r="C192" s="10">
        <f>IFERROR(_xlfn.PERCENTRANK.INC(Titanic[Edad Corrigida], B192), "")</f>
        <v>0.76200000000000001</v>
      </c>
      <c r="D192" s="10"/>
    </row>
    <row r="193" spans="2:4" x14ac:dyDescent="0.2">
      <c r="B193">
        <v>36</v>
      </c>
      <c r="C193" s="10">
        <f>IFERROR(_xlfn.PERCENTRANK.INC(Titanic[Edad Corrigida], B193), "")</f>
        <v>0.68700000000000006</v>
      </c>
      <c r="D193" s="10"/>
    </row>
    <row r="194" spans="2:4" x14ac:dyDescent="0.2">
      <c r="B194">
        <v>32</v>
      </c>
      <c r="C194" s="10">
        <f>IFERROR(_xlfn.PERCENTRANK.INC(Titanic[Edad Corrigida], B194), "")</f>
        <v>0.59</v>
      </c>
      <c r="D194" s="10"/>
    </row>
    <row r="195" spans="2:4" x14ac:dyDescent="0.2">
      <c r="B195">
        <v>19</v>
      </c>
      <c r="C195" s="10">
        <f>IFERROR(_xlfn.PERCENTRANK.INC(Titanic[Edad Corrigida], B195), "")</f>
        <v>0.185</v>
      </c>
      <c r="D195" s="10"/>
    </row>
    <row r="196" spans="2:4" x14ac:dyDescent="0.2">
      <c r="B196">
        <v>19</v>
      </c>
      <c r="C196" s="10">
        <f>IFERROR(_xlfn.PERCENTRANK.INC(Titanic[Edad Corrigida], B196), "")</f>
        <v>0.185</v>
      </c>
      <c r="D196" s="10"/>
    </row>
    <row r="197" spans="2:4" x14ac:dyDescent="0.2">
      <c r="B197">
        <v>3</v>
      </c>
      <c r="C197" s="10">
        <f>IFERROR(_xlfn.PERCENTRANK.INC(Titanic[Edad Corrigida], B197), "")</f>
        <v>2.3E-2</v>
      </c>
      <c r="D197" s="10"/>
    </row>
    <row r="198" spans="2:4" x14ac:dyDescent="0.2">
      <c r="B198">
        <v>44</v>
      </c>
      <c r="C198" s="10">
        <f>IFERROR(_xlfn.PERCENTRANK.INC(Titanic[Edad Corrigida], B198), "")</f>
        <v>0.81899999999999995</v>
      </c>
      <c r="D198" s="10"/>
    </row>
    <row r="199" spans="2:4" x14ac:dyDescent="0.2">
      <c r="B199">
        <v>58</v>
      </c>
      <c r="C199" s="10">
        <f>IFERROR(_xlfn.PERCENTRANK.INC(Titanic[Edad Corrigida], B199), "")</f>
        <v>0.94599999999999995</v>
      </c>
      <c r="D199" s="10"/>
    </row>
    <row r="200" spans="2:4" x14ac:dyDescent="0.2">
      <c r="B200" t="str">
        <v/>
      </c>
      <c r="C200" s="10" t="str">
        <f>IFERROR(_xlfn.PERCENTRANK.INC(Titanic[Edad Corrigida], B200), "")</f>
        <v/>
      </c>
      <c r="D200" s="10"/>
    </row>
    <row r="201" spans="2:4" x14ac:dyDescent="0.2">
      <c r="B201">
        <v>42</v>
      </c>
      <c r="C201" s="10">
        <f>IFERROR(_xlfn.PERCENTRANK.INC(Titanic[Edad Corrigida], B201), "")</f>
        <v>0.79200000000000004</v>
      </c>
      <c r="D201" s="10"/>
    </row>
    <row r="202" spans="2:4" x14ac:dyDescent="0.2">
      <c r="B202" t="str">
        <v/>
      </c>
      <c r="C202" s="10" t="str">
        <f>IFERROR(_xlfn.PERCENTRANK.INC(Titanic[Edad Corrigida], B202), "")</f>
        <v/>
      </c>
      <c r="D202" s="10"/>
    </row>
    <row r="203" spans="2:4" x14ac:dyDescent="0.2">
      <c r="B203">
        <v>24</v>
      </c>
      <c r="C203" s="10">
        <f>IFERROR(_xlfn.PERCENTRANK.INC(Titanic[Edad Corrigida], B203), "")</f>
        <v>0.33600000000000002</v>
      </c>
      <c r="D203" s="10"/>
    </row>
    <row r="204" spans="2:4" x14ac:dyDescent="0.2">
      <c r="B204">
        <v>28</v>
      </c>
      <c r="C204" s="10">
        <f>IFERROR(_xlfn.PERCENTRANK.INC(Titanic[Edad Corrigida], B204), "")</f>
        <v>0.46200000000000002</v>
      </c>
      <c r="D204" s="10"/>
    </row>
    <row r="205" spans="2:4" x14ac:dyDescent="0.2">
      <c r="B205" t="str">
        <v/>
      </c>
      <c r="C205" s="10" t="str">
        <f>IFERROR(_xlfn.PERCENTRANK.INC(Titanic[Edad Corrigida], B205), "")</f>
        <v/>
      </c>
      <c r="D205" s="10"/>
    </row>
    <row r="206" spans="2:4" x14ac:dyDescent="0.2">
      <c r="B206">
        <v>34</v>
      </c>
      <c r="C206" s="10">
        <f>IFERROR(_xlfn.PERCENTRANK.INC(Titanic[Edad Corrigida], B206), "")</f>
        <v>0.63900000000000001</v>
      </c>
      <c r="D206" s="10"/>
    </row>
    <row r="207" spans="2:4" x14ac:dyDescent="0.2">
      <c r="B207">
        <v>45.5</v>
      </c>
      <c r="C207" s="10">
        <f>IFERROR(_xlfn.PERCENTRANK.INC(Titanic[Edad Corrigida], B207), "")</f>
        <v>0.84799999999999998</v>
      </c>
      <c r="D207" s="10"/>
    </row>
    <row r="208" spans="2:4" x14ac:dyDescent="0.2">
      <c r="B208">
        <v>18</v>
      </c>
      <c r="C208" s="10">
        <f>IFERROR(_xlfn.PERCENTRANK.INC(Titanic[Edad Corrigida], B208), "")</f>
        <v>0.14799999999999999</v>
      </c>
      <c r="D208" s="10"/>
    </row>
    <row r="209" spans="2:4" x14ac:dyDescent="0.2">
      <c r="B209">
        <v>2</v>
      </c>
      <c r="C209" s="10">
        <f>IFERROR(_xlfn.PERCENTRANK.INC(Titanic[Edad Corrigida], B209), "")</f>
        <v>8.9999999999999993E-3</v>
      </c>
      <c r="D209" s="10"/>
    </row>
    <row r="210" spans="2:4" x14ac:dyDescent="0.2">
      <c r="B210">
        <v>32</v>
      </c>
      <c r="C210" s="10">
        <f>IFERROR(_xlfn.PERCENTRANK.INC(Titanic[Edad Corrigida], B210), "")</f>
        <v>0.59</v>
      </c>
      <c r="D210" s="10"/>
    </row>
    <row r="211" spans="2:4" x14ac:dyDescent="0.2">
      <c r="B211">
        <v>26</v>
      </c>
      <c r="C211" s="10">
        <f>IFERROR(_xlfn.PERCENTRANK.INC(Titanic[Edad Corrigida], B211), "")</f>
        <v>0.41199999999999998</v>
      </c>
      <c r="D211" s="10"/>
    </row>
    <row r="212" spans="2:4" x14ac:dyDescent="0.2">
      <c r="B212">
        <v>16</v>
      </c>
      <c r="C212" s="10">
        <f>IFERROR(_xlfn.PERCENTRANK.INC(Titanic[Edad Corrigida], B212), "")</f>
        <v>0.106</v>
      </c>
      <c r="D212" s="10"/>
    </row>
    <row r="213" spans="2:4" x14ac:dyDescent="0.2">
      <c r="B213">
        <v>40</v>
      </c>
      <c r="C213" s="10">
        <f>IFERROR(_xlfn.PERCENTRANK.INC(Titanic[Edad Corrigida], B213), "")</f>
        <v>0.76200000000000001</v>
      </c>
      <c r="D213" s="10"/>
    </row>
    <row r="214" spans="2:4" x14ac:dyDescent="0.2">
      <c r="B214">
        <v>24</v>
      </c>
      <c r="C214" s="10">
        <f>IFERROR(_xlfn.PERCENTRANK.INC(Titanic[Edad Corrigida], B214), "")</f>
        <v>0.33600000000000002</v>
      </c>
      <c r="D214" s="10"/>
    </row>
    <row r="215" spans="2:4" x14ac:dyDescent="0.2">
      <c r="B215">
        <v>35</v>
      </c>
      <c r="C215" s="10">
        <f>IFERROR(_xlfn.PERCENTRANK.INC(Titanic[Edad Corrigida], B215), "")</f>
        <v>0.66100000000000003</v>
      </c>
      <c r="D215" s="10"/>
    </row>
    <row r="216" spans="2:4" x14ac:dyDescent="0.2">
      <c r="B216">
        <v>22</v>
      </c>
      <c r="C216" s="10">
        <f>IFERROR(_xlfn.PERCENTRANK.INC(Titanic[Edad Corrigida], B216), "")</f>
        <v>0.27600000000000002</v>
      </c>
      <c r="D216" s="10"/>
    </row>
    <row r="217" spans="2:4" x14ac:dyDescent="0.2">
      <c r="B217">
        <v>30</v>
      </c>
      <c r="C217" s="10">
        <f>IFERROR(_xlfn.PERCENTRANK.INC(Titanic[Edad Corrigida], B217), "")</f>
        <v>0.52800000000000002</v>
      </c>
      <c r="D217" s="10"/>
    </row>
    <row r="218" spans="2:4" x14ac:dyDescent="0.2">
      <c r="B218" t="str">
        <v/>
      </c>
      <c r="C218" s="10" t="str">
        <f>IFERROR(_xlfn.PERCENTRANK.INC(Titanic[Edad Corrigida], B218), "")</f>
        <v/>
      </c>
      <c r="D218" s="10"/>
    </row>
    <row r="219" spans="2:4" x14ac:dyDescent="0.2">
      <c r="B219">
        <v>31</v>
      </c>
      <c r="C219" s="10">
        <f>IFERROR(_xlfn.PERCENTRANK.INC(Titanic[Edad Corrigida], B219), "")</f>
        <v>0.56599999999999995</v>
      </c>
      <c r="D219" s="10"/>
    </row>
    <row r="220" spans="2:4" x14ac:dyDescent="0.2">
      <c r="B220">
        <v>27</v>
      </c>
      <c r="C220" s="10">
        <f>IFERROR(_xlfn.PERCENTRANK.INC(Titanic[Edad Corrigida], B220), "")</f>
        <v>0.437</v>
      </c>
      <c r="D220" s="10"/>
    </row>
    <row r="221" spans="2:4" x14ac:dyDescent="0.2">
      <c r="B221">
        <v>42</v>
      </c>
      <c r="C221" s="10">
        <f>IFERROR(_xlfn.PERCENTRANK.INC(Titanic[Edad Corrigida], B221), "")</f>
        <v>0.79200000000000004</v>
      </c>
      <c r="D221" s="10"/>
    </row>
    <row r="222" spans="2:4" x14ac:dyDescent="0.2">
      <c r="B222">
        <v>32</v>
      </c>
      <c r="C222" s="10">
        <f>IFERROR(_xlfn.PERCENTRANK.INC(Titanic[Edad Corrigida], B222), "")</f>
        <v>0.59</v>
      </c>
      <c r="D222" s="10"/>
    </row>
    <row r="223" spans="2:4" x14ac:dyDescent="0.2">
      <c r="B223">
        <v>30</v>
      </c>
      <c r="C223" s="10">
        <f>IFERROR(_xlfn.PERCENTRANK.INC(Titanic[Edad Corrigida], B223), "")</f>
        <v>0.52800000000000002</v>
      </c>
      <c r="D223" s="10"/>
    </row>
    <row r="224" spans="2:4" x14ac:dyDescent="0.2">
      <c r="B224">
        <v>16</v>
      </c>
      <c r="C224" s="10">
        <f>IFERROR(_xlfn.PERCENTRANK.INC(Titanic[Edad Corrigida], B224), "")</f>
        <v>0.106</v>
      </c>
      <c r="D224" s="10"/>
    </row>
    <row r="225" spans="2:4" x14ac:dyDescent="0.2">
      <c r="B225">
        <v>27</v>
      </c>
      <c r="C225" s="10">
        <f>IFERROR(_xlfn.PERCENTRANK.INC(Titanic[Edad Corrigida], B225), "")</f>
        <v>0.437</v>
      </c>
      <c r="D225" s="10"/>
    </row>
    <row r="226" spans="2:4" x14ac:dyDescent="0.2">
      <c r="B226">
        <v>51</v>
      </c>
      <c r="C226" s="10">
        <f>IFERROR(_xlfn.PERCENTRANK.INC(Titanic[Edad Corrigida], B226), "")</f>
        <v>0.90300000000000002</v>
      </c>
      <c r="D226" s="10"/>
    </row>
    <row r="227" spans="2:4" x14ac:dyDescent="0.2">
      <c r="B227" t="str">
        <v/>
      </c>
      <c r="C227" s="10" t="str">
        <f>IFERROR(_xlfn.PERCENTRANK.INC(Titanic[Edad Corrigida], B227), "")</f>
        <v/>
      </c>
      <c r="D227" s="10"/>
    </row>
    <row r="228" spans="2:4" x14ac:dyDescent="0.2">
      <c r="B228">
        <v>38</v>
      </c>
      <c r="C228" s="10">
        <f>IFERROR(_xlfn.PERCENTRANK.INC(Titanic[Edad Corrigida], B228), "")</f>
        <v>0.72699999999999998</v>
      </c>
      <c r="D228" s="10"/>
    </row>
    <row r="229" spans="2:4" x14ac:dyDescent="0.2">
      <c r="B229">
        <v>22</v>
      </c>
      <c r="C229" s="10">
        <f>IFERROR(_xlfn.PERCENTRANK.INC(Titanic[Edad Corrigida], B229), "")</f>
        <v>0.27600000000000002</v>
      </c>
      <c r="D229" s="10"/>
    </row>
    <row r="230" spans="2:4" x14ac:dyDescent="0.2">
      <c r="B230">
        <v>19</v>
      </c>
      <c r="C230" s="10">
        <f>IFERROR(_xlfn.PERCENTRANK.INC(Titanic[Edad Corrigida], B230), "")</f>
        <v>0.185</v>
      </c>
      <c r="D230" s="10"/>
    </row>
    <row r="231" spans="2:4" x14ac:dyDescent="0.2">
      <c r="B231">
        <v>20.5</v>
      </c>
      <c r="C231" s="10">
        <f>IFERROR(_xlfn.PERCENTRANK.INC(Titanic[Edad Corrigida], B231), "")</f>
        <v>0.24099999999999999</v>
      </c>
      <c r="D231" s="10"/>
    </row>
    <row r="232" spans="2:4" x14ac:dyDescent="0.2">
      <c r="B232">
        <v>18</v>
      </c>
      <c r="C232" s="10">
        <f>IFERROR(_xlfn.PERCENTRANK.INC(Titanic[Edad Corrigida], B232), "")</f>
        <v>0.14799999999999999</v>
      </c>
      <c r="D232" s="10"/>
    </row>
    <row r="233" spans="2:4" x14ac:dyDescent="0.2">
      <c r="B233" t="str">
        <v/>
      </c>
      <c r="C233" s="10" t="str">
        <f>IFERROR(_xlfn.PERCENTRANK.INC(Titanic[Edad Corrigida], B233), "")</f>
        <v/>
      </c>
      <c r="D233" s="10"/>
    </row>
    <row r="234" spans="2:4" x14ac:dyDescent="0.2">
      <c r="B234">
        <v>35</v>
      </c>
      <c r="C234" s="10">
        <f>IFERROR(_xlfn.PERCENTRANK.INC(Titanic[Edad Corrigida], B234), "")</f>
        <v>0.66100000000000003</v>
      </c>
      <c r="D234" s="10"/>
    </row>
    <row r="235" spans="2:4" x14ac:dyDescent="0.2">
      <c r="B235">
        <v>29</v>
      </c>
      <c r="C235" s="10">
        <f>IFERROR(_xlfn.PERCENTRANK.INC(Titanic[Edad Corrigida], B235), "")</f>
        <v>0.5</v>
      </c>
      <c r="D235" s="10"/>
    </row>
    <row r="236" spans="2:4" x14ac:dyDescent="0.2">
      <c r="B236">
        <v>59</v>
      </c>
      <c r="C236" s="10">
        <f>IFERROR(_xlfn.PERCENTRANK.INC(Titanic[Edad Corrigida], B236), "")</f>
        <v>0.95299999999999996</v>
      </c>
      <c r="D236" s="10"/>
    </row>
    <row r="237" spans="2:4" x14ac:dyDescent="0.2">
      <c r="B237">
        <v>5</v>
      </c>
      <c r="C237" s="10">
        <f>IFERROR(_xlfn.PERCENTRANK.INC(Titanic[Edad Corrigida], B237), "")</f>
        <v>4.5999999999999999E-2</v>
      </c>
      <c r="D237" s="10"/>
    </row>
    <row r="238" spans="2:4" x14ac:dyDescent="0.2">
      <c r="B238">
        <v>24</v>
      </c>
      <c r="C238" s="10">
        <f>IFERROR(_xlfn.PERCENTRANK.INC(Titanic[Edad Corrigida], B238), "")</f>
        <v>0.33600000000000002</v>
      </c>
      <c r="D238" s="10"/>
    </row>
    <row r="239" spans="2:4" x14ac:dyDescent="0.2">
      <c r="B239" t="str">
        <v/>
      </c>
      <c r="C239" s="10" t="str">
        <f>IFERROR(_xlfn.PERCENTRANK.INC(Titanic[Edad Corrigida], B239), "")</f>
        <v/>
      </c>
      <c r="D239" s="10"/>
    </row>
    <row r="240" spans="2:4" x14ac:dyDescent="0.2">
      <c r="B240">
        <v>44</v>
      </c>
      <c r="C240" s="10">
        <f>IFERROR(_xlfn.PERCENTRANK.INC(Titanic[Edad Corrigida], B240), "")</f>
        <v>0.81899999999999995</v>
      </c>
      <c r="D240" s="10"/>
    </row>
    <row r="241" spans="2:4" x14ac:dyDescent="0.2">
      <c r="B241">
        <v>8</v>
      </c>
      <c r="C241" s="10">
        <f>IFERROR(_xlfn.PERCENTRANK.INC(Titanic[Edad Corrigida], B241), "")</f>
        <v>0.06</v>
      </c>
      <c r="D241" s="10"/>
    </row>
    <row r="242" spans="2:4" x14ac:dyDescent="0.2">
      <c r="B242">
        <v>19</v>
      </c>
      <c r="C242" s="10">
        <f>IFERROR(_xlfn.PERCENTRANK.INC(Titanic[Edad Corrigida], B242), "")</f>
        <v>0.185</v>
      </c>
      <c r="D242" s="10"/>
    </row>
    <row r="243" spans="2:4" x14ac:dyDescent="0.2">
      <c r="B243">
        <v>33</v>
      </c>
      <c r="C243" s="10">
        <f>IFERROR(_xlfn.PERCENTRANK.INC(Titanic[Edad Corrigida], B243), "")</f>
        <v>0.61799999999999999</v>
      </c>
      <c r="D243" s="10"/>
    </row>
    <row r="244" spans="2:4" x14ac:dyDescent="0.2">
      <c r="B244" t="str">
        <v/>
      </c>
      <c r="C244" s="10" t="str">
        <f>IFERROR(_xlfn.PERCENTRANK.INC(Titanic[Edad Corrigida], B244), "")</f>
        <v/>
      </c>
      <c r="D244" s="10"/>
    </row>
    <row r="245" spans="2:4" x14ac:dyDescent="0.2">
      <c r="B245" t="str">
        <v/>
      </c>
      <c r="C245" s="10" t="str">
        <f>IFERROR(_xlfn.PERCENTRANK.INC(Titanic[Edad Corrigida], B245), "")</f>
        <v/>
      </c>
      <c r="D245" s="10"/>
    </row>
    <row r="246" spans="2:4" x14ac:dyDescent="0.2">
      <c r="B246">
        <v>29</v>
      </c>
      <c r="C246" s="10">
        <f>IFERROR(_xlfn.PERCENTRANK.INC(Titanic[Edad Corrigida], B246), "")</f>
        <v>0.5</v>
      </c>
      <c r="D246" s="10"/>
    </row>
    <row r="247" spans="2:4" x14ac:dyDescent="0.2">
      <c r="B247">
        <v>22</v>
      </c>
      <c r="C247" s="10">
        <f>IFERROR(_xlfn.PERCENTRANK.INC(Titanic[Edad Corrigida], B247), "")</f>
        <v>0.27600000000000002</v>
      </c>
      <c r="D247" s="10"/>
    </row>
    <row r="248" spans="2:4" x14ac:dyDescent="0.2">
      <c r="B248">
        <v>30</v>
      </c>
      <c r="C248" s="10">
        <f>IFERROR(_xlfn.PERCENTRANK.INC(Titanic[Edad Corrigida], B248), "")</f>
        <v>0.52800000000000002</v>
      </c>
      <c r="D248" s="10"/>
    </row>
    <row r="249" spans="2:4" x14ac:dyDescent="0.2">
      <c r="B249">
        <v>44</v>
      </c>
      <c r="C249" s="10">
        <f>IFERROR(_xlfn.PERCENTRANK.INC(Titanic[Edad Corrigida], B249), "")</f>
        <v>0.81899999999999995</v>
      </c>
      <c r="D249" s="10"/>
    </row>
    <row r="250" spans="2:4" x14ac:dyDescent="0.2">
      <c r="B250">
        <v>25</v>
      </c>
      <c r="C250" s="10">
        <f>IFERROR(_xlfn.PERCENTRANK.INC(Titanic[Edad Corrigida], B250), "")</f>
        <v>0.38</v>
      </c>
      <c r="D250" s="10"/>
    </row>
    <row r="251" spans="2:4" x14ac:dyDescent="0.2">
      <c r="B251">
        <v>24</v>
      </c>
      <c r="C251" s="10">
        <f>IFERROR(_xlfn.PERCENTRANK.INC(Titanic[Edad Corrigida], B251), "")</f>
        <v>0.33600000000000002</v>
      </c>
      <c r="D251" s="10"/>
    </row>
    <row r="252" spans="2:4" x14ac:dyDescent="0.2">
      <c r="B252">
        <v>37</v>
      </c>
      <c r="C252" s="10">
        <f>IFERROR(_xlfn.PERCENTRANK.INC(Titanic[Edad Corrigida], B252), "")</f>
        <v>0.71899999999999997</v>
      </c>
      <c r="D252" s="10"/>
    </row>
    <row r="253" spans="2:4" x14ac:dyDescent="0.2">
      <c r="B253">
        <v>54</v>
      </c>
      <c r="C253" s="10">
        <f>IFERROR(_xlfn.PERCENTRANK.INC(Titanic[Edad Corrigida], B253), "")</f>
        <v>0.92200000000000004</v>
      </c>
      <c r="D253" s="10"/>
    </row>
    <row r="254" spans="2:4" x14ac:dyDescent="0.2">
      <c r="B254" t="str">
        <v/>
      </c>
      <c r="C254" s="10" t="str">
        <f>IFERROR(_xlfn.PERCENTRANK.INC(Titanic[Edad Corrigida], B254), "")</f>
        <v/>
      </c>
      <c r="D254" s="10"/>
    </row>
    <row r="255" spans="2:4" x14ac:dyDescent="0.2">
      <c r="B255">
        <v>29</v>
      </c>
      <c r="C255" s="10">
        <f>IFERROR(_xlfn.PERCENTRANK.INC(Titanic[Edad Corrigida], B255), "")</f>
        <v>0.5</v>
      </c>
      <c r="D255" s="10"/>
    </row>
    <row r="256" spans="2:4" x14ac:dyDescent="0.2">
      <c r="B256">
        <v>62</v>
      </c>
      <c r="C256" s="10">
        <f>IFERROR(_xlfn.PERCENTRANK.INC(Titanic[Edad Corrigida], B256), "")</f>
        <v>0.96599999999999997</v>
      </c>
      <c r="D256" s="10"/>
    </row>
    <row r="257" spans="2:4" x14ac:dyDescent="0.2">
      <c r="B257">
        <v>30</v>
      </c>
      <c r="C257" s="10">
        <f>IFERROR(_xlfn.PERCENTRANK.INC(Titanic[Edad Corrigida], B257), "")</f>
        <v>0.52800000000000002</v>
      </c>
      <c r="D257" s="10"/>
    </row>
    <row r="258" spans="2:4" x14ac:dyDescent="0.2">
      <c r="B258">
        <v>41</v>
      </c>
      <c r="C258" s="10">
        <f>IFERROR(_xlfn.PERCENTRANK.INC(Titanic[Edad Corrigida], B258), "")</f>
        <v>0.78400000000000003</v>
      </c>
      <c r="D258" s="10"/>
    </row>
    <row r="259" spans="2:4" x14ac:dyDescent="0.2">
      <c r="B259">
        <v>29</v>
      </c>
      <c r="C259" s="10">
        <f>IFERROR(_xlfn.PERCENTRANK.INC(Titanic[Edad Corrigida], B259), "")</f>
        <v>0.5</v>
      </c>
      <c r="D259" s="10"/>
    </row>
    <row r="260" spans="2:4" x14ac:dyDescent="0.2">
      <c r="B260" t="str">
        <v/>
      </c>
      <c r="C260" s="10" t="str">
        <f>IFERROR(_xlfn.PERCENTRANK.INC(Titanic[Edad Corrigida], B260), "")</f>
        <v/>
      </c>
      <c r="D260" s="10"/>
    </row>
    <row r="261" spans="2:4" x14ac:dyDescent="0.2">
      <c r="B261">
        <v>30</v>
      </c>
      <c r="C261" s="10">
        <f>IFERROR(_xlfn.PERCENTRANK.INC(Titanic[Edad Corrigida], B261), "")</f>
        <v>0.52800000000000002</v>
      </c>
      <c r="D261" s="10"/>
    </row>
    <row r="262" spans="2:4" x14ac:dyDescent="0.2">
      <c r="B262">
        <v>35</v>
      </c>
      <c r="C262" s="10">
        <f>IFERROR(_xlfn.PERCENTRANK.INC(Titanic[Edad Corrigida], B262), "")</f>
        <v>0.66100000000000003</v>
      </c>
      <c r="D262" s="10"/>
    </row>
    <row r="263" spans="2:4" x14ac:dyDescent="0.2">
      <c r="B263">
        <v>50</v>
      </c>
      <c r="C263" s="10">
        <f>IFERROR(_xlfn.PERCENTRANK.INC(Titanic[Edad Corrigida], B263), "")</f>
        <v>0.88900000000000001</v>
      </c>
      <c r="D263" s="10"/>
    </row>
    <row r="264" spans="2:4" x14ac:dyDescent="0.2">
      <c r="B264" t="str">
        <v/>
      </c>
      <c r="C264" s="10" t="str">
        <f>IFERROR(_xlfn.PERCENTRANK.INC(Titanic[Edad Corrigida], B264), "")</f>
        <v/>
      </c>
      <c r="D264" s="10"/>
    </row>
    <row r="265" spans="2:4" x14ac:dyDescent="0.2">
      <c r="B265">
        <v>3</v>
      </c>
      <c r="C265" s="10">
        <f>IFERROR(_xlfn.PERCENTRANK.INC(Titanic[Edad Corrigida], B265), "")</f>
        <v>2.3E-2</v>
      </c>
      <c r="D265" s="10"/>
    </row>
    <row r="266" spans="2:4" x14ac:dyDescent="0.2">
      <c r="B266">
        <v>52</v>
      </c>
      <c r="C266" s="10">
        <f>IFERROR(_xlfn.PERCENTRANK.INC(Titanic[Edad Corrigida], B266), "")</f>
        <v>0.91300000000000003</v>
      </c>
      <c r="D266" s="10"/>
    </row>
    <row r="267" spans="2:4" x14ac:dyDescent="0.2">
      <c r="B267">
        <v>40</v>
      </c>
      <c r="C267" s="10">
        <f>IFERROR(_xlfn.PERCENTRANK.INC(Titanic[Edad Corrigida], B267), "")</f>
        <v>0.76200000000000001</v>
      </c>
      <c r="D267" s="10"/>
    </row>
    <row r="268" spans="2:4" x14ac:dyDescent="0.2">
      <c r="B268" t="str">
        <v/>
      </c>
      <c r="C268" s="10" t="str">
        <f>IFERROR(_xlfn.PERCENTRANK.INC(Titanic[Edad Corrigida], B268), "")</f>
        <v/>
      </c>
      <c r="D268" s="10"/>
    </row>
    <row r="269" spans="2:4" x14ac:dyDescent="0.2">
      <c r="B269">
        <v>36</v>
      </c>
      <c r="C269" s="10">
        <f>IFERROR(_xlfn.PERCENTRANK.INC(Titanic[Edad Corrigida], B269), "")</f>
        <v>0.68700000000000006</v>
      </c>
      <c r="D269" s="10"/>
    </row>
    <row r="270" spans="2:4" x14ac:dyDescent="0.2">
      <c r="B270">
        <v>16</v>
      </c>
      <c r="C270" s="10">
        <f>IFERROR(_xlfn.PERCENTRANK.INC(Titanic[Edad Corrigida], B270), "")</f>
        <v>0.106</v>
      </c>
      <c r="D270" s="10"/>
    </row>
    <row r="271" spans="2:4" x14ac:dyDescent="0.2">
      <c r="B271">
        <v>25</v>
      </c>
      <c r="C271" s="10">
        <f>IFERROR(_xlfn.PERCENTRANK.INC(Titanic[Edad Corrigida], B271), "")</f>
        <v>0.38</v>
      </c>
      <c r="D271" s="10"/>
    </row>
    <row r="272" spans="2:4" x14ac:dyDescent="0.2">
      <c r="B272">
        <v>58</v>
      </c>
      <c r="C272" s="10">
        <f>IFERROR(_xlfn.PERCENTRANK.INC(Titanic[Edad Corrigida], B272), "")</f>
        <v>0.94599999999999995</v>
      </c>
      <c r="D272" s="10"/>
    </row>
    <row r="273" spans="2:4" x14ac:dyDescent="0.2">
      <c r="B273">
        <v>35</v>
      </c>
      <c r="C273" s="10">
        <f>IFERROR(_xlfn.PERCENTRANK.INC(Titanic[Edad Corrigida], B273), "")</f>
        <v>0.66100000000000003</v>
      </c>
      <c r="D273" s="10"/>
    </row>
    <row r="274" spans="2:4" x14ac:dyDescent="0.2">
      <c r="B274" t="str">
        <v/>
      </c>
      <c r="C274" s="10" t="str">
        <f>IFERROR(_xlfn.PERCENTRANK.INC(Titanic[Edad Corrigida], B274), "")</f>
        <v/>
      </c>
      <c r="D274" s="10"/>
    </row>
    <row r="275" spans="2:4" x14ac:dyDescent="0.2">
      <c r="B275">
        <v>25</v>
      </c>
      <c r="C275" s="10">
        <f>IFERROR(_xlfn.PERCENTRANK.INC(Titanic[Edad Corrigida], B275), "")</f>
        <v>0.38</v>
      </c>
      <c r="D275" s="10"/>
    </row>
    <row r="276" spans="2:4" x14ac:dyDescent="0.2">
      <c r="B276">
        <v>41</v>
      </c>
      <c r="C276" s="10">
        <f>IFERROR(_xlfn.PERCENTRANK.INC(Titanic[Edad Corrigida], B276), "")</f>
        <v>0.78400000000000003</v>
      </c>
      <c r="D276" s="10"/>
    </row>
    <row r="277" spans="2:4" x14ac:dyDescent="0.2">
      <c r="B277">
        <v>37</v>
      </c>
      <c r="C277" s="10">
        <f>IFERROR(_xlfn.PERCENTRANK.INC(Titanic[Edad Corrigida], B277), "")</f>
        <v>0.71899999999999997</v>
      </c>
      <c r="D277" s="10"/>
    </row>
    <row r="278" spans="2:4" x14ac:dyDescent="0.2">
      <c r="B278" t="str">
        <v/>
      </c>
      <c r="C278" s="10" t="str">
        <f>IFERROR(_xlfn.PERCENTRANK.INC(Titanic[Edad Corrigida], B278), "")</f>
        <v/>
      </c>
      <c r="D278" s="10"/>
    </row>
    <row r="279" spans="2:4" x14ac:dyDescent="0.2">
      <c r="B279">
        <v>63</v>
      </c>
      <c r="C279" s="10">
        <f>IFERROR(_xlfn.PERCENTRANK.INC(Titanic[Edad Corrigida], B279), "")</f>
        <v>0.97099999999999997</v>
      </c>
      <c r="D279" s="10"/>
    </row>
    <row r="280" spans="2:4" x14ac:dyDescent="0.2">
      <c r="B280">
        <v>45</v>
      </c>
      <c r="C280" s="10">
        <f>IFERROR(_xlfn.PERCENTRANK.INC(Titanic[Edad Corrigida], B280), "")</f>
        <v>0.83099999999999996</v>
      </c>
      <c r="D280" s="10"/>
    </row>
    <row r="281" spans="2:4" x14ac:dyDescent="0.2">
      <c r="B281" t="str">
        <v/>
      </c>
      <c r="C281" s="10" t="str">
        <f>IFERROR(_xlfn.PERCENTRANK.INC(Titanic[Edad Corrigida], B281), "")</f>
        <v/>
      </c>
      <c r="D281" s="10"/>
    </row>
    <row r="282" spans="2:4" x14ac:dyDescent="0.2">
      <c r="B282">
        <v>7</v>
      </c>
      <c r="C282" s="10">
        <f>IFERROR(_xlfn.PERCENTRANK.INC(Titanic[Edad Corrigida], B282), "")</f>
        <v>5.6000000000000001E-2</v>
      </c>
      <c r="D282" s="10"/>
    </row>
    <row r="283" spans="2:4" x14ac:dyDescent="0.2">
      <c r="B283">
        <v>35</v>
      </c>
      <c r="C283" s="10">
        <f>IFERROR(_xlfn.PERCENTRANK.INC(Titanic[Edad Corrigida], B283), "")</f>
        <v>0.66100000000000003</v>
      </c>
      <c r="D283" s="10"/>
    </row>
    <row r="284" spans="2:4" x14ac:dyDescent="0.2">
      <c r="B284">
        <v>65</v>
      </c>
      <c r="C284" s="10">
        <f>IFERROR(_xlfn.PERCENTRANK.INC(Titanic[Edad Corrigida], B284), "")</f>
        <v>0.97699999999999998</v>
      </c>
      <c r="D284" s="10"/>
    </row>
    <row r="285" spans="2:4" x14ac:dyDescent="0.2">
      <c r="B285">
        <v>28</v>
      </c>
      <c r="C285" s="10">
        <f>IFERROR(_xlfn.PERCENTRANK.INC(Titanic[Edad Corrigida], B285), "")</f>
        <v>0.46200000000000002</v>
      </c>
      <c r="D285" s="10"/>
    </row>
    <row r="286" spans="2:4" x14ac:dyDescent="0.2">
      <c r="B286">
        <v>16</v>
      </c>
      <c r="C286" s="10">
        <f>IFERROR(_xlfn.PERCENTRANK.INC(Titanic[Edad Corrigida], B286), "")</f>
        <v>0.106</v>
      </c>
      <c r="D286" s="10"/>
    </row>
    <row r="287" spans="2:4" x14ac:dyDescent="0.2">
      <c r="B287">
        <v>19</v>
      </c>
      <c r="C287" s="10">
        <f>IFERROR(_xlfn.PERCENTRANK.INC(Titanic[Edad Corrigida], B287), "")</f>
        <v>0.185</v>
      </c>
      <c r="D287" s="10"/>
    </row>
    <row r="288" spans="2:4" x14ac:dyDescent="0.2">
      <c r="B288" t="str">
        <v/>
      </c>
      <c r="C288" s="10" t="str">
        <f>IFERROR(_xlfn.PERCENTRANK.INC(Titanic[Edad Corrigida], B288), "")</f>
        <v/>
      </c>
      <c r="D288" s="10"/>
    </row>
    <row r="289" spans="2:4" x14ac:dyDescent="0.2">
      <c r="B289">
        <v>33</v>
      </c>
      <c r="C289" s="10">
        <f>IFERROR(_xlfn.PERCENTRANK.INC(Titanic[Edad Corrigida], B289), "")</f>
        <v>0.61799999999999999</v>
      </c>
      <c r="D289" s="10"/>
    </row>
    <row r="290" spans="2:4" x14ac:dyDescent="0.2">
      <c r="B290">
        <v>30</v>
      </c>
      <c r="C290" s="10">
        <f>IFERROR(_xlfn.PERCENTRANK.INC(Titanic[Edad Corrigida], B290), "")</f>
        <v>0.52800000000000002</v>
      </c>
      <c r="D290" s="10"/>
    </row>
    <row r="291" spans="2:4" x14ac:dyDescent="0.2">
      <c r="B291">
        <v>22</v>
      </c>
      <c r="C291" s="10">
        <f>IFERROR(_xlfn.PERCENTRANK.INC(Titanic[Edad Corrigida], B291), "")</f>
        <v>0.27600000000000002</v>
      </c>
      <c r="D291" s="10"/>
    </row>
    <row r="292" spans="2:4" x14ac:dyDescent="0.2">
      <c r="B292">
        <v>42</v>
      </c>
      <c r="C292" s="10">
        <f>IFERROR(_xlfn.PERCENTRANK.INC(Titanic[Edad Corrigida], B292), "")</f>
        <v>0.79200000000000004</v>
      </c>
      <c r="D292" s="10"/>
    </row>
    <row r="293" spans="2:4" x14ac:dyDescent="0.2">
      <c r="B293">
        <v>22</v>
      </c>
      <c r="C293" s="10">
        <f>IFERROR(_xlfn.PERCENTRANK.INC(Titanic[Edad Corrigida], B293), "")</f>
        <v>0.27600000000000002</v>
      </c>
      <c r="D293" s="10"/>
    </row>
    <row r="294" spans="2:4" x14ac:dyDescent="0.2">
      <c r="B294">
        <v>26</v>
      </c>
      <c r="C294" s="10">
        <f>IFERROR(_xlfn.PERCENTRANK.INC(Titanic[Edad Corrigida], B294), "")</f>
        <v>0.41199999999999998</v>
      </c>
      <c r="D294" s="10"/>
    </row>
    <row r="295" spans="2:4" x14ac:dyDescent="0.2">
      <c r="B295">
        <v>19</v>
      </c>
      <c r="C295" s="10">
        <f>IFERROR(_xlfn.PERCENTRANK.INC(Titanic[Edad Corrigida], B295), "")</f>
        <v>0.185</v>
      </c>
      <c r="D295" s="10"/>
    </row>
    <row r="296" spans="2:4" x14ac:dyDescent="0.2">
      <c r="B296">
        <v>36</v>
      </c>
      <c r="C296" s="10">
        <f>IFERROR(_xlfn.PERCENTRANK.INC(Titanic[Edad Corrigida], B296), "")</f>
        <v>0.68700000000000006</v>
      </c>
      <c r="D296" s="10"/>
    </row>
    <row r="297" spans="2:4" x14ac:dyDescent="0.2">
      <c r="B297">
        <v>24</v>
      </c>
      <c r="C297" s="10">
        <f>IFERROR(_xlfn.PERCENTRANK.INC(Titanic[Edad Corrigida], B297), "")</f>
        <v>0.33600000000000002</v>
      </c>
      <c r="D297" s="10"/>
    </row>
    <row r="298" spans="2:4" x14ac:dyDescent="0.2">
      <c r="B298">
        <v>24</v>
      </c>
      <c r="C298" s="10">
        <f>IFERROR(_xlfn.PERCENTRANK.INC(Titanic[Edad Corrigida], B298), "")</f>
        <v>0.33600000000000002</v>
      </c>
      <c r="D298" s="10"/>
    </row>
    <row r="299" spans="2:4" x14ac:dyDescent="0.2">
      <c r="B299" t="str">
        <v/>
      </c>
      <c r="C299" s="10" t="str">
        <f>IFERROR(_xlfn.PERCENTRANK.INC(Titanic[Edad Corrigida], B299), "")</f>
        <v/>
      </c>
      <c r="D299" s="10"/>
    </row>
    <row r="300" spans="2:4" x14ac:dyDescent="0.2">
      <c r="B300">
        <v>23.5</v>
      </c>
      <c r="C300" s="10">
        <f>IFERROR(_xlfn.PERCENTRANK.INC(Titanic[Edad Corrigida], B300), "")</f>
        <v>0.33500000000000002</v>
      </c>
      <c r="D300" s="10"/>
    </row>
    <row r="301" spans="2:4" x14ac:dyDescent="0.2">
      <c r="B301">
        <v>2</v>
      </c>
      <c r="C301" s="10">
        <f>IFERROR(_xlfn.PERCENTRANK.INC(Titanic[Edad Corrigida], B301), "")</f>
        <v>8.9999999999999993E-3</v>
      </c>
      <c r="D301" s="10"/>
    </row>
    <row r="302" spans="2:4" x14ac:dyDescent="0.2">
      <c r="B302" t="str">
        <v/>
      </c>
      <c r="C302" s="10" t="str">
        <f>IFERROR(_xlfn.PERCENTRANK.INC(Titanic[Edad Corrigida], B302), "")</f>
        <v/>
      </c>
      <c r="D302" s="10"/>
    </row>
    <row r="303" spans="2:4" x14ac:dyDescent="0.2">
      <c r="B303">
        <v>50</v>
      </c>
      <c r="C303" s="10">
        <f>IFERROR(_xlfn.PERCENTRANK.INC(Titanic[Edad Corrigida], B303), "")</f>
        <v>0.88900000000000001</v>
      </c>
      <c r="D303" s="10"/>
    </row>
    <row r="304" spans="2:4" x14ac:dyDescent="0.2">
      <c r="B304" t="str">
        <v/>
      </c>
      <c r="C304" s="10" t="str">
        <f>IFERROR(_xlfn.PERCENTRANK.INC(Titanic[Edad Corrigida], B304), "")</f>
        <v/>
      </c>
      <c r="D304" s="10"/>
    </row>
    <row r="305" spans="2:4" x14ac:dyDescent="0.2">
      <c r="B305" t="str">
        <v/>
      </c>
      <c r="C305" s="10" t="str">
        <f>IFERROR(_xlfn.PERCENTRANK.INC(Titanic[Edad Corrigida], B305), "")</f>
        <v/>
      </c>
      <c r="D305" s="10"/>
    </row>
    <row r="306" spans="2:4" x14ac:dyDescent="0.2">
      <c r="B306">
        <v>19</v>
      </c>
      <c r="C306" s="10">
        <f>IFERROR(_xlfn.PERCENTRANK.INC(Titanic[Edad Corrigida], B306), "")</f>
        <v>0.185</v>
      </c>
      <c r="D306" s="10"/>
    </row>
    <row r="307" spans="2:4" x14ac:dyDescent="0.2">
      <c r="B307" t="str">
        <v/>
      </c>
      <c r="C307" s="10" t="str">
        <f>IFERROR(_xlfn.PERCENTRANK.INC(Titanic[Edad Corrigida], B307), "")</f>
        <v/>
      </c>
      <c r="D307" s="10"/>
    </row>
    <row r="308" spans="2:4" x14ac:dyDescent="0.2">
      <c r="B308" t="str">
        <v/>
      </c>
      <c r="C308" s="10" t="str">
        <f>IFERROR(_xlfn.PERCENTRANK.INC(Titanic[Edad Corrigida], B308), "")</f>
        <v/>
      </c>
      <c r="D308" s="10"/>
    </row>
    <row r="309" spans="2:4" x14ac:dyDescent="0.2">
      <c r="B309">
        <v>92</v>
      </c>
      <c r="C309" s="10">
        <f>IFERROR(_xlfn.PERCENTRANK.INC(Titanic[Edad Corrigida], B309), "")</f>
        <v>1</v>
      </c>
      <c r="D309" s="10"/>
    </row>
    <row r="310" spans="2:4" x14ac:dyDescent="0.2">
      <c r="B310" t="str">
        <v/>
      </c>
      <c r="C310" s="10" t="str">
        <f>IFERROR(_xlfn.PERCENTRANK.INC(Titanic[Edad Corrigida], B310), "")</f>
        <v/>
      </c>
      <c r="D310" s="10"/>
    </row>
    <row r="311" spans="2:4" x14ac:dyDescent="0.2">
      <c r="B311">
        <v>17</v>
      </c>
      <c r="C311" s="10">
        <f>IFERROR(_xlfn.PERCENTRANK.INC(Titanic[Edad Corrigida], B311), "")</f>
        <v>0.13</v>
      </c>
      <c r="D311" s="10"/>
    </row>
    <row r="312" spans="2:4" x14ac:dyDescent="0.2">
      <c r="B312">
        <v>30</v>
      </c>
      <c r="C312" s="10">
        <f>IFERROR(_xlfn.PERCENTRANK.INC(Titanic[Edad Corrigida], B312), "")</f>
        <v>0.52800000000000002</v>
      </c>
      <c r="D312" s="10"/>
    </row>
    <row r="313" spans="2:4" x14ac:dyDescent="0.2">
      <c r="B313">
        <v>30</v>
      </c>
      <c r="C313" s="10">
        <f>IFERROR(_xlfn.PERCENTRANK.INC(Titanic[Edad Corrigida], B313), "")</f>
        <v>0.52800000000000002</v>
      </c>
      <c r="D313" s="10"/>
    </row>
    <row r="314" spans="2:4" x14ac:dyDescent="0.2">
      <c r="B314">
        <v>24</v>
      </c>
      <c r="C314" s="10">
        <f>IFERROR(_xlfn.PERCENTRANK.INC(Titanic[Edad Corrigida], B314), "")</f>
        <v>0.33600000000000002</v>
      </c>
      <c r="D314" s="10"/>
    </row>
    <row r="315" spans="2:4" x14ac:dyDescent="0.2">
      <c r="B315">
        <v>18</v>
      </c>
      <c r="C315" s="10">
        <f>IFERROR(_xlfn.PERCENTRANK.INC(Titanic[Edad Corrigida], B315), "")</f>
        <v>0.14799999999999999</v>
      </c>
      <c r="D315" s="10"/>
    </row>
    <row r="316" spans="2:4" x14ac:dyDescent="0.2">
      <c r="B316">
        <v>26</v>
      </c>
      <c r="C316" s="10">
        <f>IFERROR(_xlfn.PERCENTRANK.INC(Titanic[Edad Corrigida], B316), "")</f>
        <v>0.41199999999999998</v>
      </c>
      <c r="D316" s="10"/>
    </row>
    <row r="317" spans="2:4" x14ac:dyDescent="0.2">
      <c r="B317">
        <v>28</v>
      </c>
      <c r="C317" s="10">
        <f>IFERROR(_xlfn.PERCENTRANK.INC(Titanic[Edad Corrigida], B317), "")</f>
        <v>0.46200000000000002</v>
      </c>
      <c r="D317" s="10"/>
    </row>
    <row r="318" spans="2:4" x14ac:dyDescent="0.2">
      <c r="B318">
        <v>43</v>
      </c>
      <c r="C318" s="10">
        <f>IFERROR(_xlfn.PERCENTRANK.INC(Titanic[Edad Corrigida], B318), "")</f>
        <v>0.81200000000000006</v>
      </c>
      <c r="D318" s="10"/>
    </row>
    <row r="319" spans="2:4" x14ac:dyDescent="0.2">
      <c r="B319">
        <v>26</v>
      </c>
      <c r="C319" s="10">
        <f>IFERROR(_xlfn.PERCENTRANK.INC(Titanic[Edad Corrigida], B319), "")</f>
        <v>0.41199999999999998</v>
      </c>
      <c r="D319" s="10"/>
    </row>
    <row r="320" spans="2:4" x14ac:dyDescent="0.2">
      <c r="B320">
        <v>24</v>
      </c>
      <c r="C320" s="10">
        <f>IFERROR(_xlfn.PERCENTRANK.INC(Titanic[Edad Corrigida], B320), "")</f>
        <v>0.33600000000000002</v>
      </c>
      <c r="D320" s="10"/>
    </row>
    <row r="321" spans="2:4" x14ac:dyDescent="0.2">
      <c r="B321">
        <v>54</v>
      </c>
      <c r="C321" s="10">
        <f>IFERROR(_xlfn.PERCENTRANK.INC(Titanic[Edad Corrigida], B321), "")</f>
        <v>0.92200000000000004</v>
      </c>
      <c r="D321" s="10"/>
    </row>
    <row r="322" spans="2:4" x14ac:dyDescent="0.2">
      <c r="B322">
        <v>31</v>
      </c>
      <c r="C322" s="10">
        <f>IFERROR(_xlfn.PERCENTRANK.INC(Titanic[Edad Corrigida], B322), "")</f>
        <v>0.56599999999999995</v>
      </c>
      <c r="D322" s="10"/>
    </row>
    <row r="323" spans="2:4" x14ac:dyDescent="0.2">
      <c r="B323">
        <v>40</v>
      </c>
      <c r="C323" s="10">
        <f>IFERROR(_xlfn.PERCENTRANK.INC(Titanic[Edad Corrigida], B323), "")</f>
        <v>0.76200000000000001</v>
      </c>
      <c r="D323" s="10"/>
    </row>
    <row r="324" spans="2:4" x14ac:dyDescent="0.2">
      <c r="B324">
        <v>22</v>
      </c>
      <c r="C324" s="10">
        <f>IFERROR(_xlfn.PERCENTRANK.INC(Titanic[Edad Corrigida], B324), "")</f>
        <v>0.27600000000000002</v>
      </c>
      <c r="D324" s="10"/>
    </row>
    <row r="325" spans="2:4" x14ac:dyDescent="0.2">
      <c r="B325">
        <v>27</v>
      </c>
      <c r="C325" s="10">
        <f>IFERROR(_xlfn.PERCENTRANK.INC(Titanic[Edad Corrigida], B325), "")</f>
        <v>0.437</v>
      </c>
      <c r="D325" s="10"/>
    </row>
    <row r="326" spans="2:4" x14ac:dyDescent="0.2">
      <c r="B326">
        <v>30</v>
      </c>
      <c r="C326" s="10">
        <f>IFERROR(_xlfn.PERCENTRANK.INC(Titanic[Edad Corrigida], B326), "")</f>
        <v>0.52800000000000002</v>
      </c>
      <c r="D326" s="10"/>
    </row>
    <row r="327" spans="2:4" x14ac:dyDescent="0.2">
      <c r="B327">
        <v>22</v>
      </c>
      <c r="C327" s="10">
        <f>IFERROR(_xlfn.PERCENTRANK.INC(Titanic[Edad Corrigida], B327), "")</f>
        <v>0.27600000000000002</v>
      </c>
      <c r="D327" s="10"/>
    </row>
    <row r="328" spans="2:4" x14ac:dyDescent="0.2">
      <c r="B328" t="str">
        <v/>
      </c>
      <c r="C328" s="10" t="str">
        <f>IFERROR(_xlfn.PERCENTRANK.INC(Titanic[Edad Corrigida], B328), "")</f>
        <v/>
      </c>
      <c r="D328" s="10"/>
    </row>
    <row r="329" spans="2:4" x14ac:dyDescent="0.2">
      <c r="B329">
        <v>36</v>
      </c>
      <c r="C329" s="10">
        <f>IFERROR(_xlfn.PERCENTRANK.INC(Titanic[Edad Corrigida], B329), "")</f>
        <v>0.68700000000000006</v>
      </c>
      <c r="D329" s="10"/>
    </row>
    <row r="330" spans="2:4" x14ac:dyDescent="0.2">
      <c r="B330">
        <v>61</v>
      </c>
      <c r="C330" s="10">
        <f>IFERROR(_xlfn.PERCENTRANK.INC(Titanic[Edad Corrigida], B330), "")</f>
        <v>0.96199999999999997</v>
      </c>
      <c r="D330" s="10"/>
    </row>
    <row r="331" spans="2:4" x14ac:dyDescent="0.2">
      <c r="B331">
        <v>36</v>
      </c>
      <c r="C331" s="10">
        <f>IFERROR(_xlfn.PERCENTRANK.INC(Titanic[Edad Corrigida], B331), "")</f>
        <v>0.68700000000000006</v>
      </c>
      <c r="D331" s="10"/>
    </row>
    <row r="332" spans="2:4" x14ac:dyDescent="0.2">
      <c r="B332">
        <v>31</v>
      </c>
      <c r="C332" s="10">
        <f>IFERROR(_xlfn.PERCENTRANK.INC(Titanic[Edad Corrigida], B332), "")</f>
        <v>0.56599999999999995</v>
      </c>
      <c r="D332" s="10"/>
    </row>
    <row r="333" spans="2:4" x14ac:dyDescent="0.2">
      <c r="B333">
        <v>16</v>
      </c>
      <c r="C333" s="10">
        <f>IFERROR(_xlfn.PERCENTRANK.INC(Titanic[Edad Corrigida], B333), "")</f>
        <v>0.106</v>
      </c>
      <c r="D333" s="10"/>
    </row>
    <row r="334" spans="2:4" x14ac:dyDescent="0.2">
      <c r="B334" t="str">
        <v/>
      </c>
      <c r="C334" s="10" t="str">
        <f>IFERROR(_xlfn.PERCENTRANK.INC(Titanic[Edad Corrigida], B334), "")</f>
        <v/>
      </c>
      <c r="D334" s="10"/>
    </row>
    <row r="335" spans="2:4" x14ac:dyDescent="0.2">
      <c r="B335">
        <v>45.5</v>
      </c>
      <c r="C335" s="10">
        <f>IFERROR(_xlfn.PERCENTRANK.INC(Titanic[Edad Corrigida], B335), "")</f>
        <v>0.84799999999999998</v>
      </c>
      <c r="D335" s="10"/>
    </row>
    <row r="336" spans="2:4" x14ac:dyDescent="0.2">
      <c r="B336">
        <v>38</v>
      </c>
      <c r="C336" s="10">
        <f>IFERROR(_xlfn.PERCENTRANK.INC(Titanic[Edad Corrigida], B336), "")</f>
        <v>0.72699999999999998</v>
      </c>
      <c r="D336" s="10"/>
    </row>
    <row r="337" spans="2:4" x14ac:dyDescent="0.2">
      <c r="B337">
        <v>16</v>
      </c>
      <c r="C337" s="10">
        <f>IFERROR(_xlfn.PERCENTRANK.INC(Titanic[Edad Corrigida], B337), "")</f>
        <v>0.106</v>
      </c>
      <c r="D337" s="10"/>
    </row>
    <row r="338" spans="2:4" x14ac:dyDescent="0.2">
      <c r="B338" t="str">
        <v/>
      </c>
      <c r="C338" s="10" t="str">
        <f>IFERROR(_xlfn.PERCENTRANK.INC(Titanic[Edad Corrigida], B338), "")</f>
        <v/>
      </c>
      <c r="D338" s="10"/>
    </row>
    <row r="339" spans="2:4" x14ac:dyDescent="0.2">
      <c r="B339" t="str">
        <v/>
      </c>
      <c r="C339" s="10" t="str">
        <f>IFERROR(_xlfn.PERCENTRANK.INC(Titanic[Edad Corrigida], B339), "")</f>
        <v/>
      </c>
      <c r="D339" s="10"/>
    </row>
    <row r="340" spans="2:4" x14ac:dyDescent="0.2">
      <c r="B340">
        <v>29</v>
      </c>
      <c r="C340" s="10">
        <f>IFERROR(_xlfn.PERCENTRANK.INC(Titanic[Edad Corrigida], B340), "")</f>
        <v>0.5</v>
      </c>
      <c r="D340" s="10"/>
    </row>
    <row r="341" spans="2:4" x14ac:dyDescent="0.2">
      <c r="B341">
        <v>41</v>
      </c>
      <c r="C341" s="10">
        <f>IFERROR(_xlfn.PERCENTRANK.INC(Titanic[Edad Corrigida], B341), "")</f>
        <v>0.78400000000000003</v>
      </c>
      <c r="D341" s="10"/>
    </row>
    <row r="342" spans="2:4" x14ac:dyDescent="0.2">
      <c r="B342">
        <v>45</v>
      </c>
      <c r="C342" s="10">
        <f>IFERROR(_xlfn.PERCENTRANK.INC(Titanic[Edad Corrigida], B342), "")</f>
        <v>0.83099999999999996</v>
      </c>
      <c r="D342" s="10"/>
    </row>
    <row r="343" spans="2:4" x14ac:dyDescent="0.2">
      <c r="B343">
        <v>45</v>
      </c>
      <c r="C343" s="10">
        <f>IFERROR(_xlfn.PERCENTRANK.INC(Titanic[Edad Corrigida], B343), "")</f>
        <v>0.83099999999999996</v>
      </c>
      <c r="D343" s="10"/>
    </row>
    <row r="344" spans="2:4" x14ac:dyDescent="0.2">
      <c r="B344">
        <v>2</v>
      </c>
      <c r="C344" s="10">
        <f>IFERROR(_xlfn.PERCENTRANK.INC(Titanic[Edad Corrigida], B344), "")</f>
        <v>8.9999999999999993E-3</v>
      </c>
      <c r="D344" s="10"/>
    </row>
    <row r="345" spans="2:4" x14ac:dyDescent="0.2">
      <c r="B345">
        <v>24</v>
      </c>
      <c r="C345" s="10">
        <f>IFERROR(_xlfn.PERCENTRANK.INC(Titanic[Edad Corrigida], B345), "")</f>
        <v>0.33600000000000002</v>
      </c>
      <c r="D345" s="10"/>
    </row>
    <row r="346" spans="2:4" x14ac:dyDescent="0.2">
      <c r="B346">
        <v>28</v>
      </c>
      <c r="C346" s="10">
        <f>IFERROR(_xlfn.PERCENTRANK.INC(Titanic[Edad Corrigida], B346), "")</f>
        <v>0.46200000000000002</v>
      </c>
      <c r="D346" s="10"/>
    </row>
    <row r="347" spans="2:4" x14ac:dyDescent="0.2">
      <c r="B347">
        <v>25</v>
      </c>
      <c r="C347" s="10">
        <f>IFERROR(_xlfn.PERCENTRANK.INC(Titanic[Edad Corrigida], B347), "")</f>
        <v>0.38</v>
      </c>
      <c r="D347" s="10"/>
    </row>
    <row r="348" spans="2:4" x14ac:dyDescent="0.2">
      <c r="B348">
        <v>36</v>
      </c>
      <c r="C348" s="10">
        <f>IFERROR(_xlfn.PERCENTRANK.INC(Titanic[Edad Corrigida], B348), "")</f>
        <v>0.68700000000000006</v>
      </c>
      <c r="D348" s="10"/>
    </row>
    <row r="349" spans="2:4" x14ac:dyDescent="0.2">
      <c r="B349">
        <v>24</v>
      </c>
      <c r="C349" s="10">
        <f>IFERROR(_xlfn.PERCENTRANK.INC(Titanic[Edad Corrigida], B349), "")</f>
        <v>0.33600000000000002</v>
      </c>
      <c r="D349" s="10"/>
    </row>
    <row r="350" spans="2:4" x14ac:dyDescent="0.2">
      <c r="B350">
        <v>40</v>
      </c>
      <c r="C350" s="10">
        <f>IFERROR(_xlfn.PERCENTRANK.INC(Titanic[Edad Corrigida], B350), "")</f>
        <v>0.76200000000000001</v>
      </c>
      <c r="D350" s="10"/>
    </row>
    <row r="351" spans="2:4" x14ac:dyDescent="0.2">
      <c r="B351" t="str">
        <v/>
      </c>
      <c r="C351" s="10" t="str">
        <f>IFERROR(_xlfn.PERCENTRANK.INC(Titanic[Edad Corrigida], B351), "")</f>
        <v/>
      </c>
      <c r="D351" s="10"/>
    </row>
    <row r="352" spans="2:4" x14ac:dyDescent="0.2">
      <c r="B352">
        <v>3</v>
      </c>
      <c r="C352" s="10">
        <f>IFERROR(_xlfn.PERCENTRANK.INC(Titanic[Edad Corrigida], B352), "")</f>
        <v>2.3E-2</v>
      </c>
      <c r="D352" s="10"/>
    </row>
    <row r="353" spans="2:4" x14ac:dyDescent="0.2">
      <c r="B353">
        <v>42</v>
      </c>
      <c r="C353" s="10">
        <f>IFERROR(_xlfn.PERCENTRANK.INC(Titanic[Edad Corrigida], B353), "")</f>
        <v>0.79200000000000004</v>
      </c>
      <c r="D353" s="10"/>
    </row>
    <row r="354" spans="2:4" x14ac:dyDescent="0.2">
      <c r="B354">
        <v>23</v>
      </c>
      <c r="C354" s="10">
        <f>IFERROR(_xlfn.PERCENTRANK.INC(Titanic[Edad Corrigida], B354), "")</f>
        <v>0.314</v>
      </c>
      <c r="D354" s="10"/>
    </row>
    <row r="355" spans="2:4" x14ac:dyDescent="0.2">
      <c r="B355" t="str">
        <v/>
      </c>
      <c r="C355" s="10" t="str">
        <f>IFERROR(_xlfn.PERCENTRANK.INC(Titanic[Edad Corrigida], B355), "")</f>
        <v/>
      </c>
      <c r="D355" s="10"/>
    </row>
    <row r="356" spans="2:4" x14ac:dyDescent="0.2">
      <c r="B356">
        <v>15</v>
      </c>
      <c r="C356" s="10">
        <f>IFERROR(_xlfn.PERCENTRANK.INC(Titanic[Edad Corrigida], B356), "")</f>
        <v>9.9000000000000005E-2</v>
      </c>
      <c r="D356" s="10"/>
    </row>
    <row r="357" spans="2:4" x14ac:dyDescent="0.2">
      <c r="B357">
        <v>25</v>
      </c>
      <c r="C357" s="10">
        <f>IFERROR(_xlfn.PERCENTRANK.INC(Titanic[Edad Corrigida], B357), "")</f>
        <v>0.38</v>
      </c>
      <c r="D357" s="10"/>
    </row>
    <row r="358" spans="2:4" x14ac:dyDescent="0.2">
      <c r="B358" t="str">
        <v/>
      </c>
      <c r="C358" s="10" t="str">
        <f>IFERROR(_xlfn.PERCENTRANK.INC(Titanic[Edad Corrigida], B358), "")</f>
        <v/>
      </c>
      <c r="D358" s="10"/>
    </row>
    <row r="359" spans="2:4" x14ac:dyDescent="0.2">
      <c r="B359">
        <v>28</v>
      </c>
      <c r="C359" s="10">
        <f>IFERROR(_xlfn.PERCENTRANK.INC(Titanic[Edad Corrigida], B359), "")</f>
        <v>0.46200000000000002</v>
      </c>
      <c r="D359" s="10"/>
    </row>
    <row r="360" spans="2:4" x14ac:dyDescent="0.2">
      <c r="B360">
        <v>22</v>
      </c>
      <c r="C360" s="10">
        <f>IFERROR(_xlfn.PERCENTRANK.INC(Titanic[Edad Corrigida], B360), "")</f>
        <v>0.27600000000000002</v>
      </c>
      <c r="D360" s="10"/>
    </row>
    <row r="361" spans="2:4" x14ac:dyDescent="0.2">
      <c r="B361">
        <v>38</v>
      </c>
      <c r="C361" s="10">
        <f>IFERROR(_xlfn.PERCENTRANK.INC(Titanic[Edad Corrigida], B361), "")</f>
        <v>0.72699999999999998</v>
      </c>
      <c r="D361" s="10"/>
    </row>
    <row r="362" spans="2:4" x14ac:dyDescent="0.2">
      <c r="B362" t="str">
        <v/>
      </c>
      <c r="C362" s="10" t="str">
        <f>IFERROR(_xlfn.PERCENTRANK.INC(Titanic[Edad Corrigida], B362), "")</f>
        <v/>
      </c>
      <c r="D362" s="10"/>
    </row>
    <row r="363" spans="2:4" x14ac:dyDescent="0.2">
      <c r="B363" t="str">
        <v/>
      </c>
      <c r="C363" s="10" t="str">
        <f>IFERROR(_xlfn.PERCENTRANK.INC(Titanic[Edad Corrigida], B363), "")</f>
        <v/>
      </c>
      <c r="D363" s="10"/>
    </row>
    <row r="364" spans="2:4" x14ac:dyDescent="0.2">
      <c r="B364">
        <v>40</v>
      </c>
      <c r="C364" s="10">
        <f>IFERROR(_xlfn.PERCENTRANK.INC(Titanic[Edad Corrigida], B364), "")</f>
        <v>0.76200000000000001</v>
      </c>
      <c r="D364" s="10"/>
    </row>
    <row r="365" spans="2:4" x14ac:dyDescent="0.2">
      <c r="B365">
        <v>29</v>
      </c>
      <c r="C365" s="10">
        <f>IFERROR(_xlfn.PERCENTRANK.INC(Titanic[Edad Corrigida], B365), "")</f>
        <v>0.5</v>
      </c>
      <c r="D365" s="10"/>
    </row>
    <row r="366" spans="2:4" x14ac:dyDescent="0.2">
      <c r="B366">
        <v>45</v>
      </c>
      <c r="C366" s="10">
        <f>IFERROR(_xlfn.PERCENTRANK.INC(Titanic[Edad Corrigida], B366), "")</f>
        <v>0.83099999999999996</v>
      </c>
      <c r="D366" s="10"/>
    </row>
    <row r="367" spans="2:4" x14ac:dyDescent="0.2">
      <c r="B367">
        <v>35</v>
      </c>
      <c r="C367" s="10">
        <f>IFERROR(_xlfn.PERCENTRANK.INC(Titanic[Edad Corrigida], B367), "")</f>
        <v>0.66100000000000003</v>
      </c>
      <c r="D367" s="10"/>
    </row>
    <row r="368" spans="2:4" x14ac:dyDescent="0.2">
      <c r="B368" t="str">
        <v/>
      </c>
      <c r="C368" s="10" t="str">
        <f>IFERROR(_xlfn.PERCENTRANK.INC(Titanic[Edad Corrigida], B368), "")</f>
        <v/>
      </c>
      <c r="D368" s="10"/>
    </row>
    <row r="369" spans="2:4" x14ac:dyDescent="0.2">
      <c r="B369">
        <v>30</v>
      </c>
      <c r="C369" s="10">
        <f>IFERROR(_xlfn.PERCENTRANK.INC(Titanic[Edad Corrigida], B369), "")</f>
        <v>0.52800000000000002</v>
      </c>
      <c r="D369" s="10"/>
    </row>
    <row r="370" spans="2:4" x14ac:dyDescent="0.2">
      <c r="B370">
        <v>60</v>
      </c>
      <c r="C370" s="10">
        <f>IFERROR(_xlfn.PERCENTRANK.INC(Titanic[Edad Corrigida], B370), "")</f>
        <v>0.95599999999999996</v>
      </c>
      <c r="D370" s="10"/>
    </row>
    <row r="371" spans="2:4" x14ac:dyDescent="0.2">
      <c r="B371" t="str">
        <v/>
      </c>
      <c r="C371" s="10" t="str">
        <f>IFERROR(_xlfn.PERCENTRANK.INC(Titanic[Edad Corrigida], B371), "")</f>
        <v/>
      </c>
      <c r="D371" s="10"/>
    </row>
    <row r="372" spans="2:4" x14ac:dyDescent="0.2">
      <c r="B372" t="str">
        <v/>
      </c>
      <c r="C372" s="10" t="str">
        <f>IFERROR(_xlfn.PERCENTRANK.INC(Titanic[Edad Corrigida], B372), "")</f>
        <v/>
      </c>
      <c r="D372" s="10"/>
    </row>
    <row r="373" spans="2:4" x14ac:dyDescent="0.2">
      <c r="B373">
        <v>24</v>
      </c>
      <c r="C373" s="10">
        <f>IFERROR(_xlfn.PERCENTRANK.INC(Titanic[Edad Corrigida], B373), "")</f>
        <v>0.33600000000000002</v>
      </c>
      <c r="D373" s="10"/>
    </row>
    <row r="374" spans="2:4" x14ac:dyDescent="0.2">
      <c r="B374">
        <v>25</v>
      </c>
      <c r="C374" s="10">
        <f>IFERROR(_xlfn.PERCENTRANK.INC(Titanic[Edad Corrigida], B374), "")</f>
        <v>0.38</v>
      </c>
      <c r="D374" s="10"/>
    </row>
    <row r="375" spans="2:4" x14ac:dyDescent="0.2">
      <c r="B375">
        <v>18</v>
      </c>
      <c r="C375" s="10">
        <f>IFERROR(_xlfn.PERCENTRANK.INC(Titanic[Edad Corrigida], B375), "")</f>
        <v>0.14799999999999999</v>
      </c>
      <c r="D375" s="10"/>
    </row>
    <row r="376" spans="2:4" x14ac:dyDescent="0.2">
      <c r="B376">
        <v>19</v>
      </c>
      <c r="C376" s="10">
        <f>IFERROR(_xlfn.PERCENTRANK.INC(Titanic[Edad Corrigida], B376), "")</f>
        <v>0.185</v>
      </c>
      <c r="D376" s="10"/>
    </row>
    <row r="377" spans="2:4" x14ac:dyDescent="0.2">
      <c r="B377">
        <v>22</v>
      </c>
      <c r="C377" s="10">
        <f>IFERROR(_xlfn.PERCENTRANK.INC(Titanic[Edad Corrigida], B377), "")</f>
        <v>0.27600000000000002</v>
      </c>
      <c r="D377" s="10"/>
    </row>
    <row r="378" spans="2:4" x14ac:dyDescent="0.2">
      <c r="B378">
        <v>3</v>
      </c>
      <c r="C378" s="10">
        <f>IFERROR(_xlfn.PERCENTRANK.INC(Titanic[Edad Corrigida], B378), "")</f>
        <v>2.3E-2</v>
      </c>
      <c r="D378" s="10"/>
    </row>
    <row r="379" spans="2:4" x14ac:dyDescent="0.2">
      <c r="B379" t="str">
        <v/>
      </c>
      <c r="C379" s="10" t="str">
        <f>IFERROR(_xlfn.PERCENTRANK.INC(Titanic[Edad Corrigida], B379), "")</f>
        <v/>
      </c>
      <c r="D379" s="10"/>
    </row>
    <row r="380" spans="2:4" x14ac:dyDescent="0.2">
      <c r="B380">
        <v>22</v>
      </c>
      <c r="C380" s="10">
        <f>IFERROR(_xlfn.PERCENTRANK.INC(Titanic[Edad Corrigida], B380), "")</f>
        <v>0.27600000000000002</v>
      </c>
      <c r="D380" s="10"/>
    </row>
    <row r="381" spans="2:4" x14ac:dyDescent="0.2">
      <c r="B381">
        <v>27</v>
      </c>
      <c r="C381" s="10">
        <f>IFERROR(_xlfn.PERCENTRANK.INC(Titanic[Edad Corrigida], B381), "")</f>
        <v>0.437</v>
      </c>
      <c r="D381" s="10"/>
    </row>
    <row r="382" spans="2:4" x14ac:dyDescent="0.2">
      <c r="B382">
        <v>20</v>
      </c>
      <c r="C382" s="10">
        <f>IFERROR(_xlfn.PERCENTRANK.INC(Titanic[Edad Corrigida], B382), "")</f>
        <v>0.22</v>
      </c>
      <c r="D382" s="10"/>
    </row>
    <row r="383" spans="2:4" x14ac:dyDescent="0.2">
      <c r="B383">
        <v>19</v>
      </c>
      <c r="C383" s="10">
        <f>IFERROR(_xlfn.PERCENTRANK.INC(Titanic[Edad Corrigida], B383), "")</f>
        <v>0.185</v>
      </c>
      <c r="D383" s="10"/>
    </row>
    <row r="384" spans="2:4" x14ac:dyDescent="0.2">
      <c r="B384">
        <v>42</v>
      </c>
      <c r="C384" s="10">
        <f>IFERROR(_xlfn.PERCENTRANK.INC(Titanic[Edad Corrigida], B384), "")</f>
        <v>0.79200000000000004</v>
      </c>
      <c r="D384" s="10"/>
    </row>
    <row r="385" spans="2:4" x14ac:dyDescent="0.2">
      <c r="B385">
        <v>1</v>
      </c>
      <c r="C385" s="10">
        <f>IFERROR(_xlfn.PERCENTRANK.INC(Titanic[Edad Corrigida], B385), "")</f>
        <v>0</v>
      </c>
      <c r="D385" s="10"/>
    </row>
    <row r="386" spans="2:4" x14ac:dyDescent="0.2">
      <c r="B386">
        <v>32</v>
      </c>
      <c r="C386" s="10">
        <f>IFERROR(_xlfn.PERCENTRANK.INC(Titanic[Edad Corrigida], B386), "")</f>
        <v>0.59</v>
      </c>
      <c r="D386" s="10"/>
    </row>
    <row r="387" spans="2:4" x14ac:dyDescent="0.2">
      <c r="B387">
        <v>35</v>
      </c>
      <c r="C387" s="10">
        <f>IFERROR(_xlfn.PERCENTRANK.INC(Titanic[Edad Corrigida], B387), "")</f>
        <v>0.66100000000000003</v>
      </c>
      <c r="D387" s="10"/>
    </row>
    <row r="388" spans="2:4" x14ac:dyDescent="0.2">
      <c r="B388" t="str">
        <v/>
      </c>
      <c r="C388" s="10" t="str">
        <f>IFERROR(_xlfn.PERCENTRANK.INC(Titanic[Edad Corrigida], B388), "")</f>
        <v/>
      </c>
      <c r="D388" s="10"/>
    </row>
    <row r="389" spans="2:4" x14ac:dyDescent="0.2">
      <c r="B389">
        <v>18</v>
      </c>
      <c r="C389" s="10">
        <f>IFERROR(_xlfn.PERCENTRANK.INC(Titanic[Edad Corrigida], B389), "")</f>
        <v>0.14799999999999999</v>
      </c>
      <c r="D389" s="10"/>
    </row>
    <row r="390" spans="2:4" x14ac:dyDescent="0.2">
      <c r="B390">
        <v>1</v>
      </c>
      <c r="C390" s="10">
        <f>IFERROR(_xlfn.PERCENTRANK.INC(Titanic[Edad Corrigida], B390), "")</f>
        <v>0</v>
      </c>
      <c r="D390" s="10"/>
    </row>
    <row r="391" spans="2:4" x14ac:dyDescent="0.2">
      <c r="B391">
        <v>36</v>
      </c>
      <c r="C391" s="10">
        <f>IFERROR(_xlfn.PERCENTRANK.INC(Titanic[Edad Corrigida], B391), "")</f>
        <v>0.68700000000000006</v>
      </c>
      <c r="D391" s="10"/>
    </row>
    <row r="392" spans="2:4" x14ac:dyDescent="0.2">
      <c r="B392" t="str">
        <v/>
      </c>
      <c r="C392" s="10" t="str">
        <f>IFERROR(_xlfn.PERCENTRANK.INC(Titanic[Edad Corrigida], B392), "")</f>
        <v/>
      </c>
      <c r="D392" s="10"/>
    </row>
    <row r="393" spans="2:4" x14ac:dyDescent="0.2">
      <c r="B393">
        <v>17</v>
      </c>
      <c r="C393" s="10">
        <f>IFERROR(_xlfn.PERCENTRANK.INC(Titanic[Edad Corrigida], B393), "")</f>
        <v>0.13</v>
      </c>
      <c r="D393" s="10"/>
    </row>
    <row r="394" spans="2:4" x14ac:dyDescent="0.2">
      <c r="B394">
        <v>36</v>
      </c>
      <c r="C394" s="10">
        <f>IFERROR(_xlfn.PERCENTRANK.INC(Titanic[Edad Corrigida], B394), "")</f>
        <v>0.68700000000000006</v>
      </c>
      <c r="D394" s="10"/>
    </row>
    <row r="395" spans="2:4" x14ac:dyDescent="0.2">
      <c r="B395">
        <v>21</v>
      </c>
      <c r="C395" s="10">
        <f>IFERROR(_xlfn.PERCENTRANK.INC(Titanic[Edad Corrigida], B395), "")</f>
        <v>0.24199999999999999</v>
      </c>
      <c r="D395" s="10"/>
    </row>
    <row r="396" spans="2:4" x14ac:dyDescent="0.2">
      <c r="B396">
        <v>28</v>
      </c>
      <c r="C396" s="10">
        <f>IFERROR(_xlfn.PERCENTRANK.INC(Titanic[Edad Corrigida], B396), "")</f>
        <v>0.46200000000000002</v>
      </c>
      <c r="D396" s="10"/>
    </row>
    <row r="397" spans="2:4" x14ac:dyDescent="0.2">
      <c r="B397">
        <v>23</v>
      </c>
      <c r="C397" s="10">
        <f>IFERROR(_xlfn.PERCENTRANK.INC(Titanic[Edad Corrigida], B397), "")</f>
        <v>0.314</v>
      </c>
      <c r="D397" s="10"/>
    </row>
    <row r="398" spans="2:4" x14ac:dyDescent="0.2">
      <c r="B398">
        <v>24</v>
      </c>
      <c r="C398" s="10">
        <f>IFERROR(_xlfn.PERCENTRANK.INC(Titanic[Edad Corrigida], B398), "")</f>
        <v>0.33600000000000002</v>
      </c>
      <c r="D398" s="10"/>
    </row>
    <row r="399" spans="2:4" x14ac:dyDescent="0.2">
      <c r="B399">
        <v>22</v>
      </c>
      <c r="C399" s="10">
        <f>IFERROR(_xlfn.PERCENTRANK.INC(Titanic[Edad Corrigida], B399), "")</f>
        <v>0.27600000000000002</v>
      </c>
      <c r="D399" s="10"/>
    </row>
    <row r="400" spans="2:4" x14ac:dyDescent="0.2">
      <c r="B400">
        <v>31</v>
      </c>
      <c r="C400" s="10">
        <f>IFERROR(_xlfn.PERCENTRANK.INC(Titanic[Edad Corrigida], B400), "")</f>
        <v>0.56599999999999995</v>
      </c>
      <c r="D400" s="10"/>
    </row>
    <row r="401" spans="2:4" x14ac:dyDescent="0.2">
      <c r="B401">
        <v>46</v>
      </c>
      <c r="C401" s="10">
        <f>IFERROR(_xlfn.PERCENTRANK.INC(Titanic[Edad Corrigida], B401), "")</f>
        <v>0.85099999999999998</v>
      </c>
      <c r="D401" s="10"/>
    </row>
    <row r="402" spans="2:4" x14ac:dyDescent="0.2">
      <c r="B402">
        <v>23</v>
      </c>
      <c r="C402" s="10">
        <f>IFERROR(_xlfn.PERCENTRANK.INC(Titanic[Edad Corrigida], B402), "")</f>
        <v>0.314</v>
      </c>
      <c r="D402" s="10"/>
    </row>
    <row r="403" spans="2:4" x14ac:dyDescent="0.2">
      <c r="B403">
        <v>28</v>
      </c>
      <c r="C403" s="10">
        <f>IFERROR(_xlfn.PERCENTRANK.INC(Titanic[Edad Corrigida], B403), "")</f>
        <v>0.46200000000000002</v>
      </c>
      <c r="D403" s="10"/>
    </row>
    <row r="404" spans="2:4" x14ac:dyDescent="0.2">
      <c r="B404">
        <v>39</v>
      </c>
      <c r="C404" s="10">
        <f>IFERROR(_xlfn.PERCENTRANK.INC(Titanic[Edad Corrigida], B404), "")</f>
        <v>0.74299999999999999</v>
      </c>
      <c r="D404" s="10"/>
    </row>
    <row r="405" spans="2:4" x14ac:dyDescent="0.2">
      <c r="B405">
        <v>26</v>
      </c>
      <c r="C405" s="10">
        <f>IFERROR(_xlfn.PERCENTRANK.INC(Titanic[Edad Corrigida], B405), "")</f>
        <v>0.41199999999999998</v>
      </c>
      <c r="D405" s="10"/>
    </row>
    <row r="406" spans="2:4" x14ac:dyDescent="0.2">
      <c r="B406">
        <v>21</v>
      </c>
      <c r="C406" s="10">
        <f>IFERROR(_xlfn.PERCENTRANK.INC(Titanic[Edad Corrigida], B406), "")</f>
        <v>0.24199999999999999</v>
      </c>
      <c r="D406" s="10"/>
    </row>
    <row r="407" spans="2:4" x14ac:dyDescent="0.2">
      <c r="B407">
        <v>28</v>
      </c>
      <c r="C407" s="10">
        <f>IFERROR(_xlfn.PERCENTRANK.INC(Titanic[Edad Corrigida], B407), "")</f>
        <v>0.46200000000000002</v>
      </c>
      <c r="D407" s="10"/>
    </row>
    <row r="408" spans="2:4" x14ac:dyDescent="0.2">
      <c r="B408">
        <v>20</v>
      </c>
      <c r="C408" s="10">
        <f>IFERROR(_xlfn.PERCENTRANK.INC(Titanic[Edad Corrigida], B408), "")</f>
        <v>0.22</v>
      </c>
      <c r="D408" s="10"/>
    </row>
    <row r="409" spans="2:4" x14ac:dyDescent="0.2">
      <c r="B409">
        <v>34</v>
      </c>
      <c r="C409" s="10">
        <f>IFERROR(_xlfn.PERCENTRANK.INC(Titanic[Edad Corrigida], B409), "")</f>
        <v>0.63900000000000001</v>
      </c>
      <c r="D409" s="10"/>
    </row>
    <row r="410" spans="2:4" x14ac:dyDescent="0.2">
      <c r="B410">
        <v>51</v>
      </c>
      <c r="C410" s="10">
        <f>IFERROR(_xlfn.PERCENTRANK.INC(Titanic[Edad Corrigida], B410), "")</f>
        <v>0.90300000000000002</v>
      </c>
      <c r="D410" s="10"/>
    </row>
    <row r="411" spans="2:4" x14ac:dyDescent="0.2">
      <c r="B411">
        <v>3</v>
      </c>
      <c r="C411" s="10">
        <f>IFERROR(_xlfn.PERCENTRANK.INC(Titanic[Edad Corrigida], B411), "")</f>
        <v>2.3E-2</v>
      </c>
      <c r="D411" s="10"/>
    </row>
    <row r="412" spans="2:4" x14ac:dyDescent="0.2">
      <c r="B412">
        <v>21</v>
      </c>
      <c r="C412" s="10">
        <f>IFERROR(_xlfn.PERCENTRANK.INC(Titanic[Edad Corrigida], B412), "")</f>
        <v>0.24199999999999999</v>
      </c>
      <c r="D412" s="10"/>
    </row>
    <row r="413" spans="2:4" x14ac:dyDescent="0.2">
      <c r="B413" t="str">
        <v/>
      </c>
      <c r="C413" s="10" t="str">
        <f>IFERROR(_xlfn.PERCENTRANK.INC(Titanic[Edad Corrigida], B413), "")</f>
        <v/>
      </c>
      <c r="D413" s="10"/>
    </row>
    <row r="414" spans="2:4" x14ac:dyDescent="0.2">
      <c r="B414" t="str">
        <v/>
      </c>
      <c r="C414" s="10" t="str">
        <f>IFERROR(_xlfn.PERCENTRANK.INC(Titanic[Edad Corrigida], B414), "")</f>
        <v/>
      </c>
      <c r="D414" s="10"/>
    </row>
    <row r="415" spans="2:4" x14ac:dyDescent="0.2">
      <c r="B415" t="str">
        <v/>
      </c>
      <c r="C415" s="10" t="str">
        <f>IFERROR(_xlfn.PERCENTRANK.INC(Titanic[Edad Corrigida], B415), "")</f>
        <v/>
      </c>
      <c r="D415" s="10"/>
    </row>
    <row r="416" spans="2:4" x14ac:dyDescent="0.2">
      <c r="B416">
        <v>33</v>
      </c>
      <c r="C416" s="10">
        <f>IFERROR(_xlfn.PERCENTRANK.INC(Titanic[Edad Corrigida], B416), "")</f>
        <v>0.61799999999999999</v>
      </c>
      <c r="D416" s="10"/>
    </row>
    <row r="417" spans="2:4" x14ac:dyDescent="0.2">
      <c r="B417" t="str">
        <v/>
      </c>
      <c r="C417" s="10" t="str">
        <f>IFERROR(_xlfn.PERCENTRANK.INC(Titanic[Edad Corrigida], B417), "")</f>
        <v/>
      </c>
      <c r="D417" s="10"/>
    </row>
    <row r="418" spans="2:4" x14ac:dyDescent="0.2">
      <c r="B418">
        <v>44</v>
      </c>
      <c r="C418" s="10">
        <f>IFERROR(_xlfn.PERCENTRANK.INC(Titanic[Edad Corrigida], B418), "")</f>
        <v>0.81899999999999995</v>
      </c>
      <c r="D418" s="10"/>
    </row>
    <row r="419" spans="2:4" x14ac:dyDescent="0.2">
      <c r="B419" t="str">
        <v/>
      </c>
      <c r="C419" s="10" t="str">
        <f>IFERROR(_xlfn.PERCENTRANK.INC(Titanic[Edad Corrigida], B419), "")</f>
        <v/>
      </c>
      <c r="D419" s="10"/>
    </row>
    <row r="420" spans="2:4" x14ac:dyDescent="0.2">
      <c r="B420">
        <v>34</v>
      </c>
      <c r="C420" s="10">
        <f>IFERROR(_xlfn.PERCENTRANK.INC(Titanic[Edad Corrigida], B420), "")</f>
        <v>0.63900000000000001</v>
      </c>
      <c r="D420" s="10"/>
    </row>
    <row r="421" spans="2:4" x14ac:dyDescent="0.2">
      <c r="B421">
        <v>18</v>
      </c>
      <c r="C421" s="10">
        <f>IFERROR(_xlfn.PERCENTRANK.INC(Titanic[Edad Corrigida], B421), "")</f>
        <v>0.14799999999999999</v>
      </c>
      <c r="D421" s="10"/>
    </row>
    <row r="422" spans="2:4" x14ac:dyDescent="0.2">
      <c r="B422">
        <v>30</v>
      </c>
      <c r="C422" s="10">
        <f>IFERROR(_xlfn.PERCENTRANK.INC(Titanic[Edad Corrigida], B422), "")</f>
        <v>0.52800000000000002</v>
      </c>
      <c r="D422" s="10"/>
    </row>
    <row r="423" spans="2:4" x14ac:dyDescent="0.2">
      <c r="B423">
        <v>10</v>
      </c>
      <c r="C423" s="10">
        <f>IFERROR(_xlfn.PERCENTRANK.INC(Titanic[Edad Corrigida], B423), "")</f>
        <v>7.6999999999999999E-2</v>
      </c>
      <c r="D423" s="10"/>
    </row>
    <row r="424" spans="2:4" x14ac:dyDescent="0.2">
      <c r="B424" t="str">
        <v/>
      </c>
      <c r="C424" s="10" t="str">
        <f>IFERROR(_xlfn.PERCENTRANK.INC(Titanic[Edad Corrigida], B424), "")</f>
        <v/>
      </c>
      <c r="D424" s="10"/>
    </row>
    <row r="425" spans="2:4" x14ac:dyDescent="0.2">
      <c r="B425">
        <v>21</v>
      </c>
      <c r="C425" s="10">
        <f>IFERROR(_xlfn.PERCENTRANK.INC(Titanic[Edad Corrigida], B425), "")</f>
        <v>0.24199999999999999</v>
      </c>
      <c r="D425" s="10"/>
    </row>
    <row r="426" spans="2:4" x14ac:dyDescent="0.2">
      <c r="B426">
        <v>29</v>
      </c>
      <c r="C426" s="10">
        <f>IFERROR(_xlfn.PERCENTRANK.INC(Titanic[Edad Corrigida], B426), "")</f>
        <v>0.5</v>
      </c>
      <c r="D426" s="10"/>
    </row>
    <row r="427" spans="2:4" x14ac:dyDescent="0.2">
      <c r="B427">
        <v>28</v>
      </c>
      <c r="C427" s="10">
        <f>IFERROR(_xlfn.PERCENTRANK.INC(Titanic[Edad Corrigida], B427), "")</f>
        <v>0.46200000000000002</v>
      </c>
      <c r="D427" s="10"/>
    </row>
    <row r="428" spans="2:4" x14ac:dyDescent="0.2">
      <c r="B428">
        <v>18</v>
      </c>
      <c r="C428" s="10">
        <f>IFERROR(_xlfn.PERCENTRANK.INC(Titanic[Edad Corrigida], B428), "")</f>
        <v>0.14799999999999999</v>
      </c>
      <c r="D428" s="10"/>
    </row>
    <row r="429" spans="2:4" x14ac:dyDescent="0.2">
      <c r="B429" t="str">
        <v/>
      </c>
      <c r="C429" s="10" t="str">
        <f>IFERROR(_xlfn.PERCENTRANK.INC(Titanic[Edad Corrigida], B429), "")</f>
        <v/>
      </c>
      <c r="D429" s="10"/>
    </row>
    <row r="430" spans="2:4" x14ac:dyDescent="0.2">
      <c r="B430">
        <v>28</v>
      </c>
      <c r="C430" s="10">
        <f>IFERROR(_xlfn.PERCENTRANK.INC(Titanic[Edad Corrigida], B430), "")</f>
        <v>0.46200000000000002</v>
      </c>
      <c r="D430" s="10"/>
    </row>
    <row r="431" spans="2:4" x14ac:dyDescent="0.2">
      <c r="B431">
        <v>19</v>
      </c>
      <c r="C431" s="10">
        <f>IFERROR(_xlfn.PERCENTRANK.INC(Titanic[Edad Corrigida], B431), "")</f>
        <v>0.185</v>
      </c>
      <c r="D431" s="10"/>
    </row>
    <row r="432" spans="2:4" x14ac:dyDescent="0.2">
      <c r="B432" t="str">
        <v/>
      </c>
      <c r="C432" s="10" t="str">
        <f>IFERROR(_xlfn.PERCENTRANK.INC(Titanic[Edad Corrigida], B432), "")</f>
        <v/>
      </c>
      <c r="D432" s="10"/>
    </row>
    <row r="433" spans="2:4" x14ac:dyDescent="0.2">
      <c r="B433">
        <v>32</v>
      </c>
      <c r="C433" s="10">
        <f>IFERROR(_xlfn.PERCENTRANK.INC(Titanic[Edad Corrigida], B433), "")</f>
        <v>0.59</v>
      </c>
      <c r="D433" s="10"/>
    </row>
    <row r="434" spans="2:4" x14ac:dyDescent="0.2">
      <c r="B434">
        <v>28</v>
      </c>
      <c r="C434" s="10">
        <f>IFERROR(_xlfn.PERCENTRANK.INC(Titanic[Edad Corrigida], B434), "")</f>
        <v>0.46200000000000002</v>
      </c>
      <c r="D434" s="10"/>
    </row>
    <row r="435" spans="2:4" x14ac:dyDescent="0.2">
      <c r="B435" t="str">
        <v/>
      </c>
      <c r="C435" s="10" t="str">
        <f>IFERROR(_xlfn.PERCENTRANK.INC(Titanic[Edad Corrigida], B435), "")</f>
        <v/>
      </c>
      <c r="D435" s="10"/>
    </row>
    <row r="436" spans="2:4" x14ac:dyDescent="0.2">
      <c r="B436">
        <v>42</v>
      </c>
      <c r="C436" s="10">
        <f>IFERROR(_xlfn.PERCENTRANK.INC(Titanic[Edad Corrigida], B436), "")</f>
        <v>0.79200000000000004</v>
      </c>
      <c r="D436" s="10"/>
    </row>
    <row r="437" spans="2:4" x14ac:dyDescent="0.2">
      <c r="B437">
        <v>17</v>
      </c>
      <c r="C437" s="10">
        <f>IFERROR(_xlfn.PERCENTRANK.INC(Titanic[Edad Corrigida], B437), "")</f>
        <v>0.13</v>
      </c>
      <c r="D437" s="10"/>
    </row>
    <row r="438" spans="2:4" x14ac:dyDescent="0.2">
      <c r="B438">
        <v>50</v>
      </c>
      <c r="C438" s="10">
        <f>IFERROR(_xlfn.PERCENTRANK.INC(Titanic[Edad Corrigida], B438), "")</f>
        <v>0.88900000000000001</v>
      </c>
      <c r="D438" s="10"/>
    </row>
    <row r="439" spans="2:4" x14ac:dyDescent="0.2">
      <c r="B439">
        <v>14</v>
      </c>
      <c r="C439" s="10">
        <f>IFERROR(_xlfn.PERCENTRANK.INC(Titanic[Edad Corrigida], B439), "")</f>
        <v>8.8999999999999996E-2</v>
      </c>
      <c r="D439" s="10"/>
    </row>
    <row r="440" spans="2:4" x14ac:dyDescent="0.2">
      <c r="B440">
        <v>21</v>
      </c>
      <c r="C440" s="10">
        <f>IFERROR(_xlfn.PERCENTRANK.INC(Titanic[Edad Corrigida], B440), "")</f>
        <v>0.24199999999999999</v>
      </c>
      <c r="D440" s="10"/>
    </row>
    <row r="441" spans="2:4" x14ac:dyDescent="0.2">
      <c r="B441">
        <v>24</v>
      </c>
      <c r="C441" s="10">
        <f>IFERROR(_xlfn.PERCENTRANK.INC(Titanic[Edad Corrigida], B441), "")</f>
        <v>0.33600000000000002</v>
      </c>
      <c r="D441" s="10"/>
    </row>
    <row r="442" spans="2:4" x14ac:dyDescent="0.2">
      <c r="B442">
        <v>64</v>
      </c>
      <c r="C442" s="10">
        <f>IFERROR(_xlfn.PERCENTRANK.INC(Titanic[Edad Corrigida], B442), "")</f>
        <v>0.97399999999999998</v>
      </c>
      <c r="D442" s="10"/>
    </row>
    <row r="443" spans="2:4" x14ac:dyDescent="0.2">
      <c r="B443">
        <v>31</v>
      </c>
      <c r="C443" s="10">
        <f>IFERROR(_xlfn.PERCENTRANK.INC(Titanic[Edad Corrigida], B443), "")</f>
        <v>0.56599999999999995</v>
      </c>
      <c r="D443" s="10"/>
    </row>
    <row r="444" spans="2:4" x14ac:dyDescent="0.2">
      <c r="B444">
        <v>45</v>
      </c>
      <c r="C444" s="10">
        <f>IFERROR(_xlfn.PERCENTRANK.INC(Titanic[Edad Corrigida], B444), "")</f>
        <v>0.83099999999999996</v>
      </c>
      <c r="D444" s="10"/>
    </row>
    <row r="445" spans="2:4" x14ac:dyDescent="0.2">
      <c r="B445">
        <v>20</v>
      </c>
      <c r="C445" s="10">
        <f>IFERROR(_xlfn.PERCENTRANK.INC(Titanic[Edad Corrigida], B445), "")</f>
        <v>0.22</v>
      </c>
      <c r="D445" s="10"/>
    </row>
    <row r="446" spans="2:4" x14ac:dyDescent="0.2">
      <c r="B446">
        <v>25</v>
      </c>
      <c r="C446" s="10">
        <f>IFERROR(_xlfn.PERCENTRANK.INC(Titanic[Edad Corrigida], B446), "")</f>
        <v>0.38</v>
      </c>
      <c r="D446" s="10"/>
    </row>
    <row r="447" spans="2:4" x14ac:dyDescent="0.2">
      <c r="B447">
        <v>28</v>
      </c>
      <c r="C447" s="10">
        <f>IFERROR(_xlfn.PERCENTRANK.INC(Titanic[Edad Corrigida], B447), "")</f>
        <v>0.46200000000000002</v>
      </c>
      <c r="D447" s="10"/>
    </row>
    <row r="448" spans="2:4" x14ac:dyDescent="0.2">
      <c r="B448" t="str">
        <v/>
      </c>
      <c r="C448" s="10" t="str">
        <f>IFERROR(_xlfn.PERCENTRANK.INC(Titanic[Edad Corrigida], B448), "")</f>
        <v/>
      </c>
      <c r="D448" s="10"/>
    </row>
    <row r="449" spans="2:4" x14ac:dyDescent="0.2">
      <c r="B449">
        <v>4</v>
      </c>
      <c r="C449" s="10">
        <f>IFERROR(_xlfn.PERCENTRANK.INC(Titanic[Edad Corrigida], B449), "")</f>
        <v>3.2000000000000001E-2</v>
      </c>
      <c r="D449" s="10"/>
    </row>
    <row r="450" spans="2:4" x14ac:dyDescent="0.2">
      <c r="B450">
        <v>13</v>
      </c>
      <c r="C450" s="10">
        <f>IFERROR(_xlfn.PERCENTRANK.INC(Titanic[Edad Corrigida], B450), "")</f>
        <v>8.5999999999999993E-2</v>
      </c>
      <c r="D450" s="10"/>
    </row>
    <row r="451" spans="2:4" x14ac:dyDescent="0.2">
      <c r="B451">
        <v>34</v>
      </c>
      <c r="C451" s="10">
        <f>IFERROR(_xlfn.PERCENTRANK.INC(Titanic[Edad Corrigida], B451), "")</f>
        <v>0.63900000000000001</v>
      </c>
      <c r="D451" s="10"/>
    </row>
    <row r="452" spans="2:4" x14ac:dyDescent="0.2">
      <c r="B452">
        <v>5</v>
      </c>
      <c r="C452" s="10">
        <f>IFERROR(_xlfn.PERCENTRANK.INC(Titanic[Edad Corrigida], B452), "")</f>
        <v>4.5999999999999999E-2</v>
      </c>
      <c r="D452" s="10"/>
    </row>
    <row r="453" spans="2:4" x14ac:dyDescent="0.2">
      <c r="B453">
        <v>52</v>
      </c>
      <c r="C453" s="10">
        <f>IFERROR(_xlfn.PERCENTRANK.INC(Titanic[Edad Corrigida], B453), "")</f>
        <v>0.91300000000000003</v>
      </c>
      <c r="D453" s="10"/>
    </row>
    <row r="454" spans="2:4" x14ac:dyDescent="0.2">
      <c r="B454">
        <v>36</v>
      </c>
      <c r="C454" s="10">
        <f>IFERROR(_xlfn.PERCENTRANK.INC(Titanic[Edad Corrigida], B454), "")</f>
        <v>0.68700000000000006</v>
      </c>
      <c r="D454" s="10"/>
    </row>
    <row r="455" spans="2:4" x14ac:dyDescent="0.2">
      <c r="B455" t="str">
        <v/>
      </c>
      <c r="C455" s="10" t="str">
        <f>IFERROR(_xlfn.PERCENTRANK.INC(Titanic[Edad Corrigida], B455), "")</f>
        <v/>
      </c>
      <c r="D455" s="10"/>
    </row>
    <row r="456" spans="2:4" x14ac:dyDescent="0.2">
      <c r="B456">
        <v>30</v>
      </c>
      <c r="C456" s="10">
        <f>IFERROR(_xlfn.PERCENTRANK.INC(Titanic[Edad Corrigida], B456), "")</f>
        <v>0.52800000000000002</v>
      </c>
      <c r="D456" s="10"/>
    </row>
    <row r="457" spans="2:4" x14ac:dyDescent="0.2">
      <c r="B457">
        <v>49</v>
      </c>
      <c r="C457" s="10">
        <f>IFERROR(_xlfn.PERCENTRANK.INC(Titanic[Edad Corrigida], B457), "")</f>
        <v>0.88</v>
      </c>
      <c r="D457" s="10"/>
    </row>
    <row r="458" spans="2:4" x14ac:dyDescent="0.2">
      <c r="B458" t="str">
        <v/>
      </c>
      <c r="C458" s="10" t="str">
        <f>IFERROR(_xlfn.PERCENTRANK.INC(Titanic[Edad Corrigida], B458), "")</f>
        <v/>
      </c>
      <c r="D458" s="10"/>
    </row>
    <row r="459" spans="2:4" x14ac:dyDescent="0.2">
      <c r="B459">
        <v>29</v>
      </c>
      <c r="C459" s="10">
        <f>IFERROR(_xlfn.PERCENTRANK.INC(Titanic[Edad Corrigida], B459), "")</f>
        <v>0.5</v>
      </c>
      <c r="D459" s="10"/>
    </row>
    <row r="460" spans="2:4" x14ac:dyDescent="0.2">
      <c r="B460">
        <v>65</v>
      </c>
      <c r="C460" s="10">
        <f>IFERROR(_xlfn.PERCENTRANK.INC(Titanic[Edad Corrigida], B460), "")</f>
        <v>0.97699999999999998</v>
      </c>
      <c r="D460" s="10"/>
    </row>
    <row r="461" spans="2:4" x14ac:dyDescent="0.2">
      <c r="B461" t="str">
        <v/>
      </c>
      <c r="C461" s="10" t="str">
        <f>IFERROR(_xlfn.PERCENTRANK.INC(Titanic[Edad Corrigida], B461), "")</f>
        <v/>
      </c>
      <c r="D461" s="10"/>
    </row>
    <row r="462" spans="2:4" x14ac:dyDescent="0.2">
      <c r="B462">
        <v>50</v>
      </c>
      <c r="C462" s="10">
        <f>IFERROR(_xlfn.PERCENTRANK.INC(Titanic[Edad Corrigida], B462), "")</f>
        <v>0.88900000000000001</v>
      </c>
      <c r="D462" s="10"/>
    </row>
    <row r="463" spans="2:4" x14ac:dyDescent="0.2">
      <c r="B463" t="str">
        <v/>
      </c>
      <c r="C463" s="10" t="str">
        <f>IFERROR(_xlfn.PERCENTRANK.INC(Titanic[Edad Corrigida], B463), "")</f>
        <v/>
      </c>
      <c r="D463" s="10"/>
    </row>
    <row r="464" spans="2:4" x14ac:dyDescent="0.2">
      <c r="B464">
        <v>48</v>
      </c>
      <c r="C464" s="10">
        <f>IFERROR(_xlfn.PERCENTRANK.INC(Titanic[Edad Corrigida], B464), "")</f>
        <v>0.86799999999999999</v>
      </c>
      <c r="D464" s="10"/>
    </row>
    <row r="465" spans="2:4" x14ac:dyDescent="0.2">
      <c r="B465">
        <v>34</v>
      </c>
      <c r="C465" s="10">
        <f>IFERROR(_xlfn.PERCENTRANK.INC(Titanic[Edad Corrigida], B465), "")</f>
        <v>0.63900000000000001</v>
      </c>
      <c r="D465" s="10"/>
    </row>
    <row r="466" spans="2:4" x14ac:dyDescent="0.2">
      <c r="B466">
        <v>47</v>
      </c>
      <c r="C466" s="10">
        <f>IFERROR(_xlfn.PERCENTRANK.INC(Titanic[Edad Corrigida], B466), "")</f>
        <v>0.85499999999999998</v>
      </c>
      <c r="D466" s="10"/>
    </row>
    <row r="467" spans="2:4" x14ac:dyDescent="0.2">
      <c r="B467">
        <v>48</v>
      </c>
      <c r="C467" s="10">
        <f>IFERROR(_xlfn.PERCENTRANK.INC(Titanic[Edad Corrigida], B467), "")</f>
        <v>0.86799999999999999</v>
      </c>
      <c r="D467" s="10"/>
    </row>
    <row r="468" spans="2:4" x14ac:dyDescent="0.2">
      <c r="B468" t="str">
        <v/>
      </c>
      <c r="C468" s="10" t="str">
        <f>IFERROR(_xlfn.PERCENTRANK.INC(Titanic[Edad Corrigida], B468), "")</f>
        <v/>
      </c>
      <c r="D468" s="10"/>
    </row>
    <row r="469" spans="2:4" x14ac:dyDescent="0.2">
      <c r="B469">
        <v>38</v>
      </c>
      <c r="C469" s="10">
        <f>IFERROR(_xlfn.PERCENTRANK.INC(Titanic[Edad Corrigida], B469), "")</f>
        <v>0.72699999999999998</v>
      </c>
      <c r="D469" s="10"/>
    </row>
    <row r="470" spans="2:4" x14ac:dyDescent="0.2">
      <c r="B470" t="str">
        <v/>
      </c>
      <c r="C470" s="10" t="str">
        <f>IFERROR(_xlfn.PERCENTRANK.INC(Titanic[Edad Corrigida], B470), "")</f>
        <v/>
      </c>
      <c r="D470" s="10"/>
    </row>
    <row r="471" spans="2:4" x14ac:dyDescent="0.2">
      <c r="B471">
        <v>56</v>
      </c>
      <c r="C471" s="10">
        <f>IFERROR(_xlfn.PERCENTRANK.INC(Titanic[Edad Corrigida], B471), "")</f>
        <v>0.93799999999999994</v>
      </c>
      <c r="D471" s="10"/>
    </row>
    <row r="472" spans="2:4" x14ac:dyDescent="0.2">
      <c r="B472" t="str">
        <v/>
      </c>
      <c r="C472" s="10" t="str">
        <f>IFERROR(_xlfn.PERCENTRANK.INC(Titanic[Edad Corrigida], B472), "")</f>
        <v/>
      </c>
      <c r="D472" s="10"/>
    </row>
    <row r="473" spans="2:4" x14ac:dyDescent="0.2">
      <c r="B473">
        <v>75</v>
      </c>
      <c r="C473" s="10">
        <f>IFERROR(_xlfn.PERCENTRANK.INC(Titanic[Edad Corrigida], B473), "")</f>
        <v>0.99199999999999999</v>
      </c>
      <c r="D473" s="10"/>
    </row>
    <row r="474" spans="2:4" x14ac:dyDescent="0.2">
      <c r="B474" t="str">
        <v/>
      </c>
      <c r="C474" s="10" t="str">
        <f>IFERROR(_xlfn.PERCENTRANK.INC(Titanic[Edad Corrigida], B474), "")</f>
        <v/>
      </c>
      <c r="D474" s="10"/>
    </row>
    <row r="475" spans="2:4" x14ac:dyDescent="0.2">
      <c r="B475">
        <v>38</v>
      </c>
      <c r="C475" s="10">
        <f>IFERROR(_xlfn.PERCENTRANK.INC(Titanic[Edad Corrigida], B475), "")</f>
        <v>0.72699999999999998</v>
      </c>
      <c r="D475" s="10"/>
    </row>
    <row r="476" spans="2:4" x14ac:dyDescent="0.2">
      <c r="B476">
        <v>33</v>
      </c>
      <c r="C476" s="10">
        <f>IFERROR(_xlfn.PERCENTRANK.INC(Titanic[Edad Corrigida], B476), "")</f>
        <v>0.61799999999999999</v>
      </c>
      <c r="D476" s="10"/>
    </row>
    <row r="477" spans="2:4" x14ac:dyDescent="0.2">
      <c r="B477">
        <v>23</v>
      </c>
      <c r="C477" s="10">
        <f>IFERROR(_xlfn.PERCENTRANK.INC(Titanic[Edad Corrigida], B477), "")</f>
        <v>0.314</v>
      </c>
      <c r="D477" s="10"/>
    </row>
    <row r="478" spans="2:4" x14ac:dyDescent="0.2">
      <c r="B478">
        <v>22</v>
      </c>
      <c r="C478" s="10">
        <f>IFERROR(_xlfn.PERCENTRANK.INC(Titanic[Edad Corrigida], B478), "")</f>
        <v>0.27600000000000002</v>
      </c>
      <c r="D478" s="10"/>
    </row>
    <row r="479" spans="2:4" x14ac:dyDescent="0.2">
      <c r="B479" t="str">
        <v/>
      </c>
      <c r="C479" s="10" t="str">
        <f>IFERROR(_xlfn.PERCENTRANK.INC(Titanic[Edad Corrigida], B479), "")</f>
        <v/>
      </c>
      <c r="D479" s="10"/>
    </row>
    <row r="480" spans="2:4" x14ac:dyDescent="0.2">
      <c r="B480">
        <v>34</v>
      </c>
      <c r="C480" s="10">
        <f>IFERROR(_xlfn.PERCENTRANK.INC(Titanic[Edad Corrigida], B480), "")</f>
        <v>0.63900000000000001</v>
      </c>
      <c r="D480" s="10"/>
    </row>
    <row r="481" spans="2:4" x14ac:dyDescent="0.2">
      <c r="B481">
        <v>29</v>
      </c>
      <c r="C481" s="10">
        <f>IFERROR(_xlfn.PERCENTRANK.INC(Titanic[Edad Corrigida], B481), "")</f>
        <v>0.5</v>
      </c>
      <c r="D481" s="10"/>
    </row>
    <row r="482" spans="2:4" x14ac:dyDescent="0.2">
      <c r="B482">
        <v>22</v>
      </c>
      <c r="C482" s="10">
        <f>IFERROR(_xlfn.PERCENTRANK.INC(Titanic[Edad Corrigida], B482), "")</f>
        <v>0.27600000000000002</v>
      </c>
      <c r="D482" s="10"/>
    </row>
    <row r="483" spans="2:4" x14ac:dyDescent="0.2">
      <c r="B483">
        <v>2</v>
      </c>
      <c r="C483" s="10">
        <f>IFERROR(_xlfn.PERCENTRANK.INC(Titanic[Edad Corrigida], B483), "")</f>
        <v>8.9999999999999993E-3</v>
      </c>
      <c r="D483" s="10"/>
    </row>
    <row r="484" spans="2:4" x14ac:dyDescent="0.2">
      <c r="B484">
        <v>9</v>
      </c>
      <c r="C484" s="10">
        <f>IFERROR(_xlfn.PERCENTRANK.INC(Titanic[Edad Corrigida], B484), "")</f>
        <v>6.5000000000000002E-2</v>
      </c>
      <c r="D484" s="10"/>
    </row>
    <row r="485" spans="2:4" x14ac:dyDescent="0.2">
      <c r="B485" t="str">
        <v/>
      </c>
      <c r="C485" s="10" t="str">
        <f>IFERROR(_xlfn.PERCENTRANK.INC(Titanic[Edad Corrigida], B485), "")</f>
        <v/>
      </c>
      <c r="D485" s="10"/>
    </row>
    <row r="486" spans="2:4" x14ac:dyDescent="0.2">
      <c r="B486">
        <v>50</v>
      </c>
      <c r="C486" s="10">
        <f>IFERROR(_xlfn.PERCENTRANK.INC(Titanic[Edad Corrigida], B486), "")</f>
        <v>0.88900000000000001</v>
      </c>
      <c r="D486" s="10"/>
    </row>
    <row r="487" spans="2:4" x14ac:dyDescent="0.2">
      <c r="B487">
        <v>63</v>
      </c>
      <c r="C487" s="10">
        <f>IFERROR(_xlfn.PERCENTRANK.INC(Titanic[Edad Corrigida], B487), "")</f>
        <v>0.97099999999999997</v>
      </c>
      <c r="D487" s="10"/>
    </row>
    <row r="488" spans="2:4" x14ac:dyDescent="0.2">
      <c r="B488">
        <v>25</v>
      </c>
      <c r="C488" s="10">
        <f>IFERROR(_xlfn.PERCENTRANK.INC(Titanic[Edad Corrigida], B488), "")</f>
        <v>0.38</v>
      </c>
      <c r="D488" s="10"/>
    </row>
    <row r="489" spans="2:4" x14ac:dyDescent="0.2">
      <c r="B489" t="str">
        <v/>
      </c>
      <c r="C489" s="10" t="str">
        <f>IFERROR(_xlfn.PERCENTRANK.INC(Titanic[Edad Corrigida], B489), "")</f>
        <v/>
      </c>
      <c r="D489" s="10"/>
    </row>
    <row r="490" spans="2:4" x14ac:dyDescent="0.2">
      <c r="B490">
        <v>35</v>
      </c>
      <c r="C490" s="10">
        <f>IFERROR(_xlfn.PERCENTRANK.INC(Titanic[Edad Corrigida], B490), "")</f>
        <v>0.66100000000000003</v>
      </c>
      <c r="D490" s="10"/>
    </row>
    <row r="491" spans="2:4" x14ac:dyDescent="0.2">
      <c r="B491">
        <v>58</v>
      </c>
      <c r="C491" s="10">
        <f>IFERROR(_xlfn.PERCENTRANK.INC(Titanic[Edad Corrigida], B491), "")</f>
        <v>0.94599999999999995</v>
      </c>
      <c r="D491" s="10"/>
    </row>
    <row r="492" spans="2:4" x14ac:dyDescent="0.2">
      <c r="B492">
        <v>30</v>
      </c>
      <c r="C492" s="10">
        <f>IFERROR(_xlfn.PERCENTRANK.INC(Titanic[Edad Corrigida], B492), "")</f>
        <v>0.52800000000000002</v>
      </c>
      <c r="D492" s="10"/>
    </row>
    <row r="493" spans="2:4" x14ac:dyDescent="0.2">
      <c r="B493">
        <v>9</v>
      </c>
      <c r="C493" s="10">
        <f>IFERROR(_xlfn.PERCENTRANK.INC(Titanic[Edad Corrigida], B493), "")</f>
        <v>6.5000000000000002E-2</v>
      </c>
      <c r="D493" s="10"/>
    </row>
    <row r="494" spans="2:4" x14ac:dyDescent="0.2">
      <c r="B494" t="str">
        <v/>
      </c>
      <c r="C494" s="10" t="str">
        <f>IFERROR(_xlfn.PERCENTRANK.INC(Titanic[Edad Corrigida], B494), "")</f>
        <v/>
      </c>
      <c r="D494" s="10"/>
    </row>
    <row r="495" spans="2:4" x14ac:dyDescent="0.2">
      <c r="B495">
        <v>21</v>
      </c>
      <c r="C495" s="10">
        <f>IFERROR(_xlfn.PERCENTRANK.INC(Titanic[Edad Corrigida], B495), "")</f>
        <v>0.24199999999999999</v>
      </c>
      <c r="D495" s="10"/>
    </row>
    <row r="496" spans="2:4" x14ac:dyDescent="0.2">
      <c r="B496">
        <v>55</v>
      </c>
      <c r="C496" s="10">
        <f>IFERROR(_xlfn.PERCENTRANK.INC(Titanic[Edad Corrigida], B496), "")</f>
        <v>0.93400000000000005</v>
      </c>
      <c r="D496" s="10"/>
    </row>
    <row r="497" spans="2:4" x14ac:dyDescent="0.2">
      <c r="B497">
        <v>71</v>
      </c>
      <c r="C497" s="10">
        <f>IFERROR(_xlfn.PERCENTRANK.INC(Titanic[Edad Corrigida], B497), "")</f>
        <v>0.98799999999999999</v>
      </c>
      <c r="D497" s="10"/>
    </row>
    <row r="498" spans="2:4" x14ac:dyDescent="0.2">
      <c r="B498">
        <v>21</v>
      </c>
      <c r="C498" s="10">
        <f>IFERROR(_xlfn.PERCENTRANK.INC(Titanic[Edad Corrigida], B498), "")</f>
        <v>0.24199999999999999</v>
      </c>
      <c r="D498" s="10"/>
    </row>
    <row r="499" spans="2:4" x14ac:dyDescent="0.2">
      <c r="B499" t="str">
        <v/>
      </c>
      <c r="C499" s="10" t="str">
        <f>IFERROR(_xlfn.PERCENTRANK.INC(Titanic[Edad Corrigida], B499), "")</f>
        <v/>
      </c>
      <c r="D499" s="10"/>
    </row>
    <row r="500" spans="2:4" x14ac:dyDescent="0.2">
      <c r="B500">
        <v>54</v>
      </c>
      <c r="C500" s="10">
        <f>IFERROR(_xlfn.PERCENTRANK.INC(Titanic[Edad Corrigida], B500), "")</f>
        <v>0.92200000000000004</v>
      </c>
      <c r="D500" s="10"/>
    </row>
    <row r="501" spans="2:4" x14ac:dyDescent="0.2">
      <c r="B501" t="str">
        <v/>
      </c>
      <c r="C501" s="10" t="str">
        <f>IFERROR(_xlfn.PERCENTRANK.INC(Titanic[Edad Corrigida], B501), "")</f>
        <v/>
      </c>
      <c r="D501" s="10"/>
    </row>
    <row r="502" spans="2:4" x14ac:dyDescent="0.2">
      <c r="B502">
        <v>25</v>
      </c>
      <c r="C502" s="10">
        <f>IFERROR(_xlfn.PERCENTRANK.INC(Titanic[Edad Corrigida], B502), "")</f>
        <v>0.38</v>
      </c>
      <c r="D502" s="10"/>
    </row>
    <row r="503" spans="2:4" x14ac:dyDescent="0.2">
      <c r="B503">
        <v>24</v>
      </c>
      <c r="C503" s="10">
        <f>IFERROR(_xlfn.PERCENTRANK.INC(Titanic[Edad Corrigida], B503), "")</f>
        <v>0.33600000000000002</v>
      </c>
      <c r="D503" s="10"/>
    </row>
    <row r="504" spans="2:4" x14ac:dyDescent="0.2">
      <c r="B504">
        <v>17</v>
      </c>
      <c r="C504" s="10">
        <f>IFERROR(_xlfn.PERCENTRANK.INC(Titanic[Edad Corrigida], B504), "")</f>
        <v>0.13</v>
      </c>
      <c r="D504" s="10"/>
    </row>
    <row r="505" spans="2:4" x14ac:dyDescent="0.2">
      <c r="B505">
        <v>21</v>
      </c>
      <c r="C505" s="10">
        <f>IFERROR(_xlfn.PERCENTRANK.INC(Titanic[Edad Corrigida], B505), "")</f>
        <v>0.24199999999999999</v>
      </c>
      <c r="D505" s="10"/>
    </row>
    <row r="506" spans="2:4" x14ac:dyDescent="0.2">
      <c r="B506" t="str">
        <v/>
      </c>
      <c r="C506" s="10" t="str">
        <f>IFERROR(_xlfn.PERCENTRANK.INC(Titanic[Edad Corrigida], B506), "")</f>
        <v/>
      </c>
      <c r="D506" s="10"/>
    </row>
    <row r="507" spans="2:4" x14ac:dyDescent="0.2">
      <c r="B507">
        <v>37</v>
      </c>
      <c r="C507" s="10">
        <f>IFERROR(_xlfn.PERCENTRANK.INC(Titanic[Edad Corrigida], B507), "")</f>
        <v>0.71899999999999997</v>
      </c>
      <c r="D507" s="10"/>
    </row>
    <row r="508" spans="2:4" x14ac:dyDescent="0.2">
      <c r="B508">
        <v>16</v>
      </c>
      <c r="C508" s="10">
        <f>IFERROR(_xlfn.PERCENTRANK.INC(Titanic[Edad Corrigida], B508), "")</f>
        <v>0.106</v>
      </c>
      <c r="D508" s="10"/>
    </row>
    <row r="509" spans="2:4" x14ac:dyDescent="0.2">
      <c r="B509">
        <v>18</v>
      </c>
      <c r="C509" s="10">
        <f>IFERROR(_xlfn.PERCENTRANK.INC(Titanic[Edad Corrigida], B509), "")</f>
        <v>0.14799999999999999</v>
      </c>
      <c r="D509" s="10"/>
    </row>
    <row r="510" spans="2:4" x14ac:dyDescent="0.2">
      <c r="B510">
        <v>33</v>
      </c>
      <c r="C510" s="10">
        <f>IFERROR(_xlfn.PERCENTRANK.INC(Titanic[Edad Corrigida], B510), "")</f>
        <v>0.61799999999999999</v>
      </c>
      <c r="D510" s="10"/>
    </row>
    <row r="511" spans="2:4" x14ac:dyDescent="0.2">
      <c r="B511" t="str">
        <v/>
      </c>
      <c r="C511" s="10" t="str">
        <f>IFERROR(_xlfn.PERCENTRANK.INC(Titanic[Edad Corrigida], B511), "")</f>
        <v/>
      </c>
      <c r="D511" s="10"/>
    </row>
    <row r="512" spans="2:4" x14ac:dyDescent="0.2">
      <c r="B512">
        <v>28</v>
      </c>
      <c r="C512" s="10">
        <f>IFERROR(_xlfn.PERCENTRANK.INC(Titanic[Edad Corrigida], B512), "")</f>
        <v>0.46200000000000002</v>
      </c>
      <c r="D512" s="10"/>
    </row>
    <row r="513" spans="2:4" x14ac:dyDescent="0.2">
      <c r="B513">
        <v>26</v>
      </c>
      <c r="C513" s="10">
        <f>IFERROR(_xlfn.PERCENTRANK.INC(Titanic[Edad Corrigida], B513), "")</f>
        <v>0.41199999999999998</v>
      </c>
      <c r="D513" s="10"/>
    </row>
    <row r="514" spans="2:4" x14ac:dyDescent="0.2">
      <c r="B514">
        <v>29</v>
      </c>
      <c r="C514" s="10">
        <f>IFERROR(_xlfn.PERCENTRANK.INC(Titanic[Edad Corrigida], B514), "")</f>
        <v>0.5</v>
      </c>
      <c r="D514" s="10"/>
    </row>
    <row r="515" spans="2:4" x14ac:dyDescent="0.2">
      <c r="B515" t="str">
        <v/>
      </c>
      <c r="C515" s="10" t="str">
        <f>IFERROR(_xlfn.PERCENTRANK.INC(Titanic[Edad Corrigida], B515), "")</f>
        <v/>
      </c>
      <c r="D515" s="10"/>
    </row>
    <row r="516" spans="2:4" x14ac:dyDescent="0.2">
      <c r="B516">
        <v>36</v>
      </c>
      <c r="C516" s="10">
        <f>IFERROR(_xlfn.PERCENTRANK.INC(Titanic[Edad Corrigida], B516), "")</f>
        <v>0.68700000000000006</v>
      </c>
      <c r="D516" s="10"/>
    </row>
    <row r="517" spans="2:4" x14ac:dyDescent="0.2">
      <c r="B517">
        <v>54</v>
      </c>
      <c r="C517" s="10">
        <f>IFERROR(_xlfn.PERCENTRANK.INC(Titanic[Edad Corrigida], B517), "")</f>
        <v>0.92200000000000004</v>
      </c>
      <c r="D517" s="10"/>
    </row>
    <row r="518" spans="2:4" x14ac:dyDescent="0.2">
      <c r="B518">
        <v>24</v>
      </c>
      <c r="C518" s="10">
        <f>IFERROR(_xlfn.PERCENTRANK.INC(Titanic[Edad Corrigida], B518), "")</f>
        <v>0.33600000000000002</v>
      </c>
      <c r="D518" s="10"/>
    </row>
    <row r="519" spans="2:4" x14ac:dyDescent="0.2">
      <c r="B519">
        <v>47</v>
      </c>
      <c r="C519" s="10">
        <f>IFERROR(_xlfn.PERCENTRANK.INC(Titanic[Edad Corrigida], B519), "")</f>
        <v>0.85499999999999998</v>
      </c>
      <c r="D519" s="10"/>
    </row>
    <row r="520" spans="2:4" x14ac:dyDescent="0.2">
      <c r="B520">
        <v>34</v>
      </c>
      <c r="C520" s="10">
        <f>IFERROR(_xlfn.PERCENTRANK.INC(Titanic[Edad Corrigida], B520), "")</f>
        <v>0.63900000000000001</v>
      </c>
      <c r="D520" s="10"/>
    </row>
    <row r="521" spans="2:4" x14ac:dyDescent="0.2">
      <c r="B521" t="str">
        <v/>
      </c>
      <c r="C521" s="10" t="str">
        <f>IFERROR(_xlfn.PERCENTRANK.INC(Titanic[Edad Corrigida], B521), "")</f>
        <v/>
      </c>
      <c r="D521" s="10"/>
    </row>
    <row r="522" spans="2:4" x14ac:dyDescent="0.2">
      <c r="B522">
        <v>36</v>
      </c>
      <c r="C522" s="10">
        <f>IFERROR(_xlfn.PERCENTRANK.INC(Titanic[Edad Corrigida], B522), "")</f>
        <v>0.68700000000000006</v>
      </c>
      <c r="D522" s="10"/>
    </row>
    <row r="523" spans="2:4" x14ac:dyDescent="0.2">
      <c r="B523">
        <v>32</v>
      </c>
      <c r="C523" s="10">
        <f>IFERROR(_xlfn.PERCENTRANK.INC(Titanic[Edad Corrigida], B523), "")</f>
        <v>0.59</v>
      </c>
      <c r="D523" s="10"/>
    </row>
    <row r="524" spans="2:4" x14ac:dyDescent="0.2">
      <c r="B524">
        <v>30</v>
      </c>
      <c r="C524" s="10">
        <f>IFERROR(_xlfn.PERCENTRANK.INC(Titanic[Edad Corrigida], B524), "")</f>
        <v>0.52800000000000002</v>
      </c>
      <c r="D524" s="10"/>
    </row>
    <row r="525" spans="2:4" x14ac:dyDescent="0.2">
      <c r="B525">
        <v>22</v>
      </c>
      <c r="C525" s="10">
        <f>IFERROR(_xlfn.PERCENTRANK.INC(Titanic[Edad Corrigida], B525), "")</f>
        <v>0.27600000000000002</v>
      </c>
      <c r="D525" s="10"/>
    </row>
    <row r="526" spans="2:4" x14ac:dyDescent="0.2">
      <c r="B526" t="str">
        <v/>
      </c>
      <c r="C526" s="10" t="str">
        <f>IFERROR(_xlfn.PERCENTRANK.INC(Titanic[Edad Corrigida], B526), "")</f>
        <v/>
      </c>
      <c r="D526" s="10"/>
    </row>
    <row r="527" spans="2:4" x14ac:dyDescent="0.2">
      <c r="B527">
        <v>44</v>
      </c>
      <c r="C527" s="10">
        <f>IFERROR(_xlfn.PERCENTRANK.INC(Titanic[Edad Corrigida], B527), "")</f>
        <v>0.81899999999999995</v>
      </c>
      <c r="D527" s="10"/>
    </row>
    <row r="528" spans="2:4" x14ac:dyDescent="0.2">
      <c r="B528" t="str">
        <v/>
      </c>
      <c r="C528" s="10" t="str">
        <f>IFERROR(_xlfn.PERCENTRANK.INC(Titanic[Edad Corrigida], B528), "")</f>
        <v/>
      </c>
      <c r="D528" s="10"/>
    </row>
    <row r="529" spans="2:4" x14ac:dyDescent="0.2">
      <c r="B529">
        <v>40.5</v>
      </c>
      <c r="C529" s="10">
        <f>IFERROR(_xlfn.PERCENTRANK.INC(Titanic[Edad Corrigida], B529), "")</f>
        <v>0.78100000000000003</v>
      </c>
      <c r="D529" s="10"/>
    </row>
    <row r="530" spans="2:4" x14ac:dyDescent="0.2">
      <c r="B530">
        <v>50</v>
      </c>
      <c r="C530" s="10">
        <f>IFERROR(_xlfn.PERCENTRANK.INC(Titanic[Edad Corrigida], B530), "")</f>
        <v>0.88900000000000001</v>
      </c>
      <c r="D530" s="10"/>
    </row>
    <row r="531" spans="2:4" x14ac:dyDescent="0.2">
      <c r="B531" t="str">
        <v/>
      </c>
      <c r="C531" s="10" t="str">
        <f>IFERROR(_xlfn.PERCENTRANK.INC(Titanic[Edad Corrigida], B531), "")</f>
        <v/>
      </c>
      <c r="D531" s="10"/>
    </row>
    <row r="532" spans="2:4" x14ac:dyDescent="0.2">
      <c r="B532">
        <v>39</v>
      </c>
      <c r="C532" s="10">
        <f>IFERROR(_xlfn.PERCENTRANK.INC(Titanic[Edad Corrigida], B532), "")</f>
        <v>0.74299999999999999</v>
      </c>
      <c r="D532" s="10"/>
    </row>
    <row r="533" spans="2:4" x14ac:dyDescent="0.2">
      <c r="B533">
        <v>23</v>
      </c>
      <c r="C533" s="10">
        <f>IFERROR(_xlfn.PERCENTRANK.INC(Titanic[Edad Corrigida], B533), "")</f>
        <v>0.314</v>
      </c>
      <c r="D533" s="10"/>
    </row>
    <row r="534" spans="2:4" x14ac:dyDescent="0.2">
      <c r="B534">
        <v>2</v>
      </c>
      <c r="C534" s="10">
        <f>IFERROR(_xlfn.PERCENTRANK.INC(Titanic[Edad Corrigida], B534), "")</f>
        <v>8.9999999999999993E-3</v>
      </c>
      <c r="D534" s="10"/>
    </row>
    <row r="535" spans="2:4" x14ac:dyDescent="0.2">
      <c r="B535" t="str">
        <v/>
      </c>
      <c r="C535" s="10" t="str">
        <f>IFERROR(_xlfn.PERCENTRANK.INC(Titanic[Edad Corrigida], B535), "")</f>
        <v/>
      </c>
      <c r="D535" s="10"/>
    </row>
    <row r="536" spans="2:4" x14ac:dyDescent="0.2">
      <c r="B536">
        <v>17</v>
      </c>
      <c r="C536" s="10">
        <f>IFERROR(_xlfn.PERCENTRANK.INC(Titanic[Edad Corrigida], B536), "")</f>
        <v>0.13</v>
      </c>
      <c r="D536" s="10"/>
    </row>
    <row r="537" spans="2:4" x14ac:dyDescent="0.2">
      <c r="B537" t="str">
        <v/>
      </c>
      <c r="C537" s="10" t="str">
        <f>IFERROR(_xlfn.PERCENTRANK.INC(Titanic[Edad Corrigida], B537), "")</f>
        <v/>
      </c>
      <c r="D537" s="10"/>
    </row>
    <row r="538" spans="2:4" x14ac:dyDescent="0.2">
      <c r="B538">
        <v>30</v>
      </c>
      <c r="C538" s="10">
        <f>IFERROR(_xlfn.PERCENTRANK.INC(Titanic[Edad Corrigida], B538), "")</f>
        <v>0.52800000000000002</v>
      </c>
      <c r="D538" s="10"/>
    </row>
    <row r="539" spans="2:4" x14ac:dyDescent="0.2">
      <c r="B539">
        <v>7</v>
      </c>
      <c r="C539" s="10">
        <f>IFERROR(_xlfn.PERCENTRANK.INC(Titanic[Edad Corrigida], B539), "")</f>
        <v>5.6000000000000001E-2</v>
      </c>
      <c r="D539" s="10"/>
    </row>
    <row r="540" spans="2:4" x14ac:dyDescent="0.2">
      <c r="B540">
        <v>45</v>
      </c>
      <c r="C540" s="10">
        <f>IFERROR(_xlfn.PERCENTRANK.INC(Titanic[Edad Corrigida], B540), "")</f>
        <v>0.83099999999999996</v>
      </c>
      <c r="D540" s="10"/>
    </row>
    <row r="541" spans="2:4" x14ac:dyDescent="0.2">
      <c r="B541">
        <v>30</v>
      </c>
      <c r="C541" s="10">
        <f>IFERROR(_xlfn.PERCENTRANK.INC(Titanic[Edad Corrigida], B541), "")</f>
        <v>0.52800000000000002</v>
      </c>
      <c r="D541" s="10"/>
    </row>
    <row r="542" spans="2:4" x14ac:dyDescent="0.2">
      <c r="B542" t="str">
        <v/>
      </c>
      <c r="C542" s="10" t="str">
        <f>IFERROR(_xlfn.PERCENTRANK.INC(Titanic[Edad Corrigida], B542), "")</f>
        <v/>
      </c>
      <c r="D542" s="10"/>
    </row>
    <row r="543" spans="2:4" x14ac:dyDescent="0.2">
      <c r="B543">
        <v>22</v>
      </c>
      <c r="C543" s="10">
        <f>IFERROR(_xlfn.PERCENTRANK.INC(Titanic[Edad Corrigida], B543), "")</f>
        <v>0.27600000000000002</v>
      </c>
      <c r="D543" s="10"/>
    </row>
    <row r="544" spans="2:4" x14ac:dyDescent="0.2">
      <c r="B544">
        <v>36</v>
      </c>
      <c r="C544" s="10">
        <f>IFERROR(_xlfn.PERCENTRANK.INC(Titanic[Edad Corrigida], B544), "")</f>
        <v>0.68700000000000006</v>
      </c>
      <c r="D544" s="10"/>
    </row>
    <row r="545" spans="2:4" x14ac:dyDescent="0.2">
      <c r="B545">
        <v>9</v>
      </c>
      <c r="C545" s="10">
        <f>IFERROR(_xlfn.PERCENTRANK.INC(Titanic[Edad Corrigida], B545), "")</f>
        <v>6.5000000000000002E-2</v>
      </c>
      <c r="D545" s="10"/>
    </row>
    <row r="546" spans="2:4" x14ac:dyDescent="0.2">
      <c r="B546">
        <v>11</v>
      </c>
      <c r="C546" s="10">
        <f>IFERROR(_xlfn.PERCENTRANK.INC(Titanic[Edad Corrigida], B546), "")</f>
        <v>7.9000000000000001E-2</v>
      </c>
      <c r="D546" s="10"/>
    </row>
    <row r="547" spans="2:4" x14ac:dyDescent="0.2">
      <c r="B547">
        <v>32</v>
      </c>
      <c r="C547" s="10">
        <f>IFERROR(_xlfn.PERCENTRANK.INC(Titanic[Edad Corrigida], B547), "")</f>
        <v>0.59</v>
      </c>
      <c r="D547" s="10"/>
    </row>
    <row r="548" spans="2:4" x14ac:dyDescent="0.2">
      <c r="B548">
        <v>50</v>
      </c>
      <c r="C548" s="10">
        <f>IFERROR(_xlfn.PERCENTRANK.INC(Titanic[Edad Corrigida], B548), "")</f>
        <v>0.88900000000000001</v>
      </c>
      <c r="D548" s="10"/>
    </row>
    <row r="549" spans="2:4" x14ac:dyDescent="0.2">
      <c r="B549">
        <v>64</v>
      </c>
      <c r="C549" s="10">
        <f>IFERROR(_xlfn.PERCENTRANK.INC(Titanic[Edad Corrigida], B549), "")</f>
        <v>0.97399999999999998</v>
      </c>
      <c r="D549" s="10"/>
    </row>
    <row r="550" spans="2:4" x14ac:dyDescent="0.2">
      <c r="B550">
        <v>19</v>
      </c>
      <c r="C550" s="10">
        <f>IFERROR(_xlfn.PERCENTRANK.INC(Titanic[Edad Corrigida], B550), "")</f>
        <v>0.185</v>
      </c>
      <c r="D550" s="10"/>
    </row>
    <row r="551" spans="2:4" x14ac:dyDescent="0.2">
      <c r="B551" t="str">
        <v/>
      </c>
      <c r="C551" s="10" t="str">
        <f>IFERROR(_xlfn.PERCENTRANK.INC(Titanic[Edad Corrigida], B551), "")</f>
        <v/>
      </c>
      <c r="D551" s="10"/>
    </row>
    <row r="552" spans="2:4" x14ac:dyDescent="0.2">
      <c r="B552">
        <v>33</v>
      </c>
      <c r="C552" s="10">
        <f>IFERROR(_xlfn.PERCENTRANK.INC(Titanic[Edad Corrigida], B552), "")</f>
        <v>0.61799999999999999</v>
      </c>
      <c r="D552" s="10"/>
    </row>
    <row r="553" spans="2:4" x14ac:dyDescent="0.2">
      <c r="B553">
        <v>8</v>
      </c>
      <c r="C553" s="10">
        <f>IFERROR(_xlfn.PERCENTRANK.INC(Titanic[Edad Corrigida], B553), "")</f>
        <v>0.06</v>
      </c>
      <c r="D553" s="10"/>
    </row>
    <row r="554" spans="2:4" x14ac:dyDescent="0.2">
      <c r="B554">
        <v>17</v>
      </c>
      <c r="C554" s="10">
        <f>IFERROR(_xlfn.PERCENTRANK.INC(Titanic[Edad Corrigida], B554), "")</f>
        <v>0.13</v>
      </c>
      <c r="D554" s="10"/>
    </row>
    <row r="555" spans="2:4" x14ac:dyDescent="0.2">
      <c r="B555">
        <v>27</v>
      </c>
      <c r="C555" s="10">
        <f>IFERROR(_xlfn.PERCENTRANK.INC(Titanic[Edad Corrigida], B555), "")</f>
        <v>0.437</v>
      </c>
      <c r="D555" s="10"/>
    </row>
    <row r="556" spans="2:4" x14ac:dyDescent="0.2">
      <c r="B556" t="str">
        <v/>
      </c>
      <c r="C556" s="10" t="str">
        <f>IFERROR(_xlfn.PERCENTRANK.INC(Titanic[Edad Corrigida], B556), "")</f>
        <v/>
      </c>
      <c r="D556" s="10"/>
    </row>
    <row r="557" spans="2:4" x14ac:dyDescent="0.2">
      <c r="B557">
        <v>22</v>
      </c>
      <c r="C557" s="10">
        <f>IFERROR(_xlfn.PERCENTRANK.INC(Titanic[Edad Corrigida], B557), "")</f>
        <v>0.27600000000000002</v>
      </c>
      <c r="D557" s="10"/>
    </row>
    <row r="558" spans="2:4" x14ac:dyDescent="0.2">
      <c r="B558">
        <v>22</v>
      </c>
      <c r="C558" s="10">
        <f>IFERROR(_xlfn.PERCENTRANK.INC(Titanic[Edad Corrigida], B558), "")</f>
        <v>0.27600000000000002</v>
      </c>
      <c r="D558" s="10"/>
    </row>
    <row r="559" spans="2:4" x14ac:dyDescent="0.2">
      <c r="B559">
        <v>62</v>
      </c>
      <c r="C559" s="10">
        <f>IFERROR(_xlfn.PERCENTRANK.INC(Titanic[Edad Corrigida], B559), "")</f>
        <v>0.96599999999999997</v>
      </c>
      <c r="D559" s="10"/>
    </row>
    <row r="560" spans="2:4" x14ac:dyDescent="0.2">
      <c r="B560">
        <v>48</v>
      </c>
      <c r="C560" s="10">
        <f>IFERROR(_xlfn.PERCENTRANK.INC(Titanic[Edad Corrigida], B560), "")</f>
        <v>0.86799999999999999</v>
      </c>
      <c r="D560" s="10"/>
    </row>
    <row r="561" spans="2:4" x14ac:dyDescent="0.2">
      <c r="B561" t="str">
        <v/>
      </c>
      <c r="C561" s="10" t="str">
        <f>IFERROR(_xlfn.PERCENTRANK.INC(Titanic[Edad Corrigida], B561), "")</f>
        <v/>
      </c>
      <c r="D561" s="10"/>
    </row>
    <row r="562" spans="2:4" x14ac:dyDescent="0.2">
      <c r="B562">
        <v>39</v>
      </c>
      <c r="C562" s="10">
        <f>IFERROR(_xlfn.PERCENTRANK.INC(Titanic[Edad Corrigida], B562), "")</f>
        <v>0.74299999999999999</v>
      </c>
      <c r="D562" s="10"/>
    </row>
    <row r="563" spans="2:4" x14ac:dyDescent="0.2">
      <c r="B563">
        <v>36</v>
      </c>
      <c r="C563" s="10">
        <f>IFERROR(_xlfn.PERCENTRANK.INC(Titanic[Edad Corrigida], B563), "")</f>
        <v>0.68700000000000006</v>
      </c>
      <c r="D563" s="10"/>
    </row>
    <row r="564" spans="2:4" x14ac:dyDescent="0.2">
      <c r="B564" t="str">
        <v/>
      </c>
      <c r="C564" s="10" t="str">
        <f>IFERROR(_xlfn.PERCENTRANK.INC(Titanic[Edad Corrigida], B564), "")</f>
        <v/>
      </c>
      <c r="D564" s="10"/>
    </row>
    <row r="565" spans="2:4" x14ac:dyDescent="0.2">
      <c r="B565">
        <v>40</v>
      </c>
      <c r="C565" s="10">
        <f>IFERROR(_xlfn.PERCENTRANK.INC(Titanic[Edad Corrigida], B565), "")</f>
        <v>0.76200000000000001</v>
      </c>
      <c r="D565" s="10"/>
    </row>
    <row r="566" spans="2:4" x14ac:dyDescent="0.2">
      <c r="B566">
        <v>28</v>
      </c>
      <c r="C566" s="10">
        <f>IFERROR(_xlfn.PERCENTRANK.INC(Titanic[Edad Corrigida], B566), "")</f>
        <v>0.46200000000000002</v>
      </c>
      <c r="D566" s="10"/>
    </row>
    <row r="567" spans="2:4" x14ac:dyDescent="0.2">
      <c r="B567" t="str">
        <v/>
      </c>
      <c r="C567" s="10" t="str">
        <f>IFERROR(_xlfn.PERCENTRANK.INC(Titanic[Edad Corrigida], B567), "")</f>
        <v/>
      </c>
      <c r="D567" s="10"/>
    </row>
    <row r="568" spans="2:4" x14ac:dyDescent="0.2">
      <c r="B568" t="str">
        <v/>
      </c>
      <c r="C568" s="10" t="str">
        <f>IFERROR(_xlfn.PERCENTRANK.INC(Titanic[Edad Corrigida], B568), "")</f>
        <v/>
      </c>
      <c r="D568" s="10"/>
    </row>
    <row r="569" spans="2:4" x14ac:dyDescent="0.2">
      <c r="B569">
        <v>24</v>
      </c>
      <c r="C569" s="10">
        <f>IFERROR(_xlfn.PERCENTRANK.INC(Titanic[Edad Corrigida], B569), "")</f>
        <v>0.33600000000000002</v>
      </c>
      <c r="D569" s="10"/>
    </row>
    <row r="570" spans="2:4" x14ac:dyDescent="0.2">
      <c r="B570">
        <v>19</v>
      </c>
      <c r="C570" s="10">
        <f>IFERROR(_xlfn.PERCENTRANK.INC(Titanic[Edad Corrigida], B570), "")</f>
        <v>0.185</v>
      </c>
      <c r="D570" s="10"/>
    </row>
    <row r="571" spans="2:4" x14ac:dyDescent="0.2">
      <c r="B571">
        <v>29</v>
      </c>
      <c r="C571" s="10">
        <f>IFERROR(_xlfn.PERCENTRANK.INC(Titanic[Edad Corrigida], B571), "")</f>
        <v>0.5</v>
      </c>
      <c r="D571" s="10"/>
    </row>
    <row r="572" spans="2:4" x14ac:dyDescent="0.2">
      <c r="B572" t="str">
        <v/>
      </c>
      <c r="C572" s="10" t="str">
        <f>IFERROR(_xlfn.PERCENTRANK.INC(Titanic[Edad Corrigida], B572), "")</f>
        <v/>
      </c>
      <c r="D572" s="10"/>
    </row>
    <row r="573" spans="2:4" x14ac:dyDescent="0.2">
      <c r="B573">
        <v>32</v>
      </c>
      <c r="C573" s="10">
        <f>IFERROR(_xlfn.PERCENTRANK.INC(Titanic[Edad Corrigida], B573), "")</f>
        <v>0.59</v>
      </c>
      <c r="D573" s="10"/>
    </row>
    <row r="574" spans="2:4" x14ac:dyDescent="0.2">
      <c r="B574">
        <v>62</v>
      </c>
      <c r="C574" s="10">
        <f>IFERROR(_xlfn.PERCENTRANK.INC(Titanic[Edad Corrigida], B574), "")</f>
        <v>0.96599999999999997</v>
      </c>
      <c r="D574" s="10"/>
    </row>
    <row r="575" spans="2:4" x14ac:dyDescent="0.2">
      <c r="B575">
        <v>53</v>
      </c>
      <c r="C575" s="10">
        <f>IFERROR(_xlfn.PERCENTRANK.INC(Titanic[Edad Corrigida], B575), "")</f>
        <v>0.92100000000000004</v>
      </c>
      <c r="D575" s="10"/>
    </row>
    <row r="576" spans="2:4" x14ac:dyDescent="0.2">
      <c r="B576">
        <v>36</v>
      </c>
      <c r="C576" s="10">
        <f>IFERROR(_xlfn.PERCENTRANK.INC(Titanic[Edad Corrigida], B576), "")</f>
        <v>0.68700000000000006</v>
      </c>
      <c r="D576" s="10"/>
    </row>
    <row r="577" spans="2:4" x14ac:dyDescent="0.2">
      <c r="B577" t="str">
        <v/>
      </c>
      <c r="C577" s="10" t="str">
        <f>IFERROR(_xlfn.PERCENTRANK.INC(Titanic[Edad Corrigida], B577), "")</f>
        <v/>
      </c>
      <c r="D577" s="10"/>
    </row>
    <row r="578" spans="2:4" x14ac:dyDescent="0.2">
      <c r="B578">
        <v>16</v>
      </c>
      <c r="C578" s="10">
        <f>IFERROR(_xlfn.PERCENTRANK.INC(Titanic[Edad Corrigida], B578), "")</f>
        <v>0.106</v>
      </c>
      <c r="D578" s="10"/>
    </row>
    <row r="579" spans="2:4" x14ac:dyDescent="0.2">
      <c r="B579">
        <v>19</v>
      </c>
      <c r="C579" s="10">
        <f>IFERROR(_xlfn.PERCENTRANK.INC(Titanic[Edad Corrigida], B579), "")</f>
        <v>0.185</v>
      </c>
      <c r="D579" s="10"/>
    </row>
    <row r="580" spans="2:4" x14ac:dyDescent="0.2">
      <c r="B580">
        <v>34</v>
      </c>
      <c r="C580" s="10">
        <f>IFERROR(_xlfn.PERCENTRANK.INC(Titanic[Edad Corrigida], B580), "")</f>
        <v>0.63900000000000001</v>
      </c>
      <c r="D580" s="10"/>
    </row>
    <row r="581" spans="2:4" x14ac:dyDescent="0.2">
      <c r="B581">
        <v>39</v>
      </c>
      <c r="C581" s="10">
        <f>IFERROR(_xlfn.PERCENTRANK.INC(Titanic[Edad Corrigida], B581), "")</f>
        <v>0.74299999999999999</v>
      </c>
      <c r="D581" s="10"/>
    </row>
    <row r="582" spans="2:4" x14ac:dyDescent="0.2">
      <c r="B582" t="str">
        <v/>
      </c>
      <c r="C582" s="10" t="str">
        <f>IFERROR(_xlfn.PERCENTRANK.INC(Titanic[Edad Corrigida], B582), "")</f>
        <v/>
      </c>
      <c r="D582" s="10"/>
    </row>
    <row r="583" spans="2:4" x14ac:dyDescent="0.2">
      <c r="B583">
        <v>32</v>
      </c>
      <c r="C583" s="10">
        <f>IFERROR(_xlfn.PERCENTRANK.INC(Titanic[Edad Corrigida], B583), "")</f>
        <v>0.59</v>
      </c>
      <c r="D583" s="10"/>
    </row>
    <row r="584" spans="2:4" x14ac:dyDescent="0.2">
      <c r="B584">
        <v>25</v>
      </c>
      <c r="C584" s="10">
        <f>IFERROR(_xlfn.PERCENTRANK.INC(Titanic[Edad Corrigida], B584), "")</f>
        <v>0.38</v>
      </c>
      <c r="D584" s="10"/>
    </row>
    <row r="585" spans="2:4" x14ac:dyDescent="0.2">
      <c r="B585">
        <v>39</v>
      </c>
      <c r="C585" s="10">
        <f>IFERROR(_xlfn.PERCENTRANK.INC(Titanic[Edad Corrigida], B585), "")</f>
        <v>0.74299999999999999</v>
      </c>
      <c r="D585" s="10"/>
    </row>
    <row r="586" spans="2:4" x14ac:dyDescent="0.2">
      <c r="B586">
        <v>54</v>
      </c>
      <c r="C586" s="10">
        <f>IFERROR(_xlfn.PERCENTRANK.INC(Titanic[Edad Corrigida], B586), "")</f>
        <v>0.92200000000000004</v>
      </c>
      <c r="D586" s="10"/>
    </row>
    <row r="587" spans="2:4" x14ac:dyDescent="0.2">
      <c r="B587">
        <v>36</v>
      </c>
      <c r="C587" s="10">
        <f>IFERROR(_xlfn.PERCENTRANK.INC(Titanic[Edad Corrigida], B587), "")</f>
        <v>0.68700000000000006</v>
      </c>
      <c r="D587" s="10"/>
    </row>
    <row r="588" spans="2:4" x14ac:dyDescent="0.2">
      <c r="B588" t="str">
        <v/>
      </c>
      <c r="C588" s="10" t="str">
        <f>IFERROR(_xlfn.PERCENTRANK.INC(Titanic[Edad Corrigida], B588), "")</f>
        <v/>
      </c>
      <c r="D588" s="10"/>
    </row>
    <row r="589" spans="2:4" x14ac:dyDescent="0.2">
      <c r="B589">
        <v>18</v>
      </c>
      <c r="C589" s="10">
        <f>IFERROR(_xlfn.PERCENTRANK.INC(Titanic[Edad Corrigida], B589), "")</f>
        <v>0.14799999999999999</v>
      </c>
      <c r="D589" s="10"/>
    </row>
    <row r="590" spans="2:4" x14ac:dyDescent="0.2">
      <c r="B590">
        <v>47</v>
      </c>
      <c r="C590" s="10">
        <f>IFERROR(_xlfn.PERCENTRANK.INC(Titanic[Edad Corrigida], B590), "")</f>
        <v>0.85499999999999998</v>
      </c>
      <c r="D590" s="10"/>
    </row>
    <row r="591" spans="2:4" x14ac:dyDescent="0.2">
      <c r="B591">
        <v>60</v>
      </c>
      <c r="C591" s="10">
        <f>IFERROR(_xlfn.PERCENTRANK.INC(Titanic[Edad Corrigida], B591), "")</f>
        <v>0.95599999999999996</v>
      </c>
      <c r="D591" s="10"/>
    </row>
    <row r="592" spans="2:4" x14ac:dyDescent="0.2">
      <c r="B592">
        <v>22</v>
      </c>
      <c r="C592" s="10">
        <f>IFERROR(_xlfn.PERCENTRANK.INC(Titanic[Edad Corrigida], B592), "")</f>
        <v>0.27600000000000002</v>
      </c>
      <c r="D592" s="10"/>
    </row>
    <row r="593" spans="2:4" x14ac:dyDescent="0.2">
      <c r="B593" t="str">
        <v/>
      </c>
      <c r="C593" s="10" t="str">
        <f>IFERROR(_xlfn.PERCENTRANK.INC(Titanic[Edad Corrigida], B593), "")</f>
        <v/>
      </c>
      <c r="D593" s="10"/>
    </row>
    <row r="594" spans="2:4" x14ac:dyDescent="0.2">
      <c r="B594">
        <v>35</v>
      </c>
      <c r="C594" s="10">
        <f>IFERROR(_xlfn.PERCENTRANK.INC(Titanic[Edad Corrigida], B594), "")</f>
        <v>0.66100000000000003</v>
      </c>
      <c r="D594" s="10"/>
    </row>
    <row r="595" spans="2:4" x14ac:dyDescent="0.2">
      <c r="B595">
        <v>52</v>
      </c>
      <c r="C595" s="10">
        <f>IFERROR(_xlfn.PERCENTRANK.INC(Titanic[Edad Corrigida], B595), "")</f>
        <v>0.91300000000000003</v>
      </c>
      <c r="D595" s="10"/>
    </row>
    <row r="596" spans="2:4" x14ac:dyDescent="0.2">
      <c r="B596">
        <v>47</v>
      </c>
      <c r="C596" s="10">
        <f>IFERROR(_xlfn.PERCENTRANK.INC(Titanic[Edad Corrigida], B596), "")</f>
        <v>0.85499999999999998</v>
      </c>
      <c r="D596" s="10"/>
    </row>
    <row r="597" spans="2:4" x14ac:dyDescent="0.2">
      <c r="B597" t="str">
        <v/>
      </c>
      <c r="C597" s="10" t="str">
        <f>IFERROR(_xlfn.PERCENTRANK.INC(Titanic[Edad Corrigida], B597), "")</f>
        <v/>
      </c>
      <c r="D597" s="10"/>
    </row>
    <row r="598" spans="2:4" x14ac:dyDescent="0.2">
      <c r="B598">
        <v>37</v>
      </c>
      <c r="C598" s="10">
        <f>IFERROR(_xlfn.PERCENTRANK.INC(Titanic[Edad Corrigida], B598), "")</f>
        <v>0.71899999999999997</v>
      </c>
      <c r="D598" s="10"/>
    </row>
    <row r="599" spans="2:4" x14ac:dyDescent="0.2">
      <c r="B599">
        <v>36</v>
      </c>
      <c r="C599" s="10">
        <f>IFERROR(_xlfn.PERCENTRANK.INC(Titanic[Edad Corrigida], B599), "")</f>
        <v>0.68700000000000006</v>
      </c>
      <c r="D599" s="10"/>
    </row>
    <row r="600" spans="2:4" x14ac:dyDescent="0.2">
      <c r="B600" t="str">
        <v/>
      </c>
      <c r="C600" s="10" t="str">
        <f>IFERROR(_xlfn.PERCENTRANK.INC(Titanic[Edad Corrigida], B600), "")</f>
        <v/>
      </c>
      <c r="D600" s="10"/>
    </row>
    <row r="601" spans="2:4" x14ac:dyDescent="0.2">
      <c r="B601">
        <v>49</v>
      </c>
      <c r="C601" s="10">
        <f>IFERROR(_xlfn.PERCENTRANK.INC(Titanic[Edad Corrigida], B601), "")</f>
        <v>0.88</v>
      </c>
      <c r="D601" s="10"/>
    </row>
    <row r="602" spans="2:4" x14ac:dyDescent="0.2">
      <c r="B602" t="str">
        <v/>
      </c>
      <c r="C602" s="10" t="str">
        <f>IFERROR(_xlfn.PERCENTRANK.INC(Titanic[Edad Corrigida], B602), "")</f>
        <v/>
      </c>
      <c r="D602" s="10"/>
    </row>
    <row r="603" spans="2:4" x14ac:dyDescent="0.2">
      <c r="B603">
        <v>49</v>
      </c>
      <c r="C603" s="10">
        <f>IFERROR(_xlfn.PERCENTRANK.INC(Titanic[Edad Corrigida], B603), "")</f>
        <v>0.88</v>
      </c>
      <c r="D603" s="10"/>
    </row>
    <row r="604" spans="2:4" x14ac:dyDescent="0.2">
      <c r="B604">
        <v>24</v>
      </c>
      <c r="C604" s="10">
        <f>IFERROR(_xlfn.PERCENTRANK.INC(Titanic[Edad Corrigida], B604), "")</f>
        <v>0.33600000000000002</v>
      </c>
      <c r="D604" s="10"/>
    </row>
    <row r="605" spans="2:4" x14ac:dyDescent="0.2">
      <c r="B605" t="str">
        <v/>
      </c>
      <c r="C605" s="10" t="str">
        <f>IFERROR(_xlfn.PERCENTRANK.INC(Titanic[Edad Corrigida], B605), "")</f>
        <v/>
      </c>
      <c r="D605" s="10"/>
    </row>
    <row r="606" spans="2:4" x14ac:dyDescent="0.2">
      <c r="B606" t="str">
        <v/>
      </c>
      <c r="C606" s="10" t="str">
        <f>IFERROR(_xlfn.PERCENTRANK.INC(Titanic[Edad Corrigida], B606), "")</f>
        <v/>
      </c>
      <c r="D606" s="10"/>
    </row>
    <row r="607" spans="2:4" x14ac:dyDescent="0.2">
      <c r="B607">
        <v>44</v>
      </c>
      <c r="C607" s="10">
        <f>IFERROR(_xlfn.PERCENTRANK.INC(Titanic[Edad Corrigida], B607), "")</f>
        <v>0.81899999999999995</v>
      </c>
      <c r="D607" s="10"/>
    </row>
    <row r="608" spans="2:4" x14ac:dyDescent="0.2">
      <c r="B608">
        <v>35</v>
      </c>
      <c r="C608" s="10">
        <f>IFERROR(_xlfn.PERCENTRANK.INC(Titanic[Edad Corrigida], B608), "")</f>
        <v>0.66100000000000003</v>
      </c>
      <c r="D608" s="10"/>
    </row>
    <row r="609" spans="2:4" x14ac:dyDescent="0.2">
      <c r="B609">
        <v>36</v>
      </c>
      <c r="C609" s="10">
        <f>IFERROR(_xlfn.PERCENTRANK.INC(Titanic[Edad Corrigida], B609), "")</f>
        <v>0.68700000000000006</v>
      </c>
      <c r="D609" s="10"/>
    </row>
    <row r="610" spans="2:4" x14ac:dyDescent="0.2">
      <c r="B610">
        <v>30</v>
      </c>
      <c r="C610" s="10">
        <f>IFERROR(_xlfn.PERCENTRANK.INC(Titanic[Edad Corrigida], B610), "")</f>
        <v>0.52800000000000002</v>
      </c>
      <c r="D610" s="10"/>
    </row>
    <row r="611" spans="2:4" x14ac:dyDescent="0.2">
      <c r="B611">
        <v>27</v>
      </c>
      <c r="C611" s="10">
        <f>IFERROR(_xlfn.PERCENTRANK.INC(Titanic[Edad Corrigida], B611), "")</f>
        <v>0.437</v>
      </c>
      <c r="D611" s="10"/>
    </row>
    <row r="612" spans="2:4" x14ac:dyDescent="0.2">
      <c r="B612">
        <v>22</v>
      </c>
      <c r="C612" s="10">
        <f>IFERROR(_xlfn.PERCENTRANK.INC(Titanic[Edad Corrigida], B612), "")</f>
        <v>0.27600000000000002</v>
      </c>
      <c r="D612" s="10"/>
    </row>
    <row r="613" spans="2:4" x14ac:dyDescent="0.2">
      <c r="B613">
        <v>40</v>
      </c>
      <c r="C613" s="10">
        <f>IFERROR(_xlfn.PERCENTRANK.INC(Titanic[Edad Corrigida], B613), "")</f>
        <v>0.76200000000000001</v>
      </c>
      <c r="D613" s="10"/>
    </row>
    <row r="614" spans="2:4" x14ac:dyDescent="0.2">
      <c r="B614">
        <v>39</v>
      </c>
      <c r="C614" s="10">
        <f>IFERROR(_xlfn.PERCENTRANK.INC(Titanic[Edad Corrigida], B614), "")</f>
        <v>0.74299999999999999</v>
      </c>
      <c r="D614" s="10"/>
    </row>
    <row r="615" spans="2:4" x14ac:dyDescent="0.2">
      <c r="B615" t="str">
        <v/>
      </c>
      <c r="C615" s="10" t="str">
        <f>IFERROR(_xlfn.PERCENTRANK.INC(Titanic[Edad Corrigida], B615), "")</f>
        <v/>
      </c>
      <c r="D615" s="10"/>
    </row>
    <row r="616" spans="2:4" x14ac:dyDescent="0.2">
      <c r="B616" t="str">
        <v/>
      </c>
      <c r="C616" s="10" t="str">
        <f>IFERROR(_xlfn.PERCENTRANK.INC(Titanic[Edad Corrigida], B616), "")</f>
        <v/>
      </c>
      <c r="D616" s="10"/>
    </row>
    <row r="617" spans="2:4" x14ac:dyDescent="0.2">
      <c r="B617" t="str">
        <v/>
      </c>
      <c r="C617" s="10" t="str">
        <f>IFERROR(_xlfn.PERCENTRANK.INC(Titanic[Edad Corrigida], B617), "")</f>
        <v/>
      </c>
      <c r="D617" s="10"/>
    </row>
    <row r="618" spans="2:4" x14ac:dyDescent="0.2">
      <c r="B618">
        <v>35</v>
      </c>
      <c r="C618" s="10">
        <f>IFERROR(_xlfn.PERCENTRANK.INC(Titanic[Edad Corrigida], B618), "")</f>
        <v>0.66100000000000003</v>
      </c>
      <c r="D618" s="10"/>
    </row>
    <row r="619" spans="2:4" x14ac:dyDescent="0.2">
      <c r="B619">
        <v>24</v>
      </c>
      <c r="C619" s="10">
        <f>IFERROR(_xlfn.PERCENTRANK.INC(Titanic[Edad Corrigida], B619), "")</f>
        <v>0.33600000000000002</v>
      </c>
      <c r="D619" s="10"/>
    </row>
    <row r="620" spans="2:4" x14ac:dyDescent="0.2">
      <c r="B620">
        <v>34</v>
      </c>
      <c r="C620" s="10">
        <f>IFERROR(_xlfn.PERCENTRANK.INC(Titanic[Edad Corrigida], B620), "")</f>
        <v>0.63900000000000001</v>
      </c>
      <c r="D620" s="10"/>
    </row>
    <row r="621" spans="2:4" x14ac:dyDescent="0.2">
      <c r="B621">
        <v>26</v>
      </c>
      <c r="C621" s="10">
        <f>IFERROR(_xlfn.PERCENTRANK.INC(Titanic[Edad Corrigida], B621), "")</f>
        <v>0.41199999999999998</v>
      </c>
      <c r="D621" s="10"/>
    </row>
    <row r="622" spans="2:4" x14ac:dyDescent="0.2">
      <c r="B622">
        <v>4</v>
      </c>
      <c r="C622" s="10">
        <f>IFERROR(_xlfn.PERCENTRANK.INC(Titanic[Edad Corrigida], B622), "")</f>
        <v>3.2000000000000001E-2</v>
      </c>
      <c r="D622" s="10"/>
    </row>
    <row r="623" spans="2:4" x14ac:dyDescent="0.2">
      <c r="B623">
        <v>26</v>
      </c>
      <c r="C623" s="10">
        <f>IFERROR(_xlfn.PERCENTRANK.INC(Titanic[Edad Corrigida], B623), "")</f>
        <v>0.41199999999999998</v>
      </c>
      <c r="D623" s="10"/>
    </row>
    <row r="624" spans="2:4" x14ac:dyDescent="0.2">
      <c r="B624">
        <v>27</v>
      </c>
      <c r="C624" s="10">
        <f>IFERROR(_xlfn.PERCENTRANK.INC(Titanic[Edad Corrigida], B624), "")</f>
        <v>0.437</v>
      </c>
      <c r="D624" s="10"/>
    </row>
    <row r="625" spans="2:4" x14ac:dyDescent="0.2">
      <c r="B625">
        <v>42</v>
      </c>
      <c r="C625" s="10">
        <f>IFERROR(_xlfn.PERCENTRANK.INC(Titanic[Edad Corrigida], B625), "")</f>
        <v>0.79200000000000004</v>
      </c>
      <c r="D625" s="10"/>
    </row>
    <row r="626" spans="2:4" x14ac:dyDescent="0.2">
      <c r="B626">
        <v>20</v>
      </c>
      <c r="C626" s="10">
        <f>IFERROR(_xlfn.PERCENTRANK.INC(Titanic[Edad Corrigida], B626), "")</f>
        <v>0.22</v>
      </c>
      <c r="D626" s="10"/>
    </row>
    <row r="627" spans="2:4" x14ac:dyDescent="0.2">
      <c r="B627">
        <v>21</v>
      </c>
      <c r="C627" s="10">
        <f>IFERROR(_xlfn.PERCENTRANK.INC(Titanic[Edad Corrigida], B627), "")</f>
        <v>0.24199999999999999</v>
      </c>
      <c r="D627" s="10"/>
    </row>
    <row r="628" spans="2:4" x14ac:dyDescent="0.2">
      <c r="B628">
        <v>21</v>
      </c>
      <c r="C628" s="10">
        <f>IFERROR(_xlfn.PERCENTRANK.INC(Titanic[Edad Corrigida], B628), "")</f>
        <v>0.24199999999999999</v>
      </c>
      <c r="D628" s="10"/>
    </row>
    <row r="629" spans="2:4" x14ac:dyDescent="0.2">
      <c r="B629">
        <v>61</v>
      </c>
      <c r="C629" s="10">
        <f>IFERROR(_xlfn.PERCENTRANK.INC(Titanic[Edad Corrigida], B629), "")</f>
        <v>0.96199999999999997</v>
      </c>
      <c r="D629" s="10"/>
    </row>
    <row r="630" spans="2:4" x14ac:dyDescent="0.2">
      <c r="B630">
        <v>57</v>
      </c>
      <c r="C630" s="10">
        <f>IFERROR(_xlfn.PERCENTRANK.INC(Titanic[Edad Corrigida], B630), "")</f>
        <v>0.94299999999999995</v>
      </c>
      <c r="D630" s="10"/>
    </row>
    <row r="631" spans="2:4" x14ac:dyDescent="0.2">
      <c r="B631">
        <v>21</v>
      </c>
      <c r="C631" s="10">
        <f>IFERROR(_xlfn.PERCENTRANK.INC(Titanic[Edad Corrigida], B631), "")</f>
        <v>0.24199999999999999</v>
      </c>
      <c r="D631" s="10"/>
    </row>
    <row r="632" spans="2:4" x14ac:dyDescent="0.2">
      <c r="B632">
        <v>26</v>
      </c>
      <c r="C632" s="10">
        <f>IFERROR(_xlfn.PERCENTRANK.INC(Titanic[Edad Corrigida], B632), "")</f>
        <v>0.41199999999999998</v>
      </c>
      <c r="D632" s="10"/>
    </row>
    <row r="633" spans="2:4" x14ac:dyDescent="0.2">
      <c r="B633" t="str">
        <v/>
      </c>
      <c r="C633" s="10" t="str">
        <f>IFERROR(_xlfn.PERCENTRANK.INC(Titanic[Edad Corrigida], B633), "")</f>
        <v/>
      </c>
      <c r="D633" s="10"/>
    </row>
    <row r="634" spans="2:4" x14ac:dyDescent="0.2">
      <c r="B634">
        <v>80</v>
      </c>
      <c r="C634" s="10">
        <f>IFERROR(_xlfn.PERCENTRANK.INC(Titanic[Edad Corrigida], B634), "")</f>
        <v>0.995</v>
      </c>
      <c r="D634" s="10"/>
    </row>
    <row r="635" spans="2:4" x14ac:dyDescent="0.2">
      <c r="B635">
        <v>51</v>
      </c>
      <c r="C635" s="10">
        <f>IFERROR(_xlfn.PERCENTRANK.INC(Titanic[Edad Corrigida], B635), "")</f>
        <v>0.90300000000000002</v>
      </c>
      <c r="D635" s="10"/>
    </row>
    <row r="636" spans="2:4" x14ac:dyDescent="0.2">
      <c r="B636">
        <v>32</v>
      </c>
      <c r="C636" s="10">
        <f>IFERROR(_xlfn.PERCENTRANK.INC(Titanic[Edad Corrigida], B636), "")</f>
        <v>0.59</v>
      </c>
      <c r="D636" s="10"/>
    </row>
    <row r="637" spans="2:4" x14ac:dyDescent="0.2">
      <c r="B637" t="str">
        <v/>
      </c>
      <c r="C637" s="10" t="str">
        <f>IFERROR(_xlfn.PERCENTRANK.INC(Titanic[Edad Corrigida], B637), "")</f>
        <v/>
      </c>
      <c r="D637" s="10"/>
    </row>
    <row r="638" spans="2:4" x14ac:dyDescent="0.2">
      <c r="B638">
        <v>9</v>
      </c>
      <c r="C638" s="10">
        <f>IFERROR(_xlfn.PERCENTRANK.INC(Titanic[Edad Corrigida], B638), "")</f>
        <v>6.5000000000000002E-2</v>
      </c>
      <c r="D638" s="10"/>
    </row>
    <row r="639" spans="2:4" x14ac:dyDescent="0.2">
      <c r="B639">
        <v>28</v>
      </c>
      <c r="C639" s="10">
        <f>IFERROR(_xlfn.PERCENTRANK.INC(Titanic[Edad Corrigida], B639), "")</f>
        <v>0.46200000000000002</v>
      </c>
      <c r="D639" s="10"/>
    </row>
    <row r="640" spans="2:4" x14ac:dyDescent="0.2">
      <c r="B640">
        <v>32</v>
      </c>
      <c r="C640" s="10">
        <f>IFERROR(_xlfn.PERCENTRANK.INC(Titanic[Edad Corrigida], B640), "")</f>
        <v>0.59</v>
      </c>
      <c r="D640" s="10"/>
    </row>
    <row r="641" spans="2:4" x14ac:dyDescent="0.2">
      <c r="B641">
        <v>31</v>
      </c>
      <c r="C641" s="10">
        <f>IFERROR(_xlfn.PERCENTRANK.INC(Titanic[Edad Corrigida], B641), "")</f>
        <v>0.56599999999999995</v>
      </c>
      <c r="D641" s="10"/>
    </row>
    <row r="642" spans="2:4" x14ac:dyDescent="0.2">
      <c r="B642">
        <v>41</v>
      </c>
      <c r="C642" s="10">
        <f>IFERROR(_xlfn.PERCENTRANK.INC(Titanic[Edad Corrigida], B642), "")</f>
        <v>0.78400000000000003</v>
      </c>
      <c r="D642" s="10"/>
    </row>
    <row r="643" spans="2:4" x14ac:dyDescent="0.2">
      <c r="B643" t="str">
        <v/>
      </c>
      <c r="C643" s="10" t="str">
        <f>IFERROR(_xlfn.PERCENTRANK.INC(Titanic[Edad Corrigida], B643), "")</f>
        <v/>
      </c>
      <c r="D643" s="10"/>
    </row>
    <row r="644" spans="2:4" x14ac:dyDescent="0.2">
      <c r="B644">
        <v>20</v>
      </c>
      <c r="C644" s="10">
        <f>IFERROR(_xlfn.PERCENTRANK.INC(Titanic[Edad Corrigida], B644), "")</f>
        <v>0.22</v>
      </c>
      <c r="D644" s="10"/>
    </row>
    <row r="645" spans="2:4" x14ac:dyDescent="0.2">
      <c r="B645">
        <v>24</v>
      </c>
      <c r="C645" s="10">
        <f>IFERROR(_xlfn.PERCENTRANK.INC(Titanic[Edad Corrigida], B645), "")</f>
        <v>0.33600000000000002</v>
      </c>
      <c r="D645" s="10"/>
    </row>
    <row r="646" spans="2:4" x14ac:dyDescent="0.2">
      <c r="B646">
        <v>2</v>
      </c>
      <c r="C646" s="10">
        <f>IFERROR(_xlfn.PERCENTRANK.INC(Titanic[Edad Corrigida], B646), "")</f>
        <v>8.9999999999999993E-3</v>
      </c>
      <c r="D646" s="10"/>
    </row>
    <row r="647" spans="2:4" x14ac:dyDescent="0.2">
      <c r="B647" t="str">
        <v/>
      </c>
      <c r="C647" s="10" t="str">
        <f>IFERROR(_xlfn.PERCENTRANK.INC(Titanic[Edad Corrigida], B647), "")</f>
        <v/>
      </c>
      <c r="D647" s="10"/>
    </row>
    <row r="648" spans="2:4" x14ac:dyDescent="0.2">
      <c r="B648">
        <v>75</v>
      </c>
      <c r="C648" s="10">
        <f>IFERROR(_xlfn.PERCENTRANK.INC(Titanic[Edad Corrigida], B648), "")</f>
        <v>0.99199999999999999</v>
      </c>
      <c r="D648" s="10"/>
    </row>
    <row r="649" spans="2:4" x14ac:dyDescent="0.2">
      <c r="B649">
        <v>48</v>
      </c>
      <c r="C649" s="10">
        <f>IFERROR(_xlfn.PERCENTRANK.INC(Titanic[Edad Corrigida], B649), "")</f>
        <v>0.86799999999999999</v>
      </c>
      <c r="D649" s="10"/>
    </row>
    <row r="650" spans="2:4" x14ac:dyDescent="0.2">
      <c r="B650">
        <v>19</v>
      </c>
      <c r="C650" s="10">
        <f>IFERROR(_xlfn.PERCENTRANK.INC(Titanic[Edad Corrigida], B650), "")</f>
        <v>0.185</v>
      </c>
      <c r="D650" s="10"/>
    </row>
    <row r="651" spans="2:4" x14ac:dyDescent="0.2">
      <c r="B651">
        <v>56</v>
      </c>
      <c r="C651" s="10">
        <f>IFERROR(_xlfn.PERCENTRANK.INC(Titanic[Edad Corrigida], B651), "")</f>
        <v>0.93799999999999994</v>
      </c>
      <c r="D651" s="10"/>
    </row>
    <row r="652" spans="2:4" x14ac:dyDescent="0.2">
      <c r="B652" t="str">
        <v/>
      </c>
      <c r="C652" s="10" t="str">
        <f>IFERROR(_xlfn.PERCENTRANK.INC(Titanic[Edad Corrigida], B652), "")</f>
        <v/>
      </c>
      <c r="D652" s="10"/>
    </row>
    <row r="653" spans="2:4" x14ac:dyDescent="0.2">
      <c r="B653">
        <v>23</v>
      </c>
      <c r="C653" s="10">
        <f>IFERROR(_xlfn.PERCENTRANK.INC(Titanic[Edad Corrigida], B653), "")</f>
        <v>0.314</v>
      </c>
      <c r="D653" s="10"/>
    </row>
    <row r="654" spans="2:4" x14ac:dyDescent="0.2">
      <c r="B654" t="str">
        <v/>
      </c>
      <c r="C654" s="10" t="str">
        <f>IFERROR(_xlfn.PERCENTRANK.INC(Titanic[Edad Corrigida], B654), "")</f>
        <v/>
      </c>
      <c r="D654" s="10"/>
    </row>
    <row r="655" spans="2:4" x14ac:dyDescent="0.2">
      <c r="B655">
        <v>18</v>
      </c>
      <c r="C655" s="10">
        <f>IFERROR(_xlfn.PERCENTRANK.INC(Titanic[Edad Corrigida], B655), "")</f>
        <v>0.14799999999999999</v>
      </c>
      <c r="D655" s="10"/>
    </row>
    <row r="656" spans="2:4" x14ac:dyDescent="0.2">
      <c r="B656">
        <v>21</v>
      </c>
      <c r="C656" s="10">
        <f>IFERROR(_xlfn.PERCENTRANK.INC(Titanic[Edad Corrigida], B656), "")</f>
        <v>0.24199999999999999</v>
      </c>
      <c r="D656" s="10"/>
    </row>
    <row r="657" spans="2:4" x14ac:dyDescent="0.2">
      <c r="B657" t="str">
        <v/>
      </c>
      <c r="C657" s="10" t="str">
        <f>IFERROR(_xlfn.PERCENTRANK.INC(Titanic[Edad Corrigida], B657), "")</f>
        <v/>
      </c>
      <c r="D657" s="10"/>
    </row>
    <row r="658" spans="2:4" x14ac:dyDescent="0.2">
      <c r="B658">
        <v>18</v>
      </c>
      <c r="C658" s="10">
        <f>IFERROR(_xlfn.PERCENTRANK.INC(Titanic[Edad Corrigida], B658), "")</f>
        <v>0.14799999999999999</v>
      </c>
      <c r="D658" s="10"/>
    </row>
    <row r="659" spans="2:4" x14ac:dyDescent="0.2">
      <c r="B659">
        <v>24</v>
      </c>
      <c r="C659" s="10">
        <f>IFERROR(_xlfn.PERCENTRANK.INC(Titanic[Edad Corrigida], B659), "")</f>
        <v>0.33600000000000002</v>
      </c>
      <c r="D659" s="10"/>
    </row>
    <row r="660" spans="2:4" x14ac:dyDescent="0.2">
      <c r="B660" t="str">
        <v/>
      </c>
      <c r="C660" s="10" t="str">
        <f>IFERROR(_xlfn.PERCENTRANK.INC(Titanic[Edad Corrigida], B660), "")</f>
        <v/>
      </c>
      <c r="D660" s="10"/>
    </row>
    <row r="661" spans="2:4" x14ac:dyDescent="0.2">
      <c r="B661">
        <v>32</v>
      </c>
      <c r="C661" s="10">
        <f>IFERROR(_xlfn.PERCENTRANK.INC(Titanic[Edad Corrigida], B661), "")</f>
        <v>0.59</v>
      </c>
      <c r="D661" s="10"/>
    </row>
    <row r="662" spans="2:4" x14ac:dyDescent="0.2">
      <c r="B662">
        <v>23</v>
      </c>
      <c r="C662" s="10">
        <f>IFERROR(_xlfn.PERCENTRANK.INC(Titanic[Edad Corrigida], B662), "")</f>
        <v>0.314</v>
      </c>
      <c r="D662" s="10"/>
    </row>
    <row r="663" spans="2:4" x14ac:dyDescent="0.2">
      <c r="B663">
        <v>58</v>
      </c>
      <c r="C663" s="10">
        <f>IFERROR(_xlfn.PERCENTRANK.INC(Titanic[Edad Corrigida], B663), "")</f>
        <v>0.94599999999999995</v>
      </c>
      <c r="D663" s="10"/>
    </row>
    <row r="664" spans="2:4" x14ac:dyDescent="0.2">
      <c r="B664">
        <v>50</v>
      </c>
      <c r="C664" s="10">
        <f>IFERROR(_xlfn.PERCENTRANK.INC(Titanic[Edad Corrigida], B664), "")</f>
        <v>0.88900000000000001</v>
      </c>
      <c r="D664" s="10"/>
    </row>
    <row r="665" spans="2:4" x14ac:dyDescent="0.2">
      <c r="B665">
        <v>40</v>
      </c>
      <c r="C665" s="10">
        <f>IFERROR(_xlfn.PERCENTRANK.INC(Titanic[Edad Corrigida], B665), "")</f>
        <v>0.76200000000000001</v>
      </c>
      <c r="D665" s="10"/>
    </row>
    <row r="666" spans="2:4" x14ac:dyDescent="0.2">
      <c r="B666">
        <v>47</v>
      </c>
      <c r="C666" s="10">
        <f>IFERROR(_xlfn.PERCENTRANK.INC(Titanic[Edad Corrigida], B666), "")</f>
        <v>0.85499999999999998</v>
      </c>
      <c r="D666" s="10"/>
    </row>
    <row r="667" spans="2:4" x14ac:dyDescent="0.2">
      <c r="B667">
        <v>36</v>
      </c>
      <c r="C667" s="10">
        <f>IFERROR(_xlfn.PERCENTRANK.INC(Titanic[Edad Corrigida], B667), "")</f>
        <v>0.68700000000000006</v>
      </c>
      <c r="D667" s="10"/>
    </row>
    <row r="668" spans="2:4" x14ac:dyDescent="0.2">
      <c r="B668">
        <v>20</v>
      </c>
      <c r="C668" s="10">
        <f>IFERROR(_xlfn.PERCENTRANK.INC(Titanic[Edad Corrigida], B668), "")</f>
        <v>0.22</v>
      </c>
      <c r="D668" s="10"/>
    </row>
    <row r="669" spans="2:4" x14ac:dyDescent="0.2">
      <c r="B669">
        <v>32</v>
      </c>
      <c r="C669" s="10">
        <f>IFERROR(_xlfn.PERCENTRANK.INC(Titanic[Edad Corrigida], B669), "")</f>
        <v>0.59</v>
      </c>
      <c r="D669" s="10"/>
    </row>
    <row r="670" spans="2:4" x14ac:dyDescent="0.2">
      <c r="B670">
        <v>25</v>
      </c>
      <c r="C670" s="10">
        <f>IFERROR(_xlfn.PERCENTRANK.INC(Titanic[Edad Corrigida], B670), "")</f>
        <v>0.38</v>
      </c>
      <c r="D670" s="10"/>
    </row>
    <row r="671" spans="2:4" x14ac:dyDescent="0.2">
      <c r="B671" t="str">
        <v/>
      </c>
      <c r="C671" s="10" t="str">
        <f>IFERROR(_xlfn.PERCENTRANK.INC(Titanic[Edad Corrigida], B671), "")</f>
        <v/>
      </c>
      <c r="D671" s="10"/>
    </row>
    <row r="672" spans="2:4" x14ac:dyDescent="0.2">
      <c r="B672">
        <v>43</v>
      </c>
      <c r="C672" s="10">
        <f>IFERROR(_xlfn.PERCENTRANK.INC(Titanic[Edad Corrigida], B672), "")</f>
        <v>0.81200000000000006</v>
      </c>
      <c r="D672" s="10"/>
    </row>
    <row r="673" spans="2:4" x14ac:dyDescent="0.2">
      <c r="B673" t="str">
        <v/>
      </c>
      <c r="C673" s="10" t="str">
        <f>IFERROR(_xlfn.PERCENTRANK.INC(Titanic[Edad Corrigida], B673), "")</f>
        <v/>
      </c>
      <c r="D673" s="10"/>
    </row>
    <row r="674" spans="2:4" x14ac:dyDescent="0.2">
      <c r="B674">
        <v>40</v>
      </c>
      <c r="C674" s="10">
        <f>IFERROR(_xlfn.PERCENTRANK.INC(Titanic[Edad Corrigida], B674), "")</f>
        <v>0.76200000000000001</v>
      </c>
      <c r="D674" s="10"/>
    </row>
    <row r="675" spans="2:4" x14ac:dyDescent="0.2">
      <c r="B675">
        <v>31</v>
      </c>
      <c r="C675" s="10">
        <f>IFERROR(_xlfn.PERCENTRANK.INC(Titanic[Edad Corrigida], B675), "")</f>
        <v>0.56599999999999995</v>
      </c>
      <c r="D675" s="10"/>
    </row>
    <row r="676" spans="2:4" x14ac:dyDescent="0.2">
      <c r="B676">
        <v>70</v>
      </c>
      <c r="C676" s="10">
        <f>IFERROR(_xlfn.PERCENTRANK.INC(Titanic[Edad Corrigida], B676), "")</f>
        <v>0.98399999999999999</v>
      </c>
      <c r="D676" s="10"/>
    </row>
    <row r="677" spans="2:4" x14ac:dyDescent="0.2">
      <c r="B677">
        <v>31</v>
      </c>
      <c r="C677" s="10">
        <f>IFERROR(_xlfn.PERCENTRANK.INC(Titanic[Edad Corrigida], B677), "")</f>
        <v>0.56599999999999995</v>
      </c>
      <c r="D677" s="10"/>
    </row>
    <row r="678" spans="2:4" x14ac:dyDescent="0.2">
      <c r="B678" t="str">
        <v/>
      </c>
      <c r="C678" s="10" t="str">
        <f>IFERROR(_xlfn.PERCENTRANK.INC(Titanic[Edad Corrigida], B678), "")</f>
        <v/>
      </c>
      <c r="D678" s="10"/>
    </row>
    <row r="679" spans="2:4" x14ac:dyDescent="0.2">
      <c r="B679">
        <v>18</v>
      </c>
      <c r="C679" s="10">
        <f>IFERROR(_xlfn.PERCENTRANK.INC(Titanic[Edad Corrigida], B679), "")</f>
        <v>0.14799999999999999</v>
      </c>
      <c r="D679" s="10"/>
    </row>
    <row r="680" spans="2:4" x14ac:dyDescent="0.2">
      <c r="B680">
        <v>24.5</v>
      </c>
      <c r="C680" s="10">
        <f>IFERROR(_xlfn.PERCENTRANK.INC(Titanic[Edad Corrigida], B680), "")</f>
        <v>0.378</v>
      </c>
      <c r="D680" s="10"/>
    </row>
    <row r="681" spans="2:4" x14ac:dyDescent="0.2">
      <c r="B681">
        <v>18</v>
      </c>
      <c r="C681" s="10">
        <f>IFERROR(_xlfn.PERCENTRANK.INC(Titanic[Edad Corrigida], B681), "")</f>
        <v>0.14799999999999999</v>
      </c>
      <c r="D681" s="10"/>
    </row>
    <row r="682" spans="2:4" x14ac:dyDescent="0.2">
      <c r="B682">
        <v>43</v>
      </c>
      <c r="C682" s="10">
        <f>IFERROR(_xlfn.PERCENTRANK.INC(Titanic[Edad Corrigida], B682), "")</f>
        <v>0.81200000000000006</v>
      </c>
      <c r="D682" s="10"/>
    </row>
    <row r="683" spans="2:4" x14ac:dyDescent="0.2">
      <c r="B683">
        <v>36</v>
      </c>
      <c r="C683" s="10">
        <f>IFERROR(_xlfn.PERCENTRANK.INC(Titanic[Edad Corrigida], B683), "")</f>
        <v>0.68700000000000006</v>
      </c>
      <c r="D683" s="10"/>
    </row>
    <row r="684" spans="2:4" x14ac:dyDescent="0.2">
      <c r="B684" t="str">
        <v/>
      </c>
      <c r="C684" s="10" t="str">
        <f>IFERROR(_xlfn.PERCENTRANK.INC(Titanic[Edad Corrigida], B684), "")</f>
        <v/>
      </c>
      <c r="D684" s="10"/>
    </row>
    <row r="685" spans="2:4" x14ac:dyDescent="0.2">
      <c r="B685">
        <v>27</v>
      </c>
      <c r="C685" s="10">
        <f>IFERROR(_xlfn.PERCENTRANK.INC(Titanic[Edad Corrigida], B685), "")</f>
        <v>0.437</v>
      </c>
      <c r="D685" s="10"/>
    </row>
    <row r="686" spans="2:4" x14ac:dyDescent="0.2">
      <c r="B686">
        <v>20</v>
      </c>
      <c r="C686" s="10">
        <f>IFERROR(_xlfn.PERCENTRANK.INC(Titanic[Edad Corrigida], B686), "")</f>
        <v>0.22</v>
      </c>
      <c r="D686" s="10"/>
    </row>
    <row r="687" spans="2:4" x14ac:dyDescent="0.2">
      <c r="B687">
        <v>14</v>
      </c>
      <c r="C687" s="10">
        <f>IFERROR(_xlfn.PERCENTRANK.INC(Titanic[Edad Corrigida], B687), "")</f>
        <v>8.8999999999999996E-2</v>
      </c>
      <c r="D687" s="10"/>
    </row>
    <row r="688" spans="2:4" x14ac:dyDescent="0.2">
      <c r="B688">
        <v>60</v>
      </c>
      <c r="C688" s="10">
        <f>IFERROR(_xlfn.PERCENTRANK.INC(Titanic[Edad Corrigida], B688), "")</f>
        <v>0.95599999999999996</v>
      </c>
      <c r="D688" s="10"/>
    </row>
    <row r="689" spans="2:4" x14ac:dyDescent="0.2">
      <c r="B689">
        <v>25</v>
      </c>
      <c r="C689" s="10">
        <f>IFERROR(_xlfn.PERCENTRANK.INC(Titanic[Edad Corrigida], B689), "")</f>
        <v>0.38</v>
      </c>
      <c r="D689" s="10"/>
    </row>
    <row r="690" spans="2:4" x14ac:dyDescent="0.2">
      <c r="B690">
        <v>14</v>
      </c>
      <c r="C690" s="10">
        <f>IFERROR(_xlfn.PERCENTRANK.INC(Titanic[Edad Corrigida], B690), "")</f>
        <v>8.8999999999999996E-2</v>
      </c>
      <c r="D690" s="10"/>
    </row>
    <row r="691" spans="2:4" x14ac:dyDescent="0.2">
      <c r="B691">
        <v>19</v>
      </c>
      <c r="C691" s="10">
        <f>IFERROR(_xlfn.PERCENTRANK.INC(Titanic[Edad Corrigida], B691), "")</f>
        <v>0.185</v>
      </c>
      <c r="D691" s="10"/>
    </row>
    <row r="692" spans="2:4" x14ac:dyDescent="0.2">
      <c r="B692">
        <v>18</v>
      </c>
      <c r="C692" s="10">
        <f>IFERROR(_xlfn.PERCENTRANK.INC(Titanic[Edad Corrigida], B692), "")</f>
        <v>0.14799999999999999</v>
      </c>
      <c r="D692" s="10"/>
    </row>
    <row r="693" spans="2:4" x14ac:dyDescent="0.2">
      <c r="B693">
        <v>15</v>
      </c>
      <c r="C693" s="10">
        <f>IFERROR(_xlfn.PERCENTRANK.INC(Titanic[Edad Corrigida], B693), "")</f>
        <v>9.9000000000000005E-2</v>
      </c>
      <c r="D693" s="10"/>
    </row>
    <row r="694" spans="2:4" x14ac:dyDescent="0.2">
      <c r="B694">
        <v>31</v>
      </c>
      <c r="C694" s="10">
        <f>IFERROR(_xlfn.PERCENTRANK.INC(Titanic[Edad Corrigida], B694), "")</f>
        <v>0.56599999999999995</v>
      </c>
      <c r="D694" s="10"/>
    </row>
    <row r="695" spans="2:4" x14ac:dyDescent="0.2">
      <c r="B695">
        <v>4</v>
      </c>
      <c r="C695" s="10">
        <f>IFERROR(_xlfn.PERCENTRANK.INC(Titanic[Edad Corrigida], B695), "")</f>
        <v>3.2000000000000001E-2</v>
      </c>
      <c r="D695" s="10"/>
    </row>
    <row r="696" spans="2:4" x14ac:dyDescent="0.2">
      <c r="B696" t="str">
        <v/>
      </c>
      <c r="C696" s="10" t="str">
        <f>IFERROR(_xlfn.PERCENTRANK.INC(Titanic[Edad Corrigida], B696), "")</f>
        <v/>
      </c>
      <c r="D696" s="10"/>
    </row>
    <row r="697" spans="2:4" x14ac:dyDescent="0.2">
      <c r="B697">
        <v>25</v>
      </c>
      <c r="C697" s="10">
        <f>IFERROR(_xlfn.PERCENTRANK.INC(Titanic[Edad Corrigida], B697), "")</f>
        <v>0.38</v>
      </c>
      <c r="D697" s="10"/>
    </row>
    <row r="698" spans="2:4" x14ac:dyDescent="0.2">
      <c r="B698">
        <v>60</v>
      </c>
      <c r="C698" s="10">
        <f>IFERROR(_xlfn.PERCENTRANK.INC(Titanic[Edad Corrigida], B698), "")</f>
        <v>0.95599999999999996</v>
      </c>
      <c r="D698" s="10"/>
    </row>
    <row r="699" spans="2:4" x14ac:dyDescent="0.2">
      <c r="B699">
        <v>52</v>
      </c>
      <c r="C699" s="10">
        <f>IFERROR(_xlfn.PERCENTRANK.INC(Titanic[Edad Corrigida], B699), "")</f>
        <v>0.91300000000000003</v>
      </c>
      <c r="D699" s="10"/>
    </row>
    <row r="700" spans="2:4" x14ac:dyDescent="0.2">
      <c r="B700">
        <v>44</v>
      </c>
      <c r="C700" s="10">
        <f>IFERROR(_xlfn.PERCENTRANK.INC(Titanic[Edad Corrigida], B700), "")</f>
        <v>0.81899999999999995</v>
      </c>
      <c r="D700" s="10"/>
    </row>
    <row r="701" spans="2:4" x14ac:dyDescent="0.2">
      <c r="B701" t="str">
        <v/>
      </c>
      <c r="C701" s="10" t="str">
        <f>IFERROR(_xlfn.PERCENTRANK.INC(Titanic[Edad Corrigida], B701), "")</f>
        <v/>
      </c>
      <c r="D701" s="10"/>
    </row>
    <row r="702" spans="2:4" x14ac:dyDescent="0.2">
      <c r="B702">
        <v>49</v>
      </c>
      <c r="C702" s="10">
        <f>IFERROR(_xlfn.PERCENTRANK.INC(Titanic[Edad Corrigida], B702), "")</f>
        <v>0.88</v>
      </c>
      <c r="D702" s="10"/>
    </row>
    <row r="703" spans="2:4" x14ac:dyDescent="0.2">
      <c r="B703">
        <v>42</v>
      </c>
      <c r="C703" s="10">
        <f>IFERROR(_xlfn.PERCENTRANK.INC(Titanic[Edad Corrigida], B703), "")</f>
        <v>0.79200000000000004</v>
      </c>
      <c r="D703" s="10"/>
    </row>
    <row r="704" spans="2:4" x14ac:dyDescent="0.2">
      <c r="B704">
        <v>18</v>
      </c>
      <c r="C704" s="10">
        <f>IFERROR(_xlfn.PERCENTRANK.INC(Titanic[Edad Corrigida], B704), "")</f>
        <v>0.14799999999999999</v>
      </c>
      <c r="D704" s="10"/>
    </row>
    <row r="705" spans="2:4" x14ac:dyDescent="0.2">
      <c r="B705">
        <v>35</v>
      </c>
      <c r="C705" s="10">
        <f>IFERROR(_xlfn.PERCENTRANK.INC(Titanic[Edad Corrigida], B705), "")</f>
        <v>0.66100000000000003</v>
      </c>
      <c r="D705" s="10"/>
    </row>
    <row r="706" spans="2:4" x14ac:dyDescent="0.2">
      <c r="B706">
        <v>18</v>
      </c>
      <c r="C706" s="10">
        <f>IFERROR(_xlfn.PERCENTRANK.INC(Titanic[Edad Corrigida], B706), "")</f>
        <v>0.14799999999999999</v>
      </c>
      <c r="D706" s="10"/>
    </row>
    <row r="707" spans="2:4" x14ac:dyDescent="0.2">
      <c r="B707">
        <v>25</v>
      </c>
      <c r="C707" s="10">
        <f>IFERROR(_xlfn.PERCENTRANK.INC(Titanic[Edad Corrigida], B707), "")</f>
        <v>0.38</v>
      </c>
      <c r="D707" s="10"/>
    </row>
    <row r="708" spans="2:4" x14ac:dyDescent="0.2">
      <c r="B708">
        <v>26</v>
      </c>
      <c r="C708" s="10">
        <f>IFERROR(_xlfn.PERCENTRANK.INC(Titanic[Edad Corrigida], B708), "")</f>
        <v>0.41199999999999998</v>
      </c>
      <c r="D708" s="10"/>
    </row>
    <row r="709" spans="2:4" x14ac:dyDescent="0.2">
      <c r="B709">
        <v>39</v>
      </c>
      <c r="C709" s="10">
        <f>IFERROR(_xlfn.PERCENTRANK.INC(Titanic[Edad Corrigida], B709), "")</f>
        <v>0.74299999999999999</v>
      </c>
      <c r="D709" s="10"/>
    </row>
    <row r="710" spans="2:4" x14ac:dyDescent="0.2">
      <c r="B710">
        <v>45</v>
      </c>
      <c r="C710" s="10">
        <f>IFERROR(_xlfn.PERCENTRANK.INC(Titanic[Edad Corrigida], B710), "")</f>
        <v>0.83099999999999996</v>
      </c>
      <c r="D710" s="10"/>
    </row>
    <row r="711" spans="2:4" x14ac:dyDescent="0.2">
      <c r="B711">
        <v>42</v>
      </c>
      <c r="C711" s="10">
        <f>IFERROR(_xlfn.PERCENTRANK.INC(Titanic[Edad Corrigida], B711), "")</f>
        <v>0.79200000000000004</v>
      </c>
      <c r="D711" s="10"/>
    </row>
    <row r="712" spans="2:4" x14ac:dyDescent="0.2">
      <c r="B712">
        <v>22</v>
      </c>
      <c r="C712" s="10">
        <f>IFERROR(_xlfn.PERCENTRANK.INC(Titanic[Edad Corrigida], B712), "")</f>
        <v>0.27600000000000002</v>
      </c>
      <c r="D712" s="10"/>
    </row>
    <row r="713" spans="2:4" x14ac:dyDescent="0.2">
      <c r="B713" t="str">
        <v/>
      </c>
      <c r="C713" s="10" t="str">
        <f>IFERROR(_xlfn.PERCENTRANK.INC(Titanic[Edad Corrigida], B713), "")</f>
        <v/>
      </c>
      <c r="D713" s="10"/>
    </row>
    <row r="714" spans="2:4" x14ac:dyDescent="0.2">
      <c r="B714">
        <v>24</v>
      </c>
      <c r="C714" s="10">
        <f>IFERROR(_xlfn.PERCENTRANK.INC(Titanic[Edad Corrigida], B714), "")</f>
        <v>0.33600000000000002</v>
      </c>
      <c r="D714" s="10"/>
    </row>
    <row r="715" spans="2:4" x14ac:dyDescent="0.2">
      <c r="B715" t="str">
        <v/>
      </c>
      <c r="C715" s="10" t="str">
        <f>IFERROR(_xlfn.PERCENTRANK.INC(Titanic[Edad Corrigida], B715), "")</f>
        <v/>
      </c>
      <c r="D715" s="10"/>
    </row>
    <row r="716" spans="2:4" x14ac:dyDescent="0.2">
      <c r="B716">
        <v>48</v>
      </c>
      <c r="C716" s="10">
        <f>IFERROR(_xlfn.PERCENTRANK.INC(Titanic[Edad Corrigida], B716), "")</f>
        <v>0.86799999999999999</v>
      </c>
      <c r="D716" s="10"/>
    </row>
    <row r="717" spans="2:4" x14ac:dyDescent="0.2">
      <c r="B717">
        <v>29</v>
      </c>
      <c r="C717" s="10">
        <f>IFERROR(_xlfn.PERCENTRANK.INC(Titanic[Edad Corrigida], B717), "")</f>
        <v>0.5</v>
      </c>
      <c r="D717" s="10"/>
    </row>
    <row r="718" spans="2:4" x14ac:dyDescent="0.2">
      <c r="B718">
        <v>52</v>
      </c>
      <c r="C718" s="10">
        <f>IFERROR(_xlfn.PERCENTRANK.INC(Titanic[Edad Corrigida], B718), "")</f>
        <v>0.91300000000000003</v>
      </c>
      <c r="D718" s="10"/>
    </row>
    <row r="719" spans="2:4" x14ac:dyDescent="0.2">
      <c r="B719">
        <v>19</v>
      </c>
      <c r="C719" s="10">
        <f>IFERROR(_xlfn.PERCENTRANK.INC(Titanic[Edad Corrigida], B719), "")</f>
        <v>0.185</v>
      </c>
      <c r="D719" s="10"/>
    </row>
    <row r="720" spans="2:4" x14ac:dyDescent="0.2">
      <c r="B720">
        <v>38</v>
      </c>
      <c r="C720" s="10">
        <f>IFERROR(_xlfn.PERCENTRANK.INC(Titanic[Edad Corrigida], B720), "")</f>
        <v>0.72699999999999998</v>
      </c>
      <c r="D720" s="10"/>
    </row>
    <row r="721" spans="2:4" x14ac:dyDescent="0.2">
      <c r="B721">
        <v>27</v>
      </c>
      <c r="C721" s="10">
        <f>IFERROR(_xlfn.PERCENTRANK.INC(Titanic[Edad Corrigida], B721), "")</f>
        <v>0.437</v>
      </c>
      <c r="D721" s="10"/>
    </row>
    <row r="722" spans="2:4" x14ac:dyDescent="0.2">
      <c r="B722" t="str">
        <v/>
      </c>
      <c r="C722" s="10" t="str">
        <f>IFERROR(_xlfn.PERCENTRANK.INC(Titanic[Edad Corrigida], B722), "")</f>
        <v/>
      </c>
      <c r="D722" s="10"/>
    </row>
    <row r="723" spans="2:4" x14ac:dyDescent="0.2">
      <c r="B723">
        <v>33</v>
      </c>
      <c r="C723" s="10">
        <f>IFERROR(_xlfn.PERCENTRANK.INC(Titanic[Edad Corrigida], B723), "")</f>
        <v>0.61799999999999999</v>
      </c>
      <c r="D723" s="10"/>
    </row>
    <row r="724" spans="2:4" x14ac:dyDescent="0.2">
      <c r="B724">
        <v>6</v>
      </c>
      <c r="C724" s="10">
        <f>IFERROR(_xlfn.PERCENTRANK.INC(Titanic[Edad Corrigida], B724), "")</f>
        <v>5.0999999999999997E-2</v>
      </c>
      <c r="D724" s="10"/>
    </row>
    <row r="725" spans="2:4" x14ac:dyDescent="0.2">
      <c r="B725">
        <v>17</v>
      </c>
      <c r="C725" s="10">
        <f>IFERROR(_xlfn.PERCENTRANK.INC(Titanic[Edad Corrigida], B725), "")</f>
        <v>0.13</v>
      </c>
      <c r="D725" s="10"/>
    </row>
    <row r="726" spans="2:4" x14ac:dyDescent="0.2">
      <c r="B726">
        <v>34</v>
      </c>
      <c r="C726" s="10">
        <f>IFERROR(_xlfn.PERCENTRANK.INC(Titanic[Edad Corrigida], B726), "")</f>
        <v>0.63900000000000001</v>
      </c>
      <c r="D726" s="10"/>
    </row>
    <row r="727" spans="2:4" x14ac:dyDescent="0.2">
      <c r="B727">
        <v>50</v>
      </c>
      <c r="C727" s="10">
        <f>IFERROR(_xlfn.PERCENTRANK.INC(Titanic[Edad Corrigida], B727), "")</f>
        <v>0.88900000000000001</v>
      </c>
      <c r="D727" s="10"/>
    </row>
    <row r="728" spans="2:4" x14ac:dyDescent="0.2">
      <c r="B728">
        <v>27</v>
      </c>
      <c r="C728" s="10">
        <f>IFERROR(_xlfn.PERCENTRANK.INC(Titanic[Edad Corrigida], B728), "")</f>
        <v>0.437</v>
      </c>
      <c r="D728" s="10"/>
    </row>
    <row r="729" spans="2:4" x14ac:dyDescent="0.2">
      <c r="B729">
        <v>20</v>
      </c>
      <c r="C729" s="10">
        <f>IFERROR(_xlfn.PERCENTRANK.INC(Titanic[Edad Corrigida], B729), "")</f>
        <v>0.22</v>
      </c>
      <c r="D729" s="10"/>
    </row>
    <row r="730" spans="2:4" x14ac:dyDescent="0.2">
      <c r="B730">
        <v>30</v>
      </c>
      <c r="C730" s="10">
        <f>IFERROR(_xlfn.PERCENTRANK.INC(Titanic[Edad Corrigida], B730), "")</f>
        <v>0.52800000000000002</v>
      </c>
      <c r="D730" s="10"/>
    </row>
    <row r="731" spans="2:4" x14ac:dyDescent="0.2">
      <c r="B731" t="str">
        <v/>
      </c>
      <c r="C731" s="10" t="str">
        <f>IFERROR(_xlfn.PERCENTRANK.INC(Titanic[Edad Corrigida], B731), "")</f>
        <v/>
      </c>
      <c r="D731" s="10"/>
    </row>
    <row r="732" spans="2:4" x14ac:dyDescent="0.2">
      <c r="B732">
        <v>25</v>
      </c>
      <c r="C732" s="10">
        <f>IFERROR(_xlfn.PERCENTRANK.INC(Titanic[Edad Corrigida], B732), "")</f>
        <v>0.38</v>
      </c>
      <c r="D732" s="10"/>
    </row>
    <row r="733" spans="2:4" x14ac:dyDescent="0.2">
      <c r="B733">
        <v>25</v>
      </c>
      <c r="C733" s="10">
        <f>IFERROR(_xlfn.PERCENTRANK.INC(Titanic[Edad Corrigida], B733), "")</f>
        <v>0.38</v>
      </c>
      <c r="D733" s="10"/>
    </row>
    <row r="734" spans="2:4" x14ac:dyDescent="0.2">
      <c r="B734">
        <v>29</v>
      </c>
      <c r="C734" s="10">
        <f>IFERROR(_xlfn.PERCENTRANK.INC(Titanic[Edad Corrigida], B734), "")</f>
        <v>0.5</v>
      </c>
      <c r="D734" s="10"/>
    </row>
    <row r="735" spans="2:4" x14ac:dyDescent="0.2">
      <c r="B735">
        <v>11</v>
      </c>
      <c r="C735" s="10">
        <f>IFERROR(_xlfn.PERCENTRANK.INC(Titanic[Edad Corrigida], B735), "")</f>
        <v>7.9000000000000001E-2</v>
      </c>
      <c r="D735" s="10"/>
    </row>
    <row r="736" spans="2:4" x14ac:dyDescent="0.2">
      <c r="B736" t="str">
        <v/>
      </c>
      <c r="C736" s="10" t="str">
        <f>IFERROR(_xlfn.PERCENTRANK.INC(Titanic[Edad Corrigida], B736), "")</f>
        <v/>
      </c>
      <c r="D736" s="10"/>
    </row>
    <row r="737" spans="2:4" x14ac:dyDescent="0.2">
      <c r="B737">
        <v>23</v>
      </c>
      <c r="C737" s="10">
        <f>IFERROR(_xlfn.PERCENTRANK.INC(Titanic[Edad Corrigida], B737), "")</f>
        <v>0.314</v>
      </c>
      <c r="D737" s="10"/>
    </row>
    <row r="738" spans="2:4" x14ac:dyDescent="0.2">
      <c r="B738">
        <v>23</v>
      </c>
      <c r="C738" s="10">
        <f>IFERROR(_xlfn.PERCENTRANK.INC(Titanic[Edad Corrigida], B738), "")</f>
        <v>0.314</v>
      </c>
      <c r="D738" s="10"/>
    </row>
    <row r="739" spans="2:4" x14ac:dyDescent="0.2">
      <c r="B739">
        <v>28.5</v>
      </c>
      <c r="C739" s="10">
        <f>IFERROR(_xlfn.PERCENTRANK.INC(Titanic[Edad Corrigida], B739), "")</f>
        <v>0.497</v>
      </c>
      <c r="D739" s="10"/>
    </row>
    <row r="740" spans="2:4" x14ac:dyDescent="0.2">
      <c r="B740">
        <v>48</v>
      </c>
      <c r="C740" s="10">
        <f>IFERROR(_xlfn.PERCENTRANK.INC(Titanic[Edad Corrigida], B740), "")</f>
        <v>0.86799999999999999</v>
      </c>
      <c r="D740" s="10"/>
    </row>
    <row r="741" spans="2:4" x14ac:dyDescent="0.2">
      <c r="B741">
        <v>35</v>
      </c>
      <c r="C741" s="10">
        <f>IFERROR(_xlfn.PERCENTRANK.INC(Titanic[Edad Corrigida], B741), "")</f>
        <v>0.66100000000000003</v>
      </c>
      <c r="D741" s="10"/>
    </row>
    <row r="742" spans="2:4" x14ac:dyDescent="0.2">
      <c r="B742" t="str">
        <v/>
      </c>
      <c r="C742" s="10" t="str">
        <f>IFERROR(_xlfn.PERCENTRANK.INC(Titanic[Edad Corrigida], B742), "")</f>
        <v/>
      </c>
      <c r="D742" s="10"/>
    </row>
    <row r="743" spans="2:4" x14ac:dyDescent="0.2">
      <c r="B743" t="str">
        <v/>
      </c>
      <c r="C743" s="10" t="str">
        <f>IFERROR(_xlfn.PERCENTRANK.INC(Titanic[Edad Corrigida], B743), "")</f>
        <v/>
      </c>
      <c r="D743" s="10"/>
    </row>
    <row r="744" spans="2:4" x14ac:dyDescent="0.2">
      <c r="B744" t="str">
        <v/>
      </c>
      <c r="C744" s="10" t="str">
        <f>IFERROR(_xlfn.PERCENTRANK.INC(Titanic[Edad Corrigida], B744), "")</f>
        <v/>
      </c>
      <c r="D744" s="10"/>
    </row>
    <row r="745" spans="2:4" x14ac:dyDescent="0.2">
      <c r="B745">
        <v>36</v>
      </c>
      <c r="C745" s="10">
        <f>IFERROR(_xlfn.PERCENTRANK.INC(Titanic[Edad Corrigida], B745), "")</f>
        <v>0.68700000000000006</v>
      </c>
      <c r="D745" s="10"/>
    </row>
    <row r="746" spans="2:4" x14ac:dyDescent="0.2">
      <c r="B746">
        <v>21</v>
      </c>
      <c r="C746" s="10">
        <f>IFERROR(_xlfn.PERCENTRANK.INC(Titanic[Edad Corrigida], B746), "")</f>
        <v>0.24199999999999999</v>
      </c>
      <c r="D746" s="10"/>
    </row>
    <row r="747" spans="2:4" x14ac:dyDescent="0.2">
      <c r="B747">
        <v>24</v>
      </c>
      <c r="C747" s="10">
        <f>IFERROR(_xlfn.PERCENTRANK.INC(Titanic[Edad Corrigida], B747), "")</f>
        <v>0.33600000000000002</v>
      </c>
      <c r="D747" s="10"/>
    </row>
    <row r="748" spans="2:4" x14ac:dyDescent="0.2">
      <c r="B748">
        <v>31</v>
      </c>
      <c r="C748" s="10">
        <f>IFERROR(_xlfn.PERCENTRANK.INC(Titanic[Edad Corrigida], B748), "")</f>
        <v>0.56599999999999995</v>
      </c>
      <c r="D748" s="10"/>
    </row>
    <row r="749" spans="2:4" x14ac:dyDescent="0.2">
      <c r="B749">
        <v>70</v>
      </c>
      <c r="C749" s="10">
        <f>IFERROR(_xlfn.PERCENTRANK.INC(Titanic[Edad Corrigida], B749), "")</f>
        <v>0.98399999999999999</v>
      </c>
      <c r="D749" s="10"/>
    </row>
    <row r="750" spans="2:4" x14ac:dyDescent="0.2">
      <c r="B750">
        <v>16</v>
      </c>
      <c r="C750" s="10">
        <f>IFERROR(_xlfn.PERCENTRANK.INC(Titanic[Edad Corrigida], B750), "")</f>
        <v>0.106</v>
      </c>
      <c r="D750" s="10"/>
    </row>
    <row r="751" spans="2:4" x14ac:dyDescent="0.2">
      <c r="B751">
        <v>30</v>
      </c>
      <c r="C751" s="10">
        <f>IFERROR(_xlfn.PERCENTRANK.INC(Titanic[Edad Corrigida], B751), "")</f>
        <v>0.52800000000000002</v>
      </c>
      <c r="D751" s="10"/>
    </row>
    <row r="752" spans="2:4" x14ac:dyDescent="0.2">
      <c r="B752">
        <v>19</v>
      </c>
      <c r="C752" s="10">
        <f>IFERROR(_xlfn.PERCENTRANK.INC(Titanic[Edad Corrigida], B752), "")</f>
        <v>0.185</v>
      </c>
      <c r="D752" s="10"/>
    </row>
    <row r="753" spans="2:4" x14ac:dyDescent="0.2">
      <c r="B753">
        <v>31</v>
      </c>
      <c r="C753" s="10">
        <f>IFERROR(_xlfn.PERCENTRANK.INC(Titanic[Edad Corrigida], B753), "")</f>
        <v>0.56599999999999995</v>
      </c>
      <c r="D753" s="10"/>
    </row>
    <row r="754" spans="2:4" x14ac:dyDescent="0.2">
      <c r="B754">
        <v>4</v>
      </c>
      <c r="C754" s="10">
        <f>IFERROR(_xlfn.PERCENTRANK.INC(Titanic[Edad Corrigida], B754), "")</f>
        <v>3.2000000000000001E-2</v>
      </c>
      <c r="D754" s="10"/>
    </row>
    <row r="755" spans="2:4" x14ac:dyDescent="0.2">
      <c r="B755">
        <v>6</v>
      </c>
      <c r="C755" s="10">
        <f>IFERROR(_xlfn.PERCENTRANK.INC(Titanic[Edad Corrigida], B755), "")</f>
        <v>5.0999999999999997E-2</v>
      </c>
      <c r="D755" s="10"/>
    </row>
    <row r="756" spans="2:4" x14ac:dyDescent="0.2">
      <c r="B756">
        <v>33</v>
      </c>
      <c r="C756" s="10">
        <f>IFERROR(_xlfn.PERCENTRANK.INC(Titanic[Edad Corrigida], B756), "")</f>
        <v>0.61799999999999999</v>
      </c>
      <c r="D756" s="10"/>
    </row>
    <row r="757" spans="2:4" x14ac:dyDescent="0.2">
      <c r="B757">
        <v>23</v>
      </c>
      <c r="C757" s="10">
        <f>IFERROR(_xlfn.PERCENTRANK.INC(Titanic[Edad Corrigida], B757), "")</f>
        <v>0.314</v>
      </c>
      <c r="D757" s="10"/>
    </row>
    <row r="758" spans="2:4" x14ac:dyDescent="0.2">
      <c r="B758">
        <v>48</v>
      </c>
      <c r="C758" s="10">
        <f>IFERROR(_xlfn.PERCENTRANK.INC(Titanic[Edad Corrigida], B758), "")</f>
        <v>0.86799999999999999</v>
      </c>
      <c r="D758" s="10"/>
    </row>
    <row r="759" spans="2:4" x14ac:dyDescent="0.2">
      <c r="B759">
        <v>67</v>
      </c>
      <c r="C759" s="10">
        <f>IFERROR(_xlfn.PERCENTRANK.INC(Titanic[Edad Corrigida], B759), "")</f>
        <v>0.98299999999999998</v>
      </c>
      <c r="D759" s="10"/>
    </row>
    <row r="760" spans="2:4" x14ac:dyDescent="0.2">
      <c r="B760">
        <v>28</v>
      </c>
      <c r="C760" s="10">
        <f>IFERROR(_xlfn.PERCENTRANK.INC(Titanic[Edad Corrigida], B760), "")</f>
        <v>0.46200000000000002</v>
      </c>
      <c r="D760" s="10"/>
    </row>
    <row r="761" spans="2:4" x14ac:dyDescent="0.2">
      <c r="B761">
        <v>18</v>
      </c>
      <c r="C761" s="10">
        <f>IFERROR(_xlfn.PERCENTRANK.INC(Titanic[Edad Corrigida], B761), "")</f>
        <v>0.14799999999999999</v>
      </c>
      <c r="D761" s="10"/>
    </row>
    <row r="762" spans="2:4" x14ac:dyDescent="0.2">
      <c r="B762">
        <v>34</v>
      </c>
      <c r="C762" s="10">
        <f>IFERROR(_xlfn.PERCENTRANK.INC(Titanic[Edad Corrigida], B762), "")</f>
        <v>0.63900000000000001</v>
      </c>
      <c r="D762" s="10"/>
    </row>
    <row r="763" spans="2:4" x14ac:dyDescent="0.2">
      <c r="B763">
        <v>33</v>
      </c>
      <c r="C763" s="10">
        <f>IFERROR(_xlfn.PERCENTRANK.INC(Titanic[Edad Corrigida], B763), "")</f>
        <v>0.61799999999999999</v>
      </c>
      <c r="D763" s="10"/>
    </row>
    <row r="764" spans="2:4" x14ac:dyDescent="0.2">
      <c r="B764" t="str">
        <v/>
      </c>
      <c r="C764" s="10" t="str">
        <f>IFERROR(_xlfn.PERCENTRANK.INC(Titanic[Edad Corrigida], B764), "")</f>
        <v/>
      </c>
      <c r="D764" s="10"/>
    </row>
    <row r="765" spans="2:4" x14ac:dyDescent="0.2">
      <c r="B765">
        <v>41</v>
      </c>
      <c r="C765" s="10">
        <f>IFERROR(_xlfn.PERCENTRANK.INC(Titanic[Edad Corrigida], B765), "")</f>
        <v>0.78400000000000003</v>
      </c>
      <c r="D765" s="10"/>
    </row>
    <row r="766" spans="2:4" x14ac:dyDescent="0.2">
      <c r="B766">
        <v>20</v>
      </c>
      <c r="C766" s="10">
        <f>IFERROR(_xlfn.PERCENTRANK.INC(Titanic[Edad Corrigida], B766), "")</f>
        <v>0.22</v>
      </c>
      <c r="D766" s="10"/>
    </row>
    <row r="767" spans="2:4" x14ac:dyDescent="0.2">
      <c r="B767">
        <v>36</v>
      </c>
      <c r="C767" s="10">
        <f>IFERROR(_xlfn.PERCENTRANK.INC(Titanic[Edad Corrigida], B767), "")</f>
        <v>0.68700000000000006</v>
      </c>
      <c r="D767" s="10"/>
    </row>
    <row r="768" spans="2:4" x14ac:dyDescent="0.2">
      <c r="B768">
        <v>16</v>
      </c>
      <c r="C768" s="10">
        <f>IFERROR(_xlfn.PERCENTRANK.INC(Titanic[Edad Corrigida], B768), "")</f>
        <v>0.106</v>
      </c>
      <c r="D768" s="10"/>
    </row>
    <row r="769" spans="2:4" x14ac:dyDescent="0.2">
      <c r="B769">
        <v>51</v>
      </c>
      <c r="C769" s="10">
        <f>IFERROR(_xlfn.PERCENTRANK.INC(Titanic[Edad Corrigida], B769), "")</f>
        <v>0.90300000000000002</v>
      </c>
      <c r="D769" s="10"/>
    </row>
    <row r="770" spans="2:4" x14ac:dyDescent="0.2">
      <c r="B770" t="str">
        <v/>
      </c>
      <c r="C770" s="10" t="str">
        <f>IFERROR(_xlfn.PERCENTRANK.INC(Titanic[Edad Corrigida], B770), "")</f>
        <v/>
      </c>
      <c r="D770" s="10"/>
    </row>
    <row r="771" spans="2:4" x14ac:dyDescent="0.2">
      <c r="B771">
        <v>30.5</v>
      </c>
      <c r="C771" s="10">
        <f>IFERROR(_xlfn.PERCENTRANK.INC(Titanic[Edad Corrigida], B771), "")</f>
        <v>0.56299999999999994</v>
      </c>
      <c r="D771" s="10"/>
    </row>
    <row r="772" spans="2:4" x14ac:dyDescent="0.2">
      <c r="B772" t="str">
        <v/>
      </c>
      <c r="C772" s="10" t="str">
        <f>IFERROR(_xlfn.PERCENTRANK.INC(Titanic[Edad Corrigida], B772), "")</f>
        <v/>
      </c>
      <c r="D772" s="10"/>
    </row>
    <row r="773" spans="2:4" x14ac:dyDescent="0.2">
      <c r="B773">
        <v>32</v>
      </c>
      <c r="C773" s="10">
        <f>IFERROR(_xlfn.PERCENTRANK.INC(Titanic[Edad Corrigida], B773), "")</f>
        <v>0.59</v>
      </c>
      <c r="D773" s="10"/>
    </row>
    <row r="774" spans="2:4" x14ac:dyDescent="0.2">
      <c r="B774">
        <v>24</v>
      </c>
      <c r="C774" s="10">
        <f>IFERROR(_xlfn.PERCENTRANK.INC(Titanic[Edad Corrigida], B774), "")</f>
        <v>0.33600000000000002</v>
      </c>
      <c r="D774" s="10"/>
    </row>
    <row r="775" spans="2:4" x14ac:dyDescent="0.2">
      <c r="B775">
        <v>48</v>
      </c>
      <c r="C775" s="10">
        <f>IFERROR(_xlfn.PERCENTRANK.INC(Titanic[Edad Corrigida], B775), "")</f>
        <v>0.86799999999999999</v>
      </c>
      <c r="D775" s="10"/>
    </row>
    <row r="776" spans="2:4" x14ac:dyDescent="0.2">
      <c r="B776">
        <v>57</v>
      </c>
      <c r="C776" s="10">
        <f>IFERROR(_xlfn.PERCENTRANK.INC(Titanic[Edad Corrigida], B776), "")</f>
        <v>0.94299999999999995</v>
      </c>
      <c r="D776" s="10"/>
    </row>
    <row r="777" spans="2:4" x14ac:dyDescent="0.2">
      <c r="B777" t="str">
        <v/>
      </c>
      <c r="C777" s="10" t="str">
        <f>IFERROR(_xlfn.PERCENTRANK.INC(Titanic[Edad Corrigida], B777), "")</f>
        <v/>
      </c>
      <c r="D777" s="10"/>
    </row>
    <row r="778" spans="2:4" x14ac:dyDescent="0.2">
      <c r="B778">
        <v>54</v>
      </c>
      <c r="C778" s="10">
        <f>IFERROR(_xlfn.PERCENTRANK.INC(Titanic[Edad Corrigida], B778), "")</f>
        <v>0.92200000000000004</v>
      </c>
      <c r="D778" s="10"/>
    </row>
    <row r="779" spans="2:4" x14ac:dyDescent="0.2">
      <c r="B779">
        <v>18</v>
      </c>
      <c r="C779" s="10">
        <f>IFERROR(_xlfn.PERCENTRANK.INC(Titanic[Edad Corrigida], B779), "")</f>
        <v>0.14799999999999999</v>
      </c>
      <c r="D779" s="10"/>
    </row>
    <row r="780" spans="2:4" x14ac:dyDescent="0.2">
      <c r="B780" t="str">
        <v/>
      </c>
      <c r="C780" s="10" t="str">
        <f>IFERROR(_xlfn.PERCENTRANK.INC(Titanic[Edad Corrigida], B780), "")</f>
        <v/>
      </c>
      <c r="D780" s="10"/>
    </row>
    <row r="781" spans="2:4" x14ac:dyDescent="0.2">
      <c r="B781">
        <v>5</v>
      </c>
      <c r="C781" s="10">
        <f>IFERROR(_xlfn.PERCENTRANK.INC(Titanic[Edad Corrigida], B781), "")</f>
        <v>4.5999999999999999E-2</v>
      </c>
      <c r="D781" s="10"/>
    </row>
    <row r="782" spans="2:4" x14ac:dyDescent="0.2">
      <c r="B782" t="str">
        <v/>
      </c>
      <c r="C782" s="10" t="str">
        <f>IFERROR(_xlfn.PERCENTRANK.INC(Titanic[Edad Corrigida], B782), "")</f>
        <v/>
      </c>
      <c r="D782" s="10"/>
    </row>
    <row r="783" spans="2:4" x14ac:dyDescent="0.2">
      <c r="B783">
        <v>43</v>
      </c>
      <c r="C783" s="10">
        <f>IFERROR(_xlfn.PERCENTRANK.INC(Titanic[Edad Corrigida], B783), "")</f>
        <v>0.81200000000000006</v>
      </c>
      <c r="D783" s="10"/>
    </row>
    <row r="784" spans="2:4" x14ac:dyDescent="0.2">
      <c r="B784">
        <v>13</v>
      </c>
      <c r="C784" s="10">
        <f>IFERROR(_xlfn.PERCENTRANK.INC(Titanic[Edad Corrigida], B784), "")</f>
        <v>8.5999999999999993E-2</v>
      </c>
      <c r="D784" s="10"/>
    </row>
    <row r="785" spans="2:4" x14ac:dyDescent="0.2">
      <c r="B785">
        <v>17</v>
      </c>
      <c r="C785" s="10">
        <f>IFERROR(_xlfn.PERCENTRANK.INC(Titanic[Edad Corrigida], B785), "")</f>
        <v>0.13</v>
      </c>
      <c r="D785" s="10"/>
    </row>
    <row r="786" spans="2:4" x14ac:dyDescent="0.2">
      <c r="B786">
        <v>29</v>
      </c>
      <c r="C786" s="10">
        <f>IFERROR(_xlfn.PERCENTRANK.INC(Titanic[Edad Corrigida], B786), "")</f>
        <v>0.5</v>
      </c>
      <c r="D786" s="10"/>
    </row>
    <row r="787" spans="2:4" x14ac:dyDescent="0.2">
      <c r="B787" t="str">
        <v/>
      </c>
      <c r="C787" s="10" t="str">
        <f>IFERROR(_xlfn.PERCENTRANK.INC(Titanic[Edad Corrigida], B787), "")</f>
        <v/>
      </c>
      <c r="D787" s="10"/>
    </row>
    <row r="788" spans="2:4" x14ac:dyDescent="0.2">
      <c r="B788">
        <v>25</v>
      </c>
      <c r="C788" s="10">
        <f>IFERROR(_xlfn.PERCENTRANK.INC(Titanic[Edad Corrigida], B788), "")</f>
        <v>0.38</v>
      </c>
      <c r="D788" s="10"/>
    </row>
    <row r="789" spans="2:4" x14ac:dyDescent="0.2">
      <c r="B789">
        <v>25</v>
      </c>
      <c r="C789" s="10">
        <f>IFERROR(_xlfn.PERCENTRANK.INC(Titanic[Edad Corrigida], B789), "")</f>
        <v>0.38</v>
      </c>
      <c r="D789" s="10"/>
    </row>
    <row r="790" spans="2:4" x14ac:dyDescent="0.2">
      <c r="B790">
        <v>18</v>
      </c>
      <c r="C790" s="10">
        <f>IFERROR(_xlfn.PERCENTRANK.INC(Titanic[Edad Corrigida], B790), "")</f>
        <v>0.14799999999999999</v>
      </c>
      <c r="D790" s="10"/>
    </row>
    <row r="791" spans="2:4" x14ac:dyDescent="0.2">
      <c r="B791">
        <v>8</v>
      </c>
      <c r="C791" s="10">
        <f>IFERROR(_xlfn.PERCENTRANK.INC(Titanic[Edad Corrigida], B791), "")</f>
        <v>0.06</v>
      </c>
      <c r="D791" s="10"/>
    </row>
    <row r="792" spans="2:4" x14ac:dyDescent="0.2">
      <c r="B792">
        <v>1</v>
      </c>
      <c r="C792" s="10">
        <f>IFERROR(_xlfn.PERCENTRANK.INC(Titanic[Edad Corrigida], B792), "")</f>
        <v>0</v>
      </c>
      <c r="D792" s="10"/>
    </row>
    <row r="793" spans="2:4" x14ac:dyDescent="0.2">
      <c r="B793">
        <v>46</v>
      </c>
      <c r="C793" s="10">
        <f>IFERROR(_xlfn.PERCENTRANK.INC(Titanic[Edad Corrigida], B793), "")</f>
        <v>0.85099999999999998</v>
      </c>
      <c r="D793" s="10"/>
    </row>
    <row r="794" spans="2:4" x14ac:dyDescent="0.2">
      <c r="B794" t="str">
        <v/>
      </c>
      <c r="C794" s="10" t="str">
        <f>IFERROR(_xlfn.PERCENTRANK.INC(Titanic[Edad Corrigida], B794), "")</f>
        <v/>
      </c>
      <c r="D794" s="10"/>
    </row>
    <row r="795" spans="2:4" x14ac:dyDescent="0.2">
      <c r="B795">
        <v>16</v>
      </c>
      <c r="C795" s="10">
        <f>IFERROR(_xlfn.PERCENTRANK.INC(Titanic[Edad Corrigida], B795), "")</f>
        <v>0.106</v>
      </c>
      <c r="D795" s="10"/>
    </row>
    <row r="796" spans="2:4" x14ac:dyDescent="0.2">
      <c r="B796" t="str">
        <v/>
      </c>
      <c r="C796" s="10" t="str">
        <f>IFERROR(_xlfn.PERCENTRANK.INC(Titanic[Edad Corrigida], B796), "")</f>
        <v/>
      </c>
      <c r="D796" s="10"/>
    </row>
    <row r="797" spans="2:4" x14ac:dyDescent="0.2">
      <c r="B797" t="str">
        <v/>
      </c>
      <c r="C797" s="10" t="str">
        <f>IFERROR(_xlfn.PERCENTRANK.INC(Titanic[Edad Corrigida], B797), "")</f>
        <v/>
      </c>
      <c r="D797" s="10"/>
    </row>
    <row r="798" spans="2:4" x14ac:dyDescent="0.2">
      <c r="B798">
        <v>25</v>
      </c>
      <c r="C798" s="10">
        <f>IFERROR(_xlfn.PERCENTRANK.INC(Titanic[Edad Corrigida], B798), "")</f>
        <v>0.38</v>
      </c>
      <c r="D798" s="10"/>
    </row>
    <row r="799" spans="2:4" x14ac:dyDescent="0.2">
      <c r="B799">
        <v>39</v>
      </c>
      <c r="C799" s="10">
        <f>IFERROR(_xlfn.PERCENTRANK.INC(Titanic[Edad Corrigida], B799), "")</f>
        <v>0.74299999999999999</v>
      </c>
      <c r="D799" s="10"/>
    </row>
    <row r="800" spans="2:4" x14ac:dyDescent="0.2">
      <c r="B800">
        <v>49</v>
      </c>
      <c r="C800" s="10">
        <f>IFERROR(_xlfn.PERCENTRANK.INC(Titanic[Edad Corrigida], B800), "")</f>
        <v>0.88</v>
      </c>
      <c r="D800" s="10"/>
    </row>
    <row r="801" spans="2:4" x14ac:dyDescent="0.2">
      <c r="B801">
        <v>31</v>
      </c>
      <c r="C801" s="10">
        <f>IFERROR(_xlfn.PERCENTRANK.INC(Titanic[Edad Corrigida], B801), "")</f>
        <v>0.56599999999999995</v>
      </c>
      <c r="D801" s="10"/>
    </row>
    <row r="802" spans="2:4" x14ac:dyDescent="0.2">
      <c r="B802">
        <v>30</v>
      </c>
      <c r="C802" s="10">
        <f>IFERROR(_xlfn.PERCENTRANK.INC(Titanic[Edad Corrigida], B802), "")</f>
        <v>0.52800000000000002</v>
      </c>
      <c r="D802" s="10"/>
    </row>
    <row r="803" spans="2:4" x14ac:dyDescent="0.2">
      <c r="B803">
        <v>30</v>
      </c>
      <c r="C803" s="10">
        <f>IFERROR(_xlfn.PERCENTRANK.INC(Titanic[Edad Corrigida], B803), "")</f>
        <v>0.52800000000000002</v>
      </c>
      <c r="D803" s="10"/>
    </row>
    <row r="804" spans="2:4" x14ac:dyDescent="0.2">
      <c r="B804">
        <v>34</v>
      </c>
      <c r="C804" s="10">
        <f>IFERROR(_xlfn.PERCENTRANK.INC(Titanic[Edad Corrigida], B804), "")</f>
        <v>0.63900000000000001</v>
      </c>
      <c r="D804" s="10"/>
    </row>
    <row r="805" spans="2:4" x14ac:dyDescent="0.2">
      <c r="B805">
        <v>31</v>
      </c>
      <c r="C805" s="10">
        <f>IFERROR(_xlfn.PERCENTRANK.INC(Titanic[Edad Corrigida], B805), "")</f>
        <v>0.56599999999999995</v>
      </c>
      <c r="D805" s="10"/>
    </row>
    <row r="806" spans="2:4" x14ac:dyDescent="0.2">
      <c r="B806">
        <v>11</v>
      </c>
      <c r="C806" s="10">
        <f>IFERROR(_xlfn.PERCENTRANK.INC(Titanic[Edad Corrigida], B806), "")</f>
        <v>7.9000000000000001E-2</v>
      </c>
      <c r="D806" s="10"/>
    </row>
    <row r="807" spans="2:4" x14ac:dyDescent="0.2">
      <c r="B807">
        <v>42</v>
      </c>
      <c r="C807" s="10">
        <f>IFERROR(_xlfn.PERCENTRANK.INC(Titanic[Edad Corrigida], B807), "")</f>
        <v>0.79200000000000004</v>
      </c>
      <c r="D807" s="10"/>
    </row>
    <row r="808" spans="2:4" x14ac:dyDescent="0.2">
      <c r="B808">
        <v>27</v>
      </c>
      <c r="C808" s="10">
        <f>IFERROR(_xlfn.PERCENTRANK.INC(Titanic[Edad Corrigida], B808), "")</f>
        <v>0.437</v>
      </c>
      <c r="D808" s="10"/>
    </row>
    <row r="809" spans="2:4" x14ac:dyDescent="0.2">
      <c r="B809">
        <v>31</v>
      </c>
      <c r="C809" s="10">
        <f>IFERROR(_xlfn.PERCENTRANK.INC(Titanic[Edad Corrigida], B809), "")</f>
        <v>0.56599999999999995</v>
      </c>
      <c r="D809" s="10"/>
    </row>
    <row r="810" spans="2:4" x14ac:dyDescent="0.2">
      <c r="B810">
        <v>39</v>
      </c>
      <c r="C810" s="10">
        <f>IFERROR(_xlfn.PERCENTRANK.INC(Titanic[Edad Corrigida], B810), "")</f>
        <v>0.74299999999999999</v>
      </c>
      <c r="D810" s="10"/>
    </row>
    <row r="811" spans="2:4" x14ac:dyDescent="0.2">
      <c r="B811">
        <v>18</v>
      </c>
      <c r="C811" s="10">
        <f>IFERROR(_xlfn.PERCENTRANK.INC(Titanic[Edad Corrigida], B811), "")</f>
        <v>0.14799999999999999</v>
      </c>
      <c r="D811" s="10"/>
    </row>
    <row r="812" spans="2:4" x14ac:dyDescent="0.2">
      <c r="B812">
        <v>39</v>
      </c>
      <c r="C812" s="10">
        <f>IFERROR(_xlfn.PERCENTRANK.INC(Titanic[Edad Corrigida], B812), "")</f>
        <v>0.74299999999999999</v>
      </c>
      <c r="D812" s="10"/>
    </row>
    <row r="813" spans="2:4" x14ac:dyDescent="0.2">
      <c r="B813">
        <v>33</v>
      </c>
      <c r="C813" s="10">
        <f>IFERROR(_xlfn.PERCENTRANK.INC(Titanic[Edad Corrigida], B813), "")</f>
        <v>0.61799999999999999</v>
      </c>
      <c r="D813" s="10"/>
    </row>
    <row r="814" spans="2:4" x14ac:dyDescent="0.2">
      <c r="B814">
        <v>26</v>
      </c>
      <c r="C814" s="10">
        <f>IFERROR(_xlfn.PERCENTRANK.INC(Titanic[Edad Corrigida], B814), "")</f>
        <v>0.41199999999999998</v>
      </c>
      <c r="D814" s="10"/>
    </row>
    <row r="815" spans="2:4" x14ac:dyDescent="0.2">
      <c r="B815">
        <v>39</v>
      </c>
      <c r="C815" s="10">
        <f>IFERROR(_xlfn.PERCENTRANK.INC(Titanic[Edad Corrigida], B815), "")</f>
        <v>0.74299999999999999</v>
      </c>
      <c r="D815" s="10"/>
    </row>
    <row r="816" spans="2:4" x14ac:dyDescent="0.2">
      <c r="B816">
        <v>35</v>
      </c>
      <c r="C816" s="10">
        <f>IFERROR(_xlfn.PERCENTRANK.INC(Titanic[Edad Corrigida], B816), "")</f>
        <v>0.66100000000000003</v>
      </c>
      <c r="D816" s="10"/>
    </row>
    <row r="817" spans="2:4" x14ac:dyDescent="0.2">
      <c r="B817">
        <v>6</v>
      </c>
      <c r="C817" s="10">
        <f>IFERROR(_xlfn.PERCENTRANK.INC(Titanic[Edad Corrigida], B817), "")</f>
        <v>5.0999999999999997E-2</v>
      </c>
      <c r="D817" s="10"/>
    </row>
    <row r="818" spans="2:4" x14ac:dyDescent="0.2">
      <c r="B818">
        <v>30.5</v>
      </c>
      <c r="C818" s="10">
        <f>IFERROR(_xlfn.PERCENTRANK.INC(Titanic[Edad Corrigida], B818), "")</f>
        <v>0.56299999999999994</v>
      </c>
      <c r="D818" s="10"/>
    </row>
    <row r="819" spans="2:4" x14ac:dyDescent="0.2">
      <c r="B819" t="str">
        <v/>
      </c>
      <c r="C819" s="10" t="str">
        <f>IFERROR(_xlfn.PERCENTRANK.INC(Titanic[Edad Corrigida], B819), "")</f>
        <v/>
      </c>
      <c r="D819" s="10"/>
    </row>
    <row r="820" spans="2:4" x14ac:dyDescent="0.2">
      <c r="B820">
        <v>23</v>
      </c>
      <c r="C820" s="10">
        <f>IFERROR(_xlfn.PERCENTRANK.INC(Titanic[Edad Corrigida], B820), "")</f>
        <v>0.314</v>
      </c>
      <c r="D820" s="10"/>
    </row>
    <row r="821" spans="2:4" x14ac:dyDescent="0.2">
      <c r="B821">
        <v>31</v>
      </c>
      <c r="C821" s="10">
        <f>IFERROR(_xlfn.PERCENTRANK.INC(Titanic[Edad Corrigida], B821), "")</f>
        <v>0.56599999999999995</v>
      </c>
      <c r="D821" s="10"/>
    </row>
    <row r="822" spans="2:4" x14ac:dyDescent="0.2">
      <c r="B822">
        <v>43</v>
      </c>
      <c r="C822" s="10">
        <f>IFERROR(_xlfn.PERCENTRANK.INC(Titanic[Edad Corrigida], B822), "")</f>
        <v>0.81200000000000006</v>
      </c>
      <c r="D822" s="10"/>
    </row>
    <row r="823" spans="2:4" x14ac:dyDescent="0.2">
      <c r="B823">
        <v>10</v>
      </c>
      <c r="C823" s="10">
        <f>IFERROR(_xlfn.PERCENTRANK.INC(Titanic[Edad Corrigida], B823), "")</f>
        <v>7.6999999999999999E-2</v>
      </c>
      <c r="D823" s="10"/>
    </row>
    <row r="824" spans="2:4" x14ac:dyDescent="0.2">
      <c r="B824">
        <v>52</v>
      </c>
      <c r="C824" s="10">
        <f>IFERROR(_xlfn.PERCENTRANK.INC(Titanic[Edad Corrigida], B824), "")</f>
        <v>0.91300000000000003</v>
      </c>
      <c r="D824" s="10"/>
    </row>
    <row r="825" spans="2:4" x14ac:dyDescent="0.2">
      <c r="B825">
        <v>27</v>
      </c>
      <c r="C825" s="10">
        <f>IFERROR(_xlfn.PERCENTRANK.INC(Titanic[Edad Corrigida], B825), "")</f>
        <v>0.437</v>
      </c>
      <c r="D825" s="10"/>
    </row>
    <row r="826" spans="2:4" x14ac:dyDescent="0.2">
      <c r="B826">
        <v>38</v>
      </c>
      <c r="C826" s="10">
        <f>IFERROR(_xlfn.PERCENTRANK.INC(Titanic[Edad Corrigida], B826), "")</f>
        <v>0.72699999999999998</v>
      </c>
      <c r="D826" s="10"/>
    </row>
    <row r="827" spans="2:4" x14ac:dyDescent="0.2">
      <c r="B827">
        <v>27</v>
      </c>
      <c r="C827" s="10">
        <f>IFERROR(_xlfn.PERCENTRANK.INC(Titanic[Edad Corrigida], B827), "")</f>
        <v>0.437</v>
      </c>
      <c r="D827" s="10"/>
    </row>
    <row r="828" spans="2:4" x14ac:dyDescent="0.2">
      <c r="B828">
        <v>2</v>
      </c>
      <c r="C828" s="10">
        <f>IFERROR(_xlfn.PERCENTRANK.INC(Titanic[Edad Corrigida], B828), "")</f>
        <v>8.9999999999999993E-3</v>
      </c>
      <c r="D828" s="10"/>
    </row>
    <row r="829" spans="2:4" x14ac:dyDescent="0.2">
      <c r="B829" t="str">
        <v/>
      </c>
      <c r="C829" s="10" t="str">
        <f>IFERROR(_xlfn.PERCENTRANK.INC(Titanic[Edad Corrigida], B829), "")</f>
        <v/>
      </c>
      <c r="D829" s="10"/>
    </row>
    <row r="830" spans="2:4" x14ac:dyDescent="0.2">
      <c r="B830" t="str">
        <v/>
      </c>
      <c r="C830" s="10" t="str">
        <f>IFERROR(_xlfn.PERCENTRANK.INC(Titanic[Edad Corrigida], B830), "")</f>
        <v/>
      </c>
      <c r="D830" s="10"/>
    </row>
    <row r="831" spans="2:4" x14ac:dyDescent="0.2">
      <c r="B831">
        <v>1</v>
      </c>
      <c r="C831" s="10">
        <f>IFERROR(_xlfn.PERCENTRANK.INC(Titanic[Edad Corrigida], B831), "")</f>
        <v>0</v>
      </c>
      <c r="D831" s="10"/>
    </row>
    <row r="832" spans="2:4" x14ac:dyDescent="0.2">
      <c r="B832" t="str">
        <v/>
      </c>
      <c r="C832" s="10" t="str">
        <f>IFERROR(_xlfn.PERCENTRANK.INC(Titanic[Edad Corrigida], B832), "")</f>
        <v/>
      </c>
      <c r="D832" s="10"/>
    </row>
    <row r="833" spans="2:4" x14ac:dyDescent="0.2">
      <c r="B833">
        <v>62</v>
      </c>
      <c r="C833" s="10">
        <f>IFERROR(_xlfn.PERCENTRANK.INC(Titanic[Edad Corrigida], B833), "")</f>
        <v>0.96599999999999997</v>
      </c>
      <c r="D833" s="10"/>
    </row>
    <row r="834" spans="2:4" x14ac:dyDescent="0.2">
      <c r="B834">
        <v>15</v>
      </c>
      <c r="C834" s="10">
        <f>IFERROR(_xlfn.PERCENTRANK.INC(Titanic[Edad Corrigida], B834), "")</f>
        <v>9.9000000000000005E-2</v>
      </c>
      <c r="D834" s="10"/>
    </row>
    <row r="835" spans="2:4" x14ac:dyDescent="0.2">
      <c r="B835">
        <v>83</v>
      </c>
      <c r="C835" s="10">
        <f>IFERROR(_xlfn.PERCENTRANK.INC(Titanic[Edad Corrigida], B835), "")</f>
        <v>0.997</v>
      </c>
      <c r="D835" s="10"/>
    </row>
    <row r="836" spans="2:4" x14ac:dyDescent="0.2">
      <c r="B836" t="str">
        <v/>
      </c>
      <c r="C836" s="10" t="str">
        <f>IFERROR(_xlfn.PERCENTRANK.INC(Titanic[Edad Corrigida], B836), "")</f>
        <v/>
      </c>
      <c r="D836" s="10"/>
    </row>
    <row r="837" spans="2:4" x14ac:dyDescent="0.2">
      <c r="B837">
        <v>23</v>
      </c>
      <c r="C837" s="10">
        <f>IFERROR(_xlfn.PERCENTRANK.INC(Titanic[Edad Corrigida], B837), "")</f>
        <v>0.314</v>
      </c>
      <c r="D837" s="10"/>
    </row>
    <row r="838" spans="2:4" x14ac:dyDescent="0.2">
      <c r="B838">
        <v>18</v>
      </c>
      <c r="C838" s="10">
        <f>IFERROR(_xlfn.PERCENTRANK.INC(Titanic[Edad Corrigida], B838), "")</f>
        <v>0.14799999999999999</v>
      </c>
      <c r="D838" s="10"/>
    </row>
    <row r="839" spans="2:4" x14ac:dyDescent="0.2">
      <c r="B839">
        <v>39</v>
      </c>
      <c r="C839" s="10">
        <f>IFERROR(_xlfn.PERCENTRANK.INC(Titanic[Edad Corrigida], B839), "")</f>
        <v>0.74299999999999999</v>
      </c>
      <c r="D839" s="10"/>
    </row>
    <row r="840" spans="2:4" x14ac:dyDescent="0.2">
      <c r="B840">
        <v>21</v>
      </c>
      <c r="C840" s="10">
        <f>IFERROR(_xlfn.PERCENTRANK.INC(Titanic[Edad Corrigida], B840), "")</f>
        <v>0.24199999999999999</v>
      </c>
      <c r="D840" s="10"/>
    </row>
    <row r="841" spans="2:4" x14ac:dyDescent="0.2">
      <c r="B841" t="str">
        <v/>
      </c>
      <c r="C841" s="10" t="str">
        <f>IFERROR(_xlfn.PERCENTRANK.INC(Titanic[Edad Corrigida], B841), "")</f>
        <v/>
      </c>
      <c r="D841" s="10"/>
    </row>
    <row r="842" spans="2:4" x14ac:dyDescent="0.2">
      <c r="B842">
        <v>32</v>
      </c>
      <c r="C842" s="10">
        <f>IFERROR(_xlfn.PERCENTRANK.INC(Titanic[Edad Corrigida], B842), "")</f>
        <v>0.59</v>
      </c>
      <c r="D842" s="10"/>
    </row>
    <row r="843" spans="2:4" x14ac:dyDescent="0.2">
      <c r="B843" t="str">
        <v/>
      </c>
      <c r="C843" s="10" t="str">
        <f>IFERROR(_xlfn.PERCENTRANK.INC(Titanic[Edad Corrigida], B843), "")</f>
        <v/>
      </c>
      <c r="D843" s="10"/>
    </row>
    <row r="844" spans="2:4" x14ac:dyDescent="0.2">
      <c r="B844">
        <v>20</v>
      </c>
      <c r="C844" s="10">
        <f>IFERROR(_xlfn.PERCENTRANK.INC(Titanic[Edad Corrigida], B844), "")</f>
        <v>0.22</v>
      </c>
      <c r="D844" s="10"/>
    </row>
    <row r="845" spans="2:4" x14ac:dyDescent="0.2">
      <c r="B845">
        <v>16</v>
      </c>
      <c r="C845" s="10">
        <f>IFERROR(_xlfn.PERCENTRANK.INC(Titanic[Edad Corrigida], B845), "")</f>
        <v>0.106</v>
      </c>
      <c r="D845" s="10"/>
    </row>
    <row r="846" spans="2:4" x14ac:dyDescent="0.2">
      <c r="B846">
        <v>30</v>
      </c>
      <c r="C846" s="10">
        <f>IFERROR(_xlfn.PERCENTRANK.INC(Titanic[Edad Corrigida], B846), "")</f>
        <v>0.52800000000000002</v>
      </c>
      <c r="D846" s="10"/>
    </row>
    <row r="847" spans="2:4" x14ac:dyDescent="0.2">
      <c r="B847">
        <v>34.5</v>
      </c>
      <c r="C847" s="10">
        <f>IFERROR(_xlfn.PERCENTRANK.INC(Titanic[Edad Corrigida], B847), "")</f>
        <v>0.66</v>
      </c>
      <c r="D847" s="10"/>
    </row>
    <row r="848" spans="2:4" x14ac:dyDescent="0.2">
      <c r="B848">
        <v>17</v>
      </c>
      <c r="C848" s="10">
        <f>IFERROR(_xlfn.PERCENTRANK.INC(Titanic[Edad Corrigida], B848), "")</f>
        <v>0.13</v>
      </c>
      <c r="D848" s="10"/>
    </row>
    <row r="849" spans="2:4" x14ac:dyDescent="0.2">
      <c r="B849">
        <v>42</v>
      </c>
      <c r="C849" s="10">
        <f>IFERROR(_xlfn.PERCENTRANK.INC(Titanic[Edad Corrigida], B849), "")</f>
        <v>0.79200000000000004</v>
      </c>
      <c r="D849" s="10"/>
    </row>
    <row r="850" spans="2:4" x14ac:dyDescent="0.2">
      <c r="B850" t="str">
        <v/>
      </c>
      <c r="C850" s="10" t="str">
        <f>IFERROR(_xlfn.PERCENTRANK.INC(Titanic[Edad Corrigida], B850), "")</f>
        <v/>
      </c>
      <c r="D850" s="10"/>
    </row>
    <row r="851" spans="2:4" x14ac:dyDescent="0.2">
      <c r="B851">
        <v>35</v>
      </c>
      <c r="C851" s="10">
        <f>IFERROR(_xlfn.PERCENTRANK.INC(Titanic[Edad Corrigida], B851), "")</f>
        <v>0.66100000000000003</v>
      </c>
      <c r="D851" s="10"/>
    </row>
    <row r="852" spans="2:4" x14ac:dyDescent="0.2">
      <c r="B852">
        <v>28</v>
      </c>
      <c r="C852" s="10">
        <f>IFERROR(_xlfn.PERCENTRANK.INC(Titanic[Edad Corrigida], B852), "")</f>
        <v>0.46200000000000002</v>
      </c>
      <c r="D852" s="10"/>
    </row>
    <row r="853" spans="2:4" x14ac:dyDescent="0.2">
      <c r="B853" t="str">
        <v/>
      </c>
      <c r="C853" s="10" t="str">
        <f>IFERROR(_xlfn.PERCENTRANK.INC(Titanic[Edad Corrigida], B853), "")</f>
        <v/>
      </c>
      <c r="D853" s="10"/>
    </row>
    <row r="854" spans="2:4" x14ac:dyDescent="0.2">
      <c r="B854">
        <v>4</v>
      </c>
      <c r="C854" s="10">
        <f>IFERROR(_xlfn.PERCENTRANK.INC(Titanic[Edad Corrigida], B854), "")</f>
        <v>3.2000000000000001E-2</v>
      </c>
      <c r="D854" s="10"/>
    </row>
    <row r="855" spans="2:4" x14ac:dyDescent="0.2">
      <c r="B855">
        <v>74</v>
      </c>
      <c r="C855" s="10">
        <f>IFERROR(_xlfn.PERCENTRANK.INC(Titanic[Edad Corrigida], B855), "")</f>
        <v>0.99099999999999999</v>
      </c>
      <c r="D855" s="10"/>
    </row>
    <row r="856" spans="2:4" x14ac:dyDescent="0.2">
      <c r="B856">
        <v>9</v>
      </c>
      <c r="C856" s="10">
        <f>IFERROR(_xlfn.PERCENTRANK.INC(Titanic[Edad Corrigida], B856), "")</f>
        <v>6.5000000000000002E-2</v>
      </c>
      <c r="D856" s="10"/>
    </row>
    <row r="857" spans="2:4" x14ac:dyDescent="0.2">
      <c r="B857">
        <v>16</v>
      </c>
      <c r="C857" s="10">
        <f>IFERROR(_xlfn.PERCENTRANK.INC(Titanic[Edad Corrigida], B857), "")</f>
        <v>0.106</v>
      </c>
      <c r="D857" s="10"/>
    </row>
    <row r="858" spans="2:4" x14ac:dyDescent="0.2">
      <c r="B858">
        <v>44</v>
      </c>
      <c r="C858" s="10">
        <f>IFERROR(_xlfn.PERCENTRANK.INC(Titanic[Edad Corrigida], B858), "")</f>
        <v>0.81899999999999995</v>
      </c>
      <c r="D858" s="10"/>
    </row>
    <row r="859" spans="2:4" x14ac:dyDescent="0.2">
      <c r="B859">
        <v>18</v>
      </c>
      <c r="C859" s="10">
        <f>IFERROR(_xlfn.PERCENTRANK.INC(Titanic[Edad Corrigida], B859), "")</f>
        <v>0.14799999999999999</v>
      </c>
      <c r="D859" s="10"/>
    </row>
    <row r="860" spans="2:4" x14ac:dyDescent="0.2">
      <c r="B860">
        <v>45</v>
      </c>
      <c r="C860" s="10">
        <f>IFERROR(_xlfn.PERCENTRANK.INC(Titanic[Edad Corrigida], B860), "")</f>
        <v>0.83099999999999996</v>
      </c>
      <c r="D860" s="10"/>
    </row>
    <row r="861" spans="2:4" x14ac:dyDescent="0.2">
      <c r="B861">
        <v>51</v>
      </c>
      <c r="C861" s="10">
        <f>IFERROR(_xlfn.PERCENTRANK.INC(Titanic[Edad Corrigida], B861), "")</f>
        <v>0.90300000000000002</v>
      </c>
      <c r="D861" s="10"/>
    </row>
    <row r="862" spans="2:4" x14ac:dyDescent="0.2">
      <c r="B862">
        <v>24</v>
      </c>
      <c r="C862" s="10">
        <f>IFERROR(_xlfn.PERCENTRANK.INC(Titanic[Edad Corrigida], B862), "")</f>
        <v>0.33600000000000002</v>
      </c>
      <c r="D862" s="10"/>
    </row>
    <row r="863" spans="2:4" x14ac:dyDescent="0.2">
      <c r="B863" t="str">
        <v/>
      </c>
      <c r="C863" s="10" t="str">
        <f>IFERROR(_xlfn.PERCENTRANK.INC(Titanic[Edad Corrigida], B863), "")</f>
        <v/>
      </c>
      <c r="D863" s="10"/>
    </row>
    <row r="864" spans="2:4" x14ac:dyDescent="0.2">
      <c r="B864">
        <v>41</v>
      </c>
      <c r="C864" s="10">
        <f>IFERROR(_xlfn.PERCENTRANK.INC(Titanic[Edad Corrigida], B864), "")</f>
        <v>0.78400000000000003</v>
      </c>
      <c r="D864" s="10"/>
    </row>
    <row r="865" spans="2:4" x14ac:dyDescent="0.2">
      <c r="B865">
        <v>21</v>
      </c>
      <c r="C865" s="10">
        <f>IFERROR(_xlfn.PERCENTRANK.INC(Titanic[Edad Corrigida], B865), "")</f>
        <v>0.24199999999999999</v>
      </c>
      <c r="D865" s="10"/>
    </row>
    <row r="866" spans="2:4" x14ac:dyDescent="0.2">
      <c r="B866">
        <v>48</v>
      </c>
      <c r="C866" s="10">
        <f>IFERROR(_xlfn.PERCENTRANK.INC(Titanic[Edad Corrigida], B866), "")</f>
        <v>0.86799999999999999</v>
      </c>
      <c r="D866" s="10"/>
    </row>
    <row r="867" spans="2:4" x14ac:dyDescent="0.2">
      <c r="B867" t="str">
        <v/>
      </c>
      <c r="C867" s="10" t="str">
        <f>IFERROR(_xlfn.PERCENTRANK.INC(Titanic[Edad Corrigida], B867), "")</f>
        <v/>
      </c>
      <c r="D867" s="10"/>
    </row>
    <row r="868" spans="2:4" x14ac:dyDescent="0.2">
      <c r="B868">
        <v>24</v>
      </c>
      <c r="C868" s="10">
        <f>IFERROR(_xlfn.PERCENTRANK.INC(Titanic[Edad Corrigida], B868), "")</f>
        <v>0.33600000000000002</v>
      </c>
      <c r="D868" s="10"/>
    </row>
    <row r="869" spans="2:4" x14ac:dyDescent="0.2">
      <c r="B869">
        <v>42</v>
      </c>
      <c r="C869" s="10">
        <f>IFERROR(_xlfn.PERCENTRANK.INC(Titanic[Edad Corrigida], B869), "")</f>
        <v>0.79200000000000004</v>
      </c>
      <c r="D869" s="10"/>
    </row>
    <row r="870" spans="2:4" x14ac:dyDescent="0.2">
      <c r="B870">
        <v>27</v>
      </c>
      <c r="C870" s="10">
        <f>IFERROR(_xlfn.PERCENTRANK.INC(Titanic[Edad Corrigida], B870), "")</f>
        <v>0.437</v>
      </c>
      <c r="D870" s="10"/>
    </row>
    <row r="871" spans="2:4" x14ac:dyDescent="0.2">
      <c r="B871">
        <v>31</v>
      </c>
      <c r="C871" s="10">
        <f>IFERROR(_xlfn.PERCENTRANK.INC(Titanic[Edad Corrigida], B871), "")</f>
        <v>0.56599999999999995</v>
      </c>
      <c r="D871" s="10"/>
    </row>
    <row r="872" spans="2:4" x14ac:dyDescent="0.2">
      <c r="B872" t="str">
        <v/>
      </c>
      <c r="C872" s="10" t="str">
        <f>IFERROR(_xlfn.PERCENTRANK.INC(Titanic[Edad Corrigida], B872), "")</f>
        <v/>
      </c>
      <c r="D872" s="10"/>
    </row>
    <row r="873" spans="2:4" x14ac:dyDescent="0.2">
      <c r="B873">
        <v>4</v>
      </c>
      <c r="C873" s="10">
        <f>IFERROR(_xlfn.PERCENTRANK.INC(Titanic[Edad Corrigida], B873), "")</f>
        <v>3.2000000000000001E-2</v>
      </c>
      <c r="D873" s="10"/>
    </row>
    <row r="874" spans="2:4" x14ac:dyDescent="0.2">
      <c r="B874">
        <v>26</v>
      </c>
      <c r="C874" s="10">
        <f>IFERROR(_xlfn.PERCENTRANK.INC(Titanic[Edad Corrigida], B874), "")</f>
        <v>0.41199999999999998</v>
      </c>
      <c r="D874" s="10"/>
    </row>
    <row r="875" spans="2:4" x14ac:dyDescent="0.2">
      <c r="B875">
        <v>47</v>
      </c>
      <c r="C875" s="10">
        <f>IFERROR(_xlfn.PERCENTRANK.INC(Titanic[Edad Corrigida], B875), "")</f>
        <v>0.85499999999999998</v>
      </c>
      <c r="D875" s="10"/>
    </row>
    <row r="876" spans="2:4" x14ac:dyDescent="0.2">
      <c r="B876">
        <v>33</v>
      </c>
      <c r="C876" s="10">
        <f>IFERROR(_xlfn.PERCENTRANK.INC(Titanic[Edad Corrigida], B876), "")</f>
        <v>0.61799999999999999</v>
      </c>
      <c r="D876" s="10"/>
    </row>
    <row r="877" spans="2:4" x14ac:dyDescent="0.2">
      <c r="B877">
        <v>47</v>
      </c>
      <c r="C877" s="10">
        <f>IFERROR(_xlfn.PERCENTRANK.INC(Titanic[Edad Corrigida], B877), "")</f>
        <v>0.85499999999999998</v>
      </c>
      <c r="D877" s="10"/>
    </row>
    <row r="878" spans="2:4" x14ac:dyDescent="0.2">
      <c r="B878">
        <v>28</v>
      </c>
      <c r="C878" s="10">
        <f>IFERROR(_xlfn.PERCENTRANK.INC(Titanic[Edad Corrigida], B878), "")</f>
        <v>0.46200000000000002</v>
      </c>
      <c r="D878" s="10"/>
    </row>
    <row r="879" spans="2:4" x14ac:dyDescent="0.2">
      <c r="B879">
        <v>15</v>
      </c>
      <c r="C879" s="10">
        <f>IFERROR(_xlfn.PERCENTRANK.INC(Titanic[Edad Corrigida], B879), "")</f>
        <v>9.9000000000000005E-2</v>
      </c>
      <c r="D879" s="10"/>
    </row>
    <row r="880" spans="2:4" x14ac:dyDescent="0.2">
      <c r="B880">
        <v>20</v>
      </c>
      <c r="C880" s="10">
        <f>IFERROR(_xlfn.PERCENTRANK.INC(Titanic[Edad Corrigida], B880), "")</f>
        <v>0.22</v>
      </c>
      <c r="D880" s="10"/>
    </row>
    <row r="881" spans="2:4" x14ac:dyDescent="0.2">
      <c r="B881">
        <v>19</v>
      </c>
      <c r="C881" s="10">
        <f>IFERROR(_xlfn.PERCENTRANK.INC(Titanic[Edad Corrigida], B881), "")</f>
        <v>0.185</v>
      </c>
      <c r="D881" s="10"/>
    </row>
    <row r="882" spans="2:4" x14ac:dyDescent="0.2">
      <c r="B882" t="str">
        <v/>
      </c>
      <c r="C882" s="10" t="str">
        <f>IFERROR(_xlfn.PERCENTRANK.INC(Titanic[Edad Corrigida], B882), "")</f>
        <v/>
      </c>
      <c r="D882" s="10"/>
    </row>
    <row r="883" spans="2:4" x14ac:dyDescent="0.2">
      <c r="B883">
        <v>56</v>
      </c>
      <c r="C883" s="10">
        <f>IFERROR(_xlfn.PERCENTRANK.INC(Titanic[Edad Corrigida], B883), "")</f>
        <v>0.93799999999999994</v>
      </c>
      <c r="D883" s="10"/>
    </row>
    <row r="884" spans="2:4" x14ac:dyDescent="0.2">
      <c r="B884">
        <v>25</v>
      </c>
      <c r="C884" s="10">
        <f>IFERROR(_xlfn.PERCENTRANK.INC(Titanic[Edad Corrigida], B884), "")</f>
        <v>0.38</v>
      </c>
      <c r="D884" s="10"/>
    </row>
    <row r="885" spans="2:4" x14ac:dyDescent="0.2">
      <c r="B885">
        <v>33</v>
      </c>
      <c r="C885" s="10">
        <f>IFERROR(_xlfn.PERCENTRANK.INC(Titanic[Edad Corrigida], B885), "")</f>
        <v>0.61799999999999999</v>
      </c>
      <c r="D885" s="10"/>
    </row>
    <row r="886" spans="2:4" x14ac:dyDescent="0.2">
      <c r="B886">
        <v>22</v>
      </c>
      <c r="C886" s="10">
        <f>IFERROR(_xlfn.PERCENTRANK.INC(Titanic[Edad Corrigida], B886), "")</f>
        <v>0.27600000000000002</v>
      </c>
      <c r="D886" s="10"/>
    </row>
    <row r="887" spans="2:4" x14ac:dyDescent="0.2">
      <c r="B887">
        <v>28</v>
      </c>
      <c r="C887" s="10">
        <f>IFERROR(_xlfn.PERCENTRANK.INC(Titanic[Edad Corrigida], B887), "")</f>
        <v>0.46200000000000002</v>
      </c>
      <c r="D887" s="10"/>
    </row>
    <row r="888" spans="2:4" x14ac:dyDescent="0.2">
      <c r="B888">
        <v>25</v>
      </c>
      <c r="C888" s="10">
        <f>IFERROR(_xlfn.PERCENTRANK.INC(Titanic[Edad Corrigida], B888), "")</f>
        <v>0.38</v>
      </c>
      <c r="D888" s="10"/>
    </row>
    <row r="889" spans="2:4" x14ac:dyDescent="0.2">
      <c r="B889">
        <v>39</v>
      </c>
      <c r="C889" s="10">
        <f>IFERROR(_xlfn.PERCENTRANK.INC(Titanic[Edad Corrigida], B889), "")</f>
        <v>0.74299999999999999</v>
      </c>
      <c r="D889" s="10"/>
    </row>
    <row r="890" spans="2:4" x14ac:dyDescent="0.2">
      <c r="B890">
        <v>27</v>
      </c>
      <c r="C890" s="10">
        <f>IFERROR(_xlfn.PERCENTRANK.INC(Titanic[Edad Corrigida], B890), "")</f>
        <v>0.437</v>
      </c>
      <c r="D890" s="10"/>
    </row>
    <row r="891" spans="2:4" x14ac:dyDescent="0.2">
      <c r="B891">
        <v>19</v>
      </c>
      <c r="C891" s="10">
        <f>IFERROR(_xlfn.PERCENTRANK.INC(Titanic[Edad Corrigida], B891), "")</f>
        <v>0.185</v>
      </c>
      <c r="D891" s="10"/>
    </row>
    <row r="892" spans="2:4" x14ac:dyDescent="0.2">
      <c r="B892" t="str">
        <v/>
      </c>
      <c r="C892" s="10" t="str">
        <f>IFERROR(_xlfn.PERCENTRANK.INC(Titanic[Edad Corrigida], B892), "")</f>
        <v/>
      </c>
      <c r="D892" s="10"/>
    </row>
    <row r="893" spans="2:4" x14ac:dyDescent="0.2">
      <c r="B893">
        <v>26</v>
      </c>
      <c r="C893" s="10">
        <f>IFERROR(_xlfn.PERCENTRANK.INC(Titanic[Edad Corrigida], B893), "")</f>
        <v>0.41199999999999998</v>
      </c>
      <c r="D893" s="10"/>
    </row>
    <row r="894" spans="2:4" x14ac:dyDescent="0.2">
      <c r="B894">
        <v>32</v>
      </c>
      <c r="C894" s="10">
        <f>IFERROR(_xlfn.PERCENTRANK.INC(Titanic[Edad Corrigida], B894), "")</f>
        <v>0.59</v>
      </c>
      <c r="D894" s="10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4C030-B7F7-7E4F-AF46-D81DCA236499}">
  <sheetPr filterMode="1"/>
  <dimension ref="C6:CU898"/>
  <sheetViews>
    <sheetView topLeftCell="B229" zoomScale="156" workbookViewId="0">
      <selection activeCell="L241" sqref="L241"/>
    </sheetView>
  </sheetViews>
  <sheetFormatPr baseColWidth="10" defaultRowHeight="16" x14ac:dyDescent="0.2"/>
  <cols>
    <col min="11" max="12" width="15.6640625" customWidth="1"/>
  </cols>
  <sheetData>
    <row r="6" spans="3:7" x14ac:dyDescent="0.2">
      <c r="E6" t="s">
        <v>930</v>
      </c>
    </row>
    <row r="7" spans="3:7" x14ac:dyDescent="0.2">
      <c r="C7" s="6" t="s">
        <v>929</v>
      </c>
      <c r="D7" s="6" t="s">
        <v>927</v>
      </c>
      <c r="E7" s="6" t="s">
        <v>928</v>
      </c>
      <c r="F7" s="6"/>
      <c r="G7" s="6"/>
    </row>
    <row r="8" spans="3:7" hidden="1" x14ac:dyDescent="0.2">
      <c r="C8" s="6">
        <v>6</v>
      </c>
      <c r="D8" s="6" t="s">
        <v>926</v>
      </c>
      <c r="E8" s="11" t="s">
        <v>926</v>
      </c>
      <c r="F8" s="11"/>
      <c r="G8" s="11"/>
    </row>
    <row r="9" spans="3:7" hidden="1" x14ac:dyDescent="0.2">
      <c r="C9" s="6">
        <v>18</v>
      </c>
      <c r="D9" s="6" t="s">
        <v>926</v>
      </c>
      <c r="E9" s="11" t="s">
        <v>926</v>
      </c>
      <c r="F9" s="11"/>
      <c r="G9" s="11"/>
    </row>
    <row r="10" spans="3:7" hidden="1" x14ac:dyDescent="0.2">
      <c r="C10" s="6">
        <v>20</v>
      </c>
      <c r="D10" s="6" t="s">
        <v>926</v>
      </c>
      <c r="E10" s="11" t="s">
        <v>926</v>
      </c>
      <c r="F10" s="11"/>
      <c r="G10" s="11"/>
    </row>
    <row r="11" spans="3:7" hidden="1" x14ac:dyDescent="0.2">
      <c r="C11" s="6">
        <v>27</v>
      </c>
      <c r="D11" s="6" t="s">
        <v>926</v>
      </c>
      <c r="E11" s="11" t="s">
        <v>926</v>
      </c>
      <c r="F11" s="11"/>
      <c r="G11" s="11"/>
    </row>
    <row r="12" spans="3:7" hidden="1" x14ac:dyDescent="0.2">
      <c r="C12" s="6">
        <v>29</v>
      </c>
      <c r="D12" s="6" t="s">
        <v>926</v>
      </c>
      <c r="E12" s="11" t="s">
        <v>926</v>
      </c>
      <c r="F12" s="11"/>
      <c r="G12" s="11"/>
    </row>
    <row r="13" spans="3:7" hidden="1" x14ac:dyDescent="0.2">
      <c r="C13" s="6">
        <v>30</v>
      </c>
      <c r="D13" s="6" t="s">
        <v>926</v>
      </c>
      <c r="E13" s="11" t="s">
        <v>926</v>
      </c>
      <c r="F13" s="11"/>
      <c r="G13" s="11"/>
    </row>
    <row r="14" spans="3:7" hidden="1" x14ac:dyDescent="0.2">
      <c r="C14" s="6">
        <v>32</v>
      </c>
      <c r="D14" s="6" t="s">
        <v>926</v>
      </c>
      <c r="E14" s="11" t="s">
        <v>926</v>
      </c>
      <c r="F14" s="11"/>
      <c r="G14" s="11"/>
    </row>
    <row r="15" spans="3:7" hidden="1" x14ac:dyDescent="0.2">
      <c r="C15" s="6">
        <v>33</v>
      </c>
      <c r="D15" s="6" t="s">
        <v>926</v>
      </c>
      <c r="E15" s="11" t="s">
        <v>926</v>
      </c>
      <c r="F15" s="11"/>
      <c r="G15" s="11"/>
    </row>
    <row r="16" spans="3:7" hidden="1" x14ac:dyDescent="0.2">
      <c r="C16" s="6">
        <v>37</v>
      </c>
      <c r="D16" s="6" t="s">
        <v>926</v>
      </c>
      <c r="E16" s="11" t="s">
        <v>926</v>
      </c>
      <c r="F16" s="11"/>
      <c r="G16" s="11"/>
    </row>
    <row r="17" spans="3:7" hidden="1" x14ac:dyDescent="0.2">
      <c r="C17" s="6">
        <v>43</v>
      </c>
      <c r="D17" s="6" t="s">
        <v>926</v>
      </c>
      <c r="E17" s="11" t="s">
        <v>926</v>
      </c>
      <c r="F17" s="11"/>
      <c r="G17" s="11"/>
    </row>
    <row r="18" spans="3:7" hidden="1" x14ac:dyDescent="0.2">
      <c r="C18" s="6">
        <v>46</v>
      </c>
      <c r="D18" s="6" t="s">
        <v>926</v>
      </c>
      <c r="E18" s="11" t="s">
        <v>926</v>
      </c>
      <c r="F18" s="11"/>
      <c r="G18" s="11"/>
    </row>
    <row r="19" spans="3:7" hidden="1" x14ac:dyDescent="0.2">
      <c r="C19" s="6">
        <v>47</v>
      </c>
      <c r="D19" s="6" t="s">
        <v>926</v>
      </c>
      <c r="E19" s="11" t="s">
        <v>926</v>
      </c>
      <c r="F19" s="11"/>
      <c r="G19" s="11"/>
    </row>
    <row r="20" spans="3:7" hidden="1" x14ac:dyDescent="0.2">
      <c r="C20" s="6">
        <v>48</v>
      </c>
      <c r="D20" s="6" t="s">
        <v>926</v>
      </c>
      <c r="E20" s="11" t="s">
        <v>926</v>
      </c>
      <c r="F20" s="11"/>
      <c r="G20" s="11"/>
    </row>
    <row r="21" spans="3:7" hidden="1" x14ac:dyDescent="0.2">
      <c r="C21" s="6">
        <v>49</v>
      </c>
      <c r="D21" s="6" t="s">
        <v>926</v>
      </c>
      <c r="E21" s="11" t="s">
        <v>926</v>
      </c>
      <c r="F21" s="11"/>
      <c r="G21" s="11"/>
    </row>
    <row r="22" spans="3:7" hidden="1" x14ac:dyDescent="0.2">
      <c r="C22" s="6">
        <v>56</v>
      </c>
      <c r="D22" s="6" t="s">
        <v>926</v>
      </c>
      <c r="E22" s="11" t="s">
        <v>926</v>
      </c>
      <c r="F22" s="11"/>
      <c r="G22" s="11"/>
    </row>
    <row r="23" spans="3:7" hidden="1" x14ac:dyDescent="0.2">
      <c r="C23" s="6">
        <v>65</v>
      </c>
      <c r="D23" s="6" t="s">
        <v>926</v>
      </c>
      <c r="E23" s="11" t="s">
        <v>926</v>
      </c>
      <c r="F23" s="11"/>
      <c r="G23" s="11"/>
    </row>
    <row r="24" spans="3:7" hidden="1" x14ac:dyDescent="0.2">
      <c r="C24" s="6">
        <v>66</v>
      </c>
      <c r="D24" s="6" t="s">
        <v>926</v>
      </c>
      <c r="E24" s="11" t="s">
        <v>926</v>
      </c>
      <c r="F24" s="11"/>
      <c r="G24" s="11"/>
    </row>
    <row r="25" spans="3:7" hidden="1" x14ac:dyDescent="0.2">
      <c r="C25" s="6">
        <v>77</v>
      </c>
      <c r="D25" s="6" t="s">
        <v>926</v>
      </c>
      <c r="E25" s="11" t="s">
        <v>926</v>
      </c>
      <c r="F25" s="11"/>
      <c r="G25" s="11"/>
    </row>
    <row r="26" spans="3:7" hidden="1" x14ac:dyDescent="0.2">
      <c r="C26" s="6">
        <v>78</v>
      </c>
      <c r="D26" s="6" t="s">
        <v>926</v>
      </c>
      <c r="E26" s="11" t="s">
        <v>926</v>
      </c>
      <c r="F26" s="11"/>
      <c r="G26" s="11"/>
    </row>
    <row r="27" spans="3:7" hidden="1" x14ac:dyDescent="0.2">
      <c r="C27" s="6">
        <v>83</v>
      </c>
      <c r="D27" s="6" t="s">
        <v>926</v>
      </c>
      <c r="E27" s="11" t="s">
        <v>926</v>
      </c>
      <c r="F27" s="11"/>
      <c r="G27" s="11"/>
    </row>
    <row r="28" spans="3:7" hidden="1" x14ac:dyDescent="0.2">
      <c r="C28" s="6">
        <v>88</v>
      </c>
      <c r="D28" s="6" t="s">
        <v>926</v>
      </c>
      <c r="E28" s="11" t="s">
        <v>926</v>
      </c>
      <c r="F28" s="11"/>
      <c r="G28" s="11"/>
    </row>
    <row r="29" spans="3:7" hidden="1" x14ac:dyDescent="0.2">
      <c r="C29" s="6">
        <v>96</v>
      </c>
      <c r="D29" s="6" t="s">
        <v>926</v>
      </c>
      <c r="E29" s="11" t="s">
        <v>926</v>
      </c>
      <c r="F29" s="11"/>
      <c r="G29" s="11"/>
    </row>
    <row r="30" spans="3:7" hidden="1" x14ac:dyDescent="0.2">
      <c r="C30" s="6">
        <v>102</v>
      </c>
      <c r="D30" s="6" t="s">
        <v>926</v>
      </c>
      <c r="E30" s="11" t="s">
        <v>926</v>
      </c>
      <c r="F30" s="11"/>
      <c r="G30" s="11"/>
    </row>
    <row r="31" spans="3:7" hidden="1" x14ac:dyDescent="0.2">
      <c r="C31" s="6">
        <v>108</v>
      </c>
      <c r="D31" s="6" t="s">
        <v>926</v>
      </c>
      <c r="E31" s="11" t="s">
        <v>926</v>
      </c>
      <c r="F31" s="11"/>
      <c r="G31" s="11"/>
    </row>
    <row r="32" spans="3:7" hidden="1" x14ac:dyDescent="0.2">
      <c r="C32" s="6">
        <v>110</v>
      </c>
      <c r="D32" s="6" t="s">
        <v>926</v>
      </c>
      <c r="E32" s="11" t="s">
        <v>926</v>
      </c>
      <c r="F32" s="11"/>
      <c r="G32" s="11"/>
    </row>
    <row r="33" spans="3:7" hidden="1" x14ac:dyDescent="0.2">
      <c r="C33" s="6">
        <v>122</v>
      </c>
      <c r="D33" s="6" t="s">
        <v>926</v>
      </c>
      <c r="E33" s="11" t="s">
        <v>926</v>
      </c>
      <c r="F33" s="11"/>
      <c r="G33" s="11"/>
    </row>
    <row r="34" spans="3:7" hidden="1" x14ac:dyDescent="0.2">
      <c r="C34" s="6">
        <v>127</v>
      </c>
      <c r="D34" s="6" t="s">
        <v>926</v>
      </c>
      <c r="E34" s="11" t="s">
        <v>926</v>
      </c>
      <c r="F34" s="11"/>
      <c r="G34" s="11"/>
    </row>
    <row r="35" spans="3:7" hidden="1" x14ac:dyDescent="0.2">
      <c r="C35" s="6">
        <v>129</v>
      </c>
      <c r="D35" s="6" t="s">
        <v>926</v>
      </c>
      <c r="E35" s="11" t="s">
        <v>926</v>
      </c>
      <c r="F35" s="11"/>
      <c r="G35" s="11"/>
    </row>
    <row r="36" spans="3:7" hidden="1" x14ac:dyDescent="0.2">
      <c r="C36" s="6">
        <v>141</v>
      </c>
      <c r="D36" s="6" t="s">
        <v>926</v>
      </c>
      <c r="E36" s="11" t="s">
        <v>926</v>
      </c>
      <c r="F36" s="11"/>
      <c r="G36" s="11"/>
    </row>
    <row r="37" spans="3:7" hidden="1" x14ac:dyDescent="0.2">
      <c r="C37" s="6">
        <v>155</v>
      </c>
      <c r="D37" s="6" t="s">
        <v>926</v>
      </c>
      <c r="E37" s="11" t="s">
        <v>926</v>
      </c>
      <c r="F37" s="11"/>
      <c r="G37" s="11"/>
    </row>
    <row r="38" spans="3:7" hidden="1" x14ac:dyDescent="0.2">
      <c r="C38" s="6">
        <v>159</v>
      </c>
      <c r="D38" s="6" t="s">
        <v>926</v>
      </c>
      <c r="E38" s="11" t="s">
        <v>926</v>
      </c>
      <c r="F38" s="11"/>
      <c r="G38" s="11"/>
    </row>
    <row r="39" spans="3:7" hidden="1" x14ac:dyDescent="0.2">
      <c r="C39" s="6">
        <v>160</v>
      </c>
      <c r="D39" s="6" t="s">
        <v>926</v>
      </c>
      <c r="E39" s="11" t="s">
        <v>926</v>
      </c>
      <c r="F39" s="11"/>
      <c r="G39" s="11"/>
    </row>
    <row r="40" spans="3:7" hidden="1" x14ac:dyDescent="0.2">
      <c r="C40" s="6">
        <v>167</v>
      </c>
      <c r="D40" s="6" t="s">
        <v>926</v>
      </c>
      <c r="E40" s="11" t="s">
        <v>926</v>
      </c>
      <c r="F40" s="11"/>
      <c r="G40" s="11"/>
    </row>
    <row r="41" spans="3:7" hidden="1" x14ac:dyDescent="0.2">
      <c r="C41" s="6">
        <v>169</v>
      </c>
      <c r="D41" s="6" t="s">
        <v>926</v>
      </c>
      <c r="E41" s="11" t="s">
        <v>926</v>
      </c>
      <c r="F41" s="11"/>
      <c r="G41" s="11"/>
    </row>
    <row r="42" spans="3:7" hidden="1" x14ac:dyDescent="0.2">
      <c r="C42" s="6">
        <v>177</v>
      </c>
      <c r="D42" s="6" t="s">
        <v>926</v>
      </c>
      <c r="E42" s="11" t="s">
        <v>926</v>
      </c>
      <c r="F42" s="11"/>
      <c r="G42" s="11"/>
    </row>
    <row r="43" spans="3:7" hidden="1" x14ac:dyDescent="0.2">
      <c r="C43" s="6">
        <v>181</v>
      </c>
      <c r="D43" s="6" t="s">
        <v>926</v>
      </c>
      <c r="E43" s="11" t="s">
        <v>926</v>
      </c>
      <c r="F43" s="11"/>
      <c r="G43" s="11"/>
    </row>
    <row r="44" spans="3:7" hidden="1" x14ac:dyDescent="0.2">
      <c r="C44" s="6">
        <v>182</v>
      </c>
      <c r="D44" s="6" t="s">
        <v>926</v>
      </c>
      <c r="E44" s="11" t="s">
        <v>926</v>
      </c>
      <c r="F44" s="11"/>
      <c r="G44" s="11"/>
    </row>
    <row r="45" spans="3:7" hidden="1" x14ac:dyDescent="0.2">
      <c r="C45" s="6">
        <v>186</v>
      </c>
      <c r="D45" s="6" t="s">
        <v>926</v>
      </c>
      <c r="E45" s="11" t="s">
        <v>926</v>
      </c>
      <c r="F45" s="11"/>
      <c r="G45" s="11"/>
    </row>
    <row r="46" spans="3:7" hidden="1" x14ac:dyDescent="0.2">
      <c r="C46" s="6">
        <v>187</v>
      </c>
      <c r="D46" s="6" t="s">
        <v>926</v>
      </c>
      <c r="E46" s="11" t="s">
        <v>926</v>
      </c>
      <c r="F46" s="11"/>
      <c r="G46" s="11"/>
    </row>
    <row r="47" spans="3:7" hidden="1" x14ac:dyDescent="0.2">
      <c r="C47" s="6">
        <v>197</v>
      </c>
      <c r="D47" s="6" t="s">
        <v>926</v>
      </c>
      <c r="E47" s="11" t="s">
        <v>926</v>
      </c>
      <c r="F47" s="11"/>
      <c r="G47" s="11"/>
    </row>
    <row r="48" spans="3:7" hidden="1" x14ac:dyDescent="0.2">
      <c r="C48" s="6">
        <v>199</v>
      </c>
      <c r="D48" s="6" t="s">
        <v>926</v>
      </c>
      <c r="E48" s="11" t="s">
        <v>926</v>
      </c>
      <c r="F48" s="11"/>
      <c r="G48" s="11"/>
    </row>
    <row r="49" spans="3:7" hidden="1" x14ac:dyDescent="0.2">
      <c r="C49" s="6">
        <v>202</v>
      </c>
      <c r="D49" s="6" t="s">
        <v>926</v>
      </c>
      <c r="E49" s="11" t="s">
        <v>926</v>
      </c>
      <c r="F49" s="11"/>
      <c r="G49" s="11"/>
    </row>
    <row r="50" spans="3:7" hidden="1" x14ac:dyDescent="0.2">
      <c r="C50" s="6">
        <v>215</v>
      </c>
      <c r="D50" s="6" t="s">
        <v>926</v>
      </c>
      <c r="E50" s="11" t="s">
        <v>926</v>
      </c>
      <c r="F50" s="11"/>
      <c r="G50" s="11"/>
    </row>
    <row r="51" spans="3:7" hidden="1" x14ac:dyDescent="0.2">
      <c r="C51" s="6">
        <v>224</v>
      </c>
      <c r="D51" s="6" t="s">
        <v>926</v>
      </c>
      <c r="E51" s="11" t="s">
        <v>926</v>
      </c>
      <c r="F51" s="11"/>
      <c r="G51" s="11"/>
    </row>
    <row r="52" spans="3:7" hidden="1" x14ac:dyDescent="0.2">
      <c r="C52" s="6">
        <v>230</v>
      </c>
      <c r="D52" s="6" t="s">
        <v>926</v>
      </c>
      <c r="E52" s="11" t="s">
        <v>926</v>
      </c>
      <c r="F52" s="11"/>
      <c r="G52" s="11"/>
    </row>
    <row r="53" spans="3:7" hidden="1" x14ac:dyDescent="0.2">
      <c r="C53" s="6">
        <v>236</v>
      </c>
      <c r="D53" s="6" t="s">
        <v>926</v>
      </c>
      <c r="E53" s="11" t="s">
        <v>926</v>
      </c>
      <c r="F53" s="11"/>
      <c r="G53" s="11"/>
    </row>
    <row r="54" spans="3:7" hidden="1" x14ac:dyDescent="0.2">
      <c r="C54" s="6">
        <v>241</v>
      </c>
      <c r="D54" s="6" t="s">
        <v>926</v>
      </c>
      <c r="E54" s="11" t="s">
        <v>926</v>
      </c>
      <c r="F54" s="11"/>
      <c r="G54" s="11"/>
    </row>
    <row r="55" spans="3:7" hidden="1" x14ac:dyDescent="0.2">
      <c r="C55" s="6">
        <v>242</v>
      </c>
      <c r="D55" s="6" t="s">
        <v>926</v>
      </c>
      <c r="E55" s="11" t="s">
        <v>926</v>
      </c>
      <c r="F55" s="11"/>
      <c r="G55" s="11"/>
    </row>
    <row r="56" spans="3:7" hidden="1" x14ac:dyDescent="0.2">
      <c r="C56" s="6">
        <v>251</v>
      </c>
      <c r="D56" s="6" t="s">
        <v>926</v>
      </c>
      <c r="E56" s="11" t="s">
        <v>926</v>
      </c>
      <c r="F56" s="11"/>
      <c r="G56" s="11"/>
    </row>
    <row r="57" spans="3:7" hidden="1" x14ac:dyDescent="0.2">
      <c r="C57" s="6">
        <v>257</v>
      </c>
      <c r="D57" s="6" t="s">
        <v>926</v>
      </c>
      <c r="E57" s="11" t="s">
        <v>926</v>
      </c>
      <c r="F57" s="11"/>
      <c r="G57" s="11"/>
    </row>
    <row r="58" spans="3:7" hidden="1" x14ac:dyDescent="0.2">
      <c r="C58" s="6">
        <v>261</v>
      </c>
      <c r="D58" s="6" t="s">
        <v>926</v>
      </c>
      <c r="E58" s="11" t="s">
        <v>926</v>
      </c>
      <c r="F58" s="11"/>
      <c r="G58" s="11"/>
    </row>
    <row r="59" spans="3:7" hidden="1" x14ac:dyDescent="0.2">
      <c r="C59" s="6">
        <v>265</v>
      </c>
      <c r="D59" s="6" t="s">
        <v>926</v>
      </c>
      <c r="E59" s="11" t="s">
        <v>926</v>
      </c>
      <c r="F59" s="11"/>
      <c r="G59" s="11"/>
    </row>
    <row r="60" spans="3:7" hidden="1" x14ac:dyDescent="0.2">
      <c r="C60" s="6">
        <v>271</v>
      </c>
      <c r="D60" s="6" t="s">
        <v>926</v>
      </c>
      <c r="E60" s="11" t="s">
        <v>926</v>
      </c>
      <c r="F60" s="11"/>
      <c r="G60" s="11"/>
    </row>
    <row r="61" spans="3:7" hidden="1" x14ac:dyDescent="0.2">
      <c r="C61" s="6">
        <v>275</v>
      </c>
      <c r="D61" s="6" t="s">
        <v>926</v>
      </c>
      <c r="E61" s="11" t="s">
        <v>926</v>
      </c>
      <c r="F61" s="11"/>
      <c r="G61" s="11"/>
    </row>
    <row r="62" spans="3:7" hidden="1" x14ac:dyDescent="0.2">
      <c r="C62" s="6">
        <v>278</v>
      </c>
      <c r="D62" s="6" t="s">
        <v>926</v>
      </c>
      <c r="E62" s="11" t="s">
        <v>926</v>
      </c>
      <c r="F62" s="11"/>
      <c r="G62" s="11"/>
    </row>
    <row r="63" spans="3:7" hidden="1" x14ac:dyDescent="0.2">
      <c r="C63" s="6">
        <v>285</v>
      </c>
      <c r="D63" s="6" t="s">
        <v>926</v>
      </c>
      <c r="E63" s="11" t="s">
        <v>926</v>
      </c>
      <c r="F63" s="11"/>
      <c r="G63" s="11"/>
    </row>
    <row r="64" spans="3:7" hidden="1" x14ac:dyDescent="0.2">
      <c r="C64" s="6">
        <v>296</v>
      </c>
      <c r="D64" s="6" t="s">
        <v>926</v>
      </c>
      <c r="E64" s="11" t="s">
        <v>926</v>
      </c>
      <c r="F64" s="11"/>
      <c r="G64" s="11"/>
    </row>
    <row r="65" spans="3:7" hidden="1" x14ac:dyDescent="0.2">
      <c r="C65" s="6">
        <v>299</v>
      </c>
      <c r="D65" s="6" t="s">
        <v>926</v>
      </c>
      <c r="E65" s="11" t="s">
        <v>926</v>
      </c>
      <c r="F65" s="11"/>
      <c r="G65" s="11"/>
    </row>
    <row r="66" spans="3:7" hidden="1" x14ac:dyDescent="0.2">
      <c r="C66" s="6">
        <v>301</v>
      </c>
      <c r="D66" s="6" t="s">
        <v>926</v>
      </c>
      <c r="E66" s="11" t="s">
        <v>926</v>
      </c>
      <c r="F66" s="11"/>
      <c r="G66" s="11"/>
    </row>
    <row r="67" spans="3:7" hidden="1" x14ac:dyDescent="0.2">
      <c r="C67" s="6">
        <v>302</v>
      </c>
      <c r="D67" s="6" t="s">
        <v>926</v>
      </c>
      <c r="E67" s="11" t="s">
        <v>926</v>
      </c>
      <c r="F67" s="11"/>
      <c r="G67" s="11"/>
    </row>
    <row r="68" spans="3:7" hidden="1" x14ac:dyDescent="0.2">
      <c r="C68" s="6">
        <v>304</v>
      </c>
      <c r="D68" s="6" t="s">
        <v>926</v>
      </c>
      <c r="E68" s="11" t="s">
        <v>926</v>
      </c>
      <c r="F68" s="11"/>
      <c r="G68" s="11"/>
    </row>
    <row r="69" spans="3:7" hidden="1" x14ac:dyDescent="0.2">
      <c r="C69" s="6">
        <v>305</v>
      </c>
      <c r="D69" s="6" t="s">
        <v>926</v>
      </c>
      <c r="E69" s="11" t="s">
        <v>926</v>
      </c>
      <c r="F69" s="11"/>
      <c r="G69" s="11"/>
    </row>
    <row r="70" spans="3:7" hidden="1" x14ac:dyDescent="0.2">
      <c r="C70" s="6">
        <v>307</v>
      </c>
      <c r="D70" s="6" t="s">
        <v>926</v>
      </c>
      <c r="E70" s="11" t="s">
        <v>926</v>
      </c>
      <c r="F70" s="11"/>
      <c r="G70" s="11"/>
    </row>
    <row r="71" spans="3:7" hidden="1" x14ac:dyDescent="0.2">
      <c r="C71" s="6">
        <v>325</v>
      </c>
      <c r="D71" s="6" t="s">
        <v>926</v>
      </c>
      <c r="E71" s="11" t="s">
        <v>926</v>
      </c>
      <c r="F71" s="11"/>
      <c r="G71" s="11"/>
    </row>
    <row r="72" spans="3:7" hidden="1" x14ac:dyDescent="0.2">
      <c r="C72" s="6">
        <v>331</v>
      </c>
      <c r="D72" s="6" t="s">
        <v>926</v>
      </c>
      <c r="E72" s="11" t="s">
        <v>926</v>
      </c>
      <c r="F72" s="11"/>
      <c r="G72" s="11"/>
    </row>
    <row r="73" spans="3:7" hidden="1" x14ac:dyDescent="0.2">
      <c r="C73" s="6">
        <v>335</v>
      </c>
      <c r="D73" s="6" t="s">
        <v>926</v>
      </c>
      <c r="E73" s="11" t="s">
        <v>926</v>
      </c>
      <c r="F73" s="11"/>
      <c r="G73" s="11"/>
    </row>
    <row r="74" spans="3:7" hidden="1" x14ac:dyDescent="0.2">
      <c r="C74" s="6">
        <v>336</v>
      </c>
      <c r="D74" s="6" t="s">
        <v>926</v>
      </c>
      <c r="E74" s="11" t="s">
        <v>926</v>
      </c>
      <c r="F74" s="11"/>
      <c r="G74" s="11"/>
    </row>
    <row r="75" spans="3:7" hidden="1" x14ac:dyDescent="0.2">
      <c r="C75" s="6">
        <v>348</v>
      </c>
      <c r="D75" s="6" t="s">
        <v>926</v>
      </c>
      <c r="E75" s="11" t="s">
        <v>926</v>
      </c>
      <c r="F75" s="11"/>
      <c r="G75" s="11"/>
    </row>
    <row r="76" spans="3:7" hidden="1" x14ac:dyDescent="0.2">
      <c r="C76" s="6">
        <v>352</v>
      </c>
      <c r="D76" s="6" t="s">
        <v>926</v>
      </c>
      <c r="E76" s="11" t="s">
        <v>926</v>
      </c>
      <c r="F76" s="11"/>
      <c r="G76" s="11"/>
    </row>
    <row r="77" spans="3:7" hidden="1" x14ac:dyDescent="0.2">
      <c r="C77" s="6">
        <v>355</v>
      </c>
      <c r="D77" s="6" t="s">
        <v>926</v>
      </c>
      <c r="E77" s="11" t="s">
        <v>926</v>
      </c>
      <c r="F77" s="11"/>
      <c r="G77" s="11"/>
    </row>
    <row r="78" spans="3:7" hidden="1" x14ac:dyDescent="0.2">
      <c r="C78" s="6">
        <v>359</v>
      </c>
      <c r="D78" s="6" t="s">
        <v>926</v>
      </c>
      <c r="E78" s="11" t="s">
        <v>926</v>
      </c>
      <c r="F78" s="11"/>
      <c r="G78" s="11"/>
    </row>
    <row r="79" spans="3:7" hidden="1" x14ac:dyDescent="0.2">
      <c r="C79" s="6">
        <v>360</v>
      </c>
      <c r="D79" s="6" t="s">
        <v>926</v>
      </c>
      <c r="E79" s="11" t="s">
        <v>926</v>
      </c>
      <c r="F79" s="11"/>
      <c r="G79" s="11"/>
    </row>
    <row r="80" spans="3:7" hidden="1" x14ac:dyDescent="0.2">
      <c r="C80" s="6">
        <v>365</v>
      </c>
      <c r="D80" s="6" t="s">
        <v>926</v>
      </c>
      <c r="E80" s="11" t="s">
        <v>926</v>
      </c>
      <c r="F80" s="11"/>
      <c r="G80" s="11"/>
    </row>
    <row r="81" spans="3:7" hidden="1" x14ac:dyDescent="0.2">
      <c r="C81" s="6">
        <v>368</v>
      </c>
      <c r="D81" s="6" t="s">
        <v>926</v>
      </c>
      <c r="E81" s="11" t="s">
        <v>926</v>
      </c>
      <c r="F81" s="11"/>
      <c r="G81" s="11"/>
    </row>
    <row r="82" spans="3:7" hidden="1" x14ac:dyDescent="0.2">
      <c r="C82" s="6">
        <v>369</v>
      </c>
      <c r="D82" s="6" t="s">
        <v>926</v>
      </c>
      <c r="E82" s="11" t="s">
        <v>926</v>
      </c>
      <c r="F82" s="11"/>
      <c r="G82" s="11"/>
    </row>
    <row r="83" spans="3:7" hidden="1" x14ac:dyDescent="0.2">
      <c r="C83" s="6">
        <v>376</v>
      </c>
      <c r="D83" s="6" t="s">
        <v>926</v>
      </c>
      <c r="E83" s="11" t="s">
        <v>926</v>
      </c>
      <c r="F83" s="11"/>
      <c r="G83" s="11"/>
    </row>
    <row r="84" spans="3:7" hidden="1" x14ac:dyDescent="0.2">
      <c r="C84" s="6">
        <v>385</v>
      </c>
      <c r="D84" s="6" t="s">
        <v>926</v>
      </c>
      <c r="E84" s="11" t="s">
        <v>926</v>
      </c>
      <c r="F84" s="11"/>
      <c r="G84" s="11"/>
    </row>
    <row r="85" spans="3:7" hidden="1" x14ac:dyDescent="0.2">
      <c r="C85" s="6">
        <v>389</v>
      </c>
      <c r="D85" s="6" t="s">
        <v>926</v>
      </c>
      <c r="E85" s="11" t="s">
        <v>926</v>
      </c>
      <c r="F85" s="11"/>
      <c r="G85" s="11"/>
    </row>
    <row r="86" spans="3:7" hidden="1" x14ac:dyDescent="0.2">
      <c r="C86" s="6">
        <v>410</v>
      </c>
      <c r="D86" s="6" t="s">
        <v>926</v>
      </c>
      <c r="E86" s="11" t="s">
        <v>926</v>
      </c>
      <c r="F86" s="11"/>
      <c r="G86" s="11"/>
    </row>
    <row r="87" spans="3:7" hidden="1" x14ac:dyDescent="0.2">
      <c r="C87" s="6">
        <v>411</v>
      </c>
      <c r="D87" s="6" t="s">
        <v>926</v>
      </c>
      <c r="E87" s="11" t="s">
        <v>926</v>
      </c>
      <c r="F87" s="11"/>
      <c r="G87" s="11"/>
    </row>
    <row r="88" spans="3:7" hidden="1" x14ac:dyDescent="0.2">
      <c r="C88" s="6">
        <v>412</v>
      </c>
      <c r="D88" s="6" t="s">
        <v>926</v>
      </c>
      <c r="E88" s="11" t="s">
        <v>926</v>
      </c>
      <c r="F88" s="11"/>
      <c r="G88" s="11"/>
    </row>
    <row r="89" spans="3:7" hidden="1" x14ac:dyDescent="0.2">
      <c r="C89" s="6">
        <v>414</v>
      </c>
      <c r="D89" s="6" t="s">
        <v>926</v>
      </c>
      <c r="E89" s="11" t="s">
        <v>926</v>
      </c>
      <c r="F89" s="11"/>
      <c r="G89" s="11"/>
    </row>
    <row r="90" spans="3:7" hidden="1" x14ac:dyDescent="0.2">
      <c r="C90" s="6">
        <v>416</v>
      </c>
      <c r="D90" s="6" t="s">
        <v>926</v>
      </c>
      <c r="E90" s="11" t="s">
        <v>926</v>
      </c>
      <c r="F90" s="11"/>
      <c r="G90" s="11"/>
    </row>
    <row r="91" spans="3:7" hidden="1" x14ac:dyDescent="0.2">
      <c r="C91" s="6">
        <v>421</v>
      </c>
      <c r="D91" s="6" t="s">
        <v>926</v>
      </c>
      <c r="E91" s="11" t="s">
        <v>926</v>
      </c>
      <c r="F91" s="11"/>
      <c r="G91" s="11"/>
    </row>
    <row r="92" spans="3:7" hidden="1" x14ac:dyDescent="0.2">
      <c r="C92" s="6">
        <v>426</v>
      </c>
      <c r="D92" s="6" t="s">
        <v>926</v>
      </c>
      <c r="E92" s="11" t="s">
        <v>926</v>
      </c>
      <c r="F92" s="11"/>
      <c r="G92" s="11"/>
    </row>
    <row r="93" spans="3:7" hidden="1" x14ac:dyDescent="0.2">
      <c r="C93" s="6">
        <v>429</v>
      </c>
      <c r="D93" s="6" t="s">
        <v>926</v>
      </c>
      <c r="E93" s="11" t="s">
        <v>926</v>
      </c>
      <c r="F93" s="11"/>
      <c r="G93" s="11"/>
    </row>
    <row r="94" spans="3:7" hidden="1" x14ac:dyDescent="0.2">
      <c r="C94" s="6">
        <v>432</v>
      </c>
      <c r="D94" s="6" t="s">
        <v>926</v>
      </c>
      <c r="E94" s="11" t="s">
        <v>926</v>
      </c>
      <c r="F94" s="11"/>
      <c r="G94" s="11"/>
    </row>
    <row r="95" spans="3:7" hidden="1" x14ac:dyDescent="0.2">
      <c r="C95" s="6">
        <v>445</v>
      </c>
      <c r="D95" s="6" t="s">
        <v>926</v>
      </c>
      <c r="E95" s="11" t="s">
        <v>926</v>
      </c>
      <c r="F95" s="11"/>
      <c r="G95" s="11"/>
    </row>
    <row r="96" spans="3:7" hidden="1" x14ac:dyDescent="0.2">
      <c r="C96" s="6">
        <v>452</v>
      </c>
      <c r="D96" s="6" t="s">
        <v>926</v>
      </c>
      <c r="E96" s="11" t="s">
        <v>926</v>
      </c>
      <c r="F96" s="11"/>
      <c r="G96" s="11"/>
    </row>
    <row r="97" spans="3:7" hidden="1" x14ac:dyDescent="0.2">
      <c r="C97" s="6">
        <v>455</v>
      </c>
      <c r="D97" s="6" t="s">
        <v>926</v>
      </c>
      <c r="E97" s="11" t="s">
        <v>926</v>
      </c>
      <c r="F97" s="11"/>
      <c r="G97" s="11"/>
    </row>
    <row r="98" spans="3:7" hidden="1" x14ac:dyDescent="0.2">
      <c r="C98" s="6">
        <v>458</v>
      </c>
      <c r="D98" s="6" t="s">
        <v>926</v>
      </c>
      <c r="E98" s="11" t="s">
        <v>926</v>
      </c>
      <c r="F98" s="11"/>
      <c r="G98" s="11"/>
    </row>
    <row r="99" spans="3:7" hidden="1" x14ac:dyDescent="0.2">
      <c r="C99" s="6">
        <v>460</v>
      </c>
      <c r="D99" s="6" t="s">
        <v>926</v>
      </c>
      <c r="E99" s="11" t="s">
        <v>926</v>
      </c>
      <c r="F99" s="11"/>
      <c r="G99" s="11"/>
    </row>
    <row r="100" spans="3:7" hidden="1" x14ac:dyDescent="0.2">
      <c r="C100" s="6">
        <v>465</v>
      </c>
      <c r="D100" s="6" t="s">
        <v>926</v>
      </c>
      <c r="E100" s="11" t="s">
        <v>926</v>
      </c>
      <c r="F100" s="11"/>
      <c r="G100" s="11"/>
    </row>
    <row r="101" spans="3:7" hidden="1" x14ac:dyDescent="0.2">
      <c r="C101" s="6">
        <v>467</v>
      </c>
      <c r="D101" s="6" t="s">
        <v>926</v>
      </c>
      <c r="E101" s="11" t="s">
        <v>926</v>
      </c>
      <c r="F101" s="11"/>
      <c r="G101" s="11"/>
    </row>
    <row r="102" spans="3:7" hidden="1" x14ac:dyDescent="0.2">
      <c r="C102" s="6">
        <v>469</v>
      </c>
      <c r="D102" s="6" t="s">
        <v>926</v>
      </c>
      <c r="E102" s="11" t="s">
        <v>926</v>
      </c>
      <c r="F102" s="11"/>
      <c r="G102" s="11"/>
    </row>
    <row r="103" spans="3:7" hidden="1" x14ac:dyDescent="0.2">
      <c r="C103" s="6">
        <v>471</v>
      </c>
      <c r="D103" s="6" t="s">
        <v>926</v>
      </c>
      <c r="E103" s="11" t="s">
        <v>926</v>
      </c>
      <c r="F103" s="11"/>
      <c r="G103" s="11"/>
    </row>
    <row r="104" spans="3:7" hidden="1" x14ac:dyDescent="0.2">
      <c r="C104" s="6">
        <v>476</v>
      </c>
      <c r="D104" s="6" t="s">
        <v>926</v>
      </c>
      <c r="E104" s="11" t="s">
        <v>926</v>
      </c>
      <c r="F104" s="11"/>
      <c r="G104" s="11"/>
    </row>
    <row r="105" spans="3:7" hidden="1" x14ac:dyDescent="0.2">
      <c r="C105" s="6">
        <v>482</v>
      </c>
      <c r="D105" s="6" t="s">
        <v>926</v>
      </c>
      <c r="E105" s="11" t="s">
        <v>926</v>
      </c>
      <c r="F105" s="11"/>
      <c r="G105" s="11"/>
    </row>
    <row r="106" spans="3:7" hidden="1" x14ac:dyDescent="0.2">
      <c r="C106" s="6">
        <v>486</v>
      </c>
      <c r="D106" s="6" t="s">
        <v>926</v>
      </c>
      <c r="E106" s="11" t="s">
        <v>926</v>
      </c>
      <c r="F106" s="11"/>
      <c r="G106" s="11"/>
    </row>
    <row r="107" spans="3:7" hidden="1" x14ac:dyDescent="0.2">
      <c r="C107" s="6">
        <v>491</v>
      </c>
      <c r="D107" s="6" t="s">
        <v>926</v>
      </c>
      <c r="E107" s="11" t="s">
        <v>926</v>
      </c>
      <c r="F107" s="11"/>
      <c r="G107" s="11"/>
    </row>
    <row r="108" spans="3:7" hidden="1" x14ac:dyDescent="0.2">
      <c r="C108" s="6">
        <v>496</v>
      </c>
      <c r="D108" s="6" t="s">
        <v>926</v>
      </c>
      <c r="E108" s="11" t="s">
        <v>926</v>
      </c>
      <c r="F108" s="11"/>
      <c r="G108" s="11"/>
    </row>
    <row r="109" spans="3:7" hidden="1" x14ac:dyDescent="0.2">
      <c r="C109" s="6">
        <v>498</v>
      </c>
      <c r="D109" s="6" t="s">
        <v>926</v>
      </c>
      <c r="E109" s="11" t="s">
        <v>926</v>
      </c>
      <c r="F109" s="11"/>
      <c r="G109" s="11"/>
    </row>
    <row r="110" spans="3:7" hidden="1" x14ac:dyDescent="0.2">
      <c r="C110" s="6">
        <v>503</v>
      </c>
      <c r="D110" s="6" t="s">
        <v>926</v>
      </c>
      <c r="E110" s="11" t="s">
        <v>926</v>
      </c>
      <c r="F110" s="11"/>
      <c r="G110" s="11"/>
    </row>
    <row r="111" spans="3:7" hidden="1" x14ac:dyDescent="0.2">
      <c r="C111" s="6">
        <v>508</v>
      </c>
      <c r="D111" s="6" t="s">
        <v>926</v>
      </c>
      <c r="E111" s="11" t="s">
        <v>926</v>
      </c>
      <c r="F111" s="11"/>
      <c r="G111" s="11"/>
    </row>
    <row r="112" spans="3:7" hidden="1" x14ac:dyDescent="0.2">
      <c r="C112" s="6">
        <v>512</v>
      </c>
      <c r="D112" s="6" t="s">
        <v>926</v>
      </c>
      <c r="E112" s="11" t="s">
        <v>926</v>
      </c>
      <c r="F112" s="11"/>
      <c r="G112" s="11"/>
    </row>
    <row r="113" spans="3:7" hidden="1" x14ac:dyDescent="0.2">
      <c r="C113" s="6">
        <v>518</v>
      </c>
      <c r="D113" s="6" t="s">
        <v>926</v>
      </c>
      <c r="E113" s="11" t="s">
        <v>926</v>
      </c>
      <c r="F113" s="11"/>
      <c r="G113" s="11"/>
    </row>
    <row r="114" spans="3:7" hidden="1" x14ac:dyDescent="0.2">
      <c r="C114" s="6">
        <v>523</v>
      </c>
      <c r="D114" s="6" t="s">
        <v>926</v>
      </c>
      <c r="E114" s="11" t="s">
        <v>926</v>
      </c>
      <c r="F114" s="11"/>
      <c r="G114" s="11"/>
    </row>
    <row r="115" spans="3:7" hidden="1" x14ac:dyDescent="0.2">
      <c r="C115" s="6">
        <v>525</v>
      </c>
      <c r="D115" s="6" t="s">
        <v>926</v>
      </c>
      <c r="E115" s="11" t="s">
        <v>926</v>
      </c>
      <c r="F115" s="11"/>
      <c r="G115" s="11"/>
    </row>
    <row r="116" spans="3:7" hidden="1" x14ac:dyDescent="0.2">
      <c r="C116" s="6">
        <v>528</v>
      </c>
      <c r="D116" s="6" t="s">
        <v>926</v>
      </c>
      <c r="E116" s="11" t="s">
        <v>926</v>
      </c>
      <c r="F116" s="11"/>
      <c r="G116" s="11"/>
    </row>
    <row r="117" spans="3:7" hidden="1" x14ac:dyDescent="0.2">
      <c r="C117" s="6">
        <v>532</v>
      </c>
      <c r="D117" s="6" t="s">
        <v>926</v>
      </c>
      <c r="E117" s="11" t="s">
        <v>926</v>
      </c>
      <c r="F117" s="11"/>
      <c r="G117" s="11"/>
    </row>
    <row r="118" spans="3:7" hidden="1" x14ac:dyDescent="0.2">
      <c r="C118" s="6">
        <v>534</v>
      </c>
      <c r="D118" s="6" t="s">
        <v>926</v>
      </c>
      <c r="E118" s="11" t="s">
        <v>926</v>
      </c>
      <c r="F118" s="11"/>
      <c r="G118" s="11"/>
    </row>
    <row r="119" spans="3:7" hidden="1" x14ac:dyDescent="0.2">
      <c r="C119" s="6">
        <v>539</v>
      </c>
      <c r="D119" s="6" t="s">
        <v>926</v>
      </c>
      <c r="E119" s="11" t="s">
        <v>926</v>
      </c>
      <c r="F119" s="11"/>
      <c r="G119" s="11"/>
    </row>
    <row r="120" spans="3:7" hidden="1" x14ac:dyDescent="0.2">
      <c r="C120" s="6">
        <v>548</v>
      </c>
      <c r="D120" s="6" t="s">
        <v>926</v>
      </c>
      <c r="E120" s="11" t="s">
        <v>926</v>
      </c>
      <c r="F120" s="11"/>
      <c r="G120" s="11"/>
    </row>
    <row r="121" spans="3:7" hidden="1" x14ac:dyDescent="0.2">
      <c r="C121" s="6">
        <v>553</v>
      </c>
      <c r="D121" s="6" t="s">
        <v>926</v>
      </c>
      <c r="E121" s="11" t="s">
        <v>926</v>
      </c>
      <c r="F121" s="11"/>
      <c r="G121" s="11"/>
    </row>
    <row r="122" spans="3:7" hidden="1" x14ac:dyDescent="0.2">
      <c r="C122" s="6">
        <v>558</v>
      </c>
      <c r="D122" s="6" t="s">
        <v>926</v>
      </c>
      <c r="E122" s="11" t="s">
        <v>926</v>
      </c>
      <c r="F122" s="11"/>
      <c r="G122" s="11"/>
    </row>
    <row r="123" spans="3:7" hidden="1" x14ac:dyDescent="0.2">
      <c r="C123" s="6">
        <v>561</v>
      </c>
      <c r="D123" s="6" t="s">
        <v>926</v>
      </c>
      <c r="E123" s="11" t="s">
        <v>926</v>
      </c>
      <c r="F123" s="11"/>
      <c r="G123" s="11"/>
    </row>
    <row r="124" spans="3:7" hidden="1" x14ac:dyDescent="0.2">
      <c r="C124" s="6">
        <v>564</v>
      </c>
      <c r="D124" s="6" t="s">
        <v>926</v>
      </c>
      <c r="E124" s="11" t="s">
        <v>926</v>
      </c>
      <c r="F124" s="11"/>
      <c r="G124" s="11"/>
    </row>
    <row r="125" spans="3:7" hidden="1" x14ac:dyDescent="0.2">
      <c r="C125" s="6">
        <v>565</v>
      </c>
      <c r="D125" s="6" t="s">
        <v>926</v>
      </c>
      <c r="E125" s="11" t="s">
        <v>926</v>
      </c>
      <c r="F125" s="11"/>
      <c r="G125" s="11"/>
    </row>
    <row r="126" spans="3:7" hidden="1" x14ac:dyDescent="0.2">
      <c r="C126" s="6">
        <v>569</v>
      </c>
      <c r="D126" s="6" t="s">
        <v>926</v>
      </c>
      <c r="E126" s="11" t="s">
        <v>926</v>
      </c>
      <c r="F126" s="11"/>
      <c r="G126" s="11"/>
    </row>
    <row r="127" spans="3:7" hidden="1" x14ac:dyDescent="0.2">
      <c r="C127" s="6">
        <v>574</v>
      </c>
      <c r="D127" s="6" t="s">
        <v>926</v>
      </c>
      <c r="E127" s="11" t="s">
        <v>926</v>
      </c>
      <c r="F127" s="11"/>
      <c r="G127" s="11"/>
    </row>
    <row r="128" spans="3:7" hidden="1" x14ac:dyDescent="0.2">
      <c r="C128" s="6">
        <v>579</v>
      </c>
      <c r="D128" s="6" t="s">
        <v>926</v>
      </c>
      <c r="E128" s="11" t="s">
        <v>926</v>
      </c>
      <c r="F128" s="11"/>
      <c r="G128" s="11"/>
    </row>
    <row r="129" spans="3:7" hidden="1" x14ac:dyDescent="0.2">
      <c r="C129" s="6">
        <v>585</v>
      </c>
      <c r="D129" s="6" t="s">
        <v>926</v>
      </c>
      <c r="E129" s="11" t="s">
        <v>926</v>
      </c>
      <c r="F129" s="11"/>
      <c r="G129" s="11"/>
    </row>
    <row r="130" spans="3:7" hidden="1" x14ac:dyDescent="0.2">
      <c r="C130" s="6">
        <v>590</v>
      </c>
      <c r="D130" s="6" t="s">
        <v>926</v>
      </c>
      <c r="E130" s="11" t="s">
        <v>926</v>
      </c>
      <c r="F130" s="11"/>
      <c r="G130" s="11"/>
    </row>
    <row r="131" spans="3:7" hidden="1" x14ac:dyDescent="0.2">
      <c r="C131" s="6">
        <v>594</v>
      </c>
      <c r="D131" s="6" t="s">
        <v>926</v>
      </c>
      <c r="E131" s="11" t="s">
        <v>926</v>
      </c>
      <c r="F131" s="11"/>
      <c r="G131" s="11"/>
    </row>
    <row r="132" spans="3:7" hidden="1" x14ac:dyDescent="0.2">
      <c r="C132" s="6">
        <v>597</v>
      </c>
      <c r="D132" s="6" t="s">
        <v>926</v>
      </c>
      <c r="E132" s="11" t="s">
        <v>926</v>
      </c>
      <c r="F132" s="11"/>
      <c r="G132" s="11"/>
    </row>
    <row r="133" spans="3:7" hidden="1" x14ac:dyDescent="0.2">
      <c r="C133" s="6">
        <v>599</v>
      </c>
      <c r="D133" s="6" t="s">
        <v>926</v>
      </c>
      <c r="E133" s="11" t="s">
        <v>926</v>
      </c>
      <c r="F133" s="11"/>
      <c r="G133" s="11"/>
    </row>
    <row r="134" spans="3:7" hidden="1" x14ac:dyDescent="0.2">
      <c r="C134" s="6">
        <v>602</v>
      </c>
      <c r="D134" s="6" t="s">
        <v>926</v>
      </c>
      <c r="E134" s="11" t="s">
        <v>926</v>
      </c>
      <c r="F134" s="11"/>
      <c r="G134" s="11"/>
    </row>
    <row r="135" spans="3:7" hidden="1" x14ac:dyDescent="0.2">
      <c r="C135" s="6">
        <v>603</v>
      </c>
      <c r="D135" s="6" t="s">
        <v>926</v>
      </c>
      <c r="E135" s="11" t="s">
        <v>926</v>
      </c>
      <c r="F135" s="11"/>
      <c r="G135" s="11"/>
    </row>
    <row r="136" spans="3:7" hidden="1" x14ac:dyDescent="0.2">
      <c r="C136" s="6">
        <v>612</v>
      </c>
      <c r="D136" s="6" t="s">
        <v>926</v>
      </c>
      <c r="E136" s="11" t="s">
        <v>926</v>
      </c>
      <c r="F136" s="11"/>
      <c r="G136" s="11"/>
    </row>
    <row r="137" spans="3:7" hidden="1" x14ac:dyDescent="0.2">
      <c r="C137" s="6">
        <v>613</v>
      </c>
      <c r="D137" s="6" t="s">
        <v>926</v>
      </c>
      <c r="E137" s="11" t="s">
        <v>926</v>
      </c>
      <c r="F137" s="11"/>
      <c r="G137" s="11"/>
    </row>
    <row r="138" spans="3:7" hidden="1" x14ac:dyDescent="0.2">
      <c r="C138" s="6">
        <v>614</v>
      </c>
      <c r="D138" s="6" t="s">
        <v>926</v>
      </c>
      <c r="E138" s="11" t="s">
        <v>926</v>
      </c>
      <c r="F138" s="11"/>
      <c r="G138" s="11"/>
    </row>
    <row r="139" spans="3:7" hidden="1" x14ac:dyDescent="0.2">
      <c r="C139" s="6">
        <v>630</v>
      </c>
      <c r="D139" s="6" t="s">
        <v>926</v>
      </c>
      <c r="E139" s="11" t="s">
        <v>926</v>
      </c>
      <c r="F139" s="11"/>
      <c r="G139" s="11"/>
    </row>
    <row r="140" spans="3:7" hidden="1" x14ac:dyDescent="0.2">
      <c r="C140" s="6">
        <v>634</v>
      </c>
      <c r="D140" s="6" t="s">
        <v>926</v>
      </c>
      <c r="E140" s="11" t="s">
        <v>926</v>
      </c>
      <c r="F140" s="11"/>
      <c r="G140" s="11"/>
    </row>
    <row r="141" spans="3:7" hidden="1" x14ac:dyDescent="0.2">
      <c r="C141" s="6">
        <v>640</v>
      </c>
      <c r="D141" s="6" t="s">
        <v>926</v>
      </c>
      <c r="E141" s="11" t="s">
        <v>926</v>
      </c>
      <c r="F141" s="11"/>
      <c r="G141" s="11"/>
    </row>
    <row r="142" spans="3:7" hidden="1" x14ac:dyDescent="0.2">
      <c r="C142" s="6">
        <v>644</v>
      </c>
      <c r="D142" s="6" t="s">
        <v>926</v>
      </c>
      <c r="E142" s="11" t="s">
        <v>926</v>
      </c>
      <c r="F142" s="11"/>
      <c r="G142" s="11"/>
    </row>
    <row r="143" spans="3:7" hidden="1" x14ac:dyDescent="0.2">
      <c r="C143" s="6">
        <v>649</v>
      </c>
      <c r="D143" s="6" t="s">
        <v>926</v>
      </c>
      <c r="E143" s="11" t="s">
        <v>926</v>
      </c>
      <c r="F143" s="11"/>
      <c r="G143" s="11"/>
    </row>
    <row r="144" spans="3:7" hidden="1" x14ac:dyDescent="0.2">
      <c r="C144" s="6">
        <v>651</v>
      </c>
      <c r="D144" s="6" t="s">
        <v>926</v>
      </c>
      <c r="E144" s="11" t="s">
        <v>926</v>
      </c>
      <c r="F144" s="11"/>
      <c r="G144" s="11"/>
    </row>
    <row r="145" spans="3:7" hidden="1" x14ac:dyDescent="0.2">
      <c r="C145" s="6">
        <v>654</v>
      </c>
      <c r="D145" s="6" t="s">
        <v>926</v>
      </c>
      <c r="E145" s="11" t="s">
        <v>926</v>
      </c>
      <c r="F145" s="11"/>
      <c r="G145" s="11"/>
    </row>
    <row r="146" spans="3:7" hidden="1" x14ac:dyDescent="0.2">
      <c r="C146" s="6">
        <v>657</v>
      </c>
      <c r="D146" s="6" t="s">
        <v>926</v>
      </c>
      <c r="E146" s="11" t="s">
        <v>926</v>
      </c>
      <c r="F146" s="11"/>
      <c r="G146" s="11"/>
    </row>
    <row r="147" spans="3:7" hidden="1" x14ac:dyDescent="0.2">
      <c r="C147" s="6">
        <v>668</v>
      </c>
      <c r="D147" s="6" t="s">
        <v>926</v>
      </c>
      <c r="E147" s="11" t="s">
        <v>926</v>
      </c>
      <c r="F147" s="11"/>
      <c r="G147" s="11"/>
    </row>
    <row r="148" spans="3:7" hidden="1" x14ac:dyDescent="0.2">
      <c r="C148" s="6">
        <v>670</v>
      </c>
      <c r="D148" s="6" t="s">
        <v>926</v>
      </c>
      <c r="E148" s="11" t="s">
        <v>926</v>
      </c>
      <c r="F148" s="11"/>
      <c r="G148" s="11"/>
    </row>
    <row r="149" spans="3:7" hidden="1" x14ac:dyDescent="0.2">
      <c r="C149" s="6">
        <v>675</v>
      </c>
      <c r="D149" s="6" t="s">
        <v>926</v>
      </c>
      <c r="E149" s="11" t="s">
        <v>926</v>
      </c>
      <c r="F149" s="11"/>
      <c r="G149" s="11"/>
    </row>
    <row r="150" spans="3:7" hidden="1" x14ac:dyDescent="0.2">
      <c r="C150" s="6">
        <v>681</v>
      </c>
      <c r="D150" s="6" t="s">
        <v>926</v>
      </c>
      <c r="E150" s="11" t="s">
        <v>926</v>
      </c>
      <c r="F150" s="11"/>
      <c r="G150" s="11"/>
    </row>
    <row r="151" spans="3:7" hidden="1" x14ac:dyDescent="0.2">
      <c r="C151" s="6">
        <v>693</v>
      </c>
      <c r="D151" s="6" t="s">
        <v>926</v>
      </c>
      <c r="E151" s="11" t="s">
        <v>926</v>
      </c>
      <c r="F151" s="11"/>
      <c r="G151" s="11"/>
    </row>
    <row r="152" spans="3:7" hidden="1" x14ac:dyDescent="0.2">
      <c r="C152" s="6">
        <v>698</v>
      </c>
      <c r="D152" s="6" t="s">
        <v>926</v>
      </c>
      <c r="E152" s="11" t="s">
        <v>926</v>
      </c>
      <c r="F152" s="11"/>
      <c r="G152" s="11"/>
    </row>
    <row r="153" spans="3:7" hidden="1" x14ac:dyDescent="0.2">
      <c r="C153" s="6">
        <v>710</v>
      </c>
      <c r="D153" s="6" t="s">
        <v>926</v>
      </c>
      <c r="E153" s="11" t="s">
        <v>926</v>
      </c>
      <c r="F153" s="11"/>
      <c r="G153" s="11"/>
    </row>
    <row r="154" spans="3:7" hidden="1" x14ac:dyDescent="0.2">
      <c r="C154" s="6">
        <v>712</v>
      </c>
      <c r="D154" s="6" t="s">
        <v>926</v>
      </c>
      <c r="E154" s="11" t="s">
        <v>926</v>
      </c>
      <c r="F154" s="11"/>
      <c r="G154" s="11"/>
    </row>
    <row r="155" spans="3:7" hidden="1" x14ac:dyDescent="0.2">
      <c r="C155" s="6">
        <v>719</v>
      </c>
      <c r="D155" s="6" t="s">
        <v>926</v>
      </c>
      <c r="E155" s="11" t="s">
        <v>926</v>
      </c>
      <c r="F155" s="11"/>
      <c r="G155" s="11"/>
    </row>
    <row r="156" spans="3:7" hidden="1" x14ac:dyDescent="0.2">
      <c r="C156" s="6">
        <v>728</v>
      </c>
      <c r="D156" s="6" t="s">
        <v>926</v>
      </c>
      <c r="E156" s="11" t="s">
        <v>926</v>
      </c>
      <c r="F156" s="11"/>
      <c r="G156" s="11"/>
    </row>
    <row r="157" spans="3:7" hidden="1" x14ac:dyDescent="0.2">
      <c r="C157" s="6">
        <v>733</v>
      </c>
      <c r="D157" s="6" t="s">
        <v>926</v>
      </c>
      <c r="E157" s="11" t="s">
        <v>926</v>
      </c>
      <c r="F157" s="11"/>
      <c r="G157" s="11"/>
    </row>
    <row r="158" spans="3:7" hidden="1" x14ac:dyDescent="0.2">
      <c r="C158" s="6">
        <v>739</v>
      </c>
      <c r="D158" s="6" t="s">
        <v>926</v>
      </c>
      <c r="E158" s="11" t="s">
        <v>926</v>
      </c>
      <c r="F158" s="11"/>
      <c r="G158" s="11"/>
    </row>
    <row r="159" spans="3:7" hidden="1" x14ac:dyDescent="0.2">
      <c r="C159" s="6">
        <v>740</v>
      </c>
      <c r="D159" s="6" t="s">
        <v>926</v>
      </c>
      <c r="E159" s="11" t="s">
        <v>926</v>
      </c>
      <c r="F159" s="11"/>
      <c r="G159" s="11"/>
    </row>
    <row r="160" spans="3:7" hidden="1" x14ac:dyDescent="0.2">
      <c r="C160" s="6">
        <v>741</v>
      </c>
      <c r="D160" s="6" t="s">
        <v>926</v>
      </c>
      <c r="E160" s="11" t="s">
        <v>926</v>
      </c>
      <c r="F160" s="11"/>
      <c r="G160" s="11"/>
    </row>
    <row r="161" spans="3:7" hidden="1" x14ac:dyDescent="0.2">
      <c r="C161" s="6">
        <v>761</v>
      </c>
      <c r="D161" s="6" t="s">
        <v>926</v>
      </c>
      <c r="E161" s="11" t="s">
        <v>926</v>
      </c>
      <c r="F161" s="11"/>
      <c r="G161" s="11"/>
    </row>
    <row r="162" spans="3:7" hidden="1" x14ac:dyDescent="0.2">
      <c r="C162" s="6">
        <v>767</v>
      </c>
      <c r="D162" s="6" t="s">
        <v>926</v>
      </c>
      <c r="E162" s="11" t="s">
        <v>926</v>
      </c>
      <c r="F162" s="11"/>
      <c r="G162" s="11"/>
    </row>
    <row r="163" spans="3:7" hidden="1" x14ac:dyDescent="0.2">
      <c r="C163" s="6">
        <v>769</v>
      </c>
      <c r="D163" s="6" t="s">
        <v>926</v>
      </c>
      <c r="E163" s="11" t="s">
        <v>926</v>
      </c>
      <c r="F163" s="11"/>
      <c r="G163" s="11"/>
    </row>
    <row r="164" spans="3:7" hidden="1" x14ac:dyDescent="0.2">
      <c r="C164" s="6">
        <v>774</v>
      </c>
      <c r="D164" s="6" t="s">
        <v>926</v>
      </c>
      <c r="E164" s="11" t="s">
        <v>926</v>
      </c>
      <c r="F164" s="11"/>
      <c r="G164" s="11"/>
    </row>
    <row r="165" spans="3:7" hidden="1" x14ac:dyDescent="0.2">
      <c r="C165" s="6">
        <v>777</v>
      </c>
      <c r="D165" s="6" t="s">
        <v>926</v>
      </c>
      <c r="E165" s="11" t="s">
        <v>926</v>
      </c>
      <c r="F165" s="11"/>
      <c r="G165" s="11"/>
    </row>
    <row r="166" spans="3:7" hidden="1" x14ac:dyDescent="0.2">
      <c r="C166" s="6">
        <v>779</v>
      </c>
      <c r="D166" s="6" t="s">
        <v>926</v>
      </c>
      <c r="E166" s="11" t="s">
        <v>926</v>
      </c>
      <c r="F166" s="11"/>
      <c r="G166" s="11"/>
    </row>
    <row r="167" spans="3:7" hidden="1" x14ac:dyDescent="0.2">
      <c r="C167" s="6">
        <v>784</v>
      </c>
      <c r="D167" s="6" t="s">
        <v>926</v>
      </c>
      <c r="E167" s="11" t="s">
        <v>926</v>
      </c>
      <c r="F167" s="11"/>
      <c r="G167" s="11"/>
    </row>
    <row r="168" spans="3:7" hidden="1" x14ac:dyDescent="0.2">
      <c r="C168" s="6">
        <v>791</v>
      </c>
      <c r="D168" s="6" t="s">
        <v>926</v>
      </c>
      <c r="E168" s="11" t="s">
        <v>926</v>
      </c>
      <c r="F168" s="11"/>
      <c r="G168" s="11"/>
    </row>
    <row r="169" spans="3:7" hidden="1" x14ac:dyDescent="0.2">
      <c r="C169" s="6">
        <v>793</v>
      </c>
      <c r="D169" s="6" t="s">
        <v>926</v>
      </c>
      <c r="E169" s="11" t="s">
        <v>926</v>
      </c>
      <c r="F169" s="11"/>
      <c r="G169" s="11"/>
    </row>
    <row r="170" spans="3:7" hidden="1" x14ac:dyDescent="0.2">
      <c r="C170" s="6">
        <v>794</v>
      </c>
      <c r="D170" s="6" t="s">
        <v>926</v>
      </c>
      <c r="E170" s="11" t="s">
        <v>926</v>
      </c>
      <c r="F170" s="11"/>
      <c r="G170" s="11"/>
    </row>
    <row r="171" spans="3:7" hidden="1" x14ac:dyDescent="0.2">
      <c r="C171" s="6">
        <v>816</v>
      </c>
      <c r="D171" s="6" t="s">
        <v>926</v>
      </c>
      <c r="E171" s="11" t="s">
        <v>926</v>
      </c>
      <c r="F171" s="11"/>
      <c r="G171" s="11"/>
    </row>
    <row r="172" spans="3:7" hidden="1" x14ac:dyDescent="0.2">
      <c r="C172" s="6">
        <v>826</v>
      </c>
      <c r="D172" s="6" t="s">
        <v>926</v>
      </c>
      <c r="E172" s="11" t="s">
        <v>926</v>
      </c>
      <c r="F172" s="11"/>
      <c r="G172" s="11"/>
    </row>
    <row r="173" spans="3:7" hidden="1" x14ac:dyDescent="0.2">
      <c r="C173" s="6">
        <v>827</v>
      </c>
      <c r="D173" s="6" t="s">
        <v>926</v>
      </c>
      <c r="E173" s="11" t="s">
        <v>926</v>
      </c>
      <c r="F173" s="11"/>
      <c r="G173" s="11"/>
    </row>
    <row r="174" spans="3:7" hidden="1" x14ac:dyDescent="0.2">
      <c r="C174" s="6">
        <v>829</v>
      </c>
      <c r="D174" s="6" t="s">
        <v>926</v>
      </c>
      <c r="E174" s="11" t="s">
        <v>926</v>
      </c>
      <c r="F174" s="11"/>
      <c r="G174" s="11"/>
    </row>
    <row r="175" spans="3:7" hidden="1" x14ac:dyDescent="0.2">
      <c r="C175" s="6">
        <v>833</v>
      </c>
      <c r="D175" s="6" t="s">
        <v>926</v>
      </c>
      <c r="E175" s="11" t="s">
        <v>926</v>
      </c>
      <c r="F175" s="11"/>
      <c r="G175" s="11"/>
    </row>
    <row r="176" spans="3:7" hidden="1" x14ac:dyDescent="0.2">
      <c r="C176" s="6">
        <v>838</v>
      </c>
      <c r="D176" s="6" t="s">
        <v>926</v>
      </c>
      <c r="E176" s="11" t="s">
        <v>926</v>
      </c>
      <c r="F176" s="11"/>
      <c r="G176" s="11"/>
    </row>
    <row r="177" spans="3:10" hidden="1" x14ac:dyDescent="0.2">
      <c r="C177" s="6">
        <v>840</v>
      </c>
      <c r="D177" s="6" t="s">
        <v>926</v>
      </c>
      <c r="E177" s="11" t="s">
        <v>926</v>
      </c>
      <c r="F177" s="11"/>
      <c r="G177" s="11"/>
    </row>
    <row r="178" spans="3:10" hidden="1" x14ac:dyDescent="0.2">
      <c r="C178" s="6">
        <v>847</v>
      </c>
      <c r="D178" s="6" t="s">
        <v>926</v>
      </c>
      <c r="E178" s="11" t="s">
        <v>926</v>
      </c>
      <c r="F178" s="11"/>
      <c r="G178" s="11"/>
    </row>
    <row r="179" spans="3:10" hidden="1" x14ac:dyDescent="0.2">
      <c r="C179" s="6">
        <v>850</v>
      </c>
      <c r="D179" s="6" t="s">
        <v>926</v>
      </c>
      <c r="E179" s="11" t="s">
        <v>926</v>
      </c>
      <c r="F179" s="11"/>
      <c r="G179" s="11"/>
    </row>
    <row r="180" spans="3:10" hidden="1" x14ac:dyDescent="0.2">
      <c r="C180" s="6">
        <v>860</v>
      </c>
      <c r="D180" s="6" t="s">
        <v>926</v>
      </c>
      <c r="E180" s="11" t="s">
        <v>926</v>
      </c>
      <c r="F180" s="11"/>
      <c r="G180" s="11"/>
    </row>
    <row r="181" spans="3:10" hidden="1" x14ac:dyDescent="0.2">
      <c r="C181" s="6">
        <v>864</v>
      </c>
      <c r="D181" s="6" t="s">
        <v>926</v>
      </c>
      <c r="E181" s="11" t="s">
        <v>926</v>
      </c>
      <c r="F181" s="11"/>
      <c r="G181" s="11"/>
    </row>
    <row r="182" spans="3:10" hidden="1" x14ac:dyDescent="0.2">
      <c r="C182" s="6">
        <v>869</v>
      </c>
      <c r="D182" s="6" t="s">
        <v>926</v>
      </c>
      <c r="E182" s="11" t="s">
        <v>926</v>
      </c>
      <c r="F182" s="11"/>
      <c r="G182" s="11"/>
    </row>
    <row r="183" spans="3:10" hidden="1" x14ac:dyDescent="0.2">
      <c r="C183" s="6">
        <v>879</v>
      </c>
      <c r="D183" s="6" t="s">
        <v>926</v>
      </c>
      <c r="E183" s="11" t="s">
        <v>926</v>
      </c>
      <c r="F183" s="11"/>
      <c r="G183" s="11"/>
    </row>
    <row r="184" spans="3:10" hidden="1" x14ac:dyDescent="0.2">
      <c r="C184" s="6">
        <v>889</v>
      </c>
      <c r="D184" s="6" t="s">
        <v>926</v>
      </c>
      <c r="E184" s="11" t="s">
        <v>926</v>
      </c>
      <c r="F184" s="11"/>
      <c r="G184" s="11"/>
    </row>
    <row r="185" spans="3:10" x14ac:dyDescent="0.2">
      <c r="C185" s="6">
        <v>165</v>
      </c>
      <c r="D185" s="6">
        <v>1</v>
      </c>
      <c r="E185" s="11">
        <v>0</v>
      </c>
      <c r="F185" s="11"/>
      <c r="G185" s="11"/>
    </row>
    <row r="186" spans="3:10" x14ac:dyDescent="0.2">
      <c r="C186" s="6">
        <v>173</v>
      </c>
      <c r="D186" s="6">
        <v>1</v>
      </c>
      <c r="E186" s="11">
        <v>0</v>
      </c>
      <c r="F186" s="11"/>
      <c r="G186" s="11"/>
    </row>
    <row r="187" spans="3:10" x14ac:dyDescent="0.2">
      <c r="C187" s="6">
        <v>184</v>
      </c>
      <c r="D187" s="6">
        <v>1</v>
      </c>
      <c r="E187" s="11">
        <v>0</v>
      </c>
      <c r="F187" s="11"/>
      <c r="G187" s="11"/>
    </row>
    <row r="188" spans="3:10" x14ac:dyDescent="0.2">
      <c r="C188" s="6">
        <v>382</v>
      </c>
      <c r="D188" s="6">
        <v>1</v>
      </c>
      <c r="E188" s="11">
        <v>0</v>
      </c>
      <c r="F188" s="11"/>
      <c r="G188" s="11"/>
    </row>
    <row r="189" spans="3:10" x14ac:dyDescent="0.2">
      <c r="C189" s="6">
        <v>387</v>
      </c>
      <c r="D189" s="6">
        <v>1</v>
      </c>
      <c r="E189" s="11">
        <v>0</v>
      </c>
      <c r="F189" s="11"/>
      <c r="G189" s="11"/>
    </row>
    <row r="190" spans="3:10" x14ac:dyDescent="0.2">
      <c r="C190" s="6">
        <v>789</v>
      </c>
      <c r="D190" s="6">
        <v>1</v>
      </c>
      <c r="E190" s="11">
        <v>0</v>
      </c>
      <c r="F190" s="11"/>
      <c r="G190" s="11"/>
    </row>
    <row r="191" spans="3:10" x14ac:dyDescent="0.2">
      <c r="C191" s="6">
        <v>828</v>
      </c>
      <c r="D191" s="6">
        <v>1</v>
      </c>
      <c r="E191" s="11">
        <v>0</v>
      </c>
      <c r="F191" s="11"/>
      <c r="G191" s="11"/>
      <c r="H191">
        <f>COUNTA(D185:D191)</f>
        <v>7</v>
      </c>
      <c r="I191">
        <v>891</v>
      </c>
      <c r="J191" s="10">
        <f>H191/I191</f>
        <v>7.8563411896745237E-3</v>
      </c>
    </row>
    <row r="192" spans="3:10" x14ac:dyDescent="0.2">
      <c r="C192" s="6">
        <v>8</v>
      </c>
      <c r="D192" s="6">
        <v>2</v>
      </c>
      <c r="E192" s="11">
        <v>8.9999999999999993E-3</v>
      </c>
      <c r="F192" s="11"/>
      <c r="G192" s="11"/>
    </row>
    <row r="193" spans="3:99" x14ac:dyDescent="0.2">
      <c r="C193" s="6">
        <v>17</v>
      </c>
      <c r="D193" s="6">
        <v>2</v>
      </c>
      <c r="E193" s="11">
        <v>8.9999999999999993E-3</v>
      </c>
      <c r="F193" s="11"/>
      <c r="G193" s="11"/>
    </row>
    <row r="194" spans="3:99" x14ac:dyDescent="0.2">
      <c r="C194" s="6">
        <v>120</v>
      </c>
      <c r="D194" s="6">
        <v>2</v>
      </c>
      <c r="E194" s="11">
        <v>8.9999999999999993E-3</v>
      </c>
      <c r="F194" s="11"/>
      <c r="G194" s="11"/>
    </row>
    <row r="195" spans="3:99" x14ac:dyDescent="0.2">
      <c r="C195" s="6">
        <v>206</v>
      </c>
      <c r="D195" s="6">
        <v>2</v>
      </c>
      <c r="E195" s="11">
        <v>8.9999999999999993E-3</v>
      </c>
      <c r="F195" s="11"/>
      <c r="G195" s="11"/>
    </row>
    <row r="196" spans="3:99" x14ac:dyDescent="0.2">
      <c r="C196" s="6">
        <v>298</v>
      </c>
      <c r="D196" s="6">
        <v>2</v>
      </c>
      <c r="E196" s="11">
        <v>8.9999999999999993E-3</v>
      </c>
      <c r="F196" s="11"/>
      <c r="G196" s="11"/>
    </row>
    <row r="197" spans="3:99" x14ac:dyDescent="0.2">
      <c r="C197" s="6">
        <v>341</v>
      </c>
      <c r="D197" s="6">
        <v>2</v>
      </c>
      <c r="E197" s="11">
        <v>8.9999999999999993E-3</v>
      </c>
      <c r="F197" s="11"/>
      <c r="G197" s="11"/>
    </row>
    <row r="198" spans="3:99" x14ac:dyDescent="0.2">
      <c r="C198" s="6">
        <v>480</v>
      </c>
      <c r="D198" s="6">
        <v>2</v>
      </c>
      <c r="E198" s="11">
        <v>8.9999999999999993E-3</v>
      </c>
      <c r="F198" s="11"/>
      <c r="G198" s="11"/>
    </row>
    <row r="199" spans="3:99" x14ac:dyDescent="0.2">
      <c r="C199" s="6">
        <v>531</v>
      </c>
      <c r="D199" s="6">
        <v>2</v>
      </c>
      <c r="E199" s="11">
        <v>8.9999999999999993E-3</v>
      </c>
      <c r="F199" s="11"/>
      <c r="G199" s="11"/>
      <c r="L199" s="13" cm="1">
        <f t="array" ref="L199">COUNT(_xlfn._xlws.FILTER(Titanic[Edad Corrigida], Titanic[Edad Corrigida] = L200))</f>
        <v>7</v>
      </c>
      <c r="M199" s="13" cm="1">
        <f t="array" ref="M199">COUNT(_xlfn._xlws.FILTER(Titanic[Edad Corrigida], Titanic[Edad Corrigida] = M200))</f>
        <v>10</v>
      </c>
      <c r="N199" s="13" cm="1">
        <f t="array" ref="N199">COUNT(_xlfn._xlws.FILTER(Titanic[Edad Corrigida], Titanic[Edad Corrigida] = N200))</f>
        <v>6</v>
      </c>
      <c r="O199" s="13" cm="1">
        <f t="array" ref="O199">COUNT(_xlfn._xlws.FILTER(Titanic[Edad Corrigida], Titanic[Edad Corrigida] = O200))</f>
        <v>10</v>
      </c>
      <c r="P199" s="13" cm="1">
        <f t="array" ref="P199">COUNT(_xlfn._xlws.FILTER(Titanic[Edad Corrigida], Titanic[Edad Corrigida] = P200))</f>
        <v>4</v>
      </c>
    </row>
    <row r="200" spans="3:99" x14ac:dyDescent="0.2">
      <c r="C200" s="6">
        <v>643</v>
      </c>
      <c r="D200" s="6">
        <v>2</v>
      </c>
      <c r="E200" s="11">
        <v>8.9999999999999993E-3</v>
      </c>
      <c r="F200" s="11"/>
      <c r="G200" s="11"/>
      <c r="L200" s="14" cm="1">
        <f t="array" ref="L200:CU200">TRANSPOSE(_xlfn._xlws.SORT(_xlfn.UNIQUE(Titanic[Edad Corrigida])))</f>
        <v>1</v>
      </c>
      <c r="M200" s="14">
        <v>2</v>
      </c>
      <c r="N200" s="14">
        <v>3</v>
      </c>
      <c r="O200" s="14">
        <v>4</v>
      </c>
      <c r="P200" s="14">
        <v>5</v>
      </c>
      <c r="Q200">
        <v>6</v>
      </c>
      <c r="R200">
        <v>7</v>
      </c>
      <c r="S200">
        <v>8</v>
      </c>
      <c r="T200">
        <v>9</v>
      </c>
      <c r="U200">
        <v>10</v>
      </c>
      <c r="V200">
        <v>11</v>
      </c>
      <c r="W200">
        <v>12</v>
      </c>
      <c r="X200">
        <v>13</v>
      </c>
      <c r="Y200">
        <v>14</v>
      </c>
      <c r="Z200">
        <v>14.5</v>
      </c>
      <c r="AA200">
        <v>15</v>
      </c>
      <c r="AB200">
        <v>16</v>
      </c>
      <c r="AC200">
        <v>17</v>
      </c>
      <c r="AD200">
        <v>18</v>
      </c>
      <c r="AE200">
        <v>19</v>
      </c>
      <c r="AF200">
        <v>20</v>
      </c>
      <c r="AG200">
        <v>20.5</v>
      </c>
      <c r="AH200">
        <v>21</v>
      </c>
      <c r="AI200">
        <v>22</v>
      </c>
      <c r="AJ200">
        <v>23</v>
      </c>
      <c r="AK200">
        <v>23.5</v>
      </c>
      <c r="AL200">
        <v>24</v>
      </c>
      <c r="AM200">
        <v>24.5</v>
      </c>
      <c r="AN200">
        <v>25</v>
      </c>
      <c r="AO200">
        <v>26</v>
      </c>
      <c r="AP200">
        <v>27</v>
      </c>
      <c r="AQ200">
        <v>28</v>
      </c>
      <c r="AR200">
        <v>28.5</v>
      </c>
      <c r="AS200">
        <v>29</v>
      </c>
      <c r="AT200">
        <v>30</v>
      </c>
      <c r="AU200">
        <v>30.5</v>
      </c>
      <c r="AV200">
        <v>31</v>
      </c>
      <c r="AW200">
        <v>32</v>
      </c>
      <c r="AX200">
        <v>32.5</v>
      </c>
      <c r="AY200">
        <v>33</v>
      </c>
      <c r="AZ200">
        <v>34</v>
      </c>
      <c r="BA200">
        <v>34.5</v>
      </c>
      <c r="BB200">
        <v>35</v>
      </c>
      <c r="BC200">
        <v>36</v>
      </c>
      <c r="BD200">
        <v>36.5</v>
      </c>
      <c r="BE200">
        <v>37</v>
      </c>
      <c r="BF200">
        <v>38</v>
      </c>
      <c r="BG200">
        <v>39</v>
      </c>
      <c r="BH200">
        <v>40</v>
      </c>
      <c r="BI200">
        <v>40.5</v>
      </c>
      <c r="BJ200">
        <v>41</v>
      </c>
      <c r="BK200">
        <v>42</v>
      </c>
      <c r="BL200">
        <v>43</v>
      </c>
      <c r="BM200">
        <v>44</v>
      </c>
      <c r="BN200">
        <v>45</v>
      </c>
      <c r="BO200">
        <v>45.5</v>
      </c>
      <c r="BP200">
        <v>46</v>
      </c>
      <c r="BQ200">
        <v>47</v>
      </c>
      <c r="BR200">
        <v>48</v>
      </c>
      <c r="BS200">
        <v>49</v>
      </c>
      <c r="BT200">
        <v>50</v>
      </c>
      <c r="BU200">
        <v>51</v>
      </c>
      <c r="BV200">
        <v>52</v>
      </c>
      <c r="BW200">
        <v>53</v>
      </c>
      <c r="BX200">
        <v>54</v>
      </c>
      <c r="BY200">
        <v>55</v>
      </c>
      <c r="BZ200">
        <v>55.5</v>
      </c>
      <c r="CA200">
        <v>56</v>
      </c>
      <c r="CB200">
        <v>57</v>
      </c>
      <c r="CC200">
        <v>58</v>
      </c>
      <c r="CD200">
        <v>59</v>
      </c>
      <c r="CE200">
        <v>60</v>
      </c>
      <c r="CF200">
        <v>61</v>
      </c>
      <c r="CG200">
        <v>62</v>
      </c>
      <c r="CH200">
        <v>63</v>
      </c>
      <c r="CI200">
        <v>64</v>
      </c>
      <c r="CJ200">
        <v>65</v>
      </c>
      <c r="CK200">
        <v>66</v>
      </c>
      <c r="CL200">
        <v>67</v>
      </c>
      <c r="CM200">
        <v>70</v>
      </c>
      <c r="CN200">
        <v>70.5</v>
      </c>
      <c r="CO200">
        <v>71</v>
      </c>
      <c r="CP200">
        <v>74</v>
      </c>
      <c r="CQ200">
        <v>75</v>
      </c>
      <c r="CR200">
        <v>80</v>
      </c>
      <c r="CS200">
        <v>83</v>
      </c>
      <c r="CT200">
        <v>92</v>
      </c>
      <c r="CU200" t="str">
        <v/>
      </c>
    </row>
    <row r="201" spans="3:99" x14ac:dyDescent="0.2">
      <c r="C201" s="6">
        <v>825</v>
      </c>
      <c r="D201" s="6">
        <v>2</v>
      </c>
      <c r="E201" s="11">
        <v>8.9999999999999993E-3</v>
      </c>
      <c r="F201" s="11"/>
      <c r="G201" s="11"/>
      <c r="H201">
        <f>COUNT(D192:D201)</f>
        <v>10</v>
      </c>
      <c r="I201">
        <v>891</v>
      </c>
      <c r="J201" s="10">
        <f>H201/I201</f>
        <v>1.1223344556677889E-2</v>
      </c>
      <c r="L201" s="6"/>
      <c r="M201" s="6"/>
      <c r="N201" s="6"/>
      <c r="O201" s="6"/>
      <c r="P201" s="6"/>
    </row>
    <row r="202" spans="3:99" x14ac:dyDescent="0.2">
      <c r="C202" s="6">
        <v>44</v>
      </c>
      <c r="D202" s="6">
        <v>3</v>
      </c>
      <c r="E202" s="11">
        <v>2.3E-2</v>
      </c>
      <c r="F202" s="11"/>
      <c r="G202" s="11"/>
      <c r="L202" s="12" cm="1">
        <f t="array" ref="L202:L208">_xlfn._xlws.FILTER(Titanic[Edad Corrigida], Titanic[Edad Corrigida] = L200)</f>
        <v>1</v>
      </c>
      <c r="M202" s="12" cm="1">
        <f t="array" ref="M202:M211">_xlfn._xlws.FILTER(Titanic[Edad Corrigida], Titanic[Edad Corrigida] = M200)</f>
        <v>2</v>
      </c>
      <c r="N202" s="12" cm="1">
        <f t="array" ref="N202:N207">_xlfn._xlws.FILTER(Titanic[Edad Corrigida], Titanic[Edad Corrigida] = N200)</f>
        <v>3</v>
      </c>
      <c r="O202" s="12" cm="1">
        <f t="array" ref="O202:O211">_xlfn._xlws.FILTER(Titanic[Edad Corrigida], Titanic[Edad Corrigida] = O200)</f>
        <v>4</v>
      </c>
      <c r="P202" s="12" cm="1">
        <f t="array" ref="P202:P205">_xlfn._xlws.FILTER(Titanic[Edad Corrigida], Titanic[Edad Corrigida] = P200)</f>
        <v>5</v>
      </c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</row>
    <row r="203" spans="3:99" x14ac:dyDescent="0.2">
      <c r="C203" s="6">
        <v>194</v>
      </c>
      <c r="D203" s="6">
        <v>3</v>
      </c>
      <c r="E203" s="11">
        <v>2.3E-2</v>
      </c>
      <c r="F203" s="11"/>
      <c r="G203" s="11"/>
      <c r="L203" s="12">
        <v>1</v>
      </c>
      <c r="M203" s="6">
        <v>2</v>
      </c>
      <c r="N203" s="6">
        <v>3</v>
      </c>
      <c r="O203" s="6">
        <v>4</v>
      </c>
      <c r="P203" s="6">
        <v>5</v>
      </c>
    </row>
    <row r="204" spans="3:99" x14ac:dyDescent="0.2">
      <c r="C204" s="6">
        <v>262</v>
      </c>
      <c r="D204" s="6">
        <v>3</v>
      </c>
      <c r="E204" s="11">
        <v>2.3E-2</v>
      </c>
      <c r="F204" s="11"/>
      <c r="G204" s="11"/>
      <c r="L204" s="12">
        <v>1</v>
      </c>
      <c r="M204" s="6">
        <v>2</v>
      </c>
      <c r="N204" s="6">
        <v>3</v>
      </c>
      <c r="O204" s="6">
        <v>4</v>
      </c>
      <c r="P204" s="6">
        <v>5</v>
      </c>
    </row>
    <row r="205" spans="3:99" x14ac:dyDescent="0.2">
      <c r="C205" s="6">
        <v>349</v>
      </c>
      <c r="D205" s="6">
        <v>3</v>
      </c>
      <c r="E205" s="11">
        <v>2.3E-2</v>
      </c>
      <c r="F205" s="11"/>
      <c r="G205" s="11"/>
      <c r="L205" s="12">
        <v>1</v>
      </c>
      <c r="M205" s="6">
        <v>2</v>
      </c>
      <c r="N205" s="6">
        <v>3</v>
      </c>
      <c r="O205" s="6">
        <v>4</v>
      </c>
      <c r="P205" s="6">
        <v>5</v>
      </c>
    </row>
    <row r="206" spans="3:99" x14ac:dyDescent="0.2">
      <c r="C206" s="6">
        <v>375</v>
      </c>
      <c r="D206" s="6">
        <v>3</v>
      </c>
      <c r="E206" s="11">
        <v>2.3E-2</v>
      </c>
      <c r="F206" s="11"/>
      <c r="G206" s="11"/>
      <c r="L206" s="12">
        <v>1</v>
      </c>
      <c r="M206" s="6">
        <v>2</v>
      </c>
      <c r="N206" s="6">
        <v>3</v>
      </c>
      <c r="O206" s="6">
        <v>4</v>
      </c>
      <c r="P206" s="6"/>
    </row>
    <row r="207" spans="3:99" x14ac:dyDescent="0.2">
      <c r="C207" s="6">
        <v>408</v>
      </c>
      <c r="D207" s="6">
        <v>3</v>
      </c>
      <c r="E207" s="11">
        <v>2.3E-2</v>
      </c>
      <c r="F207" s="11"/>
      <c r="G207" s="11"/>
      <c r="H207">
        <f>COUNT(D202:D207)</f>
        <v>6</v>
      </c>
      <c r="I207">
        <v>891</v>
      </c>
      <c r="J207" s="10">
        <f>H207/I207</f>
        <v>6.7340067340067337E-3</v>
      </c>
      <c r="L207" s="12">
        <v>1</v>
      </c>
      <c r="M207" s="6">
        <v>2</v>
      </c>
      <c r="N207" s="6">
        <v>3</v>
      </c>
      <c r="O207" s="6">
        <v>4</v>
      </c>
      <c r="P207" s="6"/>
    </row>
    <row r="208" spans="3:99" x14ac:dyDescent="0.2">
      <c r="C208" s="6">
        <v>11</v>
      </c>
      <c r="D208" s="6">
        <v>4</v>
      </c>
      <c r="E208" s="11">
        <v>3.2000000000000001E-2</v>
      </c>
      <c r="F208" s="11"/>
      <c r="G208" s="11"/>
      <c r="L208" s="12">
        <v>1</v>
      </c>
      <c r="M208" s="6">
        <v>2</v>
      </c>
      <c r="N208" s="6"/>
      <c r="O208" s="6">
        <v>4</v>
      </c>
      <c r="P208" s="6"/>
    </row>
    <row r="209" spans="3:16" x14ac:dyDescent="0.2">
      <c r="C209" s="6">
        <v>64</v>
      </c>
      <c r="D209" s="6">
        <v>4</v>
      </c>
      <c r="E209" s="11">
        <v>3.2000000000000001E-2</v>
      </c>
      <c r="F209" s="11"/>
      <c r="G209" s="11"/>
      <c r="L209" s="6"/>
      <c r="M209" s="6">
        <v>2</v>
      </c>
      <c r="N209" s="6"/>
      <c r="O209" s="6">
        <v>4</v>
      </c>
      <c r="P209" s="6"/>
    </row>
    <row r="210" spans="3:16" x14ac:dyDescent="0.2">
      <c r="C210" s="6">
        <v>172</v>
      </c>
      <c r="D210" s="6">
        <v>4</v>
      </c>
      <c r="E210" s="11">
        <v>3.2000000000000001E-2</v>
      </c>
      <c r="F210" s="11"/>
      <c r="G210" s="11"/>
      <c r="L210" s="6"/>
      <c r="M210" s="6">
        <v>2</v>
      </c>
      <c r="N210" s="6"/>
      <c r="O210" s="6">
        <v>4</v>
      </c>
      <c r="P210" s="6"/>
    </row>
    <row r="211" spans="3:16" x14ac:dyDescent="0.2">
      <c r="C211" s="6">
        <v>185</v>
      </c>
      <c r="D211" s="6">
        <v>4</v>
      </c>
      <c r="E211" s="11">
        <v>3.2000000000000001E-2</v>
      </c>
      <c r="F211" s="11"/>
      <c r="G211" s="11"/>
      <c r="L211" s="6"/>
      <c r="M211" s="6">
        <v>2</v>
      </c>
      <c r="N211" s="6"/>
      <c r="O211" s="6">
        <v>4</v>
      </c>
      <c r="P211" s="6"/>
    </row>
    <row r="212" spans="3:16" x14ac:dyDescent="0.2">
      <c r="C212" s="6">
        <v>446</v>
      </c>
      <c r="D212" s="6">
        <v>4</v>
      </c>
      <c r="E212" s="11">
        <v>3.2000000000000001E-2</v>
      </c>
      <c r="F212" s="11"/>
      <c r="G212" s="11"/>
      <c r="L212" s="6"/>
      <c r="M212" s="6"/>
      <c r="N212" s="6"/>
      <c r="O212" s="6"/>
      <c r="P212" s="6"/>
    </row>
    <row r="213" spans="3:16" x14ac:dyDescent="0.2">
      <c r="C213" s="6">
        <v>619</v>
      </c>
      <c r="D213" s="6">
        <v>4</v>
      </c>
      <c r="E213" s="11">
        <v>3.2000000000000001E-2</v>
      </c>
      <c r="F213" s="11"/>
      <c r="G213" s="11"/>
    </row>
    <row r="214" spans="3:16" x14ac:dyDescent="0.2">
      <c r="C214" s="6">
        <v>692</v>
      </c>
      <c r="D214" s="6">
        <v>4</v>
      </c>
      <c r="E214" s="11">
        <v>3.2000000000000001E-2</v>
      </c>
      <c r="F214" s="11"/>
      <c r="G214" s="11"/>
    </row>
    <row r="215" spans="3:16" x14ac:dyDescent="0.2">
      <c r="C215" s="6">
        <v>751</v>
      </c>
      <c r="D215" s="6">
        <v>4</v>
      </c>
      <c r="E215" s="11">
        <v>3.2000000000000001E-2</v>
      </c>
      <c r="F215" s="11"/>
      <c r="G215" s="11"/>
    </row>
    <row r="216" spans="3:16" x14ac:dyDescent="0.2">
      <c r="C216" s="6">
        <v>851</v>
      </c>
      <c r="D216" s="6">
        <v>4</v>
      </c>
      <c r="E216" s="11">
        <v>3.2000000000000001E-2</v>
      </c>
      <c r="F216" s="11"/>
      <c r="G216" s="11"/>
    </row>
    <row r="217" spans="3:16" x14ac:dyDescent="0.2">
      <c r="C217" s="6">
        <v>870</v>
      </c>
      <c r="D217" s="6">
        <v>4</v>
      </c>
      <c r="E217" s="11">
        <v>3.2000000000000001E-2</v>
      </c>
      <c r="F217" s="11"/>
      <c r="G217" s="11"/>
    </row>
    <row r="218" spans="3:16" x14ac:dyDescent="0.2">
      <c r="C218" s="6">
        <v>59</v>
      </c>
      <c r="D218" s="6">
        <v>5</v>
      </c>
      <c r="E218" s="11">
        <v>4.5999999999999999E-2</v>
      </c>
      <c r="F218" s="11"/>
      <c r="G218" s="11"/>
    </row>
    <row r="219" spans="3:16" x14ac:dyDescent="0.2">
      <c r="C219" s="6">
        <v>234</v>
      </c>
      <c r="D219" s="6">
        <v>5</v>
      </c>
      <c r="E219" s="11">
        <v>4.5999999999999999E-2</v>
      </c>
      <c r="F219" s="11"/>
      <c r="G219" s="11"/>
    </row>
    <row r="220" spans="3:16" x14ac:dyDescent="0.2">
      <c r="C220" s="6">
        <v>449</v>
      </c>
      <c r="D220" s="6">
        <v>5</v>
      </c>
      <c r="E220" s="11">
        <v>4.5999999999999999E-2</v>
      </c>
      <c r="F220" s="11"/>
      <c r="G220" s="11"/>
    </row>
    <row r="221" spans="3:16" x14ac:dyDescent="0.2">
      <c r="C221" s="6">
        <v>778</v>
      </c>
      <c r="D221" s="6">
        <v>5</v>
      </c>
      <c r="E221" s="11">
        <v>4.5999999999999999E-2</v>
      </c>
      <c r="F221" s="11"/>
      <c r="G221" s="11"/>
    </row>
    <row r="222" spans="3:16" x14ac:dyDescent="0.2">
      <c r="C222" s="6">
        <v>721</v>
      </c>
      <c r="D222" s="6">
        <v>6</v>
      </c>
      <c r="E222" s="11">
        <v>5.0999999999999997E-2</v>
      </c>
      <c r="F222" s="11"/>
      <c r="G222" s="11"/>
    </row>
    <row r="223" spans="3:16" x14ac:dyDescent="0.2">
      <c r="C223" s="6">
        <v>752</v>
      </c>
      <c r="D223" s="6">
        <v>6</v>
      </c>
      <c r="E223" s="11">
        <v>5.0999999999999997E-2</v>
      </c>
      <c r="F223" s="11"/>
      <c r="G223" s="11"/>
    </row>
    <row r="224" spans="3:16" x14ac:dyDescent="0.2">
      <c r="C224" s="6">
        <v>814</v>
      </c>
      <c r="D224" s="6">
        <v>6</v>
      </c>
      <c r="E224" s="11">
        <v>5.0999999999999997E-2</v>
      </c>
      <c r="F224" s="11"/>
      <c r="G224" s="11"/>
    </row>
    <row r="225" spans="3:15" x14ac:dyDescent="0.2">
      <c r="C225" s="6">
        <v>51</v>
      </c>
      <c r="D225" s="6">
        <v>7</v>
      </c>
      <c r="E225" s="11">
        <v>5.6000000000000001E-2</v>
      </c>
      <c r="F225" s="11"/>
      <c r="G225" s="11"/>
    </row>
    <row r="226" spans="3:15" x14ac:dyDescent="0.2">
      <c r="C226" s="6">
        <v>279</v>
      </c>
      <c r="D226" s="6">
        <v>7</v>
      </c>
      <c r="E226" s="11">
        <v>5.6000000000000001E-2</v>
      </c>
      <c r="F226" s="11"/>
      <c r="G226" s="11"/>
    </row>
    <row r="227" spans="3:15" x14ac:dyDescent="0.2">
      <c r="C227" s="6">
        <v>536</v>
      </c>
      <c r="D227" s="6">
        <v>7</v>
      </c>
      <c r="E227" s="11">
        <v>5.6000000000000001E-2</v>
      </c>
      <c r="F227" s="11"/>
      <c r="G227" s="11"/>
    </row>
    <row r="228" spans="3:15" x14ac:dyDescent="0.2">
      <c r="C228" s="6">
        <v>25</v>
      </c>
      <c r="D228" s="6">
        <v>8</v>
      </c>
      <c r="E228" s="11">
        <v>0.06</v>
      </c>
      <c r="F228" s="17" t="s">
        <v>955</v>
      </c>
      <c r="G228" s="17"/>
      <c r="H228" s="17"/>
    </row>
    <row r="229" spans="3:15" x14ac:dyDescent="0.2">
      <c r="C229" s="6">
        <v>238</v>
      </c>
      <c r="D229" s="6">
        <v>8</v>
      </c>
      <c r="E229" s="11">
        <v>0.06</v>
      </c>
      <c r="F229" s="16" t="s">
        <v>956</v>
      </c>
      <c r="G229" s="16"/>
      <c r="H229" s="16"/>
    </row>
    <row r="230" spans="3:15" x14ac:dyDescent="0.2">
      <c r="C230" s="6">
        <v>550</v>
      </c>
      <c r="D230" s="6">
        <v>8</v>
      </c>
      <c r="E230" s="11">
        <v>0.06</v>
      </c>
      <c r="F230" s="11"/>
      <c r="G230" s="11"/>
      <c r="K230" t="s">
        <v>941</v>
      </c>
      <c r="O230" t="s">
        <v>942</v>
      </c>
    </row>
    <row r="231" spans="3:15" x14ac:dyDescent="0.2">
      <c r="C231" s="6">
        <v>788</v>
      </c>
      <c r="D231" s="6">
        <v>8</v>
      </c>
      <c r="E231" s="11">
        <v>0.06</v>
      </c>
      <c r="F231" s="11"/>
      <c r="G231" s="11" t="s">
        <v>945</v>
      </c>
      <c r="H231" s="15">
        <v>0.1</v>
      </c>
      <c r="I231" t="s">
        <v>931</v>
      </c>
      <c r="J231">
        <v>15</v>
      </c>
      <c r="K231">
        <f>_xlfn.PERCENTILE.INC(Titanic[Edad Corrigida],H231)</f>
        <v>15</v>
      </c>
      <c r="L231" t="s">
        <v>999</v>
      </c>
      <c r="M231" s="10" cm="1">
        <f t="array" ref="M231">COUNT(_xlfn._xlws.FILTER(Titanic[Indice], (Titanic[Edad Corrigida] &gt;= 0)*(Titanic[Edad Corrigida]&lt;=K231))) / 891</f>
        <v>8.5297418630751964E-2</v>
      </c>
      <c r="O231" t="s">
        <v>943</v>
      </c>
    </row>
    <row r="232" spans="3:15" x14ac:dyDescent="0.2">
      <c r="C232" s="6">
        <v>148</v>
      </c>
      <c r="D232" s="6">
        <v>9</v>
      </c>
      <c r="E232" s="11">
        <v>6.5000000000000002E-2</v>
      </c>
      <c r="F232" s="11"/>
      <c r="G232" s="11" t="s">
        <v>946</v>
      </c>
      <c r="H232" s="15">
        <v>0.2</v>
      </c>
      <c r="I232" t="s">
        <v>932</v>
      </c>
      <c r="J232">
        <v>19.5</v>
      </c>
      <c r="K232">
        <f>_xlfn.PERCENTILE.INC(Titanic[Edad Corrigida],H232)</f>
        <v>19</v>
      </c>
      <c r="L232" t="s">
        <v>1000</v>
      </c>
      <c r="M232" s="10" cm="1">
        <f t="array" ref="M232">COUNT(_xlfn._xlws.FILTER(Titanic[Indice], (Titanic[Edad Corrigida]&lt;=K232))) / 891</f>
        <v>0.17620650953984288</v>
      </c>
      <c r="O232" t="s">
        <v>944</v>
      </c>
    </row>
    <row r="233" spans="3:15" x14ac:dyDescent="0.2">
      <c r="C233" s="6">
        <v>166</v>
      </c>
      <c r="D233" s="6">
        <v>9</v>
      </c>
      <c r="E233" s="11">
        <v>6.5000000000000002E-2</v>
      </c>
      <c r="F233" s="11"/>
      <c r="G233" s="11" t="s">
        <v>947</v>
      </c>
      <c r="H233" s="15">
        <v>0.3</v>
      </c>
      <c r="I233" t="s">
        <v>933</v>
      </c>
      <c r="J233">
        <v>22.5</v>
      </c>
      <c r="K233">
        <f>_xlfn.PERCENTILE.INC(Titanic[Edad Corrigida],H233)</f>
        <v>22</v>
      </c>
      <c r="L233" t="s">
        <v>1001</v>
      </c>
      <c r="M233" s="10" cm="1">
        <f t="array" ref="M233">COUNT(_xlfn._xlws.FILTER(Titanic[Indice], (Titanic[Edad Corrigida]&lt;=K233))) / 891</f>
        <v>0.25140291806958476</v>
      </c>
    </row>
    <row r="234" spans="3:15" x14ac:dyDescent="0.2">
      <c r="C234" s="6">
        <v>183</v>
      </c>
      <c r="D234" s="6">
        <v>9</v>
      </c>
      <c r="E234" s="11">
        <v>6.5000000000000002E-2</v>
      </c>
      <c r="F234" s="11"/>
      <c r="G234" s="11" t="s">
        <v>948</v>
      </c>
      <c r="H234" s="15">
        <v>0.4</v>
      </c>
      <c r="I234" t="s">
        <v>934</v>
      </c>
      <c r="J234">
        <v>25.5</v>
      </c>
      <c r="K234">
        <f>_xlfn.PERCENTILE.INC(Titanic[Edad Corrigida],H234)</f>
        <v>25</v>
      </c>
      <c r="L234" t="s">
        <v>1002</v>
      </c>
      <c r="M234" s="10" cm="1">
        <f t="array" ref="M234">COUNT(_xlfn._xlws.FILTER(Titanic[Indice], (Titanic[Edad Corrigida]&lt;=K234))) / 891</f>
        <v>0.32996632996632996</v>
      </c>
    </row>
    <row r="235" spans="3:15" x14ac:dyDescent="0.2">
      <c r="C235" s="6">
        <v>481</v>
      </c>
      <c r="D235" s="6">
        <v>9</v>
      </c>
      <c r="E235" s="11">
        <v>6.5000000000000002E-2</v>
      </c>
      <c r="F235" s="11"/>
      <c r="G235" s="11" t="s">
        <v>949</v>
      </c>
      <c r="H235" s="15">
        <v>0.5</v>
      </c>
      <c r="I235" t="s">
        <v>935</v>
      </c>
      <c r="J235">
        <v>29</v>
      </c>
      <c r="K235">
        <f>_xlfn.PERCENTILE.INC(Titanic[Edad Corrigida],H235)</f>
        <v>28.75</v>
      </c>
      <c r="L235" t="s">
        <v>1003</v>
      </c>
      <c r="M235" s="10" cm="1">
        <f t="array" ref="M235">COUNT(_xlfn._xlws.FILTER(Titanic[Indice], (Titanic[Edad Corrigida]&lt;=K235))) / 891</f>
        <v>0.40067340067340068</v>
      </c>
    </row>
    <row r="236" spans="3:15" x14ac:dyDescent="0.2">
      <c r="C236" s="6">
        <v>490</v>
      </c>
      <c r="D236" s="6">
        <v>9</v>
      </c>
      <c r="E236" s="11">
        <v>6.5000000000000002E-2</v>
      </c>
      <c r="F236" s="11"/>
      <c r="G236" s="11" t="s">
        <v>950</v>
      </c>
      <c r="H236" s="15">
        <v>0.6</v>
      </c>
      <c r="I236" t="s">
        <v>936</v>
      </c>
      <c r="J236">
        <v>32.5</v>
      </c>
      <c r="K236">
        <f>_xlfn.PERCENTILE.INC(Titanic[Edad Corrigida],H236)</f>
        <v>32</v>
      </c>
      <c r="L236" t="s">
        <v>1004</v>
      </c>
      <c r="M236" s="10" cm="1">
        <f t="array" ref="M236">COUNT(_xlfn._xlws.FILTER(Titanic[Indice], (Titanic[Edad Corrigida]&lt;=K236))) / 891</f>
        <v>0.49270482603815935</v>
      </c>
    </row>
    <row r="237" spans="3:15" x14ac:dyDescent="0.2">
      <c r="C237" s="6">
        <v>542</v>
      </c>
      <c r="D237" s="6">
        <v>9</v>
      </c>
      <c r="E237" s="11">
        <v>6.5000000000000002E-2</v>
      </c>
      <c r="F237" s="11"/>
      <c r="G237" s="11" t="s">
        <v>951</v>
      </c>
      <c r="H237" s="15">
        <v>0.7</v>
      </c>
      <c r="I237" t="s">
        <v>937</v>
      </c>
      <c r="J237">
        <v>36.5</v>
      </c>
      <c r="K237">
        <f>_xlfn.PERCENTILE.INC(Titanic[Edad Corrigida],H237)</f>
        <v>36</v>
      </c>
      <c r="L237" t="s">
        <v>1005</v>
      </c>
      <c r="M237" s="10" cm="1">
        <f t="array" ref="M237">COUNT(_xlfn._xlws.FILTER(Titanic[Indice], (Titanic[Edad Corrigida]&lt;=K237))) / 891</f>
        <v>0.57463524130190802</v>
      </c>
    </row>
    <row r="238" spans="3:15" x14ac:dyDescent="0.2">
      <c r="C238" s="6">
        <v>635</v>
      </c>
      <c r="D238" s="6">
        <v>9</v>
      </c>
      <c r="E238" s="11">
        <v>6.5000000000000002E-2</v>
      </c>
      <c r="F238" s="11"/>
      <c r="G238" s="11" t="s">
        <v>952</v>
      </c>
      <c r="H238" s="15">
        <v>0.8</v>
      </c>
      <c r="I238" t="s">
        <v>938</v>
      </c>
      <c r="J238">
        <v>42.5</v>
      </c>
      <c r="K238">
        <f>_xlfn.PERCENTILE.INC(Titanic[Edad Corrigida],H238)</f>
        <v>42</v>
      </c>
      <c r="L238" t="s">
        <v>1006</v>
      </c>
      <c r="M238" s="10" cm="1">
        <f t="array" ref="M238">COUNT(_xlfn._xlws.FILTER(Titanic[Indice], (Titanic[Edad Corrigida]&lt;=K238))) / 891</f>
        <v>0.64983164983164987</v>
      </c>
    </row>
    <row r="239" spans="3:15" x14ac:dyDescent="0.2">
      <c r="C239" s="6">
        <v>853</v>
      </c>
      <c r="D239" s="6">
        <v>9</v>
      </c>
      <c r="E239" s="11">
        <v>6.5000000000000002E-2</v>
      </c>
      <c r="F239" s="11"/>
      <c r="G239" s="11" t="s">
        <v>953</v>
      </c>
      <c r="H239" s="15">
        <v>0.9</v>
      </c>
      <c r="I239" t="s">
        <v>939</v>
      </c>
      <c r="J239">
        <v>51</v>
      </c>
      <c r="K239">
        <f>_xlfn.PERCENTILE.INC(Titanic[Edad Corrigida],H239)</f>
        <v>50</v>
      </c>
      <c r="L239" t="s">
        <v>1007</v>
      </c>
      <c r="M239" s="10" cm="1">
        <f t="array" ref="M239">COUNT(_xlfn._xlws.FILTER(Titanic[Indice], (Titanic[Edad Corrigida]&lt;=K239))) / 891</f>
        <v>0.72278338945005616</v>
      </c>
    </row>
    <row r="240" spans="3:15" x14ac:dyDescent="0.2">
      <c r="C240" s="6">
        <v>420</v>
      </c>
      <c r="D240" s="6">
        <v>10</v>
      </c>
      <c r="E240" s="11">
        <v>7.6999999999999999E-2</v>
      </c>
      <c r="F240" s="11"/>
      <c r="G240" s="11" t="s">
        <v>954</v>
      </c>
      <c r="H240" s="15">
        <v>1</v>
      </c>
      <c r="I240" t="s">
        <v>940</v>
      </c>
      <c r="J240">
        <v>92</v>
      </c>
      <c r="K240">
        <f>_xlfn.PERCENTILE.INC(Titanic[Edad Corrigida],H240)</f>
        <v>92</v>
      </c>
      <c r="L240" t="s">
        <v>1008</v>
      </c>
      <c r="M240" s="10" cm="1">
        <f t="array" ref="M240">COUNT(_xlfn._xlws.FILTER(Titanic[Indice], (Titanic[Edad Corrigida]&lt;=K240))) / 891</f>
        <v>0.80134680134680136</v>
      </c>
    </row>
    <row r="241" spans="3:16" x14ac:dyDescent="0.2">
      <c r="C241" s="6">
        <v>820</v>
      </c>
      <c r="D241" s="6">
        <v>10</v>
      </c>
      <c r="E241" s="11">
        <v>7.6999999999999999E-2</v>
      </c>
      <c r="F241" s="11"/>
    </row>
    <row r="242" spans="3:16" x14ac:dyDescent="0.2">
      <c r="C242" s="6">
        <v>60</v>
      </c>
      <c r="D242" s="6">
        <v>11</v>
      </c>
      <c r="E242" s="11">
        <v>7.9000000000000001E-2</v>
      </c>
      <c r="F242" s="11"/>
      <c r="G242" s="11"/>
      <c r="K242" t="s">
        <v>962</v>
      </c>
    </row>
    <row r="243" spans="3:16" x14ac:dyDescent="0.2">
      <c r="C243" s="6">
        <v>543</v>
      </c>
      <c r="D243" s="6">
        <v>11</v>
      </c>
      <c r="E243" s="11">
        <v>7.9000000000000001E-2</v>
      </c>
      <c r="F243" s="11"/>
      <c r="G243" s="11" t="s">
        <v>957</v>
      </c>
      <c r="H243" s="15">
        <v>0.2</v>
      </c>
      <c r="I243" t="s">
        <v>969</v>
      </c>
      <c r="K243" s="29">
        <f>_xlfn.PERCENTILE.INC(Titanic[Edad Corrigida], H243)</f>
        <v>19</v>
      </c>
    </row>
    <row r="244" spans="3:16" x14ac:dyDescent="0.2">
      <c r="C244" s="6">
        <v>732</v>
      </c>
      <c r="D244" s="6">
        <v>11</v>
      </c>
      <c r="E244" s="11">
        <v>7.9000000000000001E-2</v>
      </c>
      <c r="F244" s="11"/>
      <c r="G244" s="11" t="s">
        <v>958</v>
      </c>
      <c r="H244" s="15">
        <v>0.4</v>
      </c>
      <c r="I244" t="s">
        <v>970</v>
      </c>
      <c r="K244" s="29">
        <f>_xlfn.PERCENTILE.INC(Titanic[Edad Corrigida], H244)</f>
        <v>25</v>
      </c>
    </row>
    <row r="245" spans="3:16" x14ac:dyDescent="0.2">
      <c r="C245" s="6">
        <v>803</v>
      </c>
      <c r="D245" s="6">
        <v>11</v>
      </c>
      <c r="E245" s="11">
        <v>7.9000000000000001E-2</v>
      </c>
      <c r="F245" s="11"/>
      <c r="G245" s="11" t="s">
        <v>959</v>
      </c>
      <c r="H245" s="15">
        <v>0.6</v>
      </c>
      <c r="I245" t="s">
        <v>971</v>
      </c>
      <c r="K245" s="29">
        <f>_xlfn.PERCENTILE.INC(Titanic[Edad Corrigida], H245)</f>
        <v>32</v>
      </c>
    </row>
    <row r="246" spans="3:16" x14ac:dyDescent="0.2">
      <c r="C246" s="6">
        <v>126</v>
      </c>
      <c r="D246" s="6">
        <v>12</v>
      </c>
      <c r="E246" s="11">
        <v>8.5000000000000006E-2</v>
      </c>
      <c r="F246" s="11"/>
      <c r="G246" s="11" t="s">
        <v>960</v>
      </c>
      <c r="H246" s="15">
        <v>0.8</v>
      </c>
      <c r="I246" t="s">
        <v>972</v>
      </c>
      <c r="K246" s="29">
        <f>_xlfn.PERCENTILE.INC(Titanic[Edad Corrigida], H246)</f>
        <v>42</v>
      </c>
    </row>
    <row r="247" spans="3:16" x14ac:dyDescent="0.2">
      <c r="C247" s="6">
        <v>447</v>
      </c>
      <c r="D247" s="6">
        <v>13</v>
      </c>
      <c r="E247" s="11">
        <v>8.5999999999999993E-2</v>
      </c>
      <c r="F247" s="11"/>
      <c r="G247" s="11" t="s">
        <v>961</v>
      </c>
      <c r="H247" s="15">
        <v>1</v>
      </c>
      <c r="I247" t="s">
        <v>973</v>
      </c>
      <c r="K247" s="29">
        <f>_xlfn.PERCENTILE.INC(Titanic[Edad Corrigida], H247)</f>
        <v>92</v>
      </c>
    </row>
    <row r="248" spans="3:16" x14ac:dyDescent="0.2">
      <c r="C248" s="6">
        <v>781</v>
      </c>
      <c r="D248" s="6">
        <v>13</v>
      </c>
      <c r="E248" s="11">
        <v>8.5999999999999993E-2</v>
      </c>
      <c r="F248" s="11"/>
      <c r="G248" s="11"/>
    </row>
    <row r="249" spans="3:16" x14ac:dyDescent="0.2">
      <c r="C249" s="6">
        <v>10</v>
      </c>
      <c r="D249" s="6">
        <v>14</v>
      </c>
      <c r="E249" s="11">
        <v>8.8999999999999996E-2</v>
      </c>
      <c r="F249" s="11"/>
      <c r="G249" s="11"/>
      <c r="H249" s="21" t="s">
        <v>974</v>
      </c>
      <c r="M249" s="1" t="s">
        <v>981</v>
      </c>
      <c r="N249" s="1"/>
      <c r="O249" s="1"/>
      <c r="P249" s="1"/>
    </row>
    <row r="250" spans="3:16" x14ac:dyDescent="0.2">
      <c r="C250" s="6">
        <v>15</v>
      </c>
      <c r="D250" s="6">
        <v>14</v>
      </c>
      <c r="E250" s="11">
        <v>8.8999999999999996E-2</v>
      </c>
      <c r="F250" s="11"/>
      <c r="G250" s="11"/>
    </row>
    <row r="251" spans="3:16" x14ac:dyDescent="0.2">
      <c r="C251" s="6">
        <v>40</v>
      </c>
      <c r="D251" s="6">
        <v>14</v>
      </c>
      <c r="E251" s="11">
        <v>8.8999999999999996E-2</v>
      </c>
      <c r="F251" s="11"/>
      <c r="G251" s="11"/>
      <c r="H251" s="21" t="s">
        <v>975</v>
      </c>
      <c r="M251" s="1" t="s">
        <v>983</v>
      </c>
      <c r="N251" s="1"/>
      <c r="O251" s="1"/>
      <c r="P251" s="1"/>
    </row>
    <row r="252" spans="3:16" x14ac:dyDescent="0.2">
      <c r="C252" s="6">
        <v>436</v>
      </c>
      <c r="D252" s="6">
        <v>14</v>
      </c>
      <c r="E252" s="11">
        <v>8.8999999999999996E-2</v>
      </c>
      <c r="F252" s="11"/>
      <c r="G252" s="11"/>
    </row>
    <row r="253" spans="3:16" ht="16" customHeight="1" x14ac:dyDescent="0.2">
      <c r="C253" s="6">
        <v>684</v>
      </c>
      <c r="D253" s="6">
        <v>14</v>
      </c>
      <c r="E253" s="11">
        <v>8.8999999999999996E-2</v>
      </c>
      <c r="F253" s="11"/>
      <c r="G253" s="11"/>
      <c r="H253" s="21" t="s">
        <v>980</v>
      </c>
      <c r="I253" s="21"/>
      <c r="J253" s="21"/>
      <c r="K253" s="21"/>
      <c r="L253" s="30" t="s">
        <v>982</v>
      </c>
      <c r="M253" s="30"/>
      <c r="N253" s="30"/>
    </row>
    <row r="254" spans="3:16" x14ac:dyDescent="0.2">
      <c r="C254" s="6">
        <v>687</v>
      </c>
      <c r="D254" s="6">
        <v>14</v>
      </c>
      <c r="E254" s="11">
        <v>8.8999999999999996E-2</v>
      </c>
      <c r="F254" s="11"/>
      <c r="G254" s="11"/>
      <c r="L254" s="30"/>
      <c r="M254" s="30"/>
      <c r="N254" s="30"/>
    </row>
    <row r="255" spans="3:16" x14ac:dyDescent="0.2">
      <c r="C255" s="6">
        <v>112</v>
      </c>
      <c r="D255" s="6">
        <v>14.5</v>
      </c>
      <c r="E255" s="11">
        <v>9.8000000000000004E-2</v>
      </c>
      <c r="F255" s="11"/>
      <c r="G255" s="11"/>
      <c r="L255" s="30"/>
      <c r="M255" s="30"/>
      <c r="N255" s="30"/>
    </row>
    <row r="256" spans="3:16" x14ac:dyDescent="0.2">
      <c r="C256" s="6">
        <v>23</v>
      </c>
      <c r="D256" s="6">
        <v>15</v>
      </c>
      <c r="E256" s="11">
        <v>9.9000000000000005E-2</v>
      </c>
      <c r="F256" s="11"/>
      <c r="L256" s="30"/>
      <c r="M256" s="30"/>
      <c r="N256" s="30"/>
    </row>
    <row r="257" spans="3:14" x14ac:dyDescent="0.2">
      <c r="C257" s="6">
        <v>353</v>
      </c>
      <c r="D257" s="6">
        <v>15</v>
      </c>
      <c r="E257" s="11">
        <v>9.9000000000000005E-2</v>
      </c>
      <c r="F257" s="11"/>
      <c r="L257" s="30"/>
      <c r="M257" s="30"/>
      <c r="N257" s="30"/>
    </row>
    <row r="258" spans="3:14" x14ac:dyDescent="0.2">
      <c r="C258" s="6">
        <v>690</v>
      </c>
      <c r="D258" s="6">
        <v>15</v>
      </c>
      <c r="E258" s="11">
        <v>9.9000000000000005E-2</v>
      </c>
      <c r="F258" s="11"/>
      <c r="H258" s="19"/>
      <c r="I258" s="19"/>
    </row>
    <row r="259" spans="3:14" x14ac:dyDescent="0.2">
      <c r="C259" s="6">
        <v>831</v>
      </c>
      <c r="D259" s="6">
        <v>15</v>
      </c>
      <c r="E259" s="11">
        <v>9.9000000000000005E-2</v>
      </c>
      <c r="F259" s="11"/>
      <c r="G259" s="31" t="s">
        <v>986</v>
      </c>
      <c r="H259" s="32"/>
      <c r="I259" s="32"/>
      <c r="J259" s="32"/>
      <c r="K259" s="32"/>
      <c r="M259" s="3" t="s">
        <v>990</v>
      </c>
    </row>
    <row r="260" spans="3:14" x14ac:dyDescent="0.2">
      <c r="C260" s="6">
        <v>876</v>
      </c>
      <c r="D260" s="6">
        <v>15</v>
      </c>
      <c r="E260" s="11">
        <v>9.9000000000000005E-2</v>
      </c>
      <c r="F260" s="11"/>
      <c r="G260" s="32" t="s">
        <v>987</v>
      </c>
      <c r="H260" s="32"/>
      <c r="I260" s="32"/>
      <c r="J260" s="32"/>
      <c r="K260" s="32"/>
    </row>
    <row r="261" spans="3:14" x14ac:dyDescent="0.2">
      <c r="C261" s="6">
        <v>72</v>
      </c>
      <c r="D261" s="6">
        <v>16</v>
      </c>
      <c r="E261" s="11">
        <v>0.106</v>
      </c>
      <c r="F261" s="11"/>
      <c r="G261" s="33" t="s">
        <v>984</v>
      </c>
      <c r="H261" s="32"/>
      <c r="I261" s="32"/>
      <c r="J261" s="32"/>
      <c r="K261" s="32"/>
      <c r="M261" s="37" t="s">
        <v>991</v>
      </c>
    </row>
    <row r="262" spans="3:14" x14ac:dyDescent="0.2">
      <c r="C262" s="6">
        <v>87</v>
      </c>
      <c r="D262" s="6">
        <v>16</v>
      </c>
      <c r="E262" s="11">
        <v>0.106</v>
      </c>
      <c r="F262" s="11"/>
      <c r="G262" s="34" t="s">
        <v>985</v>
      </c>
      <c r="H262" s="34"/>
      <c r="I262" s="34"/>
      <c r="J262" s="34"/>
      <c r="K262" s="34"/>
      <c r="M262" s="37" t="s">
        <v>992</v>
      </c>
    </row>
    <row r="263" spans="3:14" x14ac:dyDescent="0.2">
      <c r="C263" s="6">
        <v>139</v>
      </c>
      <c r="D263" s="6">
        <v>16</v>
      </c>
      <c r="E263" s="11">
        <v>0.106</v>
      </c>
      <c r="F263" s="11"/>
      <c r="G263" s="34"/>
      <c r="H263" s="34"/>
      <c r="I263" s="34"/>
      <c r="J263" s="34"/>
      <c r="K263" s="34"/>
      <c r="M263" s="37" t="s">
        <v>993</v>
      </c>
    </row>
    <row r="264" spans="3:14" x14ac:dyDescent="0.2">
      <c r="C264" s="6">
        <v>157</v>
      </c>
      <c r="D264" s="6">
        <v>16</v>
      </c>
      <c r="E264" s="11">
        <v>0.106</v>
      </c>
      <c r="F264" s="11"/>
      <c r="G264" s="36" t="s">
        <v>989</v>
      </c>
      <c r="H264" s="36"/>
      <c r="I264" s="36"/>
      <c r="J264" s="36"/>
      <c r="K264" s="36"/>
    </row>
    <row r="265" spans="3:14" x14ac:dyDescent="0.2">
      <c r="C265" s="6">
        <v>209</v>
      </c>
      <c r="D265" s="6">
        <v>16</v>
      </c>
      <c r="E265" s="11">
        <v>0.106</v>
      </c>
      <c r="F265" s="11"/>
      <c r="G265" s="36"/>
      <c r="H265" s="36"/>
      <c r="I265" s="36"/>
      <c r="J265" s="36"/>
      <c r="K265" s="36"/>
    </row>
    <row r="266" spans="3:14" x14ac:dyDescent="0.2">
      <c r="C266" s="6">
        <v>221</v>
      </c>
      <c r="D266" s="6">
        <v>16</v>
      </c>
      <c r="E266" s="11">
        <v>0.106</v>
      </c>
      <c r="F266" s="11"/>
      <c r="G266" s="36"/>
      <c r="H266" s="36"/>
      <c r="I266" s="36"/>
      <c r="J266" s="36"/>
      <c r="K266" s="36"/>
    </row>
    <row r="267" spans="3:14" x14ac:dyDescent="0.2">
      <c r="C267" s="6">
        <v>267</v>
      </c>
      <c r="D267" s="6">
        <v>16</v>
      </c>
      <c r="E267" s="11">
        <v>0.106</v>
      </c>
      <c r="F267" s="11"/>
      <c r="G267" s="35" t="s">
        <v>988</v>
      </c>
    </row>
    <row r="268" spans="3:14" x14ac:dyDescent="0.2">
      <c r="C268" s="6">
        <v>283</v>
      </c>
      <c r="D268" s="6">
        <v>16</v>
      </c>
      <c r="E268" s="11">
        <v>0.106</v>
      </c>
      <c r="F268" s="11"/>
      <c r="G268" s="11"/>
    </row>
    <row r="269" spans="3:14" x14ac:dyDescent="0.2">
      <c r="C269" s="6">
        <v>330</v>
      </c>
      <c r="D269" s="6">
        <v>16</v>
      </c>
      <c r="E269" s="11">
        <v>0.106</v>
      </c>
      <c r="F269" s="11"/>
      <c r="G269" s="11"/>
    </row>
    <row r="270" spans="3:14" x14ac:dyDescent="0.2">
      <c r="C270" s="6">
        <v>334</v>
      </c>
      <c r="D270" s="6">
        <v>16</v>
      </c>
      <c r="E270" s="11">
        <v>0.106</v>
      </c>
      <c r="F270" s="11"/>
      <c r="G270" s="11"/>
    </row>
    <row r="271" spans="3:14" x14ac:dyDescent="0.2">
      <c r="C271" s="6">
        <v>505</v>
      </c>
      <c r="D271" s="6">
        <v>16</v>
      </c>
      <c r="E271" s="11">
        <v>0.106</v>
      </c>
      <c r="F271" s="11"/>
      <c r="G271" s="11"/>
    </row>
    <row r="272" spans="3:14" x14ac:dyDescent="0.2">
      <c r="C272" s="6">
        <v>575</v>
      </c>
      <c r="D272" s="6">
        <v>16</v>
      </c>
      <c r="E272" s="11">
        <v>0.106</v>
      </c>
      <c r="F272" s="11"/>
      <c r="G272" s="11"/>
    </row>
    <row r="273" spans="3:7" x14ac:dyDescent="0.2">
      <c r="C273" s="6">
        <v>747</v>
      </c>
      <c r="D273" s="6">
        <v>16</v>
      </c>
      <c r="E273" s="11">
        <v>0.106</v>
      </c>
      <c r="F273" s="11"/>
      <c r="G273" s="11"/>
    </row>
    <row r="274" spans="3:7" x14ac:dyDescent="0.2">
      <c r="C274" s="6">
        <v>765</v>
      </c>
      <c r="D274" s="6">
        <v>16</v>
      </c>
      <c r="E274" s="11">
        <v>0.106</v>
      </c>
      <c r="F274" s="11"/>
      <c r="G274" s="11"/>
    </row>
    <row r="275" spans="3:7" x14ac:dyDescent="0.2">
      <c r="C275" s="6">
        <v>792</v>
      </c>
      <c r="D275" s="6">
        <v>16</v>
      </c>
      <c r="E275" s="11">
        <v>0.106</v>
      </c>
      <c r="F275" s="11"/>
      <c r="G275" s="11"/>
    </row>
    <row r="276" spans="3:7" x14ac:dyDescent="0.2">
      <c r="C276" s="6">
        <v>842</v>
      </c>
      <c r="D276" s="6">
        <v>16</v>
      </c>
      <c r="E276" s="11">
        <v>0.106</v>
      </c>
      <c r="F276" s="11"/>
      <c r="G276" s="11"/>
    </row>
    <row r="277" spans="3:7" x14ac:dyDescent="0.2">
      <c r="C277" s="6">
        <v>854</v>
      </c>
      <c r="D277" s="6">
        <v>16</v>
      </c>
      <c r="E277" s="11">
        <v>0.106</v>
      </c>
      <c r="F277" s="11"/>
      <c r="G277" s="11"/>
    </row>
    <row r="278" spans="3:7" x14ac:dyDescent="0.2">
      <c r="C278" s="6">
        <v>69</v>
      </c>
      <c r="D278" s="6">
        <v>17</v>
      </c>
      <c r="E278" s="11">
        <v>0.13</v>
      </c>
      <c r="F278" s="11"/>
      <c r="G278" s="11"/>
    </row>
    <row r="279" spans="3:7" x14ac:dyDescent="0.2">
      <c r="C279" s="6">
        <v>85</v>
      </c>
      <c r="D279" s="6">
        <v>17</v>
      </c>
      <c r="E279" s="11">
        <v>0.13</v>
      </c>
      <c r="F279" s="11"/>
      <c r="G279" s="11"/>
    </row>
    <row r="280" spans="3:7" x14ac:dyDescent="0.2">
      <c r="C280" s="6">
        <v>115</v>
      </c>
      <c r="D280" s="6">
        <v>17</v>
      </c>
      <c r="E280" s="11">
        <v>0.13</v>
      </c>
      <c r="F280" s="11"/>
      <c r="G280" s="11"/>
    </row>
    <row r="281" spans="3:7" x14ac:dyDescent="0.2">
      <c r="C281" s="6">
        <v>164</v>
      </c>
      <c r="D281" s="6">
        <v>17</v>
      </c>
      <c r="E281" s="11">
        <v>0.13</v>
      </c>
      <c r="F281" s="11"/>
      <c r="G281" s="11"/>
    </row>
    <row r="282" spans="3:7" x14ac:dyDescent="0.2">
      <c r="C282" s="6">
        <v>308</v>
      </c>
      <c r="D282" s="6">
        <v>17</v>
      </c>
      <c r="E282" s="11">
        <v>0.13</v>
      </c>
      <c r="F282" s="11"/>
      <c r="G282" s="11"/>
    </row>
    <row r="283" spans="3:7" x14ac:dyDescent="0.2">
      <c r="C283" s="6">
        <v>390</v>
      </c>
      <c r="D283" s="6">
        <v>17</v>
      </c>
      <c r="E283" s="11">
        <v>0.13</v>
      </c>
      <c r="F283" s="11"/>
      <c r="G283" s="11"/>
    </row>
    <row r="284" spans="3:7" x14ac:dyDescent="0.2">
      <c r="C284" s="6">
        <v>434</v>
      </c>
      <c r="D284" s="6">
        <v>17</v>
      </c>
      <c r="E284" s="11">
        <v>0.13</v>
      </c>
      <c r="F284" s="11"/>
      <c r="G284" s="11"/>
    </row>
    <row r="285" spans="3:7" x14ac:dyDescent="0.2">
      <c r="C285" s="6">
        <v>501</v>
      </c>
      <c r="D285" s="6">
        <v>17</v>
      </c>
      <c r="E285" s="11">
        <v>0.13</v>
      </c>
      <c r="F285" s="11"/>
      <c r="G285" s="11"/>
    </row>
    <row r="286" spans="3:7" x14ac:dyDescent="0.2">
      <c r="C286" s="6">
        <v>533</v>
      </c>
      <c r="D286" s="6">
        <v>17</v>
      </c>
      <c r="E286" s="11">
        <v>0.13</v>
      </c>
      <c r="F286" s="11"/>
      <c r="G286" s="11"/>
    </row>
    <row r="287" spans="3:7" x14ac:dyDescent="0.2">
      <c r="C287" s="6">
        <v>551</v>
      </c>
      <c r="D287" s="6">
        <v>17</v>
      </c>
      <c r="E287" s="11">
        <v>0.13</v>
      </c>
      <c r="F287" s="11"/>
      <c r="G287" s="11"/>
    </row>
    <row r="288" spans="3:7" x14ac:dyDescent="0.2">
      <c r="C288" s="6">
        <v>722</v>
      </c>
      <c r="D288" s="6">
        <v>17</v>
      </c>
      <c r="E288" s="11">
        <v>0.13</v>
      </c>
      <c r="F288" s="11"/>
      <c r="G288" s="11"/>
    </row>
    <row r="289" spans="3:7" x14ac:dyDescent="0.2">
      <c r="C289" s="6">
        <v>782</v>
      </c>
      <c r="D289" s="6">
        <v>17</v>
      </c>
      <c r="E289" s="11">
        <v>0.13</v>
      </c>
      <c r="F289" s="11"/>
      <c r="G289" s="11"/>
    </row>
    <row r="290" spans="3:7" x14ac:dyDescent="0.2">
      <c r="C290" s="6">
        <v>845</v>
      </c>
      <c r="D290" s="6">
        <v>17</v>
      </c>
      <c r="E290" s="11">
        <v>0.13</v>
      </c>
      <c r="F290" s="11"/>
      <c r="G290" s="11"/>
    </row>
    <row r="291" spans="3:7" x14ac:dyDescent="0.2">
      <c r="C291" s="6">
        <v>39</v>
      </c>
      <c r="D291" s="6">
        <v>18</v>
      </c>
      <c r="E291" s="11">
        <v>0.14799999999999999</v>
      </c>
      <c r="F291" s="11"/>
      <c r="G291" s="11"/>
    </row>
    <row r="292" spans="3:7" x14ac:dyDescent="0.2">
      <c r="C292" s="6">
        <v>50</v>
      </c>
      <c r="D292" s="6">
        <v>18</v>
      </c>
      <c r="E292" s="11">
        <v>0.14799999999999999</v>
      </c>
      <c r="F292" s="11"/>
      <c r="G292" s="11"/>
    </row>
    <row r="293" spans="3:7" x14ac:dyDescent="0.2">
      <c r="C293" s="6">
        <v>145</v>
      </c>
      <c r="D293" s="6">
        <v>18</v>
      </c>
      <c r="E293" s="11">
        <v>0.14799999999999999</v>
      </c>
      <c r="F293" s="11"/>
      <c r="G293" s="11"/>
    </row>
    <row r="294" spans="3:7" x14ac:dyDescent="0.2">
      <c r="C294" s="6">
        <v>176</v>
      </c>
      <c r="D294" s="6">
        <v>18</v>
      </c>
      <c r="E294" s="11">
        <v>0.14799999999999999</v>
      </c>
      <c r="F294" s="11"/>
      <c r="G294" s="11"/>
    </row>
    <row r="295" spans="3:7" x14ac:dyDescent="0.2">
      <c r="C295" s="6">
        <v>205</v>
      </c>
      <c r="D295" s="6">
        <v>18</v>
      </c>
      <c r="E295" s="11">
        <v>0.14799999999999999</v>
      </c>
      <c r="F295" s="11"/>
      <c r="G295" s="11"/>
    </row>
    <row r="296" spans="3:7" x14ac:dyDescent="0.2">
      <c r="C296" s="6">
        <v>229</v>
      </c>
      <c r="D296" s="6">
        <v>18</v>
      </c>
      <c r="E296" s="11">
        <v>0.14799999999999999</v>
      </c>
      <c r="F296" s="11"/>
      <c r="G296" s="11"/>
    </row>
    <row r="297" spans="3:7" x14ac:dyDescent="0.2">
      <c r="C297" s="6">
        <v>312</v>
      </c>
      <c r="D297" s="6">
        <v>18</v>
      </c>
      <c r="E297" s="11">
        <v>0.14799999999999999</v>
      </c>
      <c r="F297" s="11"/>
      <c r="G297" s="11"/>
    </row>
    <row r="298" spans="3:7" x14ac:dyDescent="0.2">
      <c r="C298" s="6">
        <v>372</v>
      </c>
      <c r="D298" s="6">
        <v>18</v>
      </c>
      <c r="E298" s="11">
        <v>0.14799999999999999</v>
      </c>
      <c r="F298" s="11"/>
      <c r="G298" s="11"/>
    </row>
    <row r="299" spans="3:7" x14ac:dyDescent="0.2">
      <c r="C299" s="6">
        <v>386</v>
      </c>
      <c r="D299" s="6">
        <v>18</v>
      </c>
      <c r="E299" s="11">
        <v>0.14799999999999999</v>
      </c>
      <c r="F299" s="11"/>
      <c r="G299" s="11"/>
    </row>
    <row r="300" spans="3:7" x14ac:dyDescent="0.2">
      <c r="C300" s="6">
        <v>418</v>
      </c>
      <c r="D300" s="6">
        <v>18</v>
      </c>
      <c r="E300" s="11">
        <v>0.14799999999999999</v>
      </c>
      <c r="F300" s="11"/>
      <c r="G300" s="11"/>
    </row>
    <row r="301" spans="3:7" x14ac:dyDescent="0.2">
      <c r="C301" s="6">
        <v>425</v>
      </c>
      <c r="D301" s="6">
        <v>18</v>
      </c>
      <c r="E301" s="11">
        <v>0.14799999999999999</v>
      </c>
      <c r="F301" s="11"/>
      <c r="G301" s="11"/>
    </row>
    <row r="302" spans="3:7" x14ac:dyDescent="0.2">
      <c r="C302" s="6">
        <v>506</v>
      </c>
      <c r="D302" s="6">
        <v>18</v>
      </c>
      <c r="E302" s="11">
        <v>0.14799999999999999</v>
      </c>
      <c r="F302" s="11"/>
      <c r="G302" s="11"/>
    </row>
    <row r="303" spans="3:7" x14ac:dyDescent="0.2">
      <c r="C303" s="6">
        <v>586</v>
      </c>
      <c r="D303" s="6">
        <v>18</v>
      </c>
      <c r="E303" s="11">
        <v>0.14799999999999999</v>
      </c>
      <c r="F303" s="11"/>
      <c r="G303" s="11"/>
    </row>
    <row r="304" spans="3:7" x14ac:dyDescent="0.2">
      <c r="C304" s="6">
        <v>652</v>
      </c>
      <c r="D304" s="6">
        <v>18</v>
      </c>
      <c r="E304" s="11">
        <v>0.14799999999999999</v>
      </c>
      <c r="F304" s="11"/>
      <c r="G304" s="11"/>
    </row>
    <row r="305" spans="3:7" x14ac:dyDescent="0.2">
      <c r="C305" s="6">
        <v>655</v>
      </c>
      <c r="D305" s="6">
        <v>18</v>
      </c>
      <c r="E305" s="11">
        <v>0.14799999999999999</v>
      </c>
      <c r="F305" s="11"/>
      <c r="G305" s="11"/>
    </row>
    <row r="306" spans="3:7" x14ac:dyDescent="0.2">
      <c r="C306" s="6">
        <v>676</v>
      </c>
      <c r="D306" s="6">
        <v>18</v>
      </c>
      <c r="E306" s="11">
        <v>0.14799999999999999</v>
      </c>
      <c r="F306" s="11"/>
      <c r="G306" s="11"/>
    </row>
    <row r="307" spans="3:7" x14ac:dyDescent="0.2">
      <c r="C307" s="6">
        <v>678</v>
      </c>
      <c r="D307" s="6">
        <v>18</v>
      </c>
      <c r="E307" s="11">
        <v>0.14799999999999999</v>
      </c>
      <c r="F307" s="11"/>
      <c r="G307" s="11"/>
    </row>
    <row r="308" spans="3:7" x14ac:dyDescent="0.2">
      <c r="C308" s="6">
        <v>689</v>
      </c>
      <c r="D308" s="6">
        <v>18</v>
      </c>
      <c r="E308" s="11">
        <v>0.14799999999999999</v>
      </c>
      <c r="F308" s="11"/>
      <c r="G308" s="11"/>
    </row>
    <row r="309" spans="3:7" x14ac:dyDescent="0.2">
      <c r="C309" s="6">
        <v>701</v>
      </c>
      <c r="D309" s="6">
        <v>18</v>
      </c>
      <c r="E309" s="11">
        <v>0.14799999999999999</v>
      </c>
      <c r="F309" s="11"/>
      <c r="G309" s="11"/>
    </row>
    <row r="310" spans="3:7" x14ac:dyDescent="0.2">
      <c r="C310" s="6">
        <v>703</v>
      </c>
      <c r="D310" s="6">
        <v>18</v>
      </c>
      <c r="E310" s="11">
        <v>0.14799999999999999</v>
      </c>
      <c r="F310" s="11"/>
      <c r="G310" s="11"/>
    </row>
    <row r="311" spans="3:7" x14ac:dyDescent="0.2">
      <c r="C311" s="6">
        <v>758</v>
      </c>
      <c r="D311" s="6">
        <v>18</v>
      </c>
      <c r="E311" s="11">
        <v>0.14799999999999999</v>
      </c>
      <c r="F311" s="11"/>
      <c r="G311" s="11"/>
    </row>
    <row r="312" spans="3:7" x14ac:dyDescent="0.2">
      <c r="C312" s="6">
        <v>776</v>
      </c>
      <c r="D312" s="6">
        <v>18</v>
      </c>
      <c r="E312" s="11">
        <v>0.14799999999999999</v>
      </c>
      <c r="F312" s="11"/>
      <c r="G312" s="11"/>
    </row>
    <row r="313" spans="3:7" x14ac:dyDescent="0.2">
      <c r="C313" s="6">
        <v>787</v>
      </c>
      <c r="D313" s="6">
        <v>18</v>
      </c>
      <c r="E313" s="11">
        <v>0.14799999999999999</v>
      </c>
      <c r="F313" s="11"/>
      <c r="G313" s="11"/>
    </row>
    <row r="314" spans="3:7" x14ac:dyDescent="0.2">
      <c r="C314" s="6">
        <v>808</v>
      </c>
      <c r="D314" s="6">
        <v>18</v>
      </c>
      <c r="E314" s="11">
        <v>0.14799999999999999</v>
      </c>
      <c r="F314" s="11"/>
      <c r="G314" s="11"/>
    </row>
    <row r="315" spans="3:7" x14ac:dyDescent="0.2">
      <c r="C315" s="6">
        <v>835</v>
      </c>
      <c r="D315" s="6">
        <v>18</v>
      </c>
      <c r="E315" s="11">
        <v>0.14799999999999999</v>
      </c>
      <c r="F315" s="11"/>
      <c r="G315" s="11"/>
    </row>
    <row r="316" spans="3:7" x14ac:dyDescent="0.2">
      <c r="C316" s="6">
        <v>856</v>
      </c>
      <c r="D316" s="6">
        <v>18</v>
      </c>
      <c r="E316" s="11">
        <v>0.14799999999999999</v>
      </c>
      <c r="F316" s="11"/>
      <c r="G316" s="11"/>
    </row>
    <row r="317" spans="3:7" x14ac:dyDescent="0.2">
      <c r="C317" s="6">
        <v>28</v>
      </c>
      <c r="D317" s="6">
        <v>19</v>
      </c>
      <c r="E317" s="11">
        <v>0.185</v>
      </c>
      <c r="F317" s="11"/>
      <c r="G317" s="11"/>
    </row>
    <row r="318" spans="3:7" x14ac:dyDescent="0.2">
      <c r="C318" s="6">
        <v>45</v>
      </c>
      <c r="D318" s="6">
        <v>19</v>
      </c>
      <c r="E318" s="11">
        <v>0.185</v>
      </c>
      <c r="F318" s="11"/>
      <c r="G318" s="11"/>
    </row>
    <row r="319" spans="3:7" x14ac:dyDescent="0.2">
      <c r="C319" s="6">
        <v>68</v>
      </c>
      <c r="D319" s="6">
        <v>19</v>
      </c>
      <c r="E319" s="11">
        <v>0.185</v>
      </c>
      <c r="F319" s="11"/>
      <c r="G319" s="11"/>
    </row>
    <row r="320" spans="3:7" x14ac:dyDescent="0.2">
      <c r="C320" s="6">
        <v>137</v>
      </c>
      <c r="D320" s="6">
        <v>19</v>
      </c>
      <c r="E320" s="11">
        <v>0.185</v>
      </c>
      <c r="F320" s="11"/>
      <c r="G320" s="11"/>
    </row>
    <row r="321" spans="3:7" x14ac:dyDescent="0.2">
      <c r="C321" s="6">
        <v>144</v>
      </c>
      <c r="D321" s="6">
        <v>19</v>
      </c>
      <c r="E321" s="11">
        <v>0.185</v>
      </c>
      <c r="F321" s="11"/>
      <c r="G321" s="11"/>
    </row>
    <row r="322" spans="3:7" x14ac:dyDescent="0.2">
      <c r="C322" s="6">
        <v>146</v>
      </c>
      <c r="D322" s="6">
        <v>19</v>
      </c>
      <c r="E322" s="11">
        <v>0.185</v>
      </c>
      <c r="F322" s="11"/>
      <c r="G322" s="11"/>
    </row>
    <row r="323" spans="3:7" x14ac:dyDescent="0.2">
      <c r="C323" s="6">
        <v>192</v>
      </c>
      <c r="D323" s="6">
        <v>19</v>
      </c>
      <c r="E323" s="11">
        <v>0.185</v>
      </c>
      <c r="F323" s="11"/>
      <c r="G323" s="11"/>
    </row>
    <row r="324" spans="3:7" x14ac:dyDescent="0.2">
      <c r="C324" s="6">
        <v>193</v>
      </c>
      <c r="D324" s="6">
        <v>19</v>
      </c>
      <c r="E324" s="11">
        <v>0.185</v>
      </c>
      <c r="F324" s="11"/>
      <c r="G324" s="11"/>
    </row>
    <row r="325" spans="3:7" x14ac:dyDescent="0.2">
      <c r="C325" s="6">
        <v>227</v>
      </c>
      <c r="D325" s="6">
        <v>19</v>
      </c>
      <c r="E325" s="11">
        <v>0.185</v>
      </c>
      <c r="F325" s="11"/>
      <c r="G325" s="11"/>
    </row>
    <row r="326" spans="3:7" x14ac:dyDescent="0.2">
      <c r="C326" s="6">
        <v>239</v>
      </c>
      <c r="D326" s="6">
        <v>19</v>
      </c>
      <c r="E326" s="11">
        <v>0.185</v>
      </c>
      <c r="F326" s="11"/>
      <c r="G326" s="11"/>
    </row>
    <row r="327" spans="3:7" x14ac:dyDescent="0.2">
      <c r="C327" s="6">
        <v>284</v>
      </c>
      <c r="D327" s="6">
        <v>19</v>
      </c>
      <c r="E327" s="11">
        <v>0.185</v>
      </c>
      <c r="F327" s="11"/>
      <c r="G327" s="11"/>
    </row>
    <row r="328" spans="3:7" x14ac:dyDescent="0.2">
      <c r="C328" s="6">
        <v>292</v>
      </c>
      <c r="D328" s="6">
        <v>19</v>
      </c>
      <c r="E328" s="11">
        <v>0.185</v>
      </c>
      <c r="F328" s="11"/>
      <c r="G328" s="11"/>
    </row>
    <row r="329" spans="3:7" x14ac:dyDescent="0.2">
      <c r="C329" s="6">
        <v>303</v>
      </c>
      <c r="D329" s="6">
        <v>19</v>
      </c>
      <c r="E329" s="11">
        <v>0.185</v>
      </c>
      <c r="F329" s="11"/>
      <c r="G329" s="11"/>
    </row>
    <row r="330" spans="3:7" x14ac:dyDescent="0.2">
      <c r="C330" s="6">
        <v>373</v>
      </c>
      <c r="D330" s="6">
        <v>19</v>
      </c>
      <c r="E330" s="11">
        <v>0.185</v>
      </c>
      <c r="F330" s="11"/>
      <c r="G330" s="11"/>
    </row>
    <row r="331" spans="3:7" x14ac:dyDescent="0.2">
      <c r="C331" s="6">
        <v>380</v>
      </c>
      <c r="D331" s="6">
        <v>19</v>
      </c>
      <c r="E331" s="11">
        <v>0.185</v>
      </c>
      <c r="F331" s="11"/>
      <c r="G331" s="11"/>
    </row>
    <row r="332" spans="3:7" x14ac:dyDescent="0.2">
      <c r="C332" s="6">
        <v>428</v>
      </c>
      <c r="D332" s="6">
        <v>19</v>
      </c>
      <c r="E332" s="11">
        <v>0.185</v>
      </c>
      <c r="F332" s="11"/>
      <c r="G332" s="11"/>
    </row>
    <row r="333" spans="3:7" x14ac:dyDescent="0.2">
      <c r="C333" s="6">
        <v>547</v>
      </c>
      <c r="D333" s="6">
        <v>19</v>
      </c>
      <c r="E333" s="11">
        <v>0.185</v>
      </c>
      <c r="F333" s="11"/>
      <c r="G333" s="11"/>
    </row>
    <row r="334" spans="3:7" x14ac:dyDescent="0.2">
      <c r="C334" s="6">
        <v>567</v>
      </c>
      <c r="D334" s="6">
        <v>19</v>
      </c>
      <c r="E334" s="11">
        <v>0.185</v>
      </c>
      <c r="F334" s="11"/>
      <c r="G334" s="11"/>
    </row>
    <row r="335" spans="3:7" x14ac:dyDescent="0.2">
      <c r="C335" s="6">
        <v>576</v>
      </c>
      <c r="D335" s="6">
        <v>19</v>
      </c>
      <c r="E335" s="11">
        <v>0.185</v>
      </c>
      <c r="F335" s="11"/>
      <c r="G335" s="11"/>
    </row>
    <row r="336" spans="3:7" x14ac:dyDescent="0.2">
      <c r="C336" s="6">
        <v>647</v>
      </c>
      <c r="D336" s="6">
        <v>19</v>
      </c>
      <c r="E336" s="11">
        <v>0.185</v>
      </c>
      <c r="F336" s="11"/>
      <c r="G336" s="11"/>
    </row>
    <row r="337" spans="3:7" x14ac:dyDescent="0.2">
      <c r="C337" s="6">
        <v>688</v>
      </c>
      <c r="D337" s="6">
        <v>19</v>
      </c>
      <c r="E337" s="11">
        <v>0.185</v>
      </c>
      <c r="F337" s="11"/>
      <c r="G337" s="11"/>
    </row>
    <row r="338" spans="3:7" x14ac:dyDescent="0.2">
      <c r="C338" s="6">
        <v>716</v>
      </c>
      <c r="D338" s="6">
        <v>19</v>
      </c>
      <c r="E338" s="11">
        <v>0.185</v>
      </c>
      <c r="F338" s="11"/>
      <c r="G338" s="11"/>
    </row>
    <row r="339" spans="3:7" x14ac:dyDescent="0.2">
      <c r="C339" s="6">
        <v>749</v>
      </c>
      <c r="D339" s="6">
        <v>19</v>
      </c>
      <c r="E339" s="11">
        <v>0.185</v>
      </c>
      <c r="F339" s="11"/>
      <c r="G339" s="11"/>
    </row>
    <row r="340" spans="3:7" x14ac:dyDescent="0.2">
      <c r="C340" s="6">
        <v>878</v>
      </c>
      <c r="D340" s="6">
        <v>19</v>
      </c>
      <c r="E340" s="11">
        <v>0.185</v>
      </c>
      <c r="F340" s="11"/>
      <c r="G340" s="11"/>
    </row>
    <row r="341" spans="3:7" x14ac:dyDescent="0.2">
      <c r="C341" s="6">
        <v>888</v>
      </c>
      <c r="D341" s="6">
        <v>19</v>
      </c>
      <c r="E341" s="11">
        <v>0.185</v>
      </c>
      <c r="F341" s="11"/>
      <c r="G341" s="11"/>
    </row>
    <row r="342" spans="3:7" x14ac:dyDescent="0.2">
      <c r="C342" s="6">
        <v>13</v>
      </c>
      <c r="D342" s="6">
        <v>20</v>
      </c>
      <c r="E342" s="11">
        <v>0.22</v>
      </c>
      <c r="F342" s="11"/>
      <c r="G342" s="11"/>
    </row>
    <row r="343" spans="3:7" x14ac:dyDescent="0.2">
      <c r="C343" s="6">
        <v>92</v>
      </c>
      <c r="D343" s="6">
        <v>20</v>
      </c>
      <c r="E343" s="11">
        <v>0.22</v>
      </c>
      <c r="F343" s="11"/>
      <c r="G343" s="11"/>
    </row>
    <row r="344" spans="3:7" x14ac:dyDescent="0.2">
      <c r="C344" s="6">
        <v>114</v>
      </c>
      <c r="D344" s="6">
        <v>20</v>
      </c>
      <c r="E344" s="11">
        <v>0.22</v>
      </c>
      <c r="F344" s="11"/>
      <c r="G344" s="11"/>
    </row>
    <row r="345" spans="3:7" x14ac:dyDescent="0.2">
      <c r="C345" s="6">
        <v>132</v>
      </c>
      <c r="D345" s="6">
        <v>20</v>
      </c>
      <c r="E345" s="11">
        <v>0.22</v>
      </c>
      <c r="F345" s="11"/>
      <c r="G345" s="11"/>
    </row>
    <row r="346" spans="3:7" x14ac:dyDescent="0.2">
      <c r="C346" s="6">
        <v>379</v>
      </c>
      <c r="D346" s="6">
        <v>20</v>
      </c>
      <c r="E346" s="11">
        <v>0.22</v>
      </c>
      <c r="F346" s="11"/>
      <c r="G346" s="11"/>
    </row>
    <row r="347" spans="3:7" x14ac:dyDescent="0.2">
      <c r="C347" s="6">
        <v>405</v>
      </c>
      <c r="D347" s="6">
        <v>20</v>
      </c>
      <c r="E347" s="11">
        <v>0.22</v>
      </c>
      <c r="F347" s="11"/>
      <c r="G347" s="11"/>
    </row>
    <row r="348" spans="3:7" x14ac:dyDescent="0.2">
      <c r="C348" s="6">
        <v>442</v>
      </c>
      <c r="D348" s="6">
        <v>20</v>
      </c>
      <c r="E348" s="11">
        <v>0.22</v>
      </c>
      <c r="F348" s="11"/>
      <c r="G348" s="11"/>
    </row>
    <row r="349" spans="3:7" x14ac:dyDescent="0.2">
      <c r="C349" s="6">
        <v>623</v>
      </c>
      <c r="D349" s="6">
        <v>20</v>
      </c>
      <c r="E349" s="11">
        <v>0.22</v>
      </c>
      <c r="F349" s="11"/>
      <c r="G349" s="11"/>
    </row>
    <row r="350" spans="3:7" x14ac:dyDescent="0.2">
      <c r="C350" s="6">
        <v>641</v>
      </c>
      <c r="D350" s="6">
        <v>20</v>
      </c>
      <c r="E350" s="11">
        <v>0.22</v>
      </c>
      <c r="F350" s="11"/>
      <c r="G350" s="11"/>
    </row>
    <row r="351" spans="3:7" x14ac:dyDescent="0.2">
      <c r="C351" s="6">
        <v>665</v>
      </c>
      <c r="D351" s="6">
        <v>20</v>
      </c>
      <c r="E351" s="11">
        <v>0.22</v>
      </c>
      <c r="F351" s="11"/>
      <c r="G351" s="11"/>
    </row>
    <row r="352" spans="3:7" x14ac:dyDescent="0.2">
      <c r="C352" s="6">
        <v>683</v>
      </c>
      <c r="D352" s="6">
        <v>20</v>
      </c>
      <c r="E352" s="11">
        <v>0.22</v>
      </c>
      <c r="F352" s="11"/>
      <c r="G352" s="11"/>
    </row>
    <row r="353" spans="3:7" x14ac:dyDescent="0.2">
      <c r="C353" s="6">
        <v>726</v>
      </c>
      <c r="D353" s="6">
        <v>20</v>
      </c>
      <c r="E353" s="11">
        <v>0.22</v>
      </c>
      <c r="F353" s="11"/>
      <c r="G353" s="11"/>
    </row>
    <row r="354" spans="3:7" x14ac:dyDescent="0.2">
      <c r="C354" s="6">
        <v>763</v>
      </c>
      <c r="D354" s="6">
        <v>20</v>
      </c>
      <c r="E354" s="11">
        <v>0.22</v>
      </c>
      <c r="F354" s="11"/>
      <c r="G354" s="11"/>
    </row>
    <row r="355" spans="3:7" x14ac:dyDescent="0.2">
      <c r="C355" s="6">
        <v>841</v>
      </c>
      <c r="D355" s="6">
        <v>20</v>
      </c>
      <c r="E355" s="11">
        <v>0.22</v>
      </c>
      <c r="F355" s="11"/>
      <c r="G355" s="11"/>
    </row>
    <row r="356" spans="3:7" x14ac:dyDescent="0.2">
      <c r="C356" s="6">
        <v>877</v>
      </c>
      <c r="D356" s="6">
        <v>20</v>
      </c>
      <c r="E356" s="11">
        <v>0.22</v>
      </c>
      <c r="F356" s="11"/>
      <c r="G356" s="11"/>
    </row>
    <row r="357" spans="3:7" x14ac:dyDescent="0.2">
      <c r="C357" s="6">
        <v>228</v>
      </c>
      <c r="D357" s="6">
        <v>20.5</v>
      </c>
      <c r="E357" s="11">
        <v>0.24099999999999999</v>
      </c>
      <c r="F357" s="11"/>
      <c r="G357" s="11"/>
    </row>
    <row r="358" spans="3:7" x14ac:dyDescent="0.2">
      <c r="C358" s="6">
        <v>38</v>
      </c>
      <c r="D358" s="6">
        <v>21</v>
      </c>
      <c r="E358" s="11">
        <v>0.24199999999999999</v>
      </c>
      <c r="F358" s="11"/>
      <c r="G358" s="11"/>
    </row>
    <row r="359" spans="3:7" x14ac:dyDescent="0.2">
      <c r="C359" s="6">
        <v>52</v>
      </c>
      <c r="D359" s="6">
        <v>21</v>
      </c>
      <c r="E359" s="11">
        <v>0.24199999999999999</v>
      </c>
      <c r="F359" s="11"/>
      <c r="G359" s="11"/>
    </row>
    <row r="360" spans="3:7" x14ac:dyDescent="0.2">
      <c r="C360" s="6">
        <v>57</v>
      </c>
      <c r="D360" s="6">
        <v>21</v>
      </c>
      <c r="E360" s="11">
        <v>0.24199999999999999</v>
      </c>
      <c r="F360" s="11"/>
      <c r="G360" s="11"/>
    </row>
    <row r="361" spans="3:7" x14ac:dyDescent="0.2">
      <c r="C361" s="6">
        <v>73</v>
      </c>
      <c r="D361" s="6">
        <v>21</v>
      </c>
      <c r="E361" s="11">
        <v>0.24199999999999999</v>
      </c>
      <c r="F361" s="11"/>
      <c r="G361" s="11"/>
    </row>
    <row r="362" spans="3:7" x14ac:dyDescent="0.2">
      <c r="C362" s="6">
        <v>103</v>
      </c>
      <c r="D362" s="6">
        <v>21</v>
      </c>
      <c r="E362" s="11">
        <v>0.24199999999999999</v>
      </c>
      <c r="F362" s="11"/>
      <c r="G362" s="11"/>
    </row>
    <row r="363" spans="3:7" x14ac:dyDescent="0.2">
      <c r="C363" s="6">
        <v>107</v>
      </c>
      <c r="D363" s="6">
        <v>21</v>
      </c>
      <c r="E363" s="11">
        <v>0.24199999999999999</v>
      </c>
      <c r="F363" s="11"/>
      <c r="G363" s="11"/>
    </row>
    <row r="364" spans="3:7" x14ac:dyDescent="0.2">
      <c r="C364" s="6">
        <v>116</v>
      </c>
      <c r="D364" s="6">
        <v>21</v>
      </c>
      <c r="E364" s="11">
        <v>0.24199999999999999</v>
      </c>
      <c r="F364" s="11"/>
      <c r="G364" s="11"/>
    </row>
    <row r="365" spans="3:7" x14ac:dyDescent="0.2">
      <c r="C365" s="6">
        <v>121</v>
      </c>
      <c r="D365" s="6">
        <v>21</v>
      </c>
      <c r="E365" s="11">
        <v>0.24199999999999999</v>
      </c>
      <c r="F365" s="11"/>
      <c r="G365" s="11"/>
    </row>
    <row r="366" spans="3:7" x14ac:dyDescent="0.2">
      <c r="C366" s="6">
        <v>174</v>
      </c>
      <c r="D366" s="6">
        <v>21</v>
      </c>
      <c r="E366" s="11">
        <v>0.24199999999999999</v>
      </c>
      <c r="F366" s="11"/>
      <c r="G366" s="11"/>
    </row>
    <row r="367" spans="3:7" x14ac:dyDescent="0.2">
      <c r="C367" s="6">
        <v>392</v>
      </c>
      <c r="D367" s="6">
        <v>21</v>
      </c>
      <c r="E367" s="11">
        <v>0.24199999999999999</v>
      </c>
      <c r="F367" s="11"/>
      <c r="G367" s="11"/>
    </row>
    <row r="368" spans="3:7" x14ac:dyDescent="0.2">
      <c r="C368" s="6">
        <v>403</v>
      </c>
      <c r="D368" s="6">
        <v>21</v>
      </c>
      <c r="E368" s="11">
        <v>0.24199999999999999</v>
      </c>
      <c r="F368" s="11"/>
      <c r="G368" s="11"/>
    </row>
    <row r="369" spans="3:7" x14ac:dyDescent="0.2">
      <c r="C369" s="6">
        <v>409</v>
      </c>
      <c r="D369" s="6">
        <v>21</v>
      </c>
      <c r="E369" s="11">
        <v>0.24199999999999999</v>
      </c>
      <c r="F369" s="11"/>
      <c r="G369" s="11"/>
    </row>
    <row r="370" spans="3:7" x14ac:dyDescent="0.2">
      <c r="C370" s="6">
        <v>422</v>
      </c>
      <c r="D370" s="6">
        <v>21</v>
      </c>
      <c r="E370" s="11">
        <v>0.24199999999999999</v>
      </c>
      <c r="F370" s="11"/>
      <c r="G370" s="11"/>
    </row>
    <row r="371" spans="3:7" x14ac:dyDescent="0.2">
      <c r="C371" s="6">
        <v>437</v>
      </c>
      <c r="D371" s="6">
        <v>21</v>
      </c>
      <c r="E371" s="11">
        <v>0.24199999999999999</v>
      </c>
      <c r="F371" s="11"/>
      <c r="G371" s="11"/>
    </row>
    <row r="372" spans="3:7" x14ac:dyDescent="0.2">
      <c r="C372" s="6">
        <v>492</v>
      </c>
      <c r="D372" s="6">
        <v>21</v>
      </c>
      <c r="E372" s="11">
        <v>0.24199999999999999</v>
      </c>
      <c r="F372" s="11"/>
      <c r="G372" s="11"/>
    </row>
    <row r="373" spans="3:7" x14ac:dyDescent="0.2">
      <c r="C373" s="6">
        <v>495</v>
      </c>
      <c r="D373" s="6">
        <v>21</v>
      </c>
      <c r="E373" s="11">
        <v>0.24199999999999999</v>
      </c>
      <c r="F373" s="11"/>
      <c r="G373" s="11"/>
    </row>
    <row r="374" spans="3:7" x14ac:dyDescent="0.2">
      <c r="C374" s="6">
        <v>502</v>
      </c>
      <c r="D374" s="6">
        <v>21</v>
      </c>
      <c r="E374" s="11">
        <v>0.24199999999999999</v>
      </c>
      <c r="F374" s="11"/>
      <c r="G374" s="11"/>
    </row>
    <row r="375" spans="3:7" x14ac:dyDescent="0.2">
      <c r="C375" s="6">
        <v>624</v>
      </c>
      <c r="D375" s="6">
        <v>21</v>
      </c>
      <c r="E375" s="11">
        <v>0.24199999999999999</v>
      </c>
      <c r="F375" s="11"/>
      <c r="G375" s="11"/>
    </row>
    <row r="376" spans="3:7" x14ac:dyDescent="0.2">
      <c r="C376" s="6">
        <v>625</v>
      </c>
      <c r="D376" s="6">
        <v>21</v>
      </c>
      <c r="E376" s="11">
        <v>0.24199999999999999</v>
      </c>
      <c r="F376" s="11"/>
      <c r="G376" s="11"/>
    </row>
    <row r="377" spans="3:7" x14ac:dyDescent="0.2">
      <c r="C377" s="6">
        <v>628</v>
      </c>
      <c r="D377" s="6">
        <v>21</v>
      </c>
      <c r="E377" s="11">
        <v>0.24199999999999999</v>
      </c>
      <c r="F377" s="11"/>
      <c r="G377" s="11"/>
    </row>
    <row r="378" spans="3:7" x14ac:dyDescent="0.2">
      <c r="C378" s="6">
        <v>653</v>
      </c>
      <c r="D378" s="6">
        <v>21</v>
      </c>
      <c r="E378" s="11">
        <v>0.24199999999999999</v>
      </c>
      <c r="F378" s="11"/>
      <c r="G378" s="11"/>
    </row>
    <row r="379" spans="3:7" x14ac:dyDescent="0.2">
      <c r="C379" s="6">
        <v>743</v>
      </c>
      <c r="D379" s="6">
        <v>21</v>
      </c>
      <c r="E379" s="11">
        <v>0.24199999999999999</v>
      </c>
      <c r="F379" s="11"/>
      <c r="G379" s="11"/>
    </row>
    <row r="380" spans="3:7" x14ac:dyDescent="0.2">
      <c r="C380" s="6">
        <v>837</v>
      </c>
      <c r="D380" s="6">
        <v>21</v>
      </c>
      <c r="E380" s="11">
        <v>0.24199999999999999</v>
      </c>
      <c r="F380" s="11"/>
      <c r="G380" s="11"/>
    </row>
    <row r="381" spans="3:7" x14ac:dyDescent="0.2">
      <c r="C381" s="6">
        <v>862</v>
      </c>
      <c r="D381" s="6">
        <v>21</v>
      </c>
      <c r="E381" s="11">
        <v>0.24199999999999999</v>
      </c>
      <c r="F381" s="11"/>
      <c r="G381" s="11"/>
    </row>
    <row r="382" spans="3:7" x14ac:dyDescent="0.2">
      <c r="C382" s="6">
        <v>1</v>
      </c>
      <c r="D382" s="6">
        <v>22</v>
      </c>
      <c r="E382" s="11">
        <v>0.27600000000000002</v>
      </c>
      <c r="F382" s="11"/>
      <c r="G382" s="11"/>
    </row>
    <row r="383" spans="3:7" x14ac:dyDescent="0.2">
      <c r="C383" s="6">
        <v>61</v>
      </c>
      <c r="D383" s="6">
        <v>22</v>
      </c>
      <c r="E383" s="11">
        <v>0.27600000000000002</v>
      </c>
      <c r="F383" s="11"/>
      <c r="G383" s="11"/>
    </row>
    <row r="384" spans="3:7" x14ac:dyDescent="0.2">
      <c r="C384" s="6">
        <v>81</v>
      </c>
      <c r="D384" s="6">
        <v>22</v>
      </c>
      <c r="E384" s="11">
        <v>0.27600000000000002</v>
      </c>
      <c r="F384" s="11"/>
      <c r="G384" s="11"/>
    </row>
    <row r="385" spans="3:7" x14ac:dyDescent="0.2">
      <c r="C385" s="6">
        <v>113</v>
      </c>
      <c r="D385" s="6">
        <v>22</v>
      </c>
      <c r="E385" s="11">
        <v>0.27600000000000002</v>
      </c>
      <c r="F385" s="11"/>
      <c r="G385" s="11"/>
    </row>
    <row r="386" spans="3:7" x14ac:dyDescent="0.2">
      <c r="C386" s="6">
        <v>142</v>
      </c>
      <c r="D386" s="6">
        <v>22</v>
      </c>
      <c r="E386" s="11">
        <v>0.27600000000000002</v>
      </c>
      <c r="F386" s="11"/>
      <c r="G386" s="11"/>
    </row>
    <row r="387" spans="3:7" x14ac:dyDescent="0.2">
      <c r="C387" s="6">
        <v>152</v>
      </c>
      <c r="D387" s="6">
        <v>22</v>
      </c>
      <c r="E387" s="11">
        <v>0.27600000000000002</v>
      </c>
      <c r="F387" s="11"/>
      <c r="G387" s="11"/>
    </row>
    <row r="388" spans="3:7" x14ac:dyDescent="0.2">
      <c r="C388" s="6">
        <v>213</v>
      </c>
      <c r="D388" s="6">
        <v>22</v>
      </c>
      <c r="E388" s="11">
        <v>0.27600000000000002</v>
      </c>
      <c r="F388" s="11"/>
      <c r="G388" s="11"/>
    </row>
    <row r="389" spans="3:7" x14ac:dyDescent="0.2">
      <c r="C389" s="6">
        <v>226</v>
      </c>
      <c r="D389" s="6">
        <v>22</v>
      </c>
      <c r="E389" s="11">
        <v>0.27600000000000002</v>
      </c>
      <c r="F389" s="11"/>
      <c r="G389" s="11"/>
    </row>
    <row r="390" spans="3:7" x14ac:dyDescent="0.2">
      <c r="C390" s="6">
        <v>244</v>
      </c>
      <c r="D390" s="6">
        <v>22</v>
      </c>
      <c r="E390" s="11">
        <v>0.27600000000000002</v>
      </c>
      <c r="F390" s="11"/>
      <c r="G390" s="11"/>
    </row>
    <row r="391" spans="3:7" x14ac:dyDescent="0.2">
      <c r="C391" s="6">
        <v>288</v>
      </c>
      <c r="D391" s="6">
        <v>22</v>
      </c>
      <c r="E391" s="11">
        <v>0.27600000000000002</v>
      </c>
      <c r="F391" s="11"/>
      <c r="G391" s="11"/>
    </row>
    <row r="392" spans="3:7" x14ac:dyDescent="0.2">
      <c r="C392" s="6">
        <v>290</v>
      </c>
      <c r="D392" s="6">
        <v>22</v>
      </c>
      <c r="E392" s="11">
        <v>0.27600000000000002</v>
      </c>
      <c r="F392" s="11"/>
      <c r="G392" s="11"/>
    </row>
    <row r="393" spans="3:7" x14ac:dyDescent="0.2">
      <c r="C393" s="6">
        <v>321</v>
      </c>
      <c r="D393" s="6">
        <v>22</v>
      </c>
      <c r="E393" s="11">
        <v>0.27600000000000002</v>
      </c>
      <c r="F393" s="11"/>
      <c r="G393" s="11"/>
    </row>
    <row r="394" spans="3:7" x14ac:dyDescent="0.2">
      <c r="C394" s="6">
        <v>324</v>
      </c>
      <c r="D394" s="6">
        <v>22</v>
      </c>
      <c r="E394" s="11">
        <v>0.27600000000000002</v>
      </c>
      <c r="F394" s="11"/>
      <c r="G394" s="11"/>
    </row>
    <row r="395" spans="3:7" x14ac:dyDescent="0.2">
      <c r="C395" s="6">
        <v>357</v>
      </c>
      <c r="D395" s="6">
        <v>22</v>
      </c>
      <c r="E395" s="11">
        <v>0.27600000000000002</v>
      </c>
      <c r="F395" s="11"/>
      <c r="G395" s="11"/>
    </row>
    <row r="396" spans="3:7" x14ac:dyDescent="0.2">
      <c r="C396" s="6">
        <v>374</v>
      </c>
      <c r="D396" s="6">
        <v>22</v>
      </c>
      <c r="E396" s="11">
        <v>0.27600000000000002</v>
      </c>
      <c r="F396" s="11"/>
      <c r="G396" s="11"/>
    </row>
    <row r="397" spans="3:7" x14ac:dyDescent="0.2">
      <c r="C397" s="6">
        <v>377</v>
      </c>
      <c r="D397" s="6">
        <v>22</v>
      </c>
      <c r="E397" s="11">
        <v>0.27600000000000002</v>
      </c>
      <c r="F397" s="11"/>
      <c r="G397" s="11"/>
    </row>
    <row r="398" spans="3:7" x14ac:dyDescent="0.2">
      <c r="C398" s="6">
        <v>396</v>
      </c>
      <c r="D398" s="6">
        <v>22</v>
      </c>
      <c r="E398" s="11">
        <v>0.27600000000000002</v>
      </c>
      <c r="F398" s="11"/>
      <c r="G398" s="11"/>
    </row>
    <row r="399" spans="3:7" x14ac:dyDescent="0.2">
      <c r="C399" s="6">
        <v>475</v>
      </c>
      <c r="D399" s="6">
        <v>22</v>
      </c>
      <c r="E399" s="11">
        <v>0.27600000000000002</v>
      </c>
      <c r="F399" s="11"/>
      <c r="G399" s="11"/>
    </row>
    <row r="400" spans="3:7" x14ac:dyDescent="0.2">
      <c r="C400" s="6">
        <v>479</v>
      </c>
      <c r="D400" s="6">
        <v>22</v>
      </c>
      <c r="E400" s="11">
        <v>0.27600000000000002</v>
      </c>
      <c r="F400" s="11"/>
      <c r="G400" s="11"/>
    </row>
    <row r="401" spans="3:7" x14ac:dyDescent="0.2">
      <c r="C401" s="6">
        <v>522</v>
      </c>
      <c r="D401" s="6">
        <v>22</v>
      </c>
      <c r="E401" s="11">
        <v>0.27600000000000002</v>
      </c>
      <c r="F401" s="11"/>
      <c r="G401" s="11"/>
    </row>
    <row r="402" spans="3:7" x14ac:dyDescent="0.2">
      <c r="C402" s="6">
        <v>540</v>
      </c>
      <c r="D402" s="6">
        <v>22</v>
      </c>
      <c r="E402" s="11">
        <v>0.27600000000000002</v>
      </c>
      <c r="F402" s="11"/>
      <c r="G402" s="11"/>
    </row>
    <row r="403" spans="3:7" x14ac:dyDescent="0.2">
      <c r="C403" s="6">
        <v>554</v>
      </c>
      <c r="D403" s="6">
        <v>22</v>
      </c>
      <c r="E403" s="11">
        <v>0.27600000000000002</v>
      </c>
      <c r="F403" s="11"/>
      <c r="G403" s="11"/>
    </row>
    <row r="404" spans="3:7" x14ac:dyDescent="0.2">
      <c r="C404" s="6">
        <v>555</v>
      </c>
      <c r="D404" s="6">
        <v>22</v>
      </c>
      <c r="E404" s="11">
        <v>0.27600000000000002</v>
      </c>
      <c r="F404" s="11"/>
      <c r="G404" s="11"/>
    </row>
    <row r="405" spans="3:7" x14ac:dyDescent="0.2">
      <c r="C405" s="6">
        <v>589</v>
      </c>
      <c r="D405" s="6">
        <v>22</v>
      </c>
      <c r="E405" s="11">
        <v>0.27600000000000002</v>
      </c>
      <c r="F405" s="11"/>
      <c r="G405" s="11"/>
    </row>
    <row r="406" spans="3:7" x14ac:dyDescent="0.2">
      <c r="C406" s="6">
        <v>609</v>
      </c>
      <c r="D406" s="6">
        <v>22</v>
      </c>
      <c r="E406" s="11">
        <v>0.27600000000000002</v>
      </c>
      <c r="F406" s="11"/>
      <c r="G406" s="11"/>
    </row>
    <row r="407" spans="3:7" x14ac:dyDescent="0.2">
      <c r="C407" s="6">
        <v>709</v>
      </c>
      <c r="D407" s="6">
        <v>22</v>
      </c>
      <c r="E407" s="11">
        <v>0.27600000000000002</v>
      </c>
      <c r="F407" s="11"/>
      <c r="G407" s="11"/>
    </row>
    <row r="408" spans="3:7" x14ac:dyDescent="0.2">
      <c r="C408" s="6">
        <v>883</v>
      </c>
      <c r="D408" s="6">
        <v>22</v>
      </c>
      <c r="E408" s="11">
        <v>0.27600000000000002</v>
      </c>
      <c r="F408" s="11"/>
      <c r="G408" s="11"/>
    </row>
    <row r="409" spans="3:7" x14ac:dyDescent="0.2">
      <c r="C409" s="6">
        <v>89</v>
      </c>
      <c r="D409" s="6">
        <v>23</v>
      </c>
      <c r="E409" s="11">
        <v>0.314</v>
      </c>
      <c r="F409" s="11"/>
      <c r="G409" s="11"/>
    </row>
    <row r="410" spans="3:7" x14ac:dyDescent="0.2">
      <c r="C410" s="6">
        <v>98</v>
      </c>
      <c r="D410" s="6">
        <v>23</v>
      </c>
      <c r="E410" s="11">
        <v>0.314</v>
      </c>
      <c r="F410" s="11"/>
      <c r="G410" s="11"/>
    </row>
    <row r="411" spans="3:7" x14ac:dyDescent="0.2">
      <c r="C411" s="6">
        <v>136</v>
      </c>
      <c r="D411" s="6">
        <v>23</v>
      </c>
      <c r="E411" s="11">
        <v>0.314</v>
      </c>
      <c r="F411" s="11"/>
      <c r="G411" s="11"/>
    </row>
    <row r="412" spans="3:7" x14ac:dyDescent="0.2">
      <c r="C412" s="6">
        <v>351</v>
      </c>
      <c r="D412" s="6">
        <v>23</v>
      </c>
      <c r="E412" s="11">
        <v>0.314</v>
      </c>
      <c r="F412" s="11"/>
      <c r="G412" s="11"/>
    </row>
    <row r="413" spans="3:7" x14ac:dyDescent="0.2">
      <c r="C413" s="6">
        <v>394</v>
      </c>
      <c r="D413" s="6">
        <v>23</v>
      </c>
      <c r="E413" s="11">
        <v>0.314</v>
      </c>
      <c r="F413" s="11"/>
      <c r="G413" s="11"/>
    </row>
    <row r="414" spans="3:7" x14ac:dyDescent="0.2">
      <c r="C414" s="6">
        <v>399</v>
      </c>
      <c r="D414" s="6">
        <v>23</v>
      </c>
      <c r="E414" s="11">
        <v>0.314</v>
      </c>
      <c r="F414" s="11"/>
      <c r="G414" s="11"/>
    </row>
    <row r="415" spans="3:7" x14ac:dyDescent="0.2">
      <c r="C415" s="6">
        <v>474</v>
      </c>
      <c r="D415" s="6">
        <v>23</v>
      </c>
      <c r="E415" s="11">
        <v>0.314</v>
      </c>
      <c r="F415" s="11"/>
      <c r="G415" s="11"/>
    </row>
    <row r="416" spans="3:7" x14ac:dyDescent="0.2">
      <c r="C416" s="6">
        <v>530</v>
      </c>
      <c r="D416" s="6">
        <v>23</v>
      </c>
      <c r="E416" s="11">
        <v>0.314</v>
      </c>
      <c r="F416" s="11"/>
      <c r="G416" s="11"/>
    </row>
    <row r="417" spans="3:7" x14ac:dyDescent="0.2">
      <c r="C417" s="6">
        <v>650</v>
      </c>
      <c r="D417" s="6">
        <v>23</v>
      </c>
      <c r="E417" s="11">
        <v>0.314</v>
      </c>
      <c r="F417" s="11"/>
      <c r="G417" s="11"/>
    </row>
    <row r="418" spans="3:7" x14ac:dyDescent="0.2">
      <c r="C418" s="6">
        <v>659</v>
      </c>
      <c r="D418" s="6">
        <v>23</v>
      </c>
      <c r="E418" s="11">
        <v>0.314</v>
      </c>
      <c r="F418" s="11"/>
      <c r="G418" s="11"/>
    </row>
    <row r="419" spans="3:7" x14ac:dyDescent="0.2">
      <c r="C419" s="6">
        <v>734</v>
      </c>
      <c r="D419" s="6">
        <v>23</v>
      </c>
      <c r="E419" s="11">
        <v>0.314</v>
      </c>
      <c r="F419" s="11"/>
      <c r="G419" s="11"/>
    </row>
    <row r="420" spans="3:7" x14ac:dyDescent="0.2">
      <c r="C420" s="6">
        <v>735</v>
      </c>
      <c r="D420" s="6">
        <v>23</v>
      </c>
      <c r="E420" s="11">
        <v>0.314</v>
      </c>
      <c r="F420" s="11"/>
      <c r="G420" s="11"/>
    </row>
    <row r="421" spans="3:7" x14ac:dyDescent="0.2">
      <c r="C421" s="6">
        <v>754</v>
      </c>
      <c r="D421" s="6">
        <v>23</v>
      </c>
      <c r="E421" s="11">
        <v>0.314</v>
      </c>
      <c r="F421" s="11"/>
      <c r="G421" s="11"/>
    </row>
    <row r="422" spans="3:7" x14ac:dyDescent="0.2">
      <c r="C422" s="6">
        <v>817</v>
      </c>
      <c r="D422" s="6">
        <v>23</v>
      </c>
      <c r="E422" s="11">
        <v>0.314</v>
      </c>
      <c r="F422" s="11"/>
      <c r="G422" s="11"/>
    </row>
    <row r="423" spans="3:7" x14ac:dyDescent="0.2">
      <c r="C423" s="6">
        <v>834</v>
      </c>
      <c r="D423" s="6">
        <v>23</v>
      </c>
      <c r="E423" s="11">
        <v>0.314</v>
      </c>
      <c r="F423" s="11"/>
      <c r="G423" s="11"/>
    </row>
    <row r="424" spans="3:7" x14ac:dyDescent="0.2">
      <c r="C424" s="6">
        <v>297</v>
      </c>
      <c r="D424" s="6">
        <v>23.5</v>
      </c>
      <c r="E424" s="11">
        <v>0.33500000000000002</v>
      </c>
      <c r="F424" s="11"/>
      <c r="G424" s="11"/>
    </row>
    <row r="425" spans="3:7" x14ac:dyDescent="0.2">
      <c r="C425" s="6">
        <v>90</v>
      </c>
      <c r="D425" s="6">
        <v>24</v>
      </c>
      <c r="E425" s="11">
        <v>0.33600000000000002</v>
      </c>
      <c r="F425" s="11"/>
      <c r="G425" s="11"/>
    </row>
    <row r="426" spans="3:7" x14ac:dyDescent="0.2">
      <c r="C426" s="6">
        <v>119</v>
      </c>
      <c r="D426" s="6">
        <v>24</v>
      </c>
      <c r="E426" s="11">
        <v>0.33600000000000002</v>
      </c>
      <c r="F426" s="11"/>
      <c r="G426" s="11"/>
    </row>
    <row r="427" spans="3:7" x14ac:dyDescent="0.2">
      <c r="C427" s="6">
        <v>128</v>
      </c>
      <c r="D427" s="6">
        <v>24</v>
      </c>
      <c r="E427" s="11">
        <v>0.33600000000000002</v>
      </c>
      <c r="F427" s="11"/>
      <c r="G427" s="11"/>
    </row>
    <row r="428" spans="3:7" x14ac:dyDescent="0.2">
      <c r="C428" s="6">
        <v>140</v>
      </c>
      <c r="D428" s="6">
        <v>24</v>
      </c>
      <c r="E428" s="11">
        <v>0.33600000000000002</v>
      </c>
      <c r="F428" s="11"/>
      <c r="G428" s="11"/>
    </row>
    <row r="429" spans="3:7" x14ac:dyDescent="0.2">
      <c r="C429" s="6">
        <v>143</v>
      </c>
      <c r="D429" s="6">
        <v>24</v>
      </c>
      <c r="E429" s="11">
        <v>0.33600000000000002</v>
      </c>
      <c r="F429" s="11"/>
      <c r="G429" s="11"/>
    </row>
    <row r="430" spans="3:7" x14ac:dyDescent="0.2">
      <c r="C430" s="6">
        <v>200</v>
      </c>
      <c r="D430" s="6">
        <v>24</v>
      </c>
      <c r="E430" s="11">
        <v>0.33600000000000002</v>
      </c>
      <c r="F430" s="11"/>
      <c r="G430" s="11"/>
    </row>
    <row r="431" spans="3:7" x14ac:dyDescent="0.2">
      <c r="C431" s="6">
        <v>211</v>
      </c>
      <c r="D431" s="6">
        <v>24</v>
      </c>
      <c r="E431" s="11">
        <v>0.33600000000000002</v>
      </c>
      <c r="F431" s="11"/>
      <c r="G431" s="11"/>
    </row>
    <row r="432" spans="3:7" x14ac:dyDescent="0.2">
      <c r="C432" s="6">
        <v>235</v>
      </c>
      <c r="D432" s="6">
        <v>24</v>
      </c>
      <c r="E432" s="11">
        <v>0.33600000000000002</v>
      </c>
      <c r="F432" s="11"/>
      <c r="G432" s="11"/>
    </row>
    <row r="433" spans="3:7" x14ac:dyDescent="0.2">
      <c r="C433" s="6">
        <v>248</v>
      </c>
      <c r="D433" s="6">
        <v>24</v>
      </c>
      <c r="E433" s="11">
        <v>0.33600000000000002</v>
      </c>
      <c r="F433" s="11"/>
      <c r="G433" s="11"/>
    </row>
    <row r="434" spans="3:7" x14ac:dyDescent="0.2">
      <c r="C434" s="6">
        <v>294</v>
      </c>
      <c r="D434" s="6">
        <v>24</v>
      </c>
      <c r="E434" s="11">
        <v>0.33600000000000002</v>
      </c>
      <c r="F434" s="11"/>
      <c r="G434" s="11"/>
    </row>
    <row r="435" spans="3:7" x14ac:dyDescent="0.2">
      <c r="C435" s="6">
        <v>295</v>
      </c>
      <c r="D435" s="6">
        <v>24</v>
      </c>
      <c r="E435" s="11">
        <v>0.33600000000000002</v>
      </c>
      <c r="F435" s="11"/>
      <c r="G435" s="11"/>
    </row>
    <row r="436" spans="3:7" x14ac:dyDescent="0.2">
      <c r="C436" s="6">
        <v>311</v>
      </c>
      <c r="D436" s="6">
        <v>24</v>
      </c>
      <c r="E436" s="11">
        <v>0.33600000000000002</v>
      </c>
      <c r="F436" s="11"/>
      <c r="G436" s="11"/>
    </row>
    <row r="437" spans="3:7" x14ac:dyDescent="0.2">
      <c r="C437" s="6">
        <v>317</v>
      </c>
      <c r="D437" s="6">
        <v>24</v>
      </c>
      <c r="E437" s="11">
        <v>0.33600000000000002</v>
      </c>
      <c r="F437" s="11"/>
      <c r="G437" s="11"/>
    </row>
    <row r="438" spans="3:7" x14ac:dyDescent="0.2">
      <c r="C438" s="6">
        <v>342</v>
      </c>
      <c r="D438" s="6">
        <v>24</v>
      </c>
      <c r="E438" s="11">
        <v>0.33600000000000002</v>
      </c>
      <c r="F438" s="11"/>
      <c r="G438" s="11"/>
    </row>
    <row r="439" spans="3:7" x14ac:dyDescent="0.2">
      <c r="C439" s="6">
        <v>346</v>
      </c>
      <c r="D439" s="6">
        <v>24</v>
      </c>
      <c r="E439" s="11">
        <v>0.33600000000000002</v>
      </c>
      <c r="F439" s="11"/>
      <c r="G439" s="11"/>
    </row>
    <row r="440" spans="3:7" x14ac:dyDescent="0.2">
      <c r="C440" s="6">
        <v>370</v>
      </c>
      <c r="D440" s="6">
        <v>24</v>
      </c>
      <c r="E440" s="11">
        <v>0.33600000000000002</v>
      </c>
      <c r="F440" s="11"/>
      <c r="G440" s="11"/>
    </row>
    <row r="441" spans="3:7" x14ac:dyDescent="0.2">
      <c r="C441" s="6">
        <v>395</v>
      </c>
      <c r="D441" s="6">
        <v>24</v>
      </c>
      <c r="E441" s="11">
        <v>0.33600000000000002</v>
      </c>
      <c r="F441" s="11"/>
      <c r="G441" s="11"/>
    </row>
    <row r="442" spans="3:7" x14ac:dyDescent="0.2">
      <c r="C442" s="6">
        <v>438</v>
      </c>
      <c r="D442" s="6">
        <v>24</v>
      </c>
      <c r="E442" s="11">
        <v>0.33600000000000002</v>
      </c>
      <c r="F442" s="11"/>
      <c r="G442" s="11"/>
    </row>
    <row r="443" spans="3:7" x14ac:dyDescent="0.2">
      <c r="C443" s="6">
        <v>500</v>
      </c>
      <c r="D443" s="6">
        <v>24</v>
      </c>
      <c r="E443" s="11">
        <v>0.33600000000000002</v>
      </c>
      <c r="F443" s="11"/>
      <c r="G443" s="11"/>
    </row>
    <row r="444" spans="3:7" x14ac:dyDescent="0.2">
      <c r="C444" s="6">
        <v>515</v>
      </c>
      <c r="D444" s="6">
        <v>24</v>
      </c>
      <c r="E444" s="11">
        <v>0.33600000000000002</v>
      </c>
      <c r="F444" s="11"/>
      <c r="G444" s="11"/>
    </row>
    <row r="445" spans="3:7" x14ac:dyDescent="0.2">
      <c r="C445" s="6">
        <v>566</v>
      </c>
      <c r="D445" s="6">
        <v>24</v>
      </c>
      <c r="E445" s="11">
        <v>0.33600000000000002</v>
      </c>
      <c r="F445" s="11"/>
      <c r="G445" s="11"/>
    </row>
    <row r="446" spans="3:7" x14ac:dyDescent="0.2">
      <c r="C446" s="6">
        <v>601</v>
      </c>
      <c r="D446" s="6">
        <v>24</v>
      </c>
      <c r="E446" s="11">
        <v>0.33600000000000002</v>
      </c>
      <c r="F446" s="11"/>
      <c r="G446" s="11"/>
    </row>
    <row r="447" spans="3:7" x14ac:dyDescent="0.2">
      <c r="C447" s="6">
        <v>616</v>
      </c>
      <c r="D447" s="6">
        <v>24</v>
      </c>
      <c r="E447" s="11">
        <v>0.33600000000000002</v>
      </c>
      <c r="F447" s="11"/>
      <c r="G447" s="11"/>
    </row>
    <row r="448" spans="3:7" x14ac:dyDescent="0.2">
      <c r="C448" s="6">
        <v>642</v>
      </c>
      <c r="D448" s="6">
        <v>24</v>
      </c>
      <c r="E448" s="11">
        <v>0.33600000000000002</v>
      </c>
      <c r="F448" s="11"/>
      <c r="G448" s="11"/>
    </row>
    <row r="449" spans="3:7" x14ac:dyDescent="0.2">
      <c r="C449" s="6">
        <v>656</v>
      </c>
      <c r="D449" s="6">
        <v>24</v>
      </c>
      <c r="E449" s="11">
        <v>0.33600000000000002</v>
      </c>
      <c r="F449" s="11"/>
      <c r="G449" s="11"/>
    </row>
    <row r="450" spans="3:7" x14ac:dyDescent="0.2">
      <c r="C450" s="6">
        <v>711</v>
      </c>
      <c r="D450" s="6">
        <v>24</v>
      </c>
      <c r="E450" s="11">
        <v>0.33600000000000002</v>
      </c>
      <c r="F450" s="11"/>
      <c r="G450" s="11"/>
    </row>
    <row r="451" spans="3:7" x14ac:dyDescent="0.2">
      <c r="C451" s="6">
        <v>744</v>
      </c>
      <c r="D451" s="6">
        <v>24</v>
      </c>
      <c r="E451" s="11">
        <v>0.33600000000000002</v>
      </c>
      <c r="F451" s="11"/>
      <c r="G451" s="11"/>
    </row>
    <row r="452" spans="3:7" x14ac:dyDescent="0.2">
      <c r="C452" s="6">
        <v>771</v>
      </c>
      <c r="D452" s="6">
        <v>24</v>
      </c>
      <c r="E452" s="11">
        <v>0.33600000000000002</v>
      </c>
      <c r="F452" s="11"/>
      <c r="G452" s="11"/>
    </row>
    <row r="453" spans="3:7" x14ac:dyDescent="0.2">
      <c r="C453" s="6">
        <v>859</v>
      </c>
      <c r="D453" s="6">
        <v>24</v>
      </c>
      <c r="E453" s="11">
        <v>0.33600000000000002</v>
      </c>
      <c r="F453" s="11"/>
      <c r="G453" s="11"/>
    </row>
    <row r="454" spans="3:7" x14ac:dyDescent="0.2">
      <c r="C454" s="6">
        <v>865</v>
      </c>
      <c r="D454" s="6">
        <v>24</v>
      </c>
      <c r="E454" s="11">
        <v>0.33600000000000002</v>
      </c>
      <c r="F454" s="11"/>
      <c r="G454" s="11"/>
    </row>
    <row r="455" spans="3:7" x14ac:dyDescent="0.2">
      <c r="C455" s="6">
        <v>677</v>
      </c>
      <c r="D455" s="6">
        <v>24.5</v>
      </c>
      <c r="E455" s="11">
        <v>0.378</v>
      </c>
      <c r="F455" s="11"/>
      <c r="G455" s="11"/>
    </row>
    <row r="456" spans="3:7" x14ac:dyDescent="0.2">
      <c r="C456" s="6">
        <v>76</v>
      </c>
      <c r="D456" s="6">
        <v>25</v>
      </c>
      <c r="E456" s="11">
        <v>0.38</v>
      </c>
      <c r="F456" s="11"/>
      <c r="G456" s="11"/>
    </row>
    <row r="457" spans="3:7" x14ac:dyDescent="0.2">
      <c r="C457" s="6">
        <v>135</v>
      </c>
      <c r="D457" s="6">
        <v>25</v>
      </c>
      <c r="E457" s="11">
        <v>0.38</v>
      </c>
      <c r="F457" s="11"/>
      <c r="G457" s="11"/>
    </row>
    <row r="458" spans="3:7" x14ac:dyDescent="0.2">
      <c r="C458" s="6">
        <v>247</v>
      </c>
      <c r="D458" s="6">
        <v>25</v>
      </c>
      <c r="E458" s="11">
        <v>0.38</v>
      </c>
      <c r="F458" s="11"/>
      <c r="G458" s="11"/>
    </row>
    <row r="459" spans="3:7" x14ac:dyDescent="0.2">
      <c r="C459" s="6">
        <v>268</v>
      </c>
      <c r="D459" s="6">
        <v>25</v>
      </c>
      <c r="E459" s="11">
        <v>0.38</v>
      </c>
      <c r="F459" s="11"/>
      <c r="G459" s="11"/>
    </row>
    <row r="460" spans="3:7" x14ac:dyDescent="0.2">
      <c r="C460" s="6">
        <v>272</v>
      </c>
      <c r="D460" s="6">
        <v>25</v>
      </c>
      <c r="E460" s="11">
        <v>0.38</v>
      </c>
      <c r="F460" s="11"/>
      <c r="G460" s="11"/>
    </row>
    <row r="461" spans="3:7" x14ac:dyDescent="0.2">
      <c r="C461" s="6">
        <v>344</v>
      </c>
      <c r="D461" s="6">
        <v>25</v>
      </c>
      <c r="E461" s="11">
        <v>0.38</v>
      </c>
      <c r="F461" s="11"/>
      <c r="G461" s="11"/>
    </row>
    <row r="462" spans="3:7" x14ac:dyDescent="0.2">
      <c r="C462" s="6">
        <v>354</v>
      </c>
      <c r="D462" s="6">
        <v>25</v>
      </c>
      <c r="E462" s="11">
        <v>0.38</v>
      </c>
      <c r="F462" s="11"/>
      <c r="G462" s="11"/>
    </row>
    <row r="463" spans="3:7" x14ac:dyDescent="0.2">
      <c r="C463" s="6">
        <v>371</v>
      </c>
      <c r="D463" s="6">
        <v>25</v>
      </c>
      <c r="E463" s="11">
        <v>0.38</v>
      </c>
      <c r="F463" s="11"/>
      <c r="G463" s="11"/>
    </row>
    <row r="464" spans="3:7" x14ac:dyDescent="0.2">
      <c r="C464" s="6">
        <v>443</v>
      </c>
      <c r="D464" s="6">
        <v>25</v>
      </c>
      <c r="E464" s="11">
        <v>0.38</v>
      </c>
      <c r="F464" s="11"/>
      <c r="G464" s="11"/>
    </row>
    <row r="465" spans="3:7" x14ac:dyDescent="0.2">
      <c r="C465" s="6">
        <v>485</v>
      </c>
      <c r="D465" s="6">
        <v>25</v>
      </c>
      <c r="E465" s="11">
        <v>0.38</v>
      </c>
      <c r="F465" s="11"/>
      <c r="G465" s="11"/>
    </row>
    <row r="466" spans="3:7" x14ac:dyDescent="0.2">
      <c r="C466" s="6">
        <v>499</v>
      </c>
      <c r="D466" s="6">
        <v>25</v>
      </c>
      <c r="E466" s="11">
        <v>0.38</v>
      </c>
      <c r="F466" s="11"/>
      <c r="G466" s="11"/>
    </row>
    <row r="467" spans="3:7" x14ac:dyDescent="0.2">
      <c r="C467" s="6">
        <v>581</v>
      </c>
      <c r="D467" s="6">
        <v>25</v>
      </c>
      <c r="E467" s="11">
        <v>0.38</v>
      </c>
      <c r="F467" s="11"/>
      <c r="G467" s="11"/>
    </row>
    <row r="468" spans="3:7" x14ac:dyDescent="0.2">
      <c r="C468" s="6">
        <v>667</v>
      </c>
      <c r="D468" s="6">
        <v>25</v>
      </c>
      <c r="E468" s="11">
        <v>0.38</v>
      </c>
      <c r="F468" s="11"/>
      <c r="G468" s="11"/>
    </row>
    <row r="469" spans="3:7" x14ac:dyDescent="0.2">
      <c r="C469" s="6">
        <v>686</v>
      </c>
      <c r="D469" s="6">
        <v>25</v>
      </c>
      <c r="E469" s="11">
        <v>0.38</v>
      </c>
      <c r="F469" s="11"/>
      <c r="G469" s="11"/>
    </row>
    <row r="470" spans="3:7" x14ac:dyDescent="0.2">
      <c r="C470" s="6">
        <v>694</v>
      </c>
      <c r="D470" s="6">
        <v>25</v>
      </c>
      <c r="E470" s="11">
        <v>0.38</v>
      </c>
      <c r="F470" s="11"/>
      <c r="G470" s="11"/>
    </row>
    <row r="471" spans="3:7" x14ac:dyDescent="0.2">
      <c r="C471" s="6">
        <v>704</v>
      </c>
      <c r="D471" s="6">
        <v>25</v>
      </c>
      <c r="E471" s="11">
        <v>0.38</v>
      </c>
      <c r="F471" s="11"/>
      <c r="G471" s="11"/>
    </row>
    <row r="472" spans="3:7" x14ac:dyDescent="0.2">
      <c r="C472" s="6">
        <v>729</v>
      </c>
      <c r="D472" s="6">
        <v>25</v>
      </c>
      <c r="E472" s="11">
        <v>0.38</v>
      </c>
      <c r="F472" s="11"/>
      <c r="G472" s="11"/>
    </row>
    <row r="473" spans="3:7" x14ac:dyDescent="0.2">
      <c r="C473" s="6">
        <v>730</v>
      </c>
      <c r="D473" s="6">
        <v>25</v>
      </c>
      <c r="E473" s="11">
        <v>0.38</v>
      </c>
      <c r="F473" s="11"/>
      <c r="G473" s="11"/>
    </row>
    <row r="474" spans="3:7" x14ac:dyDescent="0.2">
      <c r="C474" s="6">
        <v>785</v>
      </c>
      <c r="D474" s="6">
        <v>25</v>
      </c>
      <c r="E474" s="11">
        <v>0.38</v>
      </c>
      <c r="F474" s="11"/>
      <c r="G474" s="11"/>
    </row>
    <row r="475" spans="3:7" x14ac:dyDescent="0.2">
      <c r="C475" s="6">
        <v>786</v>
      </c>
      <c r="D475" s="6">
        <v>25</v>
      </c>
      <c r="E475" s="11">
        <v>0.38</v>
      </c>
      <c r="F475" s="11"/>
      <c r="G475" s="11"/>
    </row>
    <row r="476" spans="3:7" x14ac:dyDescent="0.2">
      <c r="C476" s="6">
        <v>795</v>
      </c>
      <c r="D476" s="6">
        <v>25</v>
      </c>
      <c r="E476" s="11">
        <v>0.38</v>
      </c>
      <c r="F476" s="11"/>
      <c r="G476" s="11"/>
    </row>
    <row r="477" spans="3:7" x14ac:dyDescent="0.2">
      <c r="C477" s="6">
        <v>881</v>
      </c>
      <c r="D477" s="6">
        <v>25</v>
      </c>
      <c r="E477" s="11">
        <v>0.38</v>
      </c>
      <c r="F477" s="11"/>
      <c r="G477" s="11"/>
    </row>
    <row r="478" spans="3:7" x14ac:dyDescent="0.2">
      <c r="C478" s="6">
        <v>885</v>
      </c>
      <c r="D478" s="6">
        <v>25</v>
      </c>
      <c r="E478" s="11">
        <v>0.38</v>
      </c>
      <c r="F478" s="11"/>
      <c r="G478" s="11"/>
    </row>
    <row r="479" spans="3:7" x14ac:dyDescent="0.2">
      <c r="C479" s="6">
        <v>3</v>
      </c>
      <c r="D479" s="6">
        <v>26</v>
      </c>
      <c r="E479" s="11">
        <v>0.41199999999999998</v>
      </c>
      <c r="F479" s="11"/>
      <c r="G479" s="11"/>
    </row>
    <row r="480" spans="3:7" x14ac:dyDescent="0.2">
      <c r="C480" s="6">
        <v>70</v>
      </c>
      <c r="D480" s="6">
        <v>26</v>
      </c>
      <c r="E480" s="11">
        <v>0.41199999999999998</v>
      </c>
      <c r="F480" s="11"/>
      <c r="G480" s="11"/>
    </row>
    <row r="481" spans="3:7" x14ac:dyDescent="0.2">
      <c r="C481" s="6">
        <v>74</v>
      </c>
      <c r="D481" s="6">
        <v>26</v>
      </c>
      <c r="E481" s="11">
        <v>0.41199999999999998</v>
      </c>
      <c r="F481" s="11"/>
      <c r="G481" s="11"/>
    </row>
    <row r="482" spans="3:7" x14ac:dyDescent="0.2">
      <c r="C482" s="6">
        <v>94</v>
      </c>
      <c r="D482" s="6">
        <v>26</v>
      </c>
      <c r="E482" s="11">
        <v>0.41199999999999998</v>
      </c>
      <c r="F482" s="11"/>
      <c r="G482" s="11"/>
    </row>
    <row r="483" spans="3:7" x14ac:dyDescent="0.2">
      <c r="C483" s="6">
        <v>163</v>
      </c>
      <c r="D483" s="6">
        <v>26</v>
      </c>
      <c r="E483" s="11">
        <v>0.41199999999999998</v>
      </c>
      <c r="F483" s="11"/>
      <c r="G483" s="11"/>
    </row>
    <row r="484" spans="3:7" x14ac:dyDescent="0.2">
      <c r="C484" s="6">
        <v>208</v>
      </c>
      <c r="D484" s="6">
        <v>26</v>
      </c>
      <c r="E484" s="11">
        <v>0.41199999999999998</v>
      </c>
      <c r="F484" s="11"/>
      <c r="G484" s="11"/>
    </row>
    <row r="485" spans="3:7" x14ac:dyDescent="0.2">
      <c r="C485" s="6">
        <v>291</v>
      </c>
      <c r="D485" s="6">
        <v>26</v>
      </c>
      <c r="E485" s="11">
        <v>0.41199999999999998</v>
      </c>
      <c r="F485" s="11"/>
      <c r="G485" s="11"/>
    </row>
    <row r="486" spans="3:7" x14ac:dyDescent="0.2">
      <c r="C486" s="6">
        <v>313</v>
      </c>
      <c r="D486" s="6">
        <v>26</v>
      </c>
      <c r="E486" s="11">
        <v>0.41199999999999998</v>
      </c>
      <c r="F486" s="11"/>
      <c r="G486" s="11"/>
    </row>
    <row r="487" spans="3:7" x14ac:dyDescent="0.2">
      <c r="C487" s="6">
        <v>316</v>
      </c>
      <c r="D487" s="6">
        <v>26</v>
      </c>
      <c r="E487" s="11">
        <v>0.41199999999999998</v>
      </c>
      <c r="F487" s="11"/>
      <c r="G487" s="11"/>
    </row>
    <row r="488" spans="3:7" x14ac:dyDescent="0.2">
      <c r="C488" s="6">
        <v>402</v>
      </c>
      <c r="D488" s="6">
        <v>26</v>
      </c>
      <c r="E488" s="11">
        <v>0.41199999999999998</v>
      </c>
      <c r="F488" s="11"/>
      <c r="G488" s="11"/>
    </row>
    <row r="489" spans="3:7" x14ac:dyDescent="0.2">
      <c r="C489" s="6">
        <v>510</v>
      </c>
      <c r="D489" s="6">
        <v>26</v>
      </c>
      <c r="E489" s="11">
        <v>0.41199999999999998</v>
      </c>
      <c r="F489" s="11"/>
      <c r="G489" s="11"/>
    </row>
    <row r="490" spans="3:7" x14ac:dyDescent="0.2">
      <c r="C490" s="6">
        <v>618</v>
      </c>
      <c r="D490" s="6">
        <v>26</v>
      </c>
      <c r="E490" s="11">
        <v>0.41199999999999998</v>
      </c>
      <c r="F490" s="11"/>
      <c r="G490" s="11"/>
    </row>
    <row r="491" spans="3:7" x14ac:dyDescent="0.2">
      <c r="C491" s="6">
        <v>620</v>
      </c>
      <c r="D491" s="6">
        <v>26</v>
      </c>
      <c r="E491" s="11">
        <v>0.41199999999999998</v>
      </c>
      <c r="F491" s="11"/>
      <c r="G491" s="11"/>
    </row>
    <row r="492" spans="3:7" x14ac:dyDescent="0.2">
      <c r="C492" s="6">
        <v>629</v>
      </c>
      <c r="D492" s="6">
        <v>26</v>
      </c>
      <c r="E492" s="11">
        <v>0.41199999999999998</v>
      </c>
      <c r="F492" s="11"/>
      <c r="G492" s="11"/>
    </row>
    <row r="493" spans="3:7" x14ac:dyDescent="0.2">
      <c r="C493" s="6">
        <v>705</v>
      </c>
      <c r="D493" s="6">
        <v>26</v>
      </c>
      <c r="E493" s="11">
        <v>0.41199999999999998</v>
      </c>
      <c r="F493" s="11"/>
      <c r="G493" s="11"/>
    </row>
    <row r="494" spans="3:7" x14ac:dyDescent="0.2">
      <c r="C494" s="6">
        <v>811</v>
      </c>
      <c r="D494" s="6">
        <v>26</v>
      </c>
      <c r="E494" s="11">
        <v>0.41199999999999998</v>
      </c>
      <c r="F494" s="11"/>
      <c r="G494" s="11"/>
    </row>
    <row r="495" spans="3:7" x14ac:dyDescent="0.2">
      <c r="C495" s="6">
        <v>871</v>
      </c>
      <c r="D495" s="6">
        <v>26</v>
      </c>
      <c r="E495" s="11">
        <v>0.41199999999999998</v>
      </c>
      <c r="F495" s="11"/>
      <c r="G495" s="11"/>
    </row>
    <row r="496" spans="3:7" x14ac:dyDescent="0.2">
      <c r="C496" s="6">
        <v>890</v>
      </c>
      <c r="D496" s="6">
        <v>26</v>
      </c>
      <c r="E496" s="11">
        <v>0.41199999999999998</v>
      </c>
      <c r="F496" s="11"/>
      <c r="G496" s="11"/>
    </row>
    <row r="497" spans="3:7" x14ac:dyDescent="0.2">
      <c r="C497" s="6">
        <v>9</v>
      </c>
      <c r="D497" s="6">
        <v>27</v>
      </c>
      <c r="E497" s="11">
        <v>0.437</v>
      </c>
      <c r="F497" s="11"/>
      <c r="G497" s="11"/>
    </row>
    <row r="498" spans="3:7" x14ac:dyDescent="0.2">
      <c r="C498" s="6">
        <v>42</v>
      </c>
      <c r="D498" s="6">
        <v>27</v>
      </c>
      <c r="E498" s="11">
        <v>0.437</v>
      </c>
      <c r="F498" s="11"/>
      <c r="G498" s="11"/>
    </row>
    <row r="499" spans="3:7" x14ac:dyDescent="0.2">
      <c r="C499" s="6">
        <v>147</v>
      </c>
      <c r="D499" s="6">
        <v>27</v>
      </c>
      <c r="E499" s="11">
        <v>0.437</v>
      </c>
      <c r="F499" s="11"/>
      <c r="G499" s="11"/>
    </row>
    <row r="500" spans="3:7" x14ac:dyDescent="0.2">
      <c r="C500" s="6">
        <v>217</v>
      </c>
      <c r="D500" s="6">
        <v>27</v>
      </c>
      <c r="E500" s="11">
        <v>0.437</v>
      </c>
      <c r="F500" s="11"/>
      <c r="G500" s="11"/>
    </row>
    <row r="501" spans="3:7" x14ac:dyDescent="0.2">
      <c r="C501" s="6">
        <v>222</v>
      </c>
      <c r="D501" s="6">
        <v>27</v>
      </c>
      <c r="E501" s="11">
        <v>0.437</v>
      </c>
      <c r="F501" s="11"/>
      <c r="G501" s="11"/>
    </row>
    <row r="502" spans="3:7" x14ac:dyDescent="0.2">
      <c r="C502" s="6">
        <v>322</v>
      </c>
      <c r="D502" s="6">
        <v>27</v>
      </c>
      <c r="E502" s="11">
        <v>0.437</v>
      </c>
      <c r="F502" s="11"/>
      <c r="G502" s="11"/>
    </row>
    <row r="503" spans="3:7" x14ac:dyDescent="0.2">
      <c r="C503" s="6">
        <v>378</v>
      </c>
      <c r="D503" s="6">
        <v>27</v>
      </c>
      <c r="E503" s="11">
        <v>0.437</v>
      </c>
      <c r="F503" s="11"/>
      <c r="G503" s="11"/>
    </row>
    <row r="504" spans="3:7" x14ac:dyDescent="0.2">
      <c r="C504" s="6">
        <v>552</v>
      </c>
      <c r="D504" s="6">
        <v>27</v>
      </c>
      <c r="E504" s="11">
        <v>0.437</v>
      </c>
      <c r="F504" s="11"/>
      <c r="G504" s="11"/>
    </row>
    <row r="505" spans="3:7" x14ac:dyDescent="0.2">
      <c r="C505" s="6">
        <v>608</v>
      </c>
      <c r="D505" s="6">
        <v>27</v>
      </c>
      <c r="E505" s="11">
        <v>0.437</v>
      </c>
      <c r="F505" s="11"/>
      <c r="G505" s="11"/>
    </row>
    <row r="506" spans="3:7" x14ac:dyDescent="0.2">
      <c r="C506" s="6">
        <v>621</v>
      </c>
      <c r="D506" s="6">
        <v>27</v>
      </c>
      <c r="E506" s="11">
        <v>0.437</v>
      </c>
      <c r="F506" s="11"/>
      <c r="G506" s="11"/>
    </row>
    <row r="507" spans="3:7" x14ac:dyDescent="0.2">
      <c r="C507" s="6">
        <v>682</v>
      </c>
      <c r="D507" s="6">
        <v>27</v>
      </c>
      <c r="E507" s="11">
        <v>0.437</v>
      </c>
      <c r="F507" s="11"/>
      <c r="G507" s="11"/>
    </row>
    <row r="508" spans="3:7" x14ac:dyDescent="0.2">
      <c r="C508" s="6">
        <v>718</v>
      </c>
      <c r="D508" s="6">
        <v>27</v>
      </c>
      <c r="E508" s="11">
        <v>0.437</v>
      </c>
      <c r="F508" s="11"/>
      <c r="G508" s="11"/>
    </row>
    <row r="509" spans="3:7" x14ac:dyDescent="0.2">
      <c r="C509" s="6">
        <v>725</v>
      </c>
      <c r="D509" s="6">
        <v>27</v>
      </c>
      <c r="E509" s="11">
        <v>0.437</v>
      </c>
      <c r="F509" s="11"/>
      <c r="G509" s="11"/>
    </row>
    <row r="510" spans="3:7" x14ac:dyDescent="0.2">
      <c r="C510" s="6">
        <v>805</v>
      </c>
      <c r="D510" s="6">
        <v>27</v>
      </c>
      <c r="E510" s="11">
        <v>0.437</v>
      </c>
      <c r="F510" s="11"/>
      <c r="G510" s="11"/>
    </row>
    <row r="511" spans="3:7" x14ac:dyDescent="0.2">
      <c r="C511" s="6">
        <v>822</v>
      </c>
      <c r="D511" s="6">
        <v>27</v>
      </c>
      <c r="E511" s="11">
        <v>0.437</v>
      </c>
      <c r="F511" s="11"/>
      <c r="G511" s="11"/>
    </row>
    <row r="512" spans="3:7" x14ac:dyDescent="0.2">
      <c r="C512" s="6">
        <v>824</v>
      </c>
      <c r="D512" s="6">
        <v>27</v>
      </c>
      <c r="E512" s="11">
        <v>0.437</v>
      </c>
      <c r="F512" s="11"/>
      <c r="G512" s="11"/>
    </row>
    <row r="513" spans="3:7" x14ac:dyDescent="0.2">
      <c r="C513" s="6">
        <v>867</v>
      </c>
      <c r="D513" s="6">
        <v>27</v>
      </c>
      <c r="E513" s="11">
        <v>0.437</v>
      </c>
      <c r="F513" s="11"/>
      <c r="G513" s="11"/>
    </row>
    <row r="514" spans="3:7" x14ac:dyDescent="0.2">
      <c r="C514" s="6">
        <v>887</v>
      </c>
      <c r="D514" s="6">
        <v>27</v>
      </c>
      <c r="E514" s="11">
        <v>0.437</v>
      </c>
      <c r="F514" s="11"/>
      <c r="G514" s="11"/>
    </row>
    <row r="515" spans="3:7" x14ac:dyDescent="0.2">
      <c r="C515" s="6">
        <v>24</v>
      </c>
      <c r="D515" s="6">
        <v>28</v>
      </c>
      <c r="E515" s="11">
        <v>0.46200000000000002</v>
      </c>
      <c r="F515" s="11"/>
      <c r="G515" s="11"/>
    </row>
    <row r="516" spans="3:7" x14ac:dyDescent="0.2">
      <c r="C516" s="6">
        <v>35</v>
      </c>
      <c r="D516" s="6">
        <v>28</v>
      </c>
      <c r="E516" s="11">
        <v>0.46200000000000002</v>
      </c>
      <c r="F516" s="11"/>
      <c r="G516" s="11"/>
    </row>
    <row r="517" spans="3:7" x14ac:dyDescent="0.2">
      <c r="C517" s="6">
        <v>84</v>
      </c>
      <c r="D517" s="6">
        <v>28</v>
      </c>
      <c r="E517" s="11">
        <v>0.46200000000000002</v>
      </c>
      <c r="F517" s="11"/>
      <c r="G517" s="11"/>
    </row>
    <row r="518" spans="3:7" x14ac:dyDescent="0.2">
      <c r="C518" s="6">
        <v>101</v>
      </c>
      <c r="D518" s="6">
        <v>28</v>
      </c>
      <c r="E518" s="11">
        <v>0.46200000000000002</v>
      </c>
      <c r="F518" s="11"/>
      <c r="G518" s="11"/>
    </row>
    <row r="519" spans="3:7" x14ac:dyDescent="0.2">
      <c r="C519" s="6">
        <v>106</v>
      </c>
      <c r="D519" s="6">
        <v>28</v>
      </c>
      <c r="E519" s="11">
        <v>0.46200000000000002</v>
      </c>
      <c r="F519" s="11"/>
      <c r="G519" s="11"/>
    </row>
    <row r="520" spans="3:7" x14ac:dyDescent="0.2">
      <c r="C520" s="6">
        <v>170</v>
      </c>
      <c r="D520" s="6">
        <v>28</v>
      </c>
      <c r="E520" s="11">
        <v>0.46200000000000002</v>
      </c>
      <c r="F520" s="11"/>
      <c r="G520" s="11"/>
    </row>
    <row r="521" spans="3:7" x14ac:dyDescent="0.2">
      <c r="C521" s="6">
        <v>201</v>
      </c>
      <c r="D521" s="6">
        <v>28</v>
      </c>
      <c r="E521" s="11">
        <v>0.46200000000000002</v>
      </c>
      <c r="F521" s="11"/>
      <c r="G521" s="11"/>
    </row>
    <row r="522" spans="3:7" x14ac:dyDescent="0.2">
      <c r="C522" s="6">
        <v>282</v>
      </c>
      <c r="D522" s="6">
        <v>28</v>
      </c>
      <c r="E522" s="11">
        <v>0.46200000000000002</v>
      </c>
      <c r="F522" s="11"/>
      <c r="G522" s="11"/>
    </row>
    <row r="523" spans="3:7" x14ac:dyDescent="0.2">
      <c r="C523" s="6">
        <v>314</v>
      </c>
      <c r="D523" s="6">
        <v>28</v>
      </c>
      <c r="E523" s="11">
        <v>0.46200000000000002</v>
      </c>
      <c r="F523" s="11"/>
      <c r="G523" s="11"/>
    </row>
    <row r="524" spans="3:7" x14ac:dyDescent="0.2">
      <c r="C524" s="6">
        <v>343</v>
      </c>
      <c r="D524" s="6">
        <v>28</v>
      </c>
      <c r="E524" s="11">
        <v>0.46200000000000002</v>
      </c>
      <c r="F524" s="11"/>
      <c r="G524" s="11"/>
    </row>
    <row r="525" spans="3:7" x14ac:dyDescent="0.2">
      <c r="C525" s="6">
        <v>356</v>
      </c>
      <c r="D525" s="6">
        <v>28</v>
      </c>
      <c r="E525" s="11">
        <v>0.46200000000000002</v>
      </c>
      <c r="F525" s="11"/>
      <c r="G525" s="11"/>
    </row>
    <row r="526" spans="3:7" x14ac:dyDescent="0.2">
      <c r="C526" s="6">
        <v>393</v>
      </c>
      <c r="D526" s="6">
        <v>28</v>
      </c>
      <c r="E526" s="11">
        <v>0.46200000000000002</v>
      </c>
      <c r="F526" s="11"/>
      <c r="G526" s="11"/>
    </row>
    <row r="527" spans="3:7" x14ac:dyDescent="0.2">
      <c r="C527" s="6">
        <v>400</v>
      </c>
      <c r="D527" s="6">
        <v>28</v>
      </c>
      <c r="E527" s="11">
        <v>0.46200000000000002</v>
      </c>
      <c r="F527" s="11"/>
      <c r="G527" s="11"/>
    </row>
    <row r="528" spans="3:7" x14ac:dyDescent="0.2">
      <c r="C528" s="6">
        <v>404</v>
      </c>
      <c r="D528" s="6">
        <v>28</v>
      </c>
      <c r="E528" s="11">
        <v>0.46200000000000002</v>
      </c>
      <c r="F528" s="11"/>
      <c r="G528" s="11"/>
    </row>
    <row r="529" spans="3:7" x14ac:dyDescent="0.2">
      <c r="C529" s="6">
        <v>424</v>
      </c>
      <c r="D529" s="6">
        <v>28</v>
      </c>
      <c r="E529" s="11">
        <v>0.46200000000000002</v>
      </c>
      <c r="F529" s="11"/>
      <c r="G529" s="11"/>
    </row>
    <row r="530" spans="3:7" x14ac:dyDescent="0.2">
      <c r="C530" s="6">
        <v>427</v>
      </c>
      <c r="D530" s="6">
        <v>28</v>
      </c>
      <c r="E530" s="11">
        <v>0.46200000000000002</v>
      </c>
      <c r="F530" s="11"/>
      <c r="G530" s="11"/>
    </row>
    <row r="531" spans="3:7" x14ac:dyDescent="0.2">
      <c r="C531" s="6">
        <v>431</v>
      </c>
      <c r="D531" s="6">
        <v>28</v>
      </c>
      <c r="E531" s="11">
        <v>0.46200000000000002</v>
      </c>
      <c r="F531" s="11"/>
      <c r="G531" s="11"/>
    </row>
    <row r="532" spans="3:7" x14ac:dyDescent="0.2">
      <c r="C532" s="6">
        <v>444</v>
      </c>
      <c r="D532" s="6">
        <v>28</v>
      </c>
      <c r="E532" s="11">
        <v>0.46200000000000002</v>
      </c>
      <c r="F532" s="11"/>
      <c r="G532" s="11"/>
    </row>
    <row r="533" spans="3:7" x14ac:dyDescent="0.2">
      <c r="C533" s="6">
        <v>509</v>
      </c>
      <c r="D533" s="6">
        <v>28</v>
      </c>
      <c r="E533" s="11">
        <v>0.46200000000000002</v>
      </c>
      <c r="F533" s="11"/>
      <c r="G533" s="11"/>
    </row>
    <row r="534" spans="3:7" x14ac:dyDescent="0.2">
      <c r="C534" s="6">
        <v>563</v>
      </c>
      <c r="D534" s="6">
        <v>28</v>
      </c>
      <c r="E534" s="11">
        <v>0.46200000000000002</v>
      </c>
      <c r="F534" s="11"/>
      <c r="G534" s="11"/>
    </row>
    <row r="535" spans="3:7" x14ac:dyDescent="0.2">
      <c r="C535" s="6">
        <v>636</v>
      </c>
      <c r="D535" s="6">
        <v>28</v>
      </c>
      <c r="E535" s="11">
        <v>0.46200000000000002</v>
      </c>
      <c r="F535" s="11"/>
      <c r="G535" s="11"/>
    </row>
    <row r="536" spans="3:7" x14ac:dyDescent="0.2">
      <c r="C536" s="6">
        <v>757</v>
      </c>
      <c r="D536" s="6">
        <v>28</v>
      </c>
      <c r="E536" s="11">
        <v>0.46200000000000002</v>
      </c>
      <c r="F536" s="11"/>
      <c r="G536" s="11"/>
    </row>
    <row r="537" spans="3:7" x14ac:dyDescent="0.2">
      <c r="C537" s="6">
        <v>849</v>
      </c>
      <c r="D537" s="6">
        <v>28</v>
      </c>
      <c r="E537" s="11">
        <v>0.46200000000000002</v>
      </c>
      <c r="F537" s="11"/>
      <c r="G537" s="11"/>
    </row>
    <row r="538" spans="3:7" x14ac:dyDescent="0.2">
      <c r="C538" s="6">
        <v>875</v>
      </c>
      <c r="D538" s="6">
        <v>28</v>
      </c>
      <c r="E538" s="11">
        <v>0.46200000000000002</v>
      </c>
      <c r="F538" s="11"/>
      <c r="G538" s="11"/>
    </row>
    <row r="539" spans="3:7" x14ac:dyDescent="0.2">
      <c r="C539" s="6">
        <v>884</v>
      </c>
      <c r="D539" s="6">
        <v>28</v>
      </c>
      <c r="E539" s="11">
        <v>0.46200000000000002</v>
      </c>
      <c r="F539" s="11"/>
      <c r="G539" s="11"/>
    </row>
    <row r="540" spans="3:7" x14ac:dyDescent="0.2">
      <c r="C540" s="6">
        <v>58</v>
      </c>
      <c r="D540" s="6">
        <v>28.5</v>
      </c>
      <c r="E540" s="11">
        <v>0.497</v>
      </c>
      <c r="F540" s="11"/>
      <c r="G540" s="11"/>
    </row>
    <row r="541" spans="3:7" x14ac:dyDescent="0.2">
      <c r="C541" s="6">
        <v>736</v>
      </c>
      <c r="D541" s="6">
        <v>28.5</v>
      </c>
      <c r="E541" s="11">
        <v>0.497</v>
      </c>
      <c r="F541" s="11"/>
      <c r="G541" s="11"/>
    </row>
    <row r="542" spans="3:7" x14ac:dyDescent="0.2">
      <c r="C542" s="6">
        <v>54</v>
      </c>
      <c r="D542" s="6">
        <v>29</v>
      </c>
      <c r="E542" s="11">
        <v>0.5</v>
      </c>
      <c r="F542" s="11"/>
      <c r="G542" s="11"/>
    </row>
    <row r="543" spans="3:7" x14ac:dyDescent="0.2">
      <c r="C543" s="6">
        <v>67</v>
      </c>
      <c r="D543" s="6">
        <v>29</v>
      </c>
      <c r="E543" s="11">
        <v>0.5</v>
      </c>
      <c r="F543" s="11"/>
      <c r="G543" s="11"/>
    </row>
    <row r="544" spans="3:7" x14ac:dyDescent="0.2">
      <c r="C544" s="6">
        <v>82</v>
      </c>
      <c r="D544" s="6">
        <v>29</v>
      </c>
      <c r="E544" s="11">
        <v>0.5</v>
      </c>
      <c r="F544" s="11"/>
      <c r="G544" s="11"/>
    </row>
    <row r="545" spans="3:7" x14ac:dyDescent="0.2">
      <c r="C545" s="6">
        <v>91</v>
      </c>
      <c r="D545" s="6">
        <v>29</v>
      </c>
      <c r="E545" s="11">
        <v>0.5</v>
      </c>
      <c r="F545" s="11"/>
      <c r="G545" s="11"/>
    </row>
    <row r="546" spans="3:7" x14ac:dyDescent="0.2">
      <c r="C546" s="6">
        <v>118</v>
      </c>
      <c r="D546" s="6">
        <v>29</v>
      </c>
      <c r="E546" s="11">
        <v>0.5</v>
      </c>
      <c r="F546" s="11"/>
      <c r="G546" s="11"/>
    </row>
    <row r="547" spans="3:7" x14ac:dyDescent="0.2">
      <c r="C547" s="6">
        <v>134</v>
      </c>
      <c r="D547" s="6">
        <v>29</v>
      </c>
      <c r="E547" s="11">
        <v>0.5</v>
      </c>
      <c r="F547" s="11"/>
      <c r="G547" s="11"/>
    </row>
    <row r="548" spans="3:7" x14ac:dyDescent="0.2">
      <c r="C548" s="6">
        <v>232</v>
      </c>
      <c r="D548" s="6">
        <v>29</v>
      </c>
      <c r="E548" s="11">
        <v>0.5</v>
      </c>
      <c r="F548" s="11"/>
      <c r="G548" s="11"/>
    </row>
    <row r="549" spans="3:7" x14ac:dyDescent="0.2">
      <c r="C549" s="6">
        <v>243</v>
      </c>
      <c r="D549" s="6">
        <v>29</v>
      </c>
      <c r="E549" s="11">
        <v>0.5</v>
      </c>
      <c r="F549" s="11"/>
      <c r="G549" s="11"/>
    </row>
    <row r="550" spans="3:7" x14ac:dyDescent="0.2">
      <c r="C550" s="6">
        <v>252</v>
      </c>
      <c r="D550" s="6">
        <v>29</v>
      </c>
      <c r="E550" s="11">
        <v>0.5</v>
      </c>
      <c r="F550" s="11"/>
      <c r="G550" s="11"/>
    </row>
    <row r="551" spans="3:7" x14ac:dyDescent="0.2">
      <c r="C551" s="6">
        <v>256</v>
      </c>
      <c r="D551" s="6">
        <v>29</v>
      </c>
      <c r="E551" s="11">
        <v>0.5</v>
      </c>
      <c r="F551" s="11"/>
      <c r="G551" s="11"/>
    </row>
    <row r="552" spans="3:7" x14ac:dyDescent="0.2">
      <c r="C552" s="6">
        <v>337</v>
      </c>
      <c r="D552" s="6">
        <v>29</v>
      </c>
      <c r="E552" s="11">
        <v>0.5</v>
      </c>
      <c r="F552" s="11"/>
      <c r="G552" s="11"/>
    </row>
    <row r="553" spans="3:7" x14ac:dyDescent="0.2">
      <c r="C553" s="6">
        <v>362</v>
      </c>
      <c r="D553" s="6">
        <v>29</v>
      </c>
      <c r="E553" s="11">
        <v>0.5</v>
      </c>
      <c r="F553" s="11"/>
      <c r="G553" s="11"/>
    </row>
    <row r="554" spans="3:7" x14ac:dyDescent="0.2">
      <c r="C554" s="6">
        <v>423</v>
      </c>
      <c r="D554" s="6">
        <v>29</v>
      </c>
      <c r="E554" s="11">
        <v>0.5</v>
      </c>
      <c r="F554" s="11"/>
      <c r="G554" s="11"/>
    </row>
    <row r="555" spans="3:7" x14ac:dyDescent="0.2">
      <c r="C555" s="6">
        <v>456</v>
      </c>
      <c r="D555" s="6">
        <v>29</v>
      </c>
      <c r="E555" s="11">
        <v>0.5</v>
      </c>
      <c r="F555" s="11"/>
      <c r="G555" s="11"/>
    </row>
    <row r="556" spans="3:7" x14ac:dyDescent="0.2">
      <c r="C556" s="6">
        <v>478</v>
      </c>
      <c r="D556" s="6">
        <v>29</v>
      </c>
      <c r="E556" s="11">
        <v>0.5</v>
      </c>
      <c r="F556" s="11"/>
      <c r="G556" s="11"/>
    </row>
    <row r="557" spans="3:7" x14ac:dyDescent="0.2">
      <c r="C557" s="6">
        <v>511</v>
      </c>
      <c r="D557" s="6">
        <v>29</v>
      </c>
      <c r="E557" s="11">
        <v>0.5</v>
      </c>
      <c r="F557" s="11"/>
      <c r="G557" s="11"/>
    </row>
    <row r="558" spans="3:7" x14ac:dyDescent="0.2">
      <c r="C558" s="6">
        <v>568</v>
      </c>
      <c r="D558" s="6">
        <v>29</v>
      </c>
      <c r="E558" s="11">
        <v>0.5</v>
      </c>
      <c r="F558" s="11"/>
      <c r="G558" s="11"/>
    </row>
    <row r="559" spans="3:7" x14ac:dyDescent="0.2">
      <c r="C559" s="6">
        <v>714</v>
      </c>
      <c r="D559" s="6">
        <v>29</v>
      </c>
      <c r="E559" s="11">
        <v>0.5</v>
      </c>
      <c r="F559" s="11"/>
      <c r="G559" s="11"/>
    </row>
    <row r="560" spans="3:7" x14ac:dyDescent="0.2">
      <c r="C560" s="6">
        <v>731</v>
      </c>
      <c r="D560" s="6">
        <v>29</v>
      </c>
      <c r="E560" s="11">
        <v>0.5</v>
      </c>
      <c r="F560" s="11"/>
      <c r="G560" s="11"/>
    </row>
    <row r="561" spans="3:7" x14ac:dyDescent="0.2">
      <c r="C561" s="6">
        <v>783</v>
      </c>
      <c r="D561" s="6">
        <v>29</v>
      </c>
      <c r="E561" s="11">
        <v>0.5</v>
      </c>
      <c r="F561" s="11"/>
      <c r="G561" s="11"/>
    </row>
    <row r="562" spans="3:7" x14ac:dyDescent="0.2">
      <c r="C562" s="6">
        <v>80</v>
      </c>
      <c r="D562" s="6">
        <v>30</v>
      </c>
      <c r="E562" s="11">
        <v>0.52800000000000002</v>
      </c>
      <c r="F562" s="11"/>
      <c r="G562" s="11"/>
    </row>
    <row r="563" spans="3:7" x14ac:dyDescent="0.2">
      <c r="C563" s="6">
        <v>158</v>
      </c>
      <c r="D563" s="6">
        <v>30</v>
      </c>
      <c r="E563" s="11">
        <v>0.52800000000000002</v>
      </c>
      <c r="F563" s="11"/>
      <c r="G563" s="11"/>
    </row>
    <row r="564" spans="3:7" x14ac:dyDescent="0.2">
      <c r="C564" s="6">
        <v>179</v>
      </c>
      <c r="D564" s="6">
        <v>30</v>
      </c>
      <c r="E564" s="11">
        <v>0.52800000000000002</v>
      </c>
      <c r="F564" s="11"/>
      <c r="G564" s="11"/>
    </row>
    <row r="565" spans="3:7" x14ac:dyDescent="0.2">
      <c r="C565" s="6">
        <v>214</v>
      </c>
      <c r="D565" s="6">
        <v>30</v>
      </c>
      <c r="E565" s="11">
        <v>0.52800000000000002</v>
      </c>
      <c r="F565" s="11"/>
      <c r="G565" s="11"/>
    </row>
    <row r="566" spans="3:7" x14ac:dyDescent="0.2">
      <c r="C566" s="6">
        <v>220</v>
      </c>
      <c r="D566" s="6">
        <v>30</v>
      </c>
      <c r="E566" s="11">
        <v>0.52800000000000002</v>
      </c>
      <c r="F566" s="11"/>
      <c r="G566" s="11"/>
    </row>
    <row r="567" spans="3:7" x14ac:dyDescent="0.2">
      <c r="C567" s="6">
        <v>245</v>
      </c>
      <c r="D567" s="6">
        <v>30</v>
      </c>
      <c r="E567" s="11">
        <v>0.52800000000000002</v>
      </c>
      <c r="F567" s="11"/>
      <c r="G567" s="11"/>
    </row>
    <row r="568" spans="3:7" x14ac:dyDescent="0.2">
      <c r="C568" s="6">
        <v>254</v>
      </c>
      <c r="D568" s="6">
        <v>30</v>
      </c>
      <c r="E568" s="11">
        <v>0.52800000000000002</v>
      </c>
      <c r="F568" s="11"/>
      <c r="G568" s="11"/>
    </row>
    <row r="569" spans="3:7" x14ac:dyDescent="0.2">
      <c r="C569" s="6">
        <v>258</v>
      </c>
      <c r="D569" s="6">
        <v>30</v>
      </c>
      <c r="E569" s="11">
        <v>0.52800000000000002</v>
      </c>
      <c r="F569" s="11"/>
      <c r="G569" s="11"/>
    </row>
    <row r="570" spans="3:7" x14ac:dyDescent="0.2">
      <c r="C570" s="6">
        <v>287</v>
      </c>
      <c r="D570" s="6">
        <v>30</v>
      </c>
      <c r="E570" s="11">
        <v>0.52800000000000002</v>
      </c>
      <c r="F570" s="11"/>
      <c r="G570" s="11"/>
    </row>
    <row r="571" spans="3:7" x14ac:dyDescent="0.2">
      <c r="C571" s="6">
        <v>309</v>
      </c>
      <c r="D571" s="6">
        <v>30</v>
      </c>
      <c r="E571" s="11">
        <v>0.52800000000000002</v>
      </c>
      <c r="F571" s="11"/>
      <c r="G571" s="11"/>
    </row>
    <row r="572" spans="3:7" x14ac:dyDescent="0.2">
      <c r="C572" s="6">
        <v>310</v>
      </c>
      <c r="D572" s="6">
        <v>30</v>
      </c>
      <c r="E572" s="11">
        <v>0.52800000000000002</v>
      </c>
      <c r="F572" s="11"/>
      <c r="G572" s="11"/>
    </row>
    <row r="573" spans="3:7" x14ac:dyDescent="0.2">
      <c r="C573" s="6">
        <v>323</v>
      </c>
      <c r="D573" s="6">
        <v>30</v>
      </c>
      <c r="E573" s="11">
        <v>0.52800000000000002</v>
      </c>
      <c r="F573" s="11"/>
      <c r="G573" s="11"/>
    </row>
    <row r="574" spans="3:7" x14ac:dyDescent="0.2">
      <c r="C574" s="6">
        <v>366</v>
      </c>
      <c r="D574" s="6">
        <v>30</v>
      </c>
      <c r="E574" s="11">
        <v>0.52800000000000002</v>
      </c>
      <c r="F574" s="11"/>
      <c r="G574" s="11"/>
    </row>
    <row r="575" spans="3:7" x14ac:dyDescent="0.2">
      <c r="C575" s="6">
        <v>419</v>
      </c>
      <c r="D575" s="6">
        <v>30</v>
      </c>
      <c r="E575" s="11">
        <v>0.52800000000000002</v>
      </c>
      <c r="F575" s="11"/>
      <c r="G575" s="11"/>
    </row>
    <row r="576" spans="3:7" x14ac:dyDescent="0.2">
      <c r="C576" s="6">
        <v>453</v>
      </c>
      <c r="D576" s="6">
        <v>30</v>
      </c>
      <c r="E576" s="11">
        <v>0.52800000000000002</v>
      </c>
      <c r="F576" s="11"/>
      <c r="G576" s="11"/>
    </row>
    <row r="577" spans="3:7" x14ac:dyDescent="0.2">
      <c r="C577" s="6">
        <v>489</v>
      </c>
      <c r="D577" s="6">
        <v>30</v>
      </c>
      <c r="E577" s="11">
        <v>0.52800000000000002</v>
      </c>
      <c r="F577" s="11"/>
      <c r="G577" s="11"/>
    </row>
    <row r="578" spans="3:7" x14ac:dyDescent="0.2">
      <c r="C578" s="6">
        <v>521</v>
      </c>
      <c r="D578" s="6">
        <v>30</v>
      </c>
      <c r="E578" s="11">
        <v>0.52800000000000002</v>
      </c>
      <c r="F578" s="11"/>
      <c r="G578" s="11"/>
    </row>
    <row r="579" spans="3:7" x14ac:dyDescent="0.2">
      <c r="C579" s="6">
        <v>535</v>
      </c>
      <c r="D579" s="6">
        <v>30</v>
      </c>
      <c r="E579" s="11">
        <v>0.52800000000000002</v>
      </c>
      <c r="F579" s="11"/>
      <c r="G579" s="11"/>
    </row>
    <row r="580" spans="3:7" x14ac:dyDescent="0.2">
      <c r="C580" s="6">
        <v>538</v>
      </c>
      <c r="D580" s="6">
        <v>30</v>
      </c>
      <c r="E580" s="11">
        <v>0.52800000000000002</v>
      </c>
      <c r="F580" s="11"/>
      <c r="G580" s="11"/>
    </row>
    <row r="581" spans="3:7" x14ac:dyDescent="0.2">
      <c r="C581" s="6">
        <v>607</v>
      </c>
      <c r="D581" s="6">
        <v>30</v>
      </c>
      <c r="E581" s="11">
        <v>0.52800000000000002</v>
      </c>
      <c r="F581" s="11"/>
      <c r="G581" s="11"/>
    </row>
    <row r="582" spans="3:7" x14ac:dyDescent="0.2">
      <c r="C582" s="6">
        <v>727</v>
      </c>
      <c r="D582" s="6">
        <v>30</v>
      </c>
      <c r="E582" s="11">
        <v>0.52800000000000002</v>
      </c>
      <c r="F582" s="11"/>
      <c r="G582" s="11"/>
    </row>
    <row r="583" spans="3:7" x14ac:dyDescent="0.2">
      <c r="C583" s="6">
        <v>748</v>
      </c>
      <c r="D583" s="6">
        <v>30</v>
      </c>
      <c r="E583" s="11">
        <v>0.52800000000000002</v>
      </c>
      <c r="F583" s="11"/>
      <c r="G583" s="11"/>
    </row>
    <row r="584" spans="3:7" x14ac:dyDescent="0.2">
      <c r="C584" s="6">
        <v>799</v>
      </c>
      <c r="D584" s="6">
        <v>30</v>
      </c>
      <c r="E584" s="11">
        <v>0.52800000000000002</v>
      </c>
      <c r="F584" s="11"/>
      <c r="G584" s="11"/>
    </row>
    <row r="585" spans="3:7" x14ac:dyDescent="0.2">
      <c r="C585" s="6">
        <v>800</v>
      </c>
      <c r="D585" s="6">
        <v>30</v>
      </c>
      <c r="E585" s="11">
        <v>0.52800000000000002</v>
      </c>
      <c r="F585" s="11"/>
      <c r="G585" s="11"/>
    </row>
    <row r="586" spans="3:7" x14ac:dyDescent="0.2">
      <c r="C586" s="6">
        <v>843</v>
      </c>
      <c r="D586" s="6">
        <v>30</v>
      </c>
      <c r="E586" s="11">
        <v>0.52800000000000002</v>
      </c>
      <c r="F586" s="11"/>
      <c r="G586" s="11"/>
    </row>
    <row r="587" spans="3:7" x14ac:dyDescent="0.2">
      <c r="C587" s="6">
        <v>768</v>
      </c>
      <c r="D587" s="6">
        <v>30.5</v>
      </c>
      <c r="E587" s="11">
        <v>0.56299999999999994</v>
      </c>
      <c r="F587" s="11"/>
      <c r="G587" s="11"/>
    </row>
    <row r="588" spans="3:7" x14ac:dyDescent="0.2">
      <c r="C588" s="6">
        <v>815</v>
      </c>
      <c r="D588" s="6">
        <v>30.5</v>
      </c>
      <c r="E588" s="11">
        <v>0.56299999999999994</v>
      </c>
      <c r="F588" s="11"/>
      <c r="G588" s="11"/>
    </row>
    <row r="589" spans="3:7" x14ac:dyDescent="0.2">
      <c r="C589" s="6">
        <v>19</v>
      </c>
      <c r="D589" s="6">
        <v>31</v>
      </c>
      <c r="E589" s="11">
        <v>0.56599999999999995</v>
      </c>
      <c r="F589" s="11"/>
      <c r="G589" s="11"/>
    </row>
    <row r="590" spans="3:7" x14ac:dyDescent="0.2">
      <c r="C590" s="6">
        <v>216</v>
      </c>
      <c r="D590" s="6">
        <v>31</v>
      </c>
      <c r="E590" s="11">
        <v>0.56599999999999995</v>
      </c>
      <c r="F590" s="11"/>
      <c r="G590" s="11"/>
    </row>
    <row r="591" spans="3:7" x14ac:dyDescent="0.2">
      <c r="C591" s="6">
        <v>319</v>
      </c>
      <c r="D591" s="6">
        <v>31</v>
      </c>
      <c r="E591" s="11">
        <v>0.56599999999999995</v>
      </c>
      <c r="F591" s="11"/>
      <c r="G591" s="11"/>
    </row>
    <row r="592" spans="3:7" x14ac:dyDescent="0.2">
      <c r="C592" s="6">
        <v>329</v>
      </c>
      <c r="D592" s="6">
        <v>31</v>
      </c>
      <c r="E592" s="11">
        <v>0.56599999999999995</v>
      </c>
      <c r="F592" s="11"/>
      <c r="G592" s="11"/>
    </row>
    <row r="593" spans="3:7" x14ac:dyDescent="0.2">
      <c r="C593" s="6">
        <v>397</v>
      </c>
      <c r="D593" s="6">
        <v>31</v>
      </c>
      <c r="E593" s="11">
        <v>0.56599999999999995</v>
      </c>
      <c r="F593" s="11"/>
      <c r="G593" s="11"/>
    </row>
    <row r="594" spans="3:7" x14ac:dyDescent="0.2">
      <c r="C594" s="6">
        <v>440</v>
      </c>
      <c r="D594" s="6">
        <v>31</v>
      </c>
      <c r="E594" s="11">
        <v>0.56599999999999995</v>
      </c>
      <c r="F594" s="11"/>
      <c r="G594" s="11"/>
    </row>
    <row r="595" spans="3:7" x14ac:dyDescent="0.2">
      <c r="C595" s="6">
        <v>638</v>
      </c>
      <c r="D595" s="6">
        <v>31</v>
      </c>
      <c r="E595" s="11">
        <v>0.56599999999999995</v>
      </c>
      <c r="F595" s="11"/>
      <c r="G595" s="11"/>
    </row>
    <row r="596" spans="3:7" x14ac:dyDescent="0.2">
      <c r="C596" s="6">
        <v>672</v>
      </c>
      <c r="D596" s="6">
        <v>31</v>
      </c>
      <c r="E596" s="11">
        <v>0.56599999999999995</v>
      </c>
      <c r="F596" s="11"/>
      <c r="G596" s="11"/>
    </row>
    <row r="597" spans="3:7" x14ac:dyDescent="0.2">
      <c r="C597" s="6">
        <v>674</v>
      </c>
      <c r="D597" s="6">
        <v>31</v>
      </c>
      <c r="E597" s="11">
        <v>0.56599999999999995</v>
      </c>
      <c r="F597" s="11"/>
      <c r="G597" s="11"/>
    </row>
    <row r="598" spans="3:7" x14ac:dyDescent="0.2">
      <c r="C598" s="6">
        <v>691</v>
      </c>
      <c r="D598" s="6">
        <v>31</v>
      </c>
      <c r="E598" s="11">
        <v>0.56599999999999995</v>
      </c>
      <c r="F598" s="11"/>
      <c r="G598" s="11"/>
    </row>
    <row r="599" spans="3:7" x14ac:dyDescent="0.2">
      <c r="C599" s="6">
        <v>745</v>
      </c>
      <c r="D599" s="6">
        <v>31</v>
      </c>
      <c r="E599" s="11">
        <v>0.56599999999999995</v>
      </c>
      <c r="F599" s="11"/>
      <c r="G599" s="11"/>
    </row>
    <row r="600" spans="3:7" x14ac:dyDescent="0.2">
      <c r="C600" s="6">
        <v>750</v>
      </c>
      <c r="D600" s="6">
        <v>31</v>
      </c>
      <c r="E600" s="11">
        <v>0.56599999999999995</v>
      </c>
      <c r="F600" s="11"/>
      <c r="G600" s="11"/>
    </row>
    <row r="601" spans="3:7" x14ac:dyDescent="0.2">
      <c r="C601" s="6">
        <v>798</v>
      </c>
      <c r="D601" s="6">
        <v>31</v>
      </c>
      <c r="E601" s="11">
        <v>0.56599999999999995</v>
      </c>
      <c r="F601" s="11"/>
      <c r="G601" s="11"/>
    </row>
    <row r="602" spans="3:7" x14ac:dyDescent="0.2">
      <c r="C602" s="6">
        <v>802</v>
      </c>
      <c r="D602" s="6">
        <v>31</v>
      </c>
      <c r="E602" s="11">
        <v>0.56599999999999995</v>
      </c>
      <c r="F602" s="11"/>
      <c r="G602" s="11"/>
    </row>
    <row r="603" spans="3:7" x14ac:dyDescent="0.2">
      <c r="C603" s="6">
        <v>806</v>
      </c>
      <c r="D603" s="6">
        <v>31</v>
      </c>
      <c r="E603" s="11">
        <v>0.56599999999999995</v>
      </c>
      <c r="F603" s="11"/>
      <c r="G603" s="11"/>
    </row>
    <row r="604" spans="3:7" x14ac:dyDescent="0.2">
      <c r="C604" s="6">
        <v>818</v>
      </c>
      <c r="D604" s="6">
        <v>31</v>
      </c>
      <c r="E604" s="11">
        <v>0.56599999999999995</v>
      </c>
      <c r="F604" s="11"/>
      <c r="G604" s="11"/>
    </row>
    <row r="605" spans="3:7" x14ac:dyDescent="0.2">
      <c r="C605" s="6">
        <v>868</v>
      </c>
      <c r="D605" s="6">
        <v>31</v>
      </c>
      <c r="E605" s="11">
        <v>0.56599999999999995</v>
      </c>
      <c r="F605" s="11"/>
      <c r="G605" s="11"/>
    </row>
    <row r="606" spans="3:7" x14ac:dyDescent="0.2">
      <c r="C606" s="6">
        <v>71</v>
      </c>
      <c r="D606" s="6">
        <v>32</v>
      </c>
      <c r="E606" s="11">
        <v>0.59</v>
      </c>
      <c r="F606" s="11"/>
      <c r="G606" s="11"/>
    </row>
    <row r="607" spans="3:7" x14ac:dyDescent="0.2">
      <c r="C607" s="6">
        <v>75</v>
      </c>
      <c r="D607" s="6">
        <v>32</v>
      </c>
      <c r="E607" s="11">
        <v>0.59</v>
      </c>
      <c r="F607" s="11"/>
      <c r="G607" s="11"/>
    </row>
    <row r="608" spans="3:7" x14ac:dyDescent="0.2">
      <c r="C608" s="6">
        <v>191</v>
      </c>
      <c r="D608" s="6">
        <v>32</v>
      </c>
      <c r="E608" s="11">
        <v>0.59</v>
      </c>
      <c r="F608" s="11"/>
      <c r="G608" s="11"/>
    </row>
    <row r="609" spans="3:7" x14ac:dyDescent="0.2">
      <c r="C609" s="6">
        <v>207</v>
      </c>
      <c r="D609" s="6">
        <v>32</v>
      </c>
      <c r="E609" s="11">
        <v>0.59</v>
      </c>
      <c r="F609" s="11"/>
      <c r="G609" s="11"/>
    </row>
    <row r="610" spans="3:7" x14ac:dyDescent="0.2">
      <c r="C610" s="6">
        <v>219</v>
      </c>
      <c r="D610" s="6">
        <v>32</v>
      </c>
      <c r="E610" s="11">
        <v>0.59</v>
      </c>
      <c r="F610" s="11"/>
      <c r="G610" s="11"/>
    </row>
    <row r="611" spans="3:7" x14ac:dyDescent="0.2">
      <c r="C611" s="6">
        <v>383</v>
      </c>
      <c r="D611" s="6">
        <v>32</v>
      </c>
      <c r="E611" s="11">
        <v>0.59</v>
      </c>
      <c r="F611" s="11"/>
      <c r="G611" s="11"/>
    </row>
    <row r="612" spans="3:7" x14ac:dyDescent="0.2">
      <c r="C612" s="6">
        <v>430</v>
      </c>
      <c r="D612" s="6">
        <v>32</v>
      </c>
      <c r="E612" s="11">
        <v>0.59</v>
      </c>
      <c r="F612" s="11"/>
      <c r="G612" s="11"/>
    </row>
    <row r="613" spans="3:7" x14ac:dyDescent="0.2">
      <c r="C613" s="6">
        <v>520</v>
      </c>
      <c r="D613" s="6">
        <v>32</v>
      </c>
      <c r="E613" s="11">
        <v>0.59</v>
      </c>
      <c r="F613" s="11"/>
      <c r="G613" s="11"/>
    </row>
    <row r="614" spans="3:7" x14ac:dyDescent="0.2">
      <c r="C614" s="6">
        <v>544</v>
      </c>
      <c r="D614" s="6">
        <v>32</v>
      </c>
      <c r="E614" s="11">
        <v>0.59</v>
      </c>
      <c r="F614" s="11"/>
      <c r="G614" s="11"/>
    </row>
    <row r="615" spans="3:7" x14ac:dyDescent="0.2">
      <c r="C615" s="6">
        <v>570</v>
      </c>
      <c r="D615" s="6">
        <v>32</v>
      </c>
      <c r="E615" s="11">
        <v>0.59</v>
      </c>
      <c r="F615" s="11"/>
      <c r="G615" s="11"/>
    </row>
    <row r="616" spans="3:7" x14ac:dyDescent="0.2">
      <c r="C616" s="6">
        <v>580</v>
      </c>
      <c r="D616" s="6">
        <v>32</v>
      </c>
      <c r="E616" s="11">
        <v>0.59</v>
      </c>
      <c r="F616" s="11"/>
      <c r="G616" s="11"/>
    </row>
    <row r="617" spans="3:7" x14ac:dyDescent="0.2">
      <c r="C617" s="6">
        <v>633</v>
      </c>
      <c r="D617" s="6">
        <v>32</v>
      </c>
      <c r="E617" s="11">
        <v>0.59</v>
      </c>
      <c r="F617" s="11"/>
      <c r="G617" s="11"/>
    </row>
    <row r="618" spans="3:7" x14ac:dyDescent="0.2">
      <c r="C618" s="6">
        <v>637</v>
      </c>
      <c r="D618" s="6">
        <v>32</v>
      </c>
      <c r="E618" s="11">
        <v>0.59</v>
      </c>
      <c r="F618" s="11"/>
      <c r="G618" s="11"/>
    </row>
    <row r="619" spans="3:7" x14ac:dyDescent="0.2">
      <c r="C619" s="6">
        <v>658</v>
      </c>
      <c r="D619" s="6">
        <v>32</v>
      </c>
      <c r="E619" s="11">
        <v>0.59</v>
      </c>
      <c r="F619" s="11"/>
      <c r="G619" s="11"/>
    </row>
    <row r="620" spans="3:7" x14ac:dyDescent="0.2">
      <c r="C620" s="6">
        <v>666</v>
      </c>
      <c r="D620" s="6">
        <v>32</v>
      </c>
      <c r="E620" s="11">
        <v>0.59</v>
      </c>
      <c r="F620" s="11"/>
      <c r="G620" s="11"/>
    </row>
    <row r="621" spans="3:7" x14ac:dyDescent="0.2">
      <c r="C621" s="6">
        <v>770</v>
      </c>
      <c r="D621" s="6">
        <v>32</v>
      </c>
      <c r="E621" s="11">
        <v>0.59</v>
      </c>
      <c r="F621" s="11"/>
      <c r="G621" s="11"/>
    </row>
    <row r="622" spans="3:7" x14ac:dyDescent="0.2">
      <c r="C622" s="6">
        <v>839</v>
      </c>
      <c r="D622" s="6">
        <v>32</v>
      </c>
      <c r="E622" s="11">
        <v>0.59</v>
      </c>
      <c r="F622" s="11"/>
      <c r="G622" s="11"/>
    </row>
    <row r="623" spans="3:7" x14ac:dyDescent="0.2">
      <c r="C623" s="6">
        <v>891</v>
      </c>
      <c r="D623" s="6">
        <v>32</v>
      </c>
      <c r="E623" s="11">
        <v>0.59</v>
      </c>
      <c r="F623" s="11"/>
      <c r="G623" s="11"/>
    </row>
    <row r="624" spans="3:7" x14ac:dyDescent="0.2">
      <c r="C624" s="6">
        <v>123</v>
      </c>
      <c r="D624" s="6">
        <v>32.5</v>
      </c>
      <c r="E624" s="11">
        <v>0.61499999999999999</v>
      </c>
      <c r="F624" s="11"/>
      <c r="G624" s="11"/>
    </row>
    <row r="625" spans="3:7" x14ac:dyDescent="0.2">
      <c r="C625" s="6">
        <v>124</v>
      </c>
      <c r="D625" s="6">
        <v>32.5</v>
      </c>
      <c r="E625" s="11">
        <v>0.61499999999999999</v>
      </c>
      <c r="F625" s="11"/>
      <c r="G625" s="11"/>
    </row>
    <row r="626" spans="3:7" x14ac:dyDescent="0.2">
      <c r="C626" s="6">
        <v>86</v>
      </c>
      <c r="D626" s="6">
        <v>33</v>
      </c>
      <c r="E626" s="11">
        <v>0.61799999999999999</v>
      </c>
      <c r="F626" s="11"/>
      <c r="G626" s="11"/>
    </row>
    <row r="627" spans="3:7" x14ac:dyDescent="0.2">
      <c r="C627" s="6">
        <v>104</v>
      </c>
      <c r="D627" s="6">
        <v>33</v>
      </c>
      <c r="E627" s="11">
        <v>0.61799999999999999</v>
      </c>
      <c r="F627" s="11"/>
      <c r="G627" s="11"/>
    </row>
    <row r="628" spans="3:7" x14ac:dyDescent="0.2">
      <c r="C628" s="6">
        <v>131</v>
      </c>
      <c r="D628" s="6">
        <v>33</v>
      </c>
      <c r="E628" s="11">
        <v>0.61799999999999999</v>
      </c>
      <c r="F628" s="11"/>
      <c r="G628" s="11"/>
    </row>
    <row r="629" spans="3:7" x14ac:dyDescent="0.2">
      <c r="C629" s="6">
        <v>240</v>
      </c>
      <c r="D629" s="6">
        <v>33</v>
      </c>
      <c r="E629" s="11">
        <v>0.61799999999999999</v>
      </c>
      <c r="F629" s="11"/>
      <c r="G629" s="11"/>
    </row>
    <row r="630" spans="3:7" x14ac:dyDescent="0.2">
      <c r="C630" s="6">
        <v>286</v>
      </c>
      <c r="D630" s="6">
        <v>33</v>
      </c>
      <c r="E630" s="11">
        <v>0.61799999999999999</v>
      </c>
      <c r="F630" s="11"/>
      <c r="G630" s="11"/>
    </row>
    <row r="631" spans="3:7" x14ac:dyDescent="0.2">
      <c r="C631" s="6">
        <v>413</v>
      </c>
      <c r="D631" s="6">
        <v>33</v>
      </c>
      <c r="E631" s="11">
        <v>0.61799999999999999</v>
      </c>
      <c r="F631" s="11"/>
      <c r="G631" s="11"/>
    </row>
    <row r="632" spans="3:7" x14ac:dyDescent="0.2">
      <c r="C632" s="6">
        <v>473</v>
      </c>
      <c r="D632" s="6">
        <v>33</v>
      </c>
      <c r="E632" s="11">
        <v>0.61799999999999999</v>
      </c>
      <c r="F632" s="11"/>
      <c r="G632" s="11"/>
    </row>
    <row r="633" spans="3:7" x14ac:dyDescent="0.2">
      <c r="C633" s="6">
        <v>507</v>
      </c>
      <c r="D633" s="6">
        <v>33</v>
      </c>
      <c r="E633" s="11">
        <v>0.61799999999999999</v>
      </c>
      <c r="F633" s="11"/>
      <c r="G633" s="11"/>
    </row>
    <row r="634" spans="3:7" x14ac:dyDescent="0.2">
      <c r="C634" s="6">
        <v>549</v>
      </c>
      <c r="D634" s="6">
        <v>33</v>
      </c>
      <c r="E634" s="11">
        <v>0.61799999999999999</v>
      </c>
      <c r="F634" s="11"/>
      <c r="G634" s="11"/>
    </row>
    <row r="635" spans="3:7" x14ac:dyDescent="0.2">
      <c r="C635" s="6">
        <v>720</v>
      </c>
      <c r="D635" s="6">
        <v>33</v>
      </c>
      <c r="E635" s="11">
        <v>0.61799999999999999</v>
      </c>
      <c r="F635" s="11"/>
      <c r="G635" s="11"/>
    </row>
    <row r="636" spans="3:7" x14ac:dyDescent="0.2">
      <c r="C636" s="6">
        <v>753</v>
      </c>
      <c r="D636" s="6">
        <v>33</v>
      </c>
      <c r="E636" s="11">
        <v>0.61799999999999999</v>
      </c>
      <c r="F636" s="11"/>
      <c r="G636" s="11"/>
    </row>
    <row r="637" spans="3:7" x14ac:dyDescent="0.2">
      <c r="C637" s="6">
        <v>760</v>
      </c>
      <c r="D637" s="6">
        <v>33</v>
      </c>
      <c r="E637" s="11">
        <v>0.61799999999999999</v>
      </c>
      <c r="F637" s="11"/>
      <c r="G637" s="11"/>
    </row>
    <row r="638" spans="3:7" x14ac:dyDescent="0.2">
      <c r="C638" s="6">
        <v>810</v>
      </c>
      <c r="D638" s="6">
        <v>33</v>
      </c>
      <c r="E638" s="11">
        <v>0.61799999999999999</v>
      </c>
      <c r="F638" s="11"/>
      <c r="G638" s="11"/>
    </row>
    <row r="639" spans="3:7" x14ac:dyDescent="0.2">
      <c r="C639" s="6">
        <v>873</v>
      </c>
      <c r="D639" s="6">
        <v>33</v>
      </c>
      <c r="E639" s="11">
        <v>0.61799999999999999</v>
      </c>
      <c r="F639" s="11"/>
      <c r="G639" s="11"/>
    </row>
    <row r="640" spans="3:7" x14ac:dyDescent="0.2">
      <c r="C640" s="6">
        <v>882</v>
      </c>
      <c r="D640" s="6">
        <v>33</v>
      </c>
      <c r="E640" s="11">
        <v>0.61799999999999999</v>
      </c>
      <c r="F640" s="11"/>
      <c r="G640" s="11"/>
    </row>
    <row r="641" spans="3:7" x14ac:dyDescent="0.2">
      <c r="C641" s="6">
        <v>22</v>
      </c>
      <c r="D641" s="6">
        <v>34</v>
      </c>
      <c r="E641" s="11">
        <v>0.63900000000000001</v>
      </c>
      <c r="F641" s="11"/>
      <c r="G641" s="11"/>
    </row>
    <row r="642" spans="3:7" x14ac:dyDescent="0.2">
      <c r="C642" s="6">
        <v>99</v>
      </c>
      <c r="D642" s="6">
        <v>34</v>
      </c>
      <c r="E642" s="11">
        <v>0.63900000000000001</v>
      </c>
      <c r="F642" s="11"/>
      <c r="G642" s="11"/>
    </row>
    <row r="643" spans="3:7" x14ac:dyDescent="0.2">
      <c r="C643" s="6">
        <v>100</v>
      </c>
      <c r="D643" s="6">
        <v>34</v>
      </c>
      <c r="E643" s="11">
        <v>0.63900000000000001</v>
      </c>
      <c r="F643" s="11"/>
      <c r="G643" s="11"/>
    </row>
    <row r="644" spans="3:7" x14ac:dyDescent="0.2">
      <c r="C644" s="6">
        <v>203</v>
      </c>
      <c r="D644" s="6">
        <v>34</v>
      </c>
      <c r="E644" s="11">
        <v>0.63900000000000001</v>
      </c>
      <c r="F644" s="11"/>
      <c r="G644" s="11"/>
    </row>
    <row r="645" spans="3:7" x14ac:dyDescent="0.2">
      <c r="C645" s="6">
        <v>406</v>
      </c>
      <c r="D645" s="6">
        <v>34</v>
      </c>
      <c r="E645" s="11">
        <v>0.63900000000000001</v>
      </c>
      <c r="F645" s="11"/>
      <c r="G645" s="11"/>
    </row>
    <row r="646" spans="3:7" x14ac:dyDescent="0.2">
      <c r="C646" s="6">
        <v>417</v>
      </c>
      <c r="D646" s="6">
        <v>34</v>
      </c>
      <c r="E646" s="11">
        <v>0.63900000000000001</v>
      </c>
      <c r="F646" s="11"/>
      <c r="G646" s="11"/>
    </row>
    <row r="647" spans="3:7" x14ac:dyDescent="0.2">
      <c r="C647" s="6">
        <v>448</v>
      </c>
      <c r="D647" s="6">
        <v>34</v>
      </c>
      <c r="E647" s="11">
        <v>0.63900000000000001</v>
      </c>
      <c r="F647" s="11"/>
      <c r="G647" s="11"/>
    </row>
    <row r="648" spans="3:7" x14ac:dyDescent="0.2">
      <c r="C648" s="6">
        <v>462</v>
      </c>
      <c r="D648" s="6">
        <v>34</v>
      </c>
      <c r="E648" s="11">
        <v>0.63900000000000001</v>
      </c>
      <c r="F648" s="11"/>
      <c r="G648" s="11"/>
    </row>
    <row r="649" spans="3:7" x14ac:dyDescent="0.2">
      <c r="C649" s="6">
        <v>477</v>
      </c>
      <c r="D649" s="6">
        <v>34</v>
      </c>
      <c r="E649" s="11">
        <v>0.63900000000000001</v>
      </c>
      <c r="F649" s="11"/>
      <c r="G649" s="11"/>
    </row>
    <row r="650" spans="3:7" x14ac:dyDescent="0.2">
      <c r="C650" s="6">
        <v>517</v>
      </c>
      <c r="D650" s="6">
        <v>34</v>
      </c>
      <c r="E650" s="11">
        <v>0.63900000000000001</v>
      </c>
      <c r="F650" s="11"/>
      <c r="G650" s="11"/>
    </row>
    <row r="651" spans="3:7" x14ac:dyDescent="0.2">
      <c r="C651" s="6">
        <v>577</v>
      </c>
      <c r="D651" s="6">
        <v>34</v>
      </c>
      <c r="E651" s="11">
        <v>0.63900000000000001</v>
      </c>
      <c r="F651" s="11"/>
      <c r="G651" s="11"/>
    </row>
    <row r="652" spans="3:7" x14ac:dyDescent="0.2">
      <c r="C652" s="6">
        <v>617</v>
      </c>
      <c r="D652" s="6">
        <v>34</v>
      </c>
      <c r="E652" s="11">
        <v>0.63900000000000001</v>
      </c>
      <c r="F652" s="11"/>
      <c r="G652" s="11"/>
    </row>
    <row r="653" spans="3:7" x14ac:dyDescent="0.2">
      <c r="C653" s="6">
        <v>723</v>
      </c>
      <c r="D653" s="6">
        <v>34</v>
      </c>
      <c r="E653" s="11">
        <v>0.63900000000000001</v>
      </c>
      <c r="F653" s="11"/>
      <c r="G653" s="11"/>
    </row>
    <row r="654" spans="3:7" x14ac:dyDescent="0.2">
      <c r="C654" s="6">
        <v>759</v>
      </c>
      <c r="D654" s="6">
        <v>34</v>
      </c>
      <c r="E654" s="11">
        <v>0.63900000000000001</v>
      </c>
      <c r="F654" s="11"/>
      <c r="G654" s="11"/>
    </row>
    <row r="655" spans="3:7" x14ac:dyDescent="0.2">
      <c r="C655" s="6">
        <v>801</v>
      </c>
      <c r="D655" s="6">
        <v>34</v>
      </c>
      <c r="E655" s="11">
        <v>0.63900000000000001</v>
      </c>
      <c r="F655" s="11"/>
      <c r="G655" s="11"/>
    </row>
    <row r="656" spans="3:7" x14ac:dyDescent="0.2">
      <c r="C656" s="6">
        <v>844</v>
      </c>
      <c r="D656" s="6">
        <v>34.5</v>
      </c>
      <c r="E656" s="11">
        <v>0.66</v>
      </c>
      <c r="F656" s="11"/>
      <c r="G656" s="11"/>
    </row>
    <row r="657" spans="3:7" x14ac:dyDescent="0.2">
      <c r="C657" s="6">
        <v>4</v>
      </c>
      <c r="D657" s="6">
        <v>35</v>
      </c>
      <c r="E657" s="11">
        <v>0.66100000000000003</v>
      </c>
      <c r="F657" s="11"/>
      <c r="G657" s="11"/>
    </row>
    <row r="658" spans="3:7" x14ac:dyDescent="0.2">
      <c r="C658" s="6">
        <v>5</v>
      </c>
      <c r="D658" s="6">
        <v>35</v>
      </c>
      <c r="E658" s="11">
        <v>0.66100000000000003</v>
      </c>
      <c r="F658" s="11"/>
      <c r="G658" s="11"/>
    </row>
    <row r="659" spans="3:7" x14ac:dyDescent="0.2">
      <c r="C659" s="6">
        <v>21</v>
      </c>
      <c r="D659" s="6">
        <v>35</v>
      </c>
      <c r="E659" s="11">
        <v>0.66100000000000003</v>
      </c>
      <c r="F659" s="11"/>
      <c r="G659" s="11"/>
    </row>
    <row r="660" spans="3:7" x14ac:dyDescent="0.2">
      <c r="C660" s="6">
        <v>212</v>
      </c>
      <c r="D660" s="6">
        <v>35</v>
      </c>
      <c r="E660" s="11">
        <v>0.66100000000000003</v>
      </c>
      <c r="F660" s="11"/>
      <c r="G660" s="11"/>
    </row>
    <row r="661" spans="3:7" x14ac:dyDescent="0.2">
      <c r="C661" s="6">
        <v>231</v>
      </c>
      <c r="D661" s="6">
        <v>35</v>
      </c>
      <c r="E661" s="11">
        <v>0.66100000000000003</v>
      </c>
      <c r="F661" s="11"/>
      <c r="G661" s="11"/>
    </row>
    <row r="662" spans="3:7" x14ac:dyDescent="0.2">
      <c r="C662" s="6">
        <v>259</v>
      </c>
      <c r="D662" s="6">
        <v>35</v>
      </c>
      <c r="E662" s="11">
        <v>0.66100000000000003</v>
      </c>
      <c r="F662" s="11"/>
      <c r="G662" s="11"/>
    </row>
    <row r="663" spans="3:7" x14ac:dyDescent="0.2">
      <c r="C663" s="6">
        <v>270</v>
      </c>
      <c r="D663" s="6">
        <v>35</v>
      </c>
      <c r="E663" s="11">
        <v>0.66100000000000003</v>
      </c>
      <c r="F663" s="11"/>
      <c r="G663" s="11"/>
    </row>
    <row r="664" spans="3:7" x14ac:dyDescent="0.2">
      <c r="C664" s="6">
        <v>280</v>
      </c>
      <c r="D664" s="6">
        <v>35</v>
      </c>
      <c r="E664" s="11">
        <v>0.66100000000000003</v>
      </c>
      <c r="F664" s="11"/>
      <c r="G664" s="11"/>
    </row>
    <row r="665" spans="3:7" x14ac:dyDescent="0.2">
      <c r="C665" s="6">
        <v>364</v>
      </c>
      <c r="D665" s="6">
        <v>35</v>
      </c>
      <c r="E665" s="11">
        <v>0.66100000000000003</v>
      </c>
      <c r="F665" s="11"/>
      <c r="G665" s="11"/>
    </row>
    <row r="666" spans="3:7" x14ac:dyDescent="0.2">
      <c r="C666" s="6">
        <v>384</v>
      </c>
      <c r="D666" s="6">
        <v>35</v>
      </c>
      <c r="E666" s="11">
        <v>0.66100000000000003</v>
      </c>
      <c r="F666" s="11"/>
      <c r="G666" s="11"/>
    </row>
    <row r="667" spans="3:7" x14ac:dyDescent="0.2">
      <c r="C667" s="6">
        <v>487</v>
      </c>
      <c r="D667" s="6">
        <v>35</v>
      </c>
      <c r="E667" s="11">
        <v>0.66100000000000003</v>
      </c>
      <c r="F667" s="11"/>
      <c r="G667" s="11"/>
    </row>
    <row r="668" spans="3:7" x14ac:dyDescent="0.2">
      <c r="C668" s="6">
        <v>591</v>
      </c>
      <c r="D668" s="6">
        <v>35</v>
      </c>
      <c r="E668" s="11">
        <v>0.66100000000000003</v>
      </c>
      <c r="F668" s="11"/>
      <c r="G668" s="11"/>
    </row>
    <row r="669" spans="3:7" x14ac:dyDescent="0.2">
      <c r="C669" s="6">
        <v>605</v>
      </c>
      <c r="D669" s="6">
        <v>35</v>
      </c>
      <c r="E669" s="11">
        <v>0.66100000000000003</v>
      </c>
      <c r="F669" s="11"/>
      <c r="G669" s="11"/>
    </row>
    <row r="670" spans="3:7" x14ac:dyDescent="0.2">
      <c r="C670" s="6">
        <v>615</v>
      </c>
      <c r="D670" s="6">
        <v>35</v>
      </c>
      <c r="E670" s="11">
        <v>0.66100000000000003</v>
      </c>
      <c r="F670" s="11"/>
      <c r="G670" s="11"/>
    </row>
    <row r="671" spans="3:7" x14ac:dyDescent="0.2">
      <c r="C671" s="6">
        <v>702</v>
      </c>
      <c r="D671" s="6">
        <v>35</v>
      </c>
      <c r="E671" s="11">
        <v>0.66100000000000003</v>
      </c>
      <c r="F671" s="11"/>
      <c r="G671" s="11"/>
    </row>
    <row r="672" spans="3:7" x14ac:dyDescent="0.2">
      <c r="C672" s="6">
        <v>738</v>
      </c>
      <c r="D672" s="6">
        <v>35</v>
      </c>
      <c r="E672" s="11">
        <v>0.66100000000000003</v>
      </c>
      <c r="F672" s="11"/>
      <c r="G672" s="11"/>
    </row>
    <row r="673" spans="3:7" x14ac:dyDescent="0.2">
      <c r="C673" s="6">
        <v>813</v>
      </c>
      <c r="D673" s="6">
        <v>35</v>
      </c>
      <c r="E673" s="11">
        <v>0.66100000000000003</v>
      </c>
      <c r="F673" s="11"/>
      <c r="G673" s="11"/>
    </row>
    <row r="674" spans="3:7" x14ac:dyDescent="0.2">
      <c r="C674" s="6">
        <v>848</v>
      </c>
      <c r="D674" s="6">
        <v>35</v>
      </c>
      <c r="E674" s="11">
        <v>0.66100000000000003</v>
      </c>
      <c r="F674" s="11"/>
      <c r="G674" s="11"/>
    </row>
    <row r="675" spans="3:7" x14ac:dyDescent="0.2">
      <c r="C675" s="6">
        <v>180</v>
      </c>
      <c r="D675" s="6">
        <v>36</v>
      </c>
      <c r="E675" s="11">
        <v>0.68700000000000006</v>
      </c>
      <c r="F675" s="11"/>
      <c r="G675" s="11"/>
    </row>
    <row r="676" spans="3:7" x14ac:dyDescent="0.2">
      <c r="C676" s="6">
        <v>190</v>
      </c>
      <c r="D676" s="6">
        <v>36</v>
      </c>
      <c r="E676" s="11">
        <v>0.68700000000000006</v>
      </c>
      <c r="F676" s="11"/>
      <c r="G676" s="11"/>
    </row>
    <row r="677" spans="3:7" x14ac:dyDescent="0.2">
      <c r="C677" s="6">
        <v>266</v>
      </c>
      <c r="D677" s="6">
        <v>36</v>
      </c>
      <c r="E677" s="11">
        <v>0.68700000000000006</v>
      </c>
      <c r="F677" s="11"/>
      <c r="G677" s="11"/>
    </row>
    <row r="678" spans="3:7" x14ac:dyDescent="0.2">
      <c r="C678" s="6">
        <v>293</v>
      </c>
      <c r="D678" s="6">
        <v>36</v>
      </c>
      <c r="E678" s="11">
        <v>0.68700000000000006</v>
      </c>
      <c r="F678" s="11"/>
      <c r="G678" s="11"/>
    </row>
    <row r="679" spans="3:7" x14ac:dyDescent="0.2">
      <c r="C679" s="6">
        <v>326</v>
      </c>
      <c r="D679" s="6">
        <v>36</v>
      </c>
      <c r="E679" s="11">
        <v>0.68700000000000006</v>
      </c>
      <c r="F679" s="11"/>
      <c r="G679" s="11"/>
    </row>
    <row r="680" spans="3:7" x14ac:dyDescent="0.2">
      <c r="C680" s="6">
        <v>328</v>
      </c>
      <c r="D680" s="6">
        <v>36</v>
      </c>
      <c r="E680" s="11">
        <v>0.68700000000000006</v>
      </c>
      <c r="F680" s="11"/>
      <c r="G680" s="11"/>
    </row>
    <row r="681" spans="3:7" x14ac:dyDescent="0.2">
      <c r="C681" s="6">
        <v>345</v>
      </c>
      <c r="D681" s="6">
        <v>36</v>
      </c>
      <c r="E681" s="11">
        <v>0.68700000000000006</v>
      </c>
      <c r="F681" s="11"/>
      <c r="G681" s="11"/>
    </row>
    <row r="682" spans="3:7" x14ac:dyDescent="0.2">
      <c r="C682" s="6">
        <v>388</v>
      </c>
      <c r="D682" s="6">
        <v>36</v>
      </c>
      <c r="E682" s="11">
        <v>0.68700000000000006</v>
      </c>
      <c r="F682" s="11"/>
      <c r="G682" s="11"/>
    </row>
    <row r="683" spans="3:7" x14ac:dyDescent="0.2">
      <c r="C683" s="6">
        <v>391</v>
      </c>
      <c r="D683" s="6">
        <v>36</v>
      </c>
      <c r="E683" s="11">
        <v>0.68700000000000006</v>
      </c>
      <c r="F683" s="11"/>
      <c r="G683" s="11"/>
    </row>
    <row r="684" spans="3:7" x14ac:dyDescent="0.2">
      <c r="C684" s="6">
        <v>451</v>
      </c>
      <c r="D684" s="6">
        <v>36</v>
      </c>
      <c r="E684" s="11">
        <v>0.68700000000000006</v>
      </c>
      <c r="F684" s="11"/>
      <c r="G684" s="11"/>
    </row>
    <row r="685" spans="3:7" x14ac:dyDescent="0.2">
      <c r="C685" s="6">
        <v>513</v>
      </c>
      <c r="D685" s="6">
        <v>36</v>
      </c>
      <c r="E685" s="11">
        <v>0.68700000000000006</v>
      </c>
      <c r="F685" s="11"/>
      <c r="G685" s="11"/>
    </row>
    <row r="686" spans="3:7" x14ac:dyDescent="0.2">
      <c r="C686" s="6">
        <v>519</v>
      </c>
      <c r="D686" s="6">
        <v>36</v>
      </c>
      <c r="E686" s="11">
        <v>0.68700000000000006</v>
      </c>
      <c r="F686" s="11"/>
      <c r="G686" s="11"/>
    </row>
    <row r="687" spans="3:7" x14ac:dyDescent="0.2">
      <c r="C687" s="6">
        <v>541</v>
      </c>
      <c r="D687" s="6">
        <v>36</v>
      </c>
      <c r="E687" s="11">
        <v>0.68700000000000006</v>
      </c>
      <c r="F687" s="11"/>
      <c r="G687" s="11"/>
    </row>
    <row r="688" spans="3:7" x14ac:dyDescent="0.2">
      <c r="C688" s="6">
        <v>560</v>
      </c>
      <c r="D688" s="6">
        <v>36</v>
      </c>
      <c r="E688" s="11">
        <v>0.68700000000000006</v>
      </c>
      <c r="F688" s="11"/>
      <c r="G688" s="11"/>
    </row>
    <row r="689" spans="3:7" x14ac:dyDescent="0.2">
      <c r="C689" s="6">
        <v>573</v>
      </c>
      <c r="D689" s="6">
        <v>36</v>
      </c>
      <c r="E689" s="11">
        <v>0.68700000000000006</v>
      </c>
      <c r="F689" s="11"/>
      <c r="G689" s="11"/>
    </row>
    <row r="690" spans="3:7" x14ac:dyDescent="0.2">
      <c r="C690" s="6">
        <v>584</v>
      </c>
      <c r="D690" s="6">
        <v>36</v>
      </c>
      <c r="E690" s="11">
        <v>0.68700000000000006</v>
      </c>
      <c r="F690" s="11"/>
      <c r="G690" s="11"/>
    </row>
    <row r="691" spans="3:7" x14ac:dyDescent="0.2">
      <c r="C691" s="6">
        <v>596</v>
      </c>
      <c r="D691" s="6">
        <v>36</v>
      </c>
      <c r="E691" s="11">
        <v>0.68700000000000006</v>
      </c>
      <c r="F691" s="11"/>
      <c r="G691" s="11"/>
    </row>
    <row r="692" spans="3:7" x14ac:dyDescent="0.2">
      <c r="C692" s="6">
        <v>606</v>
      </c>
      <c r="D692" s="6">
        <v>36</v>
      </c>
      <c r="E692" s="11">
        <v>0.68700000000000006</v>
      </c>
      <c r="F692" s="11"/>
      <c r="G692" s="11"/>
    </row>
    <row r="693" spans="3:7" x14ac:dyDescent="0.2">
      <c r="C693" s="6">
        <v>664</v>
      </c>
      <c r="D693" s="6">
        <v>36</v>
      </c>
      <c r="E693" s="11">
        <v>0.68700000000000006</v>
      </c>
      <c r="F693" s="11"/>
      <c r="G693" s="11"/>
    </row>
    <row r="694" spans="3:7" x14ac:dyDescent="0.2">
      <c r="C694" s="6">
        <v>680</v>
      </c>
      <c r="D694" s="6">
        <v>36</v>
      </c>
      <c r="E694" s="11">
        <v>0.68700000000000006</v>
      </c>
      <c r="F694" s="11"/>
      <c r="G694" s="11"/>
    </row>
    <row r="695" spans="3:7" x14ac:dyDescent="0.2">
      <c r="C695" s="6">
        <v>742</v>
      </c>
      <c r="D695" s="6">
        <v>36</v>
      </c>
      <c r="E695" s="11">
        <v>0.68700000000000006</v>
      </c>
      <c r="F695" s="11"/>
      <c r="G695" s="11"/>
    </row>
    <row r="696" spans="3:7" x14ac:dyDescent="0.2">
      <c r="C696" s="6">
        <v>764</v>
      </c>
      <c r="D696" s="6">
        <v>36</v>
      </c>
      <c r="E696" s="11">
        <v>0.68700000000000006</v>
      </c>
      <c r="F696" s="11"/>
      <c r="G696" s="11"/>
    </row>
    <row r="697" spans="3:7" x14ac:dyDescent="0.2">
      <c r="C697" s="6">
        <v>149</v>
      </c>
      <c r="D697" s="6">
        <v>36.5</v>
      </c>
      <c r="E697" s="11">
        <v>0.71799999999999997</v>
      </c>
      <c r="F697" s="11"/>
      <c r="G697" s="11"/>
    </row>
    <row r="698" spans="3:7" x14ac:dyDescent="0.2">
      <c r="C698" s="6">
        <v>105</v>
      </c>
      <c r="D698" s="6">
        <v>37</v>
      </c>
      <c r="E698" s="11">
        <v>0.71899999999999997</v>
      </c>
      <c r="F698" s="11"/>
      <c r="G698" s="11"/>
    </row>
    <row r="699" spans="3:7" x14ac:dyDescent="0.2">
      <c r="C699" s="6">
        <v>138</v>
      </c>
      <c r="D699" s="6">
        <v>37</v>
      </c>
      <c r="E699" s="11">
        <v>0.71899999999999997</v>
      </c>
      <c r="F699" s="11"/>
      <c r="G699" s="11"/>
    </row>
    <row r="700" spans="3:7" x14ac:dyDescent="0.2">
      <c r="C700" s="6">
        <v>249</v>
      </c>
      <c r="D700" s="6">
        <v>37</v>
      </c>
      <c r="E700" s="11">
        <v>0.71899999999999997</v>
      </c>
      <c r="F700" s="11"/>
      <c r="G700" s="11"/>
    </row>
    <row r="701" spans="3:7" x14ac:dyDescent="0.2">
      <c r="C701" s="6">
        <v>274</v>
      </c>
      <c r="D701" s="6">
        <v>37</v>
      </c>
      <c r="E701" s="11">
        <v>0.71899999999999997</v>
      </c>
      <c r="F701" s="11"/>
      <c r="G701" s="11"/>
    </row>
    <row r="702" spans="3:7" x14ac:dyDescent="0.2">
      <c r="C702" s="6">
        <v>504</v>
      </c>
      <c r="D702" s="6">
        <v>37</v>
      </c>
      <c r="E702" s="11">
        <v>0.71899999999999997</v>
      </c>
      <c r="F702" s="11"/>
      <c r="G702" s="11"/>
    </row>
    <row r="703" spans="3:7" x14ac:dyDescent="0.2">
      <c r="C703" s="6">
        <v>595</v>
      </c>
      <c r="D703" s="6">
        <v>37</v>
      </c>
      <c r="E703" s="11">
        <v>0.71899999999999997</v>
      </c>
      <c r="F703" s="11"/>
      <c r="G703" s="11"/>
    </row>
    <row r="704" spans="3:7" x14ac:dyDescent="0.2">
      <c r="C704" s="6">
        <v>2</v>
      </c>
      <c r="D704" s="6">
        <v>38</v>
      </c>
      <c r="E704" s="11">
        <v>0.72699999999999998</v>
      </c>
      <c r="F704" s="11"/>
      <c r="G704" s="11"/>
    </row>
    <row r="705" spans="3:7" x14ac:dyDescent="0.2">
      <c r="C705" s="6">
        <v>26</v>
      </c>
      <c r="D705" s="6">
        <v>38</v>
      </c>
      <c r="E705" s="11">
        <v>0.72699999999999998</v>
      </c>
      <c r="F705" s="11"/>
      <c r="G705" s="11"/>
    </row>
    <row r="706" spans="3:7" x14ac:dyDescent="0.2">
      <c r="C706" s="6">
        <v>62</v>
      </c>
      <c r="D706" s="6">
        <v>38</v>
      </c>
      <c r="E706" s="11">
        <v>0.72699999999999998</v>
      </c>
      <c r="F706" s="11"/>
      <c r="G706" s="11"/>
    </row>
    <row r="707" spans="3:7" x14ac:dyDescent="0.2">
      <c r="C707" s="6">
        <v>109</v>
      </c>
      <c r="D707" s="6">
        <v>38</v>
      </c>
      <c r="E707" s="11">
        <v>0.72699999999999998</v>
      </c>
      <c r="F707" s="11"/>
      <c r="G707" s="11"/>
    </row>
    <row r="708" spans="3:7" x14ac:dyDescent="0.2">
      <c r="C708" s="6">
        <v>225</v>
      </c>
      <c r="D708" s="6">
        <v>38</v>
      </c>
      <c r="E708" s="11">
        <v>0.72699999999999998</v>
      </c>
      <c r="F708" s="11"/>
      <c r="G708" s="11"/>
    </row>
    <row r="709" spans="3:7" x14ac:dyDescent="0.2">
      <c r="C709" s="6">
        <v>333</v>
      </c>
      <c r="D709" s="6">
        <v>38</v>
      </c>
      <c r="E709" s="11">
        <v>0.72699999999999998</v>
      </c>
      <c r="F709" s="11"/>
      <c r="G709" s="11"/>
    </row>
    <row r="710" spans="3:7" x14ac:dyDescent="0.2">
      <c r="C710" s="6">
        <v>358</v>
      </c>
      <c r="D710" s="6">
        <v>38</v>
      </c>
      <c r="E710" s="11">
        <v>0.72699999999999998</v>
      </c>
      <c r="F710" s="11"/>
      <c r="G710" s="11"/>
    </row>
    <row r="711" spans="3:7" x14ac:dyDescent="0.2">
      <c r="C711" s="6">
        <v>466</v>
      </c>
      <c r="D711" s="6">
        <v>38</v>
      </c>
      <c r="E711" s="11">
        <v>0.72699999999999998</v>
      </c>
      <c r="F711" s="11"/>
      <c r="G711" s="11"/>
    </row>
    <row r="712" spans="3:7" x14ac:dyDescent="0.2">
      <c r="C712" s="6">
        <v>472</v>
      </c>
      <c r="D712" s="6">
        <v>38</v>
      </c>
      <c r="E712" s="11">
        <v>0.72699999999999998</v>
      </c>
      <c r="F712" s="11"/>
      <c r="G712" s="11"/>
    </row>
    <row r="713" spans="3:7" x14ac:dyDescent="0.2">
      <c r="C713" s="6">
        <v>717</v>
      </c>
      <c r="D713" s="6">
        <v>38</v>
      </c>
      <c r="E713" s="11">
        <v>0.72699999999999998</v>
      </c>
      <c r="F713" s="11"/>
      <c r="G713" s="11"/>
    </row>
    <row r="714" spans="3:7" x14ac:dyDescent="0.2">
      <c r="C714" s="6">
        <v>823</v>
      </c>
      <c r="D714" s="6">
        <v>38</v>
      </c>
      <c r="E714" s="11">
        <v>0.72699999999999998</v>
      </c>
      <c r="F714" s="11"/>
      <c r="G714" s="11"/>
    </row>
    <row r="715" spans="3:7" x14ac:dyDescent="0.2">
      <c r="C715" s="6">
        <v>14</v>
      </c>
      <c r="D715" s="6">
        <v>39</v>
      </c>
      <c r="E715" s="11">
        <v>0.74299999999999999</v>
      </c>
      <c r="F715" s="11"/>
      <c r="G715" s="11"/>
    </row>
    <row r="716" spans="3:7" x14ac:dyDescent="0.2">
      <c r="C716" s="6">
        <v>401</v>
      </c>
      <c r="D716" s="6">
        <v>39</v>
      </c>
      <c r="E716" s="11">
        <v>0.74299999999999999</v>
      </c>
      <c r="F716" s="11"/>
      <c r="G716" s="11"/>
    </row>
    <row r="717" spans="3:7" x14ac:dyDescent="0.2">
      <c r="C717" s="6">
        <v>529</v>
      </c>
      <c r="D717" s="6">
        <v>39</v>
      </c>
      <c r="E717" s="11">
        <v>0.74299999999999999</v>
      </c>
      <c r="F717" s="11"/>
      <c r="G717" s="11"/>
    </row>
    <row r="718" spans="3:7" x14ac:dyDescent="0.2">
      <c r="C718" s="6">
        <v>559</v>
      </c>
      <c r="D718" s="6">
        <v>39</v>
      </c>
      <c r="E718" s="11">
        <v>0.74299999999999999</v>
      </c>
      <c r="F718" s="11"/>
      <c r="G718" s="11"/>
    </row>
    <row r="719" spans="3:7" x14ac:dyDescent="0.2">
      <c r="C719" s="6">
        <v>578</v>
      </c>
      <c r="D719" s="6">
        <v>39</v>
      </c>
      <c r="E719" s="11">
        <v>0.74299999999999999</v>
      </c>
      <c r="F719" s="11"/>
      <c r="G719" s="11"/>
    </row>
    <row r="720" spans="3:7" x14ac:dyDescent="0.2">
      <c r="C720" s="6">
        <v>582</v>
      </c>
      <c r="D720" s="6">
        <v>39</v>
      </c>
      <c r="E720" s="11">
        <v>0.74299999999999999</v>
      </c>
      <c r="F720" s="11"/>
      <c r="G720" s="11"/>
    </row>
    <row r="721" spans="3:7" x14ac:dyDescent="0.2">
      <c r="C721" s="6">
        <v>611</v>
      </c>
      <c r="D721" s="6">
        <v>39</v>
      </c>
      <c r="E721" s="11">
        <v>0.74299999999999999</v>
      </c>
      <c r="F721" s="11"/>
      <c r="G721" s="11"/>
    </row>
    <row r="722" spans="3:7" x14ac:dyDescent="0.2">
      <c r="C722" s="6">
        <v>706</v>
      </c>
      <c r="D722" s="6">
        <v>39</v>
      </c>
      <c r="E722" s="11">
        <v>0.74299999999999999</v>
      </c>
      <c r="F722" s="11"/>
      <c r="G722" s="11"/>
    </row>
    <row r="723" spans="3:7" x14ac:dyDescent="0.2">
      <c r="C723" s="6">
        <v>796</v>
      </c>
      <c r="D723" s="6">
        <v>39</v>
      </c>
      <c r="E723" s="11">
        <v>0.74299999999999999</v>
      </c>
      <c r="F723" s="11"/>
      <c r="G723" s="11"/>
    </row>
    <row r="724" spans="3:7" x14ac:dyDescent="0.2">
      <c r="C724" s="6">
        <v>807</v>
      </c>
      <c r="D724" s="6">
        <v>39</v>
      </c>
      <c r="E724" s="11">
        <v>0.74299999999999999</v>
      </c>
      <c r="F724" s="11"/>
      <c r="G724" s="11"/>
    </row>
    <row r="725" spans="3:7" x14ac:dyDescent="0.2">
      <c r="C725" s="6">
        <v>809</v>
      </c>
      <c r="D725" s="6">
        <v>39</v>
      </c>
      <c r="E725" s="11">
        <v>0.74299999999999999</v>
      </c>
      <c r="F725" s="11"/>
      <c r="G725" s="11"/>
    </row>
    <row r="726" spans="3:7" x14ac:dyDescent="0.2">
      <c r="C726" s="6">
        <v>812</v>
      </c>
      <c r="D726" s="6">
        <v>39</v>
      </c>
      <c r="E726" s="11">
        <v>0.74299999999999999</v>
      </c>
      <c r="F726" s="11"/>
      <c r="G726" s="11"/>
    </row>
    <row r="727" spans="3:7" x14ac:dyDescent="0.2">
      <c r="C727" s="6">
        <v>836</v>
      </c>
      <c r="D727" s="6">
        <v>39</v>
      </c>
      <c r="E727" s="11">
        <v>0.74299999999999999</v>
      </c>
      <c r="F727" s="11"/>
      <c r="G727" s="11"/>
    </row>
    <row r="728" spans="3:7" x14ac:dyDescent="0.2">
      <c r="C728" s="6">
        <v>886</v>
      </c>
      <c r="D728" s="6">
        <v>39</v>
      </c>
      <c r="E728" s="11">
        <v>0.74299999999999999</v>
      </c>
      <c r="F728" s="11"/>
      <c r="G728" s="11"/>
    </row>
    <row r="729" spans="3:7" x14ac:dyDescent="0.2">
      <c r="C729" s="6">
        <v>31</v>
      </c>
      <c r="D729" s="6">
        <v>40</v>
      </c>
      <c r="E729" s="11">
        <v>0.76200000000000001</v>
      </c>
      <c r="F729" s="11"/>
      <c r="G729" s="11"/>
    </row>
    <row r="730" spans="3:7" x14ac:dyDescent="0.2">
      <c r="C730" s="6">
        <v>41</v>
      </c>
      <c r="D730" s="6">
        <v>40</v>
      </c>
      <c r="E730" s="11">
        <v>0.76200000000000001</v>
      </c>
      <c r="F730" s="11"/>
      <c r="G730" s="11"/>
    </row>
    <row r="731" spans="3:7" x14ac:dyDescent="0.2">
      <c r="C731" s="6">
        <v>162</v>
      </c>
      <c r="D731" s="6">
        <v>40</v>
      </c>
      <c r="E731" s="11">
        <v>0.76200000000000001</v>
      </c>
      <c r="F731" s="11"/>
      <c r="G731" s="11"/>
    </row>
    <row r="732" spans="3:7" x14ac:dyDescent="0.2">
      <c r="C732" s="6">
        <v>189</v>
      </c>
      <c r="D732" s="6">
        <v>40</v>
      </c>
      <c r="E732" s="11">
        <v>0.76200000000000001</v>
      </c>
      <c r="F732" s="11"/>
      <c r="G732" s="11"/>
    </row>
    <row r="733" spans="3:7" x14ac:dyDescent="0.2">
      <c r="C733" s="6">
        <v>210</v>
      </c>
      <c r="D733" s="6">
        <v>40</v>
      </c>
      <c r="E733" s="11">
        <v>0.76200000000000001</v>
      </c>
      <c r="F733" s="11"/>
      <c r="G733" s="11"/>
    </row>
    <row r="734" spans="3:7" x14ac:dyDescent="0.2">
      <c r="C734" s="6">
        <v>264</v>
      </c>
      <c r="D734" s="6">
        <v>40</v>
      </c>
      <c r="E734" s="11">
        <v>0.76200000000000001</v>
      </c>
      <c r="F734" s="11"/>
      <c r="G734" s="11"/>
    </row>
    <row r="735" spans="3:7" x14ac:dyDescent="0.2">
      <c r="C735" s="6">
        <v>320</v>
      </c>
      <c r="D735" s="6">
        <v>40</v>
      </c>
      <c r="E735" s="11">
        <v>0.76200000000000001</v>
      </c>
      <c r="F735" s="11"/>
      <c r="G735" s="11"/>
    </row>
    <row r="736" spans="3:7" x14ac:dyDescent="0.2">
      <c r="C736" s="6">
        <v>347</v>
      </c>
      <c r="D736" s="6">
        <v>40</v>
      </c>
      <c r="E736" s="11">
        <v>0.76200000000000001</v>
      </c>
      <c r="F736" s="11"/>
      <c r="G736" s="11"/>
    </row>
    <row r="737" spans="3:7" x14ac:dyDescent="0.2">
      <c r="C737" s="6">
        <v>361</v>
      </c>
      <c r="D737" s="6">
        <v>40</v>
      </c>
      <c r="E737" s="11">
        <v>0.76200000000000001</v>
      </c>
      <c r="F737" s="11"/>
      <c r="G737" s="11"/>
    </row>
    <row r="738" spans="3:7" x14ac:dyDescent="0.2">
      <c r="C738" s="6">
        <v>562</v>
      </c>
      <c r="D738" s="6">
        <v>40</v>
      </c>
      <c r="E738" s="11">
        <v>0.76200000000000001</v>
      </c>
      <c r="F738" s="11"/>
      <c r="G738" s="11"/>
    </row>
    <row r="739" spans="3:7" x14ac:dyDescent="0.2">
      <c r="C739" s="6">
        <v>610</v>
      </c>
      <c r="D739" s="6">
        <v>40</v>
      </c>
      <c r="E739" s="11">
        <v>0.76200000000000001</v>
      </c>
      <c r="F739" s="11"/>
      <c r="G739" s="11"/>
    </row>
    <row r="740" spans="3:7" x14ac:dyDescent="0.2">
      <c r="C740" s="6">
        <v>662</v>
      </c>
      <c r="D740" s="6">
        <v>40</v>
      </c>
      <c r="E740" s="11">
        <v>0.76200000000000001</v>
      </c>
      <c r="F740" s="11"/>
      <c r="G740" s="11"/>
    </row>
    <row r="741" spans="3:7" x14ac:dyDescent="0.2">
      <c r="C741" s="6">
        <v>671</v>
      </c>
      <c r="D741" s="6">
        <v>40</v>
      </c>
      <c r="E741" s="11">
        <v>0.76200000000000001</v>
      </c>
      <c r="F741" s="11"/>
      <c r="G741" s="11"/>
    </row>
    <row r="742" spans="3:7" x14ac:dyDescent="0.2">
      <c r="C742" s="6">
        <v>154</v>
      </c>
      <c r="D742" s="6">
        <v>40.5</v>
      </c>
      <c r="E742" s="11">
        <v>0.78100000000000003</v>
      </c>
      <c r="F742" s="11"/>
      <c r="G742" s="11"/>
    </row>
    <row r="743" spans="3:7" x14ac:dyDescent="0.2">
      <c r="C743" s="6">
        <v>526</v>
      </c>
      <c r="D743" s="6">
        <v>40.5</v>
      </c>
      <c r="E743" s="11">
        <v>0.78100000000000003</v>
      </c>
      <c r="F743" s="11"/>
      <c r="G743" s="11"/>
    </row>
    <row r="744" spans="3:7" x14ac:dyDescent="0.2">
      <c r="C744" s="6">
        <v>255</v>
      </c>
      <c r="D744" s="6">
        <v>41</v>
      </c>
      <c r="E744" s="11">
        <v>0.78400000000000003</v>
      </c>
      <c r="F744" s="11"/>
      <c r="G744" s="11"/>
    </row>
    <row r="745" spans="3:7" x14ac:dyDescent="0.2">
      <c r="C745" s="6">
        <v>273</v>
      </c>
      <c r="D745" s="6">
        <v>41</v>
      </c>
      <c r="E745" s="11">
        <v>0.78400000000000003</v>
      </c>
      <c r="F745" s="11"/>
      <c r="G745" s="11"/>
    </row>
    <row r="746" spans="3:7" x14ac:dyDescent="0.2">
      <c r="C746" s="6">
        <v>338</v>
      </c>
      <c r="D746" s="6">
        <v>41</v>
      </c>
      <c r="E746" s="11">
        <v>0.78400000000000003</v>
      </c>
      <c r="F746" s="11"/>
      <c r="G746" s="11"/>
    </row>
    <row r="747" spans="3:7" x14ac:dyDescent="0.2">
      <c r="C747" s="6">
        <v>639</v>
      </c>
      <c r="D747" s="6">
        <v>41</v>
      </c>
      <c r="E747" s="11">
        <v>0.78400000000000003</v>
      </c>
      <c r="F747" s="11"/>
      <c r="G747" s="11"/>
    </row>
    <row r="748" spans="3:7" x14ac:dyDescent="0.2">
      <c r="C748" s="6">
        <v>762</v>
      </c>
      <c r="D748" s="6">
        <v>41</v>
      </c>
      <c r="E748" s="11">
        <v>0.78400000000000003</v>
      </c>
      <c r="F748" s="11"/>
      <c r="G748" s="11"/>
    </row>
    <row r="749" spans="3:7" x14ac:dyDescent="0.2">
      <c r="C749" s="6">
        <v>861</v>
      </c>
      <c r="D749" s="6">
        <v>41</v>
      </c>
      <c r="E749" s="11">
        <v>0.78400000000000003</v>
      </c>
      <c r="F749" s="11"/>
      <c r="G749" s="11"/>
    </row>
    <row r="750" spans="3:7" x14ac:dyDescent="0.2">
      <c r="C750" s="6">
        <v>36</v>
      </c>
      <c r="D750" s="6">
        <v>42</v>
      </c>
      <c r="E750" s="11">
        <v>0.79200000000000004</v>
      </c>
      <c r="F750" s="11"/>
      <c r="G750" s="11"/>
    </row>
    <row r="751" spans="3:7" x14ac:dyDescent="0.2">
      <c r="C751" s="6">
        <v>150</v>
      </c>
      <c r="D751" s="6">
        <v>42</v>
      </c>
      <c r="E751" s="11">
        <v>0.79200000000000004</v>
      </c>
      <c r="F751" s="11"/>
      <c r="G751" s="11"/>
    </row>
    <row r="752" spans="3:7" x14ac:dyDescent="0.2">
      <c r="C752" s="6">
        <v>198</v>
      </c>
      <c r="D752" s="6">
        <v>42</v>
      </c>
      <c r="E752" s="11">
        <v>0.79200000000000004</v>
      </c>
      <c r="F752" s="11"/>
      <c r="G752" s="11"/>
    </row>
    <row r="753" spans="3:7" x14ac:dyDescent="0.2">
      <c r="C753" s="6">
        <v>218</v>
      </c>
      <c r="D753" s="6">
        <v>42</v>
      </c>
      <c r="E753" s="11">
        <v>0.79200000000000004</v>
      </c>
      <c r="F753" s="11"/>
      <c r="G753" s="11"/>
    </row>
    <row r="754" spans="3:7" x14ac:dyDescent="0.2">
      <c r="C754" s="6">
        <v>289</v>
      </c>
      <c r="D754" s="6">
        <v>42</v>
      </c>
      <c r="E754" s="11">
        <v>0.79200000000000004</v>
      </c>
      <c r="F754" s="11"/>
      <c r="G754" s="11"/>
    </row>
    <row r="755" spans="3:7" x14ac:dyDescent="0.2">
      <c r="C755" s="6">
        <v>350</v>
      </c>
      <c r="D755" s="6">
        <v>42</v>
      </c>
      <c r="E755" s="11">
        <v>0.79200000000000004</v>
      </c>
      <c r="F755" s="11"/>
      <c r="G755" s="11"/>
    </row>
    <row r="756" spans="3:7" x14ac:dyDescent="0.2">
      <c r="C756" s="6">
        <v>381</v>
      </c>
      <c r="D756" s="6">
        <v>42</v>
      </c>
      <c r="E756" s="11">
        <v>0.79200000000000004</v>
      </c>
      <c r="F756" s="11"/>
      <c r="G756" s="11"/>
    </row>
    <row r="757" spans="3:7" x14ac:dyDescent="0.2">
      <c r="C757" s="6">
        <v>433</v>
      </c>
      <c r="D757" s="6">
        <v>42</v>
      </c>
      <c r="E757" s="11">
        <v>0.79200000000000004</v>
      </c>
      <c r="F757" s="11"/>
      <c r="G757" s="11"/>
    </row>
    <row r="758" spans="3:7" x14ac:dyDescent="0.2">
      <c r="C758" s="6">
        <v>622</v>
      </c>
      <c r="D758" s="6">
        <v>42</v>
      </c>
      <c r="E758" s="11">
        <v>0.79200000000000004</v>
      </c>
      <c r="F758" s="11"/>
      <c r="G758" s="11"/>
    </row>
    <row r="759" spans="3:7" x14ac:dyDescent="0.2">
      <c r="C759" s="6">
        <v>700</v>
      </c>
      <c r="D759" s="6">
        <v>42</v>
      </c>
      <c r="E759" s="11">
        <v>0.79200000000000004</v>
      </c>
      <c r="F759" s="11"/>
      <c r="G759" s="11"/>
    </row>
    <row r="760" spans="3:7" x14ac:dyDescent="0.2">
      <c r="C760" s="6">
        <v>708</v>
      </c>
      <c r="D760" s="6">
        <v>42</v>
      </c>
      <c r="E760" s="11">
        <v>0.79200000000000004</v>
      </c>
      <c r="F760" s="11"/>
      <c r="G760" s="11"/>
    </row>
    <row r="761" spans="3:7" x14ac:dyDescent="0.2">
      <c r="C761" s="6">
        <v>804</v>
      </c>
      <c r="D761" s="6">
        <v>42</v>
      </c>
      <c r="E761" s="11">
        <v>0.79200000000000004</v>
      </c>
      <c r="F761" s="11"/>
      <c r="G761" s="11"/>
    </row>
    <row r="762" spans="3:7" x14ac:dyDescent="0.2">
      <c r="C762" s="6">
        <v>846</v>
      </c>
      <c r="D762" s="6">
        <v>42</v>
      </c>
      <c r="E762" s="11">
        <v>0.79200000000000004</v>
      </c>
      <c r="F762" s="11"/>
      <c r="G762" s="11"/>
    </row>
    <row r="763" spans="3:7" x14ac:dyDescent="0.2">
      <c r="C763" s="6">
        <v>866</v>
      </c>
      <c r="D763" s="6">
        <v>42</v>
      </c>
      <c r="E763" s="11">
        <v>0.79200000000000004</v>
      </c>
      <c r="F763" s="11"/>
      <c r="G763" s="11"/>
    </row>
    <row r="764" spans="3:7" x14ac:dyDescent="0.2">
      <c r="C764" s="6">
        <v>315</v>
      </c>
      <c r="D764" s="6">
        <v>43</v>
      </c>
      <c r="E764" s="11">
        <v>0.81200000000000006</v>
      </c>
      <c r="F764" s="11"/>
      <c r="G764" s="11"/>
    </row>
    <row r="765" spans="3:7" x14ac:dyDescent="0.2">
      <c r="C765" s="6">
        <v>669</v>
      </c>
      <c r="D765" s="6">
        <v>43</v>
      </c>
      <c r="E765" s="11">
        <v>0.81200000000000006</v>
      </c>
      <c r="F765" s="11"/>
      <c r="G765" s="11"/>
    </row>
    <row r="766" spans="3:7" x14ac:dyDescent="0.2">
      <c r="C766" s="6">
        <v>679</v>
      </c>
      <c r="D766" s="6">
        <v>43</v>
      </c>
      <c r="E766" s="11">
        <v>0.81200000000000006</v>
      </c>
      <c r="F766" s="11"/>
      <c r="G766" s="11"/>
    </row>
    <row r="767" spans="3:7" x14ac:dyDescent="0.2">
      <c r="C767" s="6">
        <v>780</v>
      </c>
      <c r="D767" s="6">
        <v>43</v>
      </c>
      <c r="E767" s="11">
        <v>0.81200000000000006</v>
      </c>
      <c r="F767" s="11"/>
      <c r="G767" s="11"/>
    </row>
    <row r="768" spans="3:7" x14ac:dyDescent="0.2">
      <c r="C768" s="6">
        <v>819</v>
      </c>
      <c r="D768" s="6">
        <v>43</v>
      </c>
      <c r="E768" s="11">
        <v>0.81200000000000006</v>
      </c>
      <c r="F768" s="11"/>
      <c r="G768" s="11"/>
    </row>
    <row r="769" spans="3:7" x14ac:dyDescent="0.2">
      <c r="C769" s="6">
        <v>161</v>
      </c>
      <c r="D769" s="6">
        <v>44</v>
      </c>
      <c r="E769" s="11">
        <v>0.81899999999999995</v>
      </c>
      <c r="F769" s="11"/>
      <c r="G769" s="11"/>
    </row>
    <row r="770" spans="3:7" x14ac:dyDescent="0.2">
      <c r="C770" s="6">
        <v>195</v>
      </c>
      <c r="D770" s="6">
        <v>44</v>
      </c>
      <c r="E770" s="11">
        <v>0.81899999999999995</v>
      </c>
      <c r="F770" s="11"/>
      <c r="G770" s="11"/>
    </row>
    <row r="771" spans="3:7" x14ac:dyDescent="0.2">
      <c r="C771" s="6">
        <v>237</v>
      </c>
      <c r="D771" s="6">
        <v>44</v>
      </c>
      <c r="E771" s="11">
        <v>0.81899999999999995</v>
      </c>
      <c r="F771" s="11"/>
      <c r="G771" s="11"/>
    </row>
    <row r="772" spans="3:7" x14ac:dyDescent="0.2">
      <c r="C772" s="6">
        <v>246</v>
      </c>
      <c r="D772" s="6">
        <v>44</v>
      </c>
      <c r="E772" s="11">
        <v>0.81899999999999995</v>
      </c>
      <c r="F772" s="11"/>
      <c r="G772" s="11"/>
    </row>
    <row r="773" spans="3:7" x14ac:dyDescent="0.2">
      <c r="C773" s="6">
        <v>415</v>
      </c>
      <c r="D773" s="6">
        <v>44</v>
      </c>
      <c r="E773" s="11">
        <v>0.81899999999999995</v>
      </c>
      <c r="F773" s="11"/>
      <c r="G773" s="11"/>
    </row>
    <row r="774" spans="3:7" x14ac:dyDescent="0.2">
      <c r="C774" s="6">
        <v>524</v>
      </c>
      <c r="D774" s="6">
        <v>44</v>
      </c>
      <c r="E774" s="11">
        <v>0.81899999999999995</v>
      </c>
      <c r="F774" s="11"/>
      <c r="G774" s="11"/>
    </row>
    <row r="775" spans="3:7" x14ac:dyDescent="0.2">
      <c r="C775" s="6">
        <v>604</v>
      </c>
      <c r="D775" s="6">
        <v>44</v>
      </c>
      <c r="E775" s="11">
        <v>0.81899999999999995</v>
      </c>
      <c r="F775" s="11"/>
      <c r="G775" s="11"/>
    </row>
    <row r="776" spans="3:7" x14ac:dyDescent="0.2">
      <c r="C776" s="6">
        <v>697</v>
      </c>
      <c r="D776" s="6">
        <v>44</v>
      </c>
      <c r="E776" s="11">
        <v>0.81899999999999995</v>
      </c>
      <c r="F776" s="11"/>
      <c r="G776" s="11"/>
    </row>
    <row r="777" spans="3:7" x14ac:dyDescent="0.2">
      <c r="C777" s="6">
        <v>855</v>
      </c>
      <c r="D777" s="6">
        <v>44</v>
      </c>
      <c r="E777" s="11">
        <v>0.81899999999999995</v>
      </c>
      <c r="F777" s="11"/>
      <c r="G777" s="11"/>
    </row>
    <row r="778" spans="3:7" x14ac:dyDescent="0.2">
      <c r="C778" s="6">
        <v>63</v>
      </c>
      <c r="D778" s="6">
        <v>45</v>
      </c>
      <c r="E778" s="11">
        <v>0.83099999999999996</v>
      </c>
      <c r="F778" s="11"/>
      <c r="G778" s="11"/>
    </row>
    <row r="779" spans="3:7" x14ac:dyDescent="0.2">
      <c r="C779" s="6">
        <v>130</v>
      </c>
      <c r="D779" s="6">
        <v>45</v>
      </c>
      <c r="E779" s="11">
        <v>0.83099999999999996</v>
      </c>
      <c r="F779" s="11"/>
      <c r="G779" s="11"/>
    </row>
    <row r="780" spans="3:7" x14ac:dyDescent="0.2">
      <c r="C780" s="6">
        <v>168</v>
      </c>
      <c r="D780" s="6">
        <v>45</v>
      </c>
      <c r="E780" s="11">
        <v>0.83099999999999996</v>
      </c>
      <c r="F780" s="11"/>
      <c r="G780" s="11"/>
    </row>
    <row r="781" spans="3:7" x14ac:dyDescent="0.2">
      <c r="C781" s="6">
        <v>188</v>
      </c>
      <c r="D781" s="6">
        <v>45</v>
      </c>
      <c r="E781" s="11">
        <v>0.83099999999999996</v>
      </c>
      <c r="F781" s="11"/>
      <c r="G781" s="11"/>
    </row>
    <row r="782" spans="3:7" x14ac:dyDescent="0.2">
      <c r="C782" s="6">
        <v>277</v>
      </c>
      <c r="D782" s="6">
        <v>45</v>
      </c>
      <c r="E782" s="11">
        <v>0.83099999999999996</v>
      </c>
      <c r="F782" s="11"/>
      <c r="G782" s="11"/>
    </row>
    <row r="783" spans="3:7" x14ac:dyDescent="0.2">
      <c r="C783" s="6">
        <v>339</v>
      </c>
      <c r="D783" s="6">
        <v>45</v>
      </c>
      <c r="E783" s="11">
        <v>0.83099999999999996</v>
      </c>
      <c r="F783" s="11"/>
      <c r="G783" s="11"/>
    </row>
    <row r="784" spans="3:7" x14ac:dyDescent="0.2">
      <c r="C784" s="6">
        <v>340</v>
      </c>
      <c r="D784" s="6">
        <v>45</v>
      </c>
      <c r="E784" s="11">
        <v>0.83099999999999996</v>
      </c>
      <c r="F784" s="11"/>
      <c r="G784" s="11"/>
    </row>
    <row r="785" spans="3:7" x14ac:dyDescent="0.2">
      <c r="C785" s="6">
        <v>363</v>
      </c>
      <c r="D785" s="6">
        <v>45</v>
      </c>
      <c r="E785" s="11">
        <v>0.83099999999999996</v>
      </c>
      <c r="F785" s="11"/>
      <c r="G785" s="11"/>
    </row>
    <row r="786" spans="3:7" x14ac:dyDescent="0.2">
      <c r="C786" s="6">
        <v>441</v>
      </c>
      <c r="D786" s="6">
        <v>45</v>
      </c>
      <c r="E786" s="11">
        <v>0.83099999999999996</v>
      </c>
      <c r="F786" s="11"/>
      <c r="G786" s="11"/>
    </row>
    <row r="787" spans="3:7" x14ac:dyDescent="0.2">
      <c r="C787" s="6">
        <v>537</v>
      </c>
      <c r="D787" s="6">
        <v>45</v>
      </c>
      <c r="E787" s="11">
        <v>0.83099999999999996</v>
      </c>
      <c r="F787" s="11"/>
      <c r="G787" s="11"/>
    </row>
    <row r="788" spans="3:7" x14ac:dyDescent="0.2">
      <c r="C788" s="6">
        <v>707</v>
      </c>
      <c r="D788" s="6">
        <v>45</v>
      </c>
      <c r="E788" s="11">
        <v>0.83099999999999996</v>
      </c>
      <c r="F788" s="11"/>
      <c r="G788" s="11"/>
    </row>
    <row r="789" spans="3:7" x14ac:dyDescent="0.2">
      <c r="C789" s="6">
        <v>857</v>
      </c>
      <c r="D789" s="6">
        <v>45</v>
      </c>
      <c r="E789" s="11">
        <v>0.83099999999999996</v>
      </c>
      <c r="F789" s="11"/>
      <c r="G789" s="11"/>
    </row>
    <row r="790" spans="3:7" x14ac:dyDescent="0.2">
      <c r="C790" s="6">
        <v>204</v>
      </c>
      <c r="D790" s="6">
        <v>45.5</v>
      </c>
      <c r="E790" s="11">
        <v>0.84799999999999998</v>
      </c>
      <c r="F790" s="11"/>
      <c r="G790" s="11"/>
    </row>
    <row r="791" spans="3:7" x14ac:dyDescent="0.2">
      <c r="C791" s="6">
        <v>332</v>
      </c>
      <c r="D791" s="6">
        <v>45.5</v>
      </c>
      <c r="E791" s="11">
        <v>0.84799999999999998</v>
      </c>
      <c r="F791" s="11"/>
      <c r="G791" s="11"/>
    </row>
    <row r="792" spans="3:7" x14ac:dyDescent="0.2">
      <c r="C792" s="6">
        <v>93</v>
      </c>
      <c r="D792" s="6">
        <v>46</v>
      </c>
      <c r="E792" s="11">
        <v>0.85099999999999998</v>
      </c>
      <c r="F792" s="11"/>
      <c r="G792" s="11"/>
    </row>
    <row r="793" spans="3:7" x14ac:dyDescent="0.2">
      <c r="C793" s="6">
        <v>398</v>
      </c>
      <c r="D793" s="6">
        <v>46</v>
      </c>
      <c r="E793" s="11">
        <v>0.85099999999999998</v>
      </c>
      <c r="F793" s="11"/>
      <c r="G793" s="11"/>
    </row>
    <row r="794" spans="3:7" x14ac:dyDescent="0.2">
      <c r="C794" s="6">
        <v>790</v>
      </c>
      <c r="D794" s="6">
        <v>46</v>
      </c>
      <c r="E794" s="11">
        <v>0.85099999999999998</v>
      </c>
      <c r="F794" s="11"/>
      <c r="G794" s="11"/>
    </row>
    <row r="795" spans="3:7" x14ac:dyDescent="0.2">
      <c r="C795" s="6">
        <v>111</v>
      </c>
      <c r="D795" s="6">
        <v>47</v>
      </c>
      <c r="E795" s="11">
        <v>0.85499999999999998</v>
      </c>
      <c r="F795" s="11"/>
      <c r="G795" s="11"/>
    </row>
    <row r="796" spans="3:7" x14ac:dyDescent="0.2">
      <c r="C796" s="6">
        <v>133</v>
      </c>
      <c r="D796" s="6">
        <v>47</v>
      </c>
      <c r="E796" s="11">
        <v>0.85499999999999998</v>
      </c>
      <c r="F796" s="11"/>
      <c r="G796" s="11"/>
    </row>
    <row r="797" spans="3:7" x14ac:dyDescent="0.2">
      <c r="C797" s="6">
        <v>463</v>
      </c>
      <c r="D797" s="6">
        <v>47</v>
      </c>
      <c r="E797" s="11">
        <v>0.85499999999999998</v>
      </c>
      <c r="F797" s="11"/>
      <c r="G797" s="11"/>
    </row>
    <row r="798" spans="3:7" x14ac:dyDescent="0.2">
      <c r="C798" s="6">
        <v>516</v>
      </c>
      <c r="D798" s="6">
        <v>47</v>
      </c>
      <c r="E798" s="11">
        <v>0.85499999999999998</v>
      </c>
      <c r="F798" s="11"/>
      <c r="G798" s="11"/>
    </row>
    <row r="799" spans="3:7" x14ac:dyDescent="0.2">
      <c r="C799" s="6">
        <v>587</v>
      </c>
      <c r="D799" s="6">
        <v>47</v>
      </c>
      <c r="E799" s="11">
        <v>0.85499999999999998</v>
      </c>
      <c r="F799" s="11"/>
      <c r="G799" s="11"/>
    </row>
    <row r="800" spans="3:7" x14ac:dyDescent="0.2">
      <c r="C800" s="6">
        <v>593</v>
      </c>
      <c r="D800" s="6">
        <v>47</v>
      </c>
      <c r="E800" s="11">
        <v>0.85499999999999998</v>
      </c>
      <c r="F800" s="11"/>
      <c r="G800" s="11"/>
    </row>
    <row r="801" spans="3:7" x14ac:dyDescent="0.2">
      <c r="C801" s="6">
        <v>663</v>
      </c>
      <c r="D801" s="6">
        <v>47</v>
      </c>
      <c r="E801" s="11">
        <v>0.85499999999999998</v>
      </c>
      <c r="F801" s="11"/>
      <c r="G801" s="11"/>
    </row>
    <row r="802" spans="3:7" x14ac:dyDescent="0.2">
      <c r="C802" s="6">
        <v>872</v>
      </c>
      <c r="D802" s="6">
        <v>47</v>
      </c>
      <c r="E802" s="11">
        <v>0.85499999999999998</v>
      </c>
      <c r="F802" s="11"/>
      <c r="G802" s="11"/>
    </row>
    <row r="803" spans="3:7" x14ac:dyDescent="0.2">
      <c r="C803" s="6">
        <v>874</v>
      </c>
      <c r="D803" s="6">
        <v>47</v>
      </c>
      <c r="E803" s="11">
        <v>0.85499999999999998</v>
      </c>
      <c r="F803" s="11"/>
      <c r="G803" s="11"/>
    </row>
    <row r="804" spans="3:7" x14ac:dyDescent="0.2">
      <c r="C804" s="6">
        <v>461</v>
      </c>
      <c r="D804" s="6">
        <v>48</v>
      </c>
      <c r="E804" s="11">
        <v>0.86799999999999999</v>
      </c>
      <c r="F804" s="11"/>
      <c r="G804" s="11"/>
    </row>
    <row r="805" spans="3:7" x14ac:dyDescent="0.2">
      <c r="C805" s="6">
        <v>464</v>
      </c>
      <c r="D805" s="6">
        <v>48</v>
      </c>
      <c r="E805" s="11">
        <v>0.86799999999999999</v>
      </c>
      <c r="F805" s="11"/>
      <c r="G805" s="11"/>
    </row>
    <row r="806" spans="3:7" x14ac:dyDescent="0.2">
      <c r="C806" s="6">
        <v>557</v>
      </c>
      <c r="D806" s="6">
        <v>48</v>
      </c>
      <c r="E806" s="11">
        <v>0.86799999999999999</v>
      </c>
      <c r="F806" s="11"/>
      <c r="G806" s="11"/>
    </row>
    <row r="807" spans="3:7" x14ac:dyDescent="0.2">
      <c r="C807" s="6">
        <v>646</v>
      </c>
      <c r="D807" s="6">
        <v>48</v>
      </c>
      <c r="E807" s="11">
        <v>0.86799999999999999</v>
      </c>
      <c r="F807" s="11"/>
      <c r="G807" s="11"/>
    </row>
    <row r="808" spans="3:7" x14ac:dyDescent="0.2">
      <c r="C808" s="6">
        <v>713</v>
      </c>
      <c r="D808" s="6">
        <v>48</v>
      </c>
      <c r="E808" s="11">
        <v>0.86799999999999999</v>
      </c>
      <c r="F808" s="11"/>
      <c r="G808" s="11"/>
    </row>
    <row r="809" spans="3:7" x14ac:dyDescent="0.2">
      <c r="C809" s="6">
        <v>737</v>
      </c>
      <c r="D809" s="6">
        <v>48</v>
      </c>
      <c r="E809" s="11">
        <v>0.86799999999999999</v>
      </c>
      <c r="F809" s="11"/>
      <c r="G809" s="11"/>
    </row>
    <row r="810" spans="3:7" x14ac:dyDescent="0.2">
      <c r="C810" s="6">
        <v>755</v>
      </c>
      <c r="D810" s="6">
        <v>48</v>
      </c>
      <c r="E810" s="11">
        <v>0.86799999999999999</v>
      </c>
      <c r="F810" s="11"/>
      <c r="G810" s="11"/>
    </row>
    <row r="811" spans="3:7" x14ac:dyDescent="0.2">
      <c r="C811" s="6">
        <v>772</v>
      </c>
      <c r="D811" s="6">
        <v>48</v>
      </c>
      <c r="E811" s="11">
        <v>0.86799999999999999</v>
      </c>
      <c r="F811" s="11"/>
      <c r="G811" s="11"/>
    </row>
    <row r="812" spans="3:7" x14ac:dyDescent="0.2">
      <c r="C812" s="6">
        <v>863</v>
      </c>
      <c r="D812" s="6">
        <v>48</v>
      </c>
      <c r="E812" s="11">
        <v>0.86799999999999999</v>
      </c>
      <c r="F812" s="11"/>
      <c r="G812" s="11"/>
    </row>
    <row r="813" spans="3:7" x14ac:dyDescent="0.2">
      <c r="C813" s="6">
        <v>53</v>
      </c>
      <c r="D813" s="6">
        <v>49</v>
      </c>
      <c r="E813" s="11">
        <v>0.88</v>
      </c>
      <c r="F813" s="11"/>
      <c r="G813" s="11"/>
    </row>
    <row r="814" spans="3:7" x14ac:dyDescent="0.2">
      <c r="C814" s="6">
        <v>454</v>
      </c>
      <c r="D814" s="6">
        <v>49</v>
      </c>
      <c r="E814" s="11">
        <v>0.88</v>
      </c>
      <c r="F814" s="11"/>
      <c r="G814" s="11"/>
    </row>
    <row r="815" spans="3:7" x14ac:dyDescent="0.2">
      <c r="C815" s="6">
        <v>598</v>
      </c>
      <c r="D815" s="6">
        <v>49</v>
      </c>
      <c r="E815" s="11">
        <v>0.88</v>
      </c>
      <c r="F815" s="11"/>
      <c r="G815" s="11"/>
    </row>
    <row r="816" spans="3:7" x14ac:dyDescent="0.2">
      <c r="C816" s="6">
        <v>600</v>
      </c>
      <c r="D816" s="6">
        <v>49</v>
      </c>
      <c r="E816" s="11">
        <v>0.88</v>
      </c>
      <c r="F816" s="11"/>
      <c r="G816" s="11"/>
    </row>
    <row r="817" spans="3:7" x14ac:dyDescent="0.2">
      <c r="C817" s="6">
        <v>699</v>
      </c>
      <c r="D817" s="6">
        <v>49</v>
      </c>
      <c r="E817" s="11">
        <v>0.88</v>
      </c>
      <c r="F817" s="11"/>
      <c r="G817" s="11"/>
    </row>
    <row r="818" spans="3:7" x14ac:dyDescent="0.2">
      <c r="C818" s="6">
        <v>797</v>
      </c>
      <c r="D818" s="6">
        <v>49</v>
      </c>
      <c r="E818" s="11">
        <v>0.88</v>
      </c>
      <c r="F818" s="11"/>
      <c r="G818" s="11"/>
    </row>
    <row r="819" spans="3:7" x14ac:dyDescent="0.2">
      <c r="C819" s="6">
        <v>178</v>
      </c>
      <c r="D819" s="6">
        <v>50</v>
      </c>
      <c r="E819" s="11">
        <v>0.88900000000000001</v>
      </c>
      <c r="F819" s="11"/>
      <c r="G819" s="11"/>
    </row>
    <row r="820" spans="3:7" x14ac:dyDescent="0.2">
      <c r="C820" s="6">
        <v>260</v>
      </c>
      <c r="D820" s="6">
        <v>50</v>
      </c>
      <c r="E820" s="11">
        <v>0.88900000000000001</v>
      </c>
      <c r="F820" s="11"/>
      <c r="G820" s="11"/>
    </row>
    <row r="821" spans="3:7" x14ac:dyDescent="0.2">
      <c r="C821" s="6">
        <v>300</v>
      </c>
      <c r="D821" s="6">
        <v>50</v>
      </c>
      <c r="E821" s="11">
        <v>0.88900000000000001</v>
      </c>
      <c r="F821" s="11"/>
      <c r="G821" s="11"/>
    </row>
    <row r="822" spans="3:7" x14ac:dyDescent="0.2">
      <c r="C822" s="6">
        <v>435</v>
      </c>
      <c r="D822" s="6">
        <v>50</v>
      </c>
      <c r="E822" s="11">
        <v>0.88900000000000001</v>
      </c>
      <c r="F822" s="11"/>
      <c r="G822" s="11"/>
    </row>
    <row r="823" spans="3:7" x14ac:dyDescent="0.2">
      <c r="C823" s="6">
        <v>459</v>
      </c>
      <c r="D823" s="6">
        <v>50</v>
      </c>
      <c r="E823" s="11">
        <v>0.88900000000000001</v>
      </c>
      <c r="F823" s="11"/>
      <c r="G823" s="11"/>
    </row>
    <row r="824" spans="3:7" x14ac:dyDescent="0.2">
      <c r="C824" s="6">
        <v>483</v>
      </c>
      <c r="D824" s="6">
        <v>50</v>
      </c>
      <c r="E824" s="11">
        <v>0.88900000000000001</v>
      </c>
      <c r="F824" s="11"/>
      <c r="G824" s="11"/>
    </row>
    <row r="825" spans="3:7" x14ac:dyDescent="0.2">
      <c r="C825" s="6">
        <v>527</v>
      </c>
      <c r="D825" s="6">
        <v>50</v>
      </c>
      <c r="E825" s="11">
        <v>0.88900000000000001</v>
      </c>
      <c r="F825" s="11"/>
      <c r="G825" s="11"/>
    </row>
    <row r="826" spans="3:7" x14ac:dyDescent="0.2">
      <c r="C826" s="6">
        <v>545</v>
      </c>
      <c r="D826" s="6">
        <v>50</v>
      </c>
      <c r="E826" s="11">
        <v>0.88900000000000001</v>
      </c>
      <c r="F826" s="11"/>
      <c r="G826" s="11"/>
    </row>
    <row r="827" spans="3:7" x14ac:dyDescent="0.2">
      <c r="C827" s="6">
        <v>661</v>
      </c>
      <c r="D827" s="6">
        <v>50</v>
      </c>
      <c r="E827" s="11">
        <v>0.88900000000000001</v>
      </c>
      <c r="F827" s="11"/>
      <c r="G827" s="11"/>
    </row>
    <row r="828" spans="3:7" x14ac:dyDescent="0.2">
      <c r="C828" s="6">
        <v>724</v>
      </c>
      <c r="D828" s="6">
        <v>50</v>
      </c>
      <c r="E828" s="11">
        <v>0.88900000000000001</v>
      </c>
      <c r="F828" s="11"/>
      <c r="G828" s="11"/>
    </row>
    <row r="829" spans="3:7" x14ac:dyDescent="0.2">
      <c r="C829" s="6">
        <v>151</v>
      </c>
      <c r="D829" s="6">
        <v>51</v>
      </c>
      <c r="E829" s="11">
        <v>0.90300000000000002</v>
      </c>
      <c r="F829" s="11"/>
      <c r="G829" s="11"/>
    </row>
    <row r="830" spans="3:7" x14ac:dyDescent="0.2">
      <c r="C830" s="6">
        <v>156</v>
      </c>
      <c r="D830" s="6">
        <v>51</v>
      </c>
      <c r="E830" s="11">
        <v>0.90300000000000002</v>
      </c>
      <c r="F830" s="11"/>
      <c r="G830" s="11"/>
    </row>
    <row r="831" spans="3:7" x14ac:dyDescent="0.2">
      <c r="C831" s="6">
        <v>223</v>
      </c>
      <c r="D831" s="6">
        <v>51</v>
      </c>
      <c r="E831" s="11">
        <v>0.90300000000000002</v>
      </c>
      <c r="F831" s="11"/>
      <c r="G831" s="11"/>
    </row>
    <row r="832" spans="3:7" x14ac:dyDescent="0.2">
      <c r="C832" s="6">
        <v>407</v>
      </c>
      <c r="D832" s="6">
        <v>51</v>
      </c>
      <c r="E832" s="11">
        <v>0.90300000000000002</v>
      </c>
      <c r="F832" s="11"/>
      <c r="G832" s="11"/>
    </row>
    <row r="833" spans="3:7" x14ac:dyDescent="0.2">
      <c r="C833" s="6">
        <v>632</v>
      </c>
      <c r="D833" s="6">
        <v>51</v>
      </c>
      <c r="E833" s="11">
        <v>0.90300000000000002</v>
      </c>
      <c r="F833" s="11"/>
      <c r="G833" s="11"/>
    </row>
    <row r="834" spans="3:7" x14ac:dyDescent="0.2">
      <c r="C834" s="6">
        <v>766</v>
      </c>
      <c r="D834" s="6">
        <v>51</v>
      </c>
      <c r="E834" s="11">
        <v>0.90300000000000002</v>
      </c>
      <c r="F834" s="11"/>
      <c r="G834" s="11"/>
    </row>
    <row r="835" spans="3:7" x14ac:dyDescent="0.2">
      <c r="C835" s="6">
        <v>858</v>
      </c>
      <c r="D835" s="6">
        <v>51</v>
      </c>
      <c r="E835" s="11">
        <v>0.90300000000000002</v>
      </c>
      <c r="F835" s="11"/>
      <c r="G835" s="11"/>
    </row>
    <row r="836" spans="3:7" x14ac:dyDescent="0.2">
      <c r="C836" s="6">
        <v>263</v>
      </c>
      <c r="D836" s="6">
        <v>52</v>
      </c>
      <c r="E836" s="11">
        <v>0.91300000000000003</v>
      </c>
      <c r="F836" s="11"/>
      <c r="G836" s="11"/>
    </row>
    <row r="837" spans="3:7" x14ac:dyDescent="0.2">
      <c r="C837" s="6">
        <v>450</v>
      </c>
      <c r="D837" s="6">
        <v>52</v>
      </c>
      <c r="E837" s="11">
        <v>0.91300000000000003</v>
      </c>
      <c r="F837" s="11"/>
      <c r="G837" s="11"/>
    </row>
    <row r="838" spans="3:7" x14ac:dyDescent="0.2">
      <c r="C838" s="6">
        <v>592</v>
      </c>
      <c r="D838" s="6">
        <v>52</v>
      </c>
      <c r="E838" s="11">
        <v>0.91300000000000003</v>
      </c>
      <c r="F838" s="11"/>
      <c r="G838" s="11"/>
    </row>
    <row r="839" spans="3:7" x14ac:dyDescent="0.2">
      <c r="C839" s="6">
        <v>696</v>
      </c>
      <c r="D839" s="6">
        <v>52</v>
      </c>
      <c r="E839" s="11">
        <v>0.91300000000000003</v>
      </c>
      <c r="F839" s="11"/>
      <c r="G839" s="11"/>
    </row>
    <row r="840" spans="3:7" x14ac:dyDescent="0.2">
      <c r="C840" s="6">
        <v>715</v>
      </c>
      <c r="D840" s="6">
        <v>52</v>
      </c>
      <c r="E840" s="11">
        <v>0.91300000000000003</v>
      </c>
      <c r="F840" s="11"/>
      <c r="G840" s="11"/>
    </row>
    <row r="841" spans="3:7" x14ac:dyDescent="0.2">
      <c r="C841" s="6">
        <v>821</v>
      </c>
      <c r="D841" s="6">
        <v>52</v>
      </c>
      <c r="E841" s="11">
        <v>0.91300000000000003</v>
      </c>
      <c r="F841" s="11"/>
      <c r="G841" s="11"/>
    </row>
    <row r="842" spans="3:7" x14ac:dyDescent="0.2">
      <c r="C842" s="6">
        <v>572</v>
      </c>
      <c r="D842" s="6">
        <v>53</v>
      </c>
      <c r="E842" s="11">
        <v>0.92100000000000004</v>
      </c>
      <c r="F842" s="11"/>
      <c r="G842" s="11"/>
    </row>
    <row r="843" spans="3:7" x14ac:dyDescent="0.2">
      <c r="C843" s="6">
        <v>7</v>
      </c>
      <c r="D843" s="6">
        <v>54</v>
      </c>
      <c r="E843" s="11">
        <v>0.92200000000000004</v>
      </c>
      <c r="F843" s="11"/>
      <c r="G843" s="11"/>
    </row>
    <row r="844" spans="3:7" x14ac:dyDescent="0.2">
      <c r="C844" s="6">
        <v>125</v>
      </c>
      <c r="D844" s="6">
        <v>54</v>
      </c>
      <c r="E844" s="11">
        <v>0.92200000000000004</v>
      </c>
      <c r="F844" s="11"/>
      <c r="G844" s="11"/>
    </row>
    <row r="845" spans="3:7" x14ac:dyDescent="0.2">
      <c r="C845" s="6">
        <v>250</v>
      </c>
      <c r="D845" s="6">
        <v>54</v>
      </c>
      <c r="E845" s="11">
        <v>0.92200000000000004</v>
      </c>
      <c r="F845" s="11"/>
      <c r="G845" s="11"/>
    </row>
    <row r="846" spans="3:7" x14ac:dyDescent="0.2">
      <c r="C846" s="6">
        <v>318</v>
      </c>
      <c r="D846" s="6">
        <v>54</v>
      </c>
      <c r="E846" s="11">
        <v>0.92200000000000004</v>
      </c>
      <c r="F846" s="11"/>
      <c r="G846" s="11"/>
    </row>
    <row r="847" spans="3:7" x14ac:dyDescent="0.2">
      <c r="C847" s="6">
        <v>497</v>
      </c>
      <c r="D847" s="6">
        <v>54</v>
      </c>
      <c r="E847" s="11">
        <v>0.92200000000000004</v>
      </c>
      <c r="F847" s="11"/>
      <c r="G847" s="11"/>
    </row>
    <row r="848" spans="3:7" x14ac:dyDescent="0.2">
      <c r="C848" s="6">
        <v>514</v>
      </c>
      <c r="D848" s="6">
        <v>54</v>
      </c>
      <c r="E848" s="11">
        <v>0.92200000000000004</v>
      </c>
      <c r="F848" s="11"/>
      <c r="G848" s="11"/>
    </row>
    <row r="849" spans="3:7" x14ac:dyDescent="0.2">
      <c r="C849" s="6">
        <v>583</v>
      </c>
      <c r="D849" s="6">
        <v>54</v>
      </c>
      <c r="E849" s="11">
        <v>0.92200000000000004</v>
      </c>
      <c r="F849" s="11"/>
      <c r="G849" s="11"/>
    </row>
    <row r="850" spans="3:7" x14ac:dyDescent="0.2">
      <c r="C850" s="6">
        <v>775</v>
      </c>
      <c r="D850" s="6">
        <v>54</v>
      </c>
      <c r="E850" s="11">
        <v>0.92200000000000004</v>
      </c>
      <c r="F850" s="11"/>
      <c r="G850" s="11"/>
    </row>
    <row r="851" spans="3:7" x14ac:dyDescent="0.2">
      <c r="C851" s="6">
        <v>16</v>
      </c>
      <c r="D851" s="6">
        <v>55</v>
      </c>
      <c r="E851" s="11">
        <v>0.93400000000000005</v>
      </c>
      <c r="F851" s="11"/>
      <c r="G851" s="11"/>
    </row>
    <row r="852" spans="3:7" x14ac:dyDescent="0.2">
      <c r="C852" s="6">
        <v>493</v>
      </c>
      <c r="D852" s="6">
        <v>55</v>
      </c>
      <c r="E852" s="11">
        <v>0.93400000000000005</v>
      </c>
      <c r="F852" s="11"/>
      <c r="G852" s="11"/>
    </row>
    <row r="853" spans="3:7" x14ac:dyDescent="0.2">
      <c r="C853" s="6">
        <v>153</v>
      </c>
      <c r="D853" s="6">
        <v>55.5</v>
      </c>
      <c r="E853" s="11">
        <v>0.93600000000000005</v>
      </c>
      <c r="F853" s="11"/>
      <c r="G853" s="11"/>
    </row>
    <row r="854" spans="3:7" x14ac:dyDescent="0.2">
      <c r="C854" s="6">
        <v>175</v>
      </c>
      <c r="D854" s="6">
        <v>56</v>
      </c>
      <c r="E854" s="11">
        <v>0.93799999999999994</v>
      </c>
      <c r="F854" s="11"/>
      <c r="G854" s="11"/>
    </row>
    <row r="855" spans="3:7" x14ac:dyDescent="0.2">
      <c r="C855" s="6">
        <v>468</v>
      </c>
      <c r="D855" s="6">
        <v>56</v>
      </c>
      <c r="E855" s="11">
        <v>0.93799999999999994</v>
      </c>
      <c r="F855" s="11"/>
      <c r="G855" s="11"/>
    </row>
    <row r="856" spans="3:7" x14ac:dyDescent="0.2">
      <c r="C856" s="6">
        <v>648</v>
      </c>
      <c r="D856" s="6">
        <v>56</v>
      </c>
      <c r="E856" s="11">
        <v>0.93799999999999994</v>
      </c>
      <c r="F856" s="11"/>
      <c r="G856" s="11"/>
    </row>
    <row r="857" spans="3:7" x14ac:dyDescent="0.2">
      <c r="C857" s="6">
        <v>880</v>
      </c>
      <c r="D857" s="6">
        <v>56</v>
      </c>
      <c r="E857" s="11">
        <v>0.93799999999999994</v>
      </c>
      <c r="F857" s="11"/>
      <c r="G857" s="11"/>
    </row>
    <row r="858" spans="3:7" x14ac:dyDescent="0.2">
      <c r="C858" s="6">
        <v>627</v>
      </c>
      <c r="D858" s="6">
        <v>57</v>
      </c>
      <c r="E858" s="11">
        <v>0.94299999999999995</v>
      </c>
      <c r="F858" s="11"/>
      <c r="G858" s="11"/>
    </row>
    <row r="859" spans="3:7" x14ac:dyDescent="0.2">
      <c r="C859" s="6">
        <v>773</v>
      </c>
      <c r="D859" s="6">
        <v>57</v>
      </c>
      <c r="E859" s="11">
        <v>0.94299999999999995</v>
      </c>
      <c r="F859" s="11"/>
      <c r="G859" s="11"/>
    </row>
    <row r="860" spans="3:7" x14ac:dyDescent="0.2">
      <c r="C860" s="6">
        <v>12</v>
      </c>
      <c r="D860" s="6">
        <v>58</v>
      </c>
      <c r="E860" s="11">
        <v>0.94599999999999995</v>
      </c>
      <c r="F860" s="11"/>
      <c r="G860" s="11"/>
    </row>
    <row r="861" spans="3:7" x14ac:dyDescent="0.2">
      <c r="C861" s="6">
        <v>196</v>
      </c>
      <c r="D861" s="6">
        <v>58</v>
      </c>
      <c r="E861" s="11">
        <v>0.94599999999999995</v>
      </c>
      <c r="F861" s="11"/>
      <c r="G861" s="11"/>
    </row>
    <row r="862" spans="3:7" x14ac:dyDescent="0.2">
      <c r="C862" s="6">
        <v>269</v>
      </c>
      <c r="D862" s="6">
        <v>58</v>
      </c>
      <c r="E862" s="11">
        <v>0.94599999999999995</v>
      </c>
      <c r="F862" s="11"/>
      <c r="G862" s="11"/>
    </row>
    <row r="863" spans="3:7" x14ac:dyDescent="0.2">
      <c r="C863" s="6">
        <v>488</v>
      </c>
      <c r="D863" s="6">
        <v>58</v>
      </c>
      <c r="E863" s="11">
        <v>0.94599999999999995</v>
      </c>
      <c r="F863" s="11"/>
      <c r="G863" s="11"/>
    </row>
    <row r="864" spans="3:7" x14ac:dyDescent="0.2">
      <c r="C864" s="6">
        <v>660</v>
      </c>
      <c r="D864" s="6">
        <v>58</v>
      </c>
      <c r="E864" s="11">
        <v>0.94599999999999995</v>
      </c>
      <c r="F864" s="11"/>
      <c r="G864" s="11"/>
    </row>
    <row r="865" spans="3:7" x14ac:dyDescent="0.2">
      <c r="C865" s="6">
        <v>95</v>
      </c>
      <c r="D865" s="6">
        <v>59</v>
      </c>
      <c r="E865" s="11">
        <v>0.95299999999999996</v>
      </c>
      <c r="F865" s="11"/>
      <c r="G865" s="11"/>
    </row>
    <row r="866" spans="3:7" x14ac:dyDescent="0.2">
      <c r="C866" s="6">
        <v>233</v>
      </c>
      <c r="D866" s="6">
        <v>59</v>
      </c>
      <c r="E866" s="11">
        <v>0.95299999999999996</v>
      </c>
      <c r="F866" s="11"/>
      <c r="G866" s="11"/>
    </row>
    <row r="867" spans="3:7" x14ac:dyDescent="0.2">
      <c r="C867" s="6">
        <v>367</v>
      </c>
      <c r="D867" s="6">
        <v>60</v>
      </c>
      <c r="E867" s="11">
        <v>0.95599999999999996</v>
      </c>
      <c r="F867" s="11"/>
      <c r="G867" s="11"/>
    </row>
    <row r="868" spans="3:7" x14ac:dyDescent="0.2">
      <c r="C868" s="6">
        <v>588</v>
      </c>
      <c r="D868" s="6">
        <v>60</v>
      </c>
      <c r="E868" s="11">
        <v>0.95599999999999996</v>
      </c>
      <c r="F868" s="11"/>
      <c r="G868" s="11"/>
    </row>
    <row r="869" spans="3:7" x14ac:dyDescent="0.2">
      <c r="C869" s="6">
        <v>685</v>
      </c>
      <c r="D869" s="6">
        <v>60</v>
      </c>
      <c r="E869" s="11">
        <v>0.95599999999999996</v>
      </c>
      <c r="F869" s="11"/>
      <c r="G869" s="11"/>
    </row>
    <row r="870" spans="3:7" x14ac:dyDescent="0.2">
      <c r="C870" s="6">
        <v>695</v>
      </c>
      <c r="D870" s="6">
        <v>60</v>
      </c>
      <c r="E870" s="11">
        <v>0.95599999999999996</v>
      </c>
      <c r="F870" s="11"/>
      <c r="G870" s="11"/>
    </row>
    <row r="871" spans="3:7" x14ac:dyDescent="0.2">
      <c r="C871" s="6">
        <v>171</v>
      </c>
      <c r="D871" s="6">
        <v>61</v>
      </c>
      <c r="E871" s="11">
        <v>0.96199999999999997</v>
      </c>
      <c r="F871" s="11"/>
      <c r="G871" s="11"/>
    </row>
    <row r="872" spans="3:7" x14ac:dyDescent="0.2">
      <c r="C872" s="6">
        <v>327</v>
      </c>
      <c r="D872" s="6">
        <v>61</v>
      </c>
      <c r="E872" s="11">
        <v>0.96199999999999997</v>
      </c>
      <c r="F872" s="11"/>
      <c r="G872" s="11"/>
    </row>
    <row r="873" spans="3:7" x14ac:dyDescent="0.2">
      <c r="C873" s="6">
        <v>626</v>
      </c>
      <c r="D873" s="6">
        <v>61</v>
      </c>
      <c r="E873" s="11">
        <v>0.96199999999999997</v>
      </c>
      <c r="F873" s="11"/>
      <c r="G873" s="11"/>
    </row>
    <row r="874" spans="3:7" x14ac:dyDescent="0.2">
      <c r="C874" s="6">
        <v>253</v>
      </c>
      <c r="D874" s="6">
        <v>62</v>
      </c>
      <c r="E874" s="11">
        <v>0.96599999999999997</v>
      </c>
      <c r="F874" s="11"/>
      <c r="G874" s="11"/>
    </row>
    <row r="875" spans="3:7" x14ac:dyDescent="0.2">
      <c r="C875" s="6">
        <v>556</v>
      </c>
      <c r="D875" s="6">
        <v>62</v>
      </c>
      <c r="E875" s="11">
        <v>0.96599999999999997</v>
      </c>
      <c r="F875" s="11"/>
      <c r="G875" s="11"/>
    </row>
    <row r="876" spans="3:7" x14ac:dyDescent="0.2">
      <c r="C876" s="6">
        <v>571</v>
      </c>
      <c r="D876" s="6">
        <v>62</v>
      </c>
      <c r="E876" s="11">
        <v>0.96599999999999997</v>
      </c>
      <c r="F876" s="11"/>
      <c r="G876" s="11"/>
    </row>
    <row r="877" spans="3:7" x14ac:dyDescent="0.2">
      <c r="C877" s="6">
        <v>830</v>
      </c>
      <c r="D877" s="6">
        <v>62</v>
      </c>
      <c r="E877" s="11">
        <v>0.96599999999999997</v>
      </c>
      <c r="F877" s="11"/>
      <c r="G877" s="11"/>
    </row>
    <row r="878" spans="3:7" x14ac:dyDescent="0.2">
      <c r="C878" s="6">
        <v>276</v>
      </c>
      <c r="D878" s="6">
        <v>63</v>
      </c>
      <c r="E878" s="11">
        <v>0.97099999999999997</v>
      </c>
      <c r="F878" s="11"/>
      <c r="G878" s="11"/>
    </row>
    <row r="879" spans="3:7" x14ac:dyDescent="0.2">
      <c r="C879" s="6">
        <v>484</v>
      </c>
      <c r="D879" s="6">
        <v>63</v>
      </c>
      <c r="E879" s="11">
        <v>0.97099999999999997</v>
      </c>
      <c r="F879" s="11"/>
      <c r="G879" s="11"/>
    </row>
    <row r="880" spans="3:7" x14ac:dyDescent="0.2">
      <c r="C880" s="6">
        <v>439</v>
      </c>
      <c r="D880" s="6">
        <v>64</v>
      </c>
      <c r="E880" s="11">
        <v>0.97399999999999998</v>
      </c>
      <c r="F880" s="11"/>
      <c r="G880" s="11"/>
    </row>
    <row r="881" spans="3:7" x14ac:dyDescent="0.2">
      <c r="C881" s="6">
        <v>546</v>
      </c>
      <c r="D881" s="6">
        <v>64</v>
      </c>
      <c r="E881" s="11">
        <v>0.97399999999999998</v>
      </c>
      <c r="F881" s="11"/>
      <c r="G881" s="11"/>
    </row>
    <row r="882" spans="3:7" x14ac:dyDescent="0.2">
      <c r="C882" s="6">
        <v>55</v>
      </c>
      <c r="D882" s="6">
        <v>65</v>
      </c>
      <c r="E882" s="11">
        <v>0.97699999999999998</v>
      </c>
      <c r="F882" s="11"/>
      <c r="G882" s="11"/>
    </row>
    <row r="883" spans="3:7" x14ac:dyDescent="0.2">
      <c r="C883" s="6">
        <v>281</v>
      </c>
      <c r="D883" s="6">
        <v>65</v>
      </c>
      <c r="E883" s="11">
        <v>0.97699999999999998</v>
      </c>
      <c r="F883" s="11"/>
      <c r="G883" s="11"/>
    </row>
    <row r="884" spans="3:7" x14ac:dyDescent="0.2">
      <c r="C884" s="6">
        <v>457</v>
      </c>
      <c r="D884" s="6">
        <v>65</v>
      </c>
      <c r="E884" s="11">
        <v>0.97699999999999998</v>
      </c>
      <c r="F884" s="11"/>
      <c r="G884" s="11"/>
    </row>
    <row r="885" spans="3:7" x14ac:dyDescent="0.2">
      <c r="C885" s="6">
        <v>34</v>
      </c>
      <c r="D885" s="6">
        <v>66</v>
      </c>
      <c r="E885" s="11">
        <v>0.98099999999999998</v>
      </c>
      <c r="F885" s="11"/>
      <c r="G885" s="11"/>
    </row>
    <row r="886" spans="3:7" x14ac:dyDescent="0.2">
      <c r="C886" s="6">
        <v>756</v>
      </c>
      <c r="D886" s="6">
        <v>67</v>
      </c>
      <c r="E886" s="11">
        <v>0.98299999999999998</v>
      </c>
      <c r="F886" s="11"/>
      <c r="G886" s="11"/>
    </row>
    <row r="887" spans="3:7" x14ac:dyDescent="0.2">
      <c r="C887" s="6">
        <v>673</v>
      </c>
      <c r="D887" s="6">
        <v>70</v>
      </c>
      <c r="E887" s="11">
        <v>0.98399999999999999</v>
      </c>
      <c r="F887" s="11"/>
      <c r="G887" s="11"/>
    </row>
    <row r="888" spans="3:7" x14ac:dyDescent="0.2">
      <c r="C888" s="6">
        <v>746</v>
      </c>
      <c r="D888" s="6">
        <v>70</v>
      </c>
      <c r="E888" s="11">
        <v>0.98399999999999999</v>
      </c>
      <c r="F888" s="11"/>
      <c r="G888" s="11"/>
    </row>
    <row r="889" spans="3:7" x14ac:dyDescent="0.2">
      <c r="C889" s="6">
        <v>117</v>
      </c>
      <c r="D889" s="6">
        <v>70.5</v>
      </c>
      <c r="E889" s="11">
        <v>0.98699999999999999</v>
      </c>
      <c r="F889" s="11"/>
      <c r="G889" s="11"/>
    </row>
    <row r="890" spans="3:7" x14ac:dyDescent="0.2">
      <c r="C890" s="6">
        <v>97</v>
      </c>
      <c r="D890" s="6">
        <v>71</v>
      </c>
      <c r="E890" s="11">
        <v>0.98799999999999999</v>
      </c>
      <c r="F890" s="11"/>
      <c r="G890" s="11"/>
    </row>
    <row r="891" spans="3:7" x14ac:dyDescent="0.2">
      <c r="C891" s="6">
        <v>494</v>
      </c>
      <c r="D891" s="6">
        <v>71</v>
      </c>
      <c r="E891" s="11">
        <v>0.98799999999999999</v>
      </c>
      <c r="F891" s="11"/>
      <c r="G891" s="11"/>
    </row>
    <row r="892" spans="3:7" x14ac:dyDescent="0.2">
      <c r="C892" s="6">
        <v>852</v>
      </c>
      <c r="D892" s="6">
        <v>74</v>
      </c>
      <c r="E892" s="11">
        <v>0.99099999999999999</v>
      </c>
      <c r="F892" s="11"/>
      <c r="G892" s="11"/>
    </row>
    <row r="893" spans="3:7" x14ac:dyDescent="0.2">
      <c r="C893" s="6">
        <v>470</v>
      </c>
      <c r="D893" s="6">
        <v>75</v>
      </c>
      <c r="E893" s="11">
        <v>0.99199999999999999</v>
      </c>
      <c r="F893" s="11"/>
      <c r="G893" s="11"/>
    </row>
    <row r="894" spans="3:7" x14ac:dyDescent="0.2">
      <c r="C894" s="6">
        <v>645</v>
      </c>
      <c r="D894" s="6">
        <v>75</v>
      </c>
      <c r="E894" s="11">
        <v>0.99199999999999999</v>
      </c>
      <c r="F894" s="11"/>
      <c r="G894" s="11"/>
    </row>
    <row r="895" spans="3:7" x14ac:dyDescent="0.2">
      <c r="C895" s="6">
        <v>631</v>
      </c>
      <c r="D895" s="6">
        <v>80</v>
      </c>
      <c r="E895" s="11">
        <v>0.995</v>
      </c>
      <c r="F895" s="11"/>
      <c r="G895" s="11"/>
    </row>
    <row r="896" spans="3:7" x14ac:dyDescent="0.2">
      <c r="C896" s="6">
        <v>79</v>
      </c>
      <c r="D896" s="6">
        <v>83</v>
      </c>
      <c r="E896" s="11">
        <v>0.997</v>
      </c>
      <c r="F896" s="11"/>
      <c r="G896" s="11"/>
    </row>
    <row r="897" spans="3:7" x14ac:dyDescent="0.2">
      <c r="C897" s="6">
        <v>832</v>
      </c>
      <c r="D897" s="6">
        <v>83</v>
      </c>
      <c r="E897" s="11">
        <v>0.997</v>
      </c>
      <c r="F897" s="11"/>
      <c r="G897" s="11"/>
    </row>
    <row r="898" spans="3:7" x14ac:dyDescent="0.2">
      <c r="C898" s="6">
        <v>306</v>
      </c>
      <c r="D898" s="6">
        <v>92</v>
      </c>
      <c r="E898" s="11">
        <v>1</v>
      </c>
      <c r="F898" s="11"/>
      <c r="G898" s="11"/>
    </row>
  </sheetData>
  <autoFilter ref="C7:E898" xr:uid="{B054C030-B7F7-7E4F-AF46-D81DCA236499}">
    <filterColumn colId="2">
      <customFilters>
        <customFilter operator="notEqual" val=" "/>
      </customFilters>
    </filterColumn>
    <sortState xmlns:xlrd2="http://schemas.microsoft.com/office/spreadsheetml/2017/richdata2" ref="C185:E898">
      <sortCondition ref="E7:E898"/>
    </sortState>
  </autoFilter>
  <mergeCells count="5">
    <mergeCell ref="F229:H229"/>
    <mergeCell ref="F228:H228"/>
    <mergeCell ref="L253:N257"/>
    <mergeCell ref="G262:K263"/>
    <mergeCell ref="G264:K266"/>
  </mergeCells>
  <hyperlinks>
    <hyperlink ref="M261" r:id="rId1" xr:uid="{DC1E9F17-6C8D-5C47-9049-E17CEE105311}"/>
    <hyperlink ref="M262" r:id="rId2" xr:uid="{9E0DCE2E-F23E-EA4A-AC79-D2F1B71FB967}"/>
    <hyperlink ref="M263" r:id="rId3" xr:uid="{9FF082E4-CEF1-CE49-8797-B94C12857A86}"/>
  </hyperlinks>
  <pageMargins left="0.7" right="0.7" top="0.75" bottom="0.75" header="0.3" footer="0.3"/>
  <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0261F-1DC4-9F4E-A408-E462BE5859C5}">
  <sheetPr filterMode="1"/>
  <dimension ref="B2:B893"/>
  <sheetViews>
    <sheetView workbookViewId="0">
      <selection activeCell="B2" sqref="B2:B893"/>
    </sheetView>
  </sheetViews>
  <sheetFormatPr baseColWidth="10" defaultRowHeight="16" x14ac:dyDescent="0.2"/>
  <sheetData>
    <row r="2" spans="2:2" x14ac:dyDescent="0.2">
      <c r="B2" t="s">
        <v>976</v>
      </c>
    </row>
    <row r="3" spans="2:2" x14ac:dyDescent="0.2">
      <c r="B3" cm="1">
        <f t="array" ref="B3:B893">Titanic[Edad Corrigida]</f>
        <v>22</v>
      </c>
    </row>
    <row r="4" spans="2:2" x14ac:dyDescent="0.2">
      <c r="B4">
        <v>38</v>
      </c>
    </row>
    <row r="5" spans="2:2" x14ac:dyDescent="0.2">
      <c r="B5">
        <v>26</v>
      </c>
    </row>
    <row r="6" spans="2:2" x14ac:dyDescent="0.2">
      <c r="B6">
        <v>35</v>
      </c>
    </row>
    <row r="7" spans="2:2" x14ac:dyDescent="0.2">
      <c r="B7">
        <v>35</v>
      </c>
    </row>
    <row r="8" spans="2:2" hidden="1" x14ac:dyDescent="0.2">
      <c r="B8" t="str">
        <v/>
      </c>
    </row>
    <row r="9" spans="2:2" x14ac:dyDescent="0.2">
      <c r="B9">
        <v>54</v>
      </c>
    </row>
    <row r="10" spans="2:2" x14ac:dyDescent="0.2">
      <c r="B10">
        <v>2</v>
      </c>
    </row>
    <row r="11" spans="2:2" x14ac:dyDescent="0.2">
      <c r="B11">
        <v>27</v>
      </c>
    </row>
    <row r="12" spans="2:2" x14ac:dyDescent="0.2">
      <c r="B12">
        <v>14</v>
      </c>
    </row>
    <row r="13" spans="2:2" x14ac:dyDescent="0.2">
      <c r="B13">
        <v>4</v>
      </c>
    </row>
    <row r="14" spans="2:2" x14ac:dyDescent="0.2">
      <c r="B14">
        <v>58</v>
      </c>
    </row>
    <row r="15" spans="2:2" x14ac:dyDescent="0.2">
      <c r="B15">
        <v>20</v>
      </c>
    </row>
    <row r="16" spans="2:2" x14ac:dyDescent="0.2">
      <c r="B16">
        <v>39</v>
      </c>
    </row>
    <row r="17" spans="2:2" x14ac:dyDescent="0.2">
      <c r="B17">
        <v>14</v>
      </c>
    </row>
    <row r="18" spans="2:2" x14ac:dyDescent="0.2">
      <c r="B18">
        <v>55</v>
      </c>
    </row>
    <row r="19" spans="2:2" x14ac:dyDescent="0.2">
      <c r="B19">
        <v>2</v>
      </c>
    </row>
    <row r="20" spans="2:2" hidden="1" x14ac:dyDescent="0.2">
      <c r="B20" t="str">
        <v/>
      </c>
    </row>
    <row r="21" spans="2:2" x14ac:dyDescent="0.2">
      <c r="B21">
        <v>31</v>
      </c>
    </row>
    <row r="22" spans="2:2" hidden="1" x14ac:dyDescent="0.2">
      <c r="B22" t="str">
        <v/>
      </c>
    </row>
    <row r="23" spans="2:2" x14ac:dyDescent="0.2">
      <c r="B23">
        <v>35</v>
      </c>
    </row>
    <row r="24" spans="2:2" x14ac:dyDescent="0.2">
      <c r="B24">
        <v>34</v>
      </c>
    </row>
    <row r="25" spans="2:2" x14ac:dyDescent="0.2">
      <c r="B25">
        <v>15</v>
      </c>
    </row>
    <row r="26" spans="2:2" x14ac:dyDescent="0.2">
      <c r="B26">
        <v>28</v>
      </c>
    </row>
    <row r="27" spans="2:2" x14ac:dyDescent="0.2">
      <c r="B27">
        <v>8</v>
      </c>
    </row>
    <row r="28" spans="2:2" x14ac:dyDescent="0.2">
      <c r="B28">
        <v>38</v>
      </c>
    </row>
    <row r="29" spans="2:2" hidden="1" x14ac:dyDescent="0.2">
      <c r="B29" t="str">
        <v/>
      </c>
    </row>
    <row r="30" spans="2:2" x14ac:dyDescent="0.2">
      <c r="B30">
        <v>19</v>
      </c>
    </row>
    <row r="31" spans="2:2" hidden="1" x14ac:dyDescent="0.2">
      <c r="B31" t="str">
        <v/>
      </c>
    </row>
    <row r="32" spans="2:2" hidden="1" x14ac:dyDescent="0.2">
      <c r="B32" t="str">
        <v/>
      </c>
    </row>
    <row r="33" spans="2:2" x14ac:dyDescent="0.2">
      <c r="B33">
        <v>40</v>
      </c>
    </row>
    <row r="34" spans="2:2" hidden="1" x14ac:dyDescent="0.2">
      <c r="B34" t="str">
        <v/>
      </c>
    </row>
    <row r="35" spans="2:2" hidden="1" x14ac:dyDescent="0.2">
      <c r="B35" t="str">
        <v/>
      </c>
    </row>
    <row r="36" spans="2:2" x14ac:dyDescent="0.2">
      <c r="B36">
        <v>66</v>
      </c>
    </row>
    <row r="37" spans="2:2" x14ac:dyDescent="0.2">
      <c r="B37">
        <v>28</v>
      </c>
    </row>
    <row r="38" spans="2:2" x14ac:dyDescent="0.2">
      <c r="B38">
        <v>42</v>
      </c>
    </row>
    <row r="39" spans="2:2" hidden="1" x14ac:dyDescent="0.2">
      <c r="B39" t="str">
        <v/>
      </c>
    </row>
    <row r="40" spans="2:2" x14ac:dyDescent="0.2">
      <c r="B40">
        <v>21</v>
      </c>
    </row>
    <row r="41" spans="2:2" x14ac:dyDescent="0.2">
      <c r="B41">
        <v>18</v>
      </c>
    </row>
    <row r="42" spans="2:2" x14ac:dyDescent="0.2">
      <c r="B42">
        <v>14</v>
      </c>
    </row>
    <row r="43" spans="2:2" x14ac:dyDescent="0.2">
      <c r="B43">
        <v>40</v>
      </c>
    </row>
    <row r="44" spans="2:2" x14ac:dyDescent="0.2">
      <c r="B44">
        <v>27</v>
      </c>
    </row>
    <row r="45" spans="2:2" hidden="1" x14ac:dyDescent="0.2">
      <c r="B45" t="str">
        <v/>
      </c>
    </row>
    <row r="46" spans="2:2" x14ac:dyDescent="0.2">
      <c r="B46">
        <v>3</v>
      </c>
    </row>
    <row r="47" spans="2:2" x14ac:dyDescent="0.2">
      <c r="B47">
        <v>19</v>
      </c>
    </row>
    <row r="48" spans="2:2" hidden="1" x14ac:dyDescent="0.2">
      <c r="B48" t="str">
        <v/>
      </c>
    </row>
    <row r="49" spans="2:2" hidden="1" x14ac:dyDescent="0.2">
      <c r="B49" t="str">
        <v/>
      </c>
    </row>
    <row r="50" spans="2:2" hidden="1" x14ac:dyDescent="0.2">
      <c r="B50" t="str">
        <v/>
      </c>
    </row>
    <row r="51" spans="2:2" hidden="1" x14ac:dyDescent="0.2">
      <c r="B51" t="str">
        <v/>
      </c>
    </row>
    <row r="52" spans="2:2" x14ac:dyDescent="0.2">
      <c r="B52">
        <v>18</v>
      </c>
    </row>
    <row r="53" spans="2:2" x14ac:dyDescent="0.2">
      <c r="B53">
        <v>7</v>
      </c>
    </row>
    <row r="54" spans="2:2" x14ac:dyDescent="0.2">
      <c r="B54">
        <v>21</v>
      </c>
    </row>
    <row r="55" spans="2:2" x14ac:dyDescent="0.2">
      <c r="B55">
        <v>49</v>
      </c>
    </row>
    <row r="56" spans="2:2" x14ac:dyDescent="0.2">
      <c r="B56">
        <v>29</v>
      </c>
    </row>
    <row r="57" spans="2:2" x14ac:dyDescent="0.2">
      <c r="B57">
        <v>65</v>
      </c>
    </row>
    <row r="58" spans="2:2" hidden="1" x14ac:dyDescent="0.2">
      <c r="B58" t="str">
        <v/>
      </c>
    </row>
    <row r="59" spans="2:2" x14ac:dyDescent="0.2">
      <c r="B59">
        <v>21</v>
      </c>
    </row>
    <row r="60" spans="2:2" x14ac:dyDescent="0.2">
      <c r="B60">
        <v>28.5</v>
      </c>
    </row>
    <row r="61" spans="2:2" x14ac:dyDescent="0.2">
      <c r="B61">
        <v>5</v>
      </c>
    </row>
    <row r="62" spans="2:2" x14ac:dyDescent="0.2">
      <c r="B62">
        <v>11</v>
      </c>
    </row>
    <row r="63" spans="2:2" x14ac:dyDescent="0.2">
      <c r="B63">
        <v>22</v>
      </c>
    </row>
    <row r="64" spans="2:2" x14ac:dyDescent="0.2">
      <c r="B64">
        <v>38</v>
      </c>
    </row>
    <row r="65" spans="2:2" x14ac:dyDescent="0.2">
      <c r="B65">
        <v>45</v>
      </c>
    </row>
    <row r="66" spans="2:2" x14ac:dyDescent="0.2">
      <c r="B66">
        <v>4</v>
      </c>
    </row>
    <row r="67" spans="2:2" hidden="1" x14ac:dyDescent="0.2">
      <c r="B67" t="str">
        <v/>
      </c>
    </row>
    <row r="68" spans="2:2" hidden="1" x14ac:dyDescent="0.2">
      <c r="B68" t="str">
        <v/>
      </c>
    </row>
    <row r="69" spans="2:2" x14ac:dyDescent="0.2">
      <c r="B69">
        <v>29</v>
      </c>
    </row>
    <row r="70" spans="2:2" x14ac:dyDescent="0.2">
      <c r="B70">
        <v>19</v>
      </c>
    </row>
    <row r="71" spans="2:2" x14ac:dyDescent="0.2">
      <c r="B71">
        <v>17</v>
      </c>
    </row>
    <row r="72" spans="2:2" x14ac:dyDescent="0.2">
      <c r="B72">
        <v>26</v>
      </c>
    </row>
    <row r="73" spans="2:2" x14ac:dyDescent="0.2">
      <c r="B73">
        <v>32</v>
      </c>
    </row>
    <row r="74" spans="2:2" x14ac:dyDescent="0.2">
      <c r="B74">
        <v>16</v>
      </c>
    </row>
    <row r="75" spans="2:2" x14ac:dyDescent="0.2">
      <c r="B75">
        <v>21</v>
      </c>
    </row>
    <row r="76" spans="2:2" x14ac:dyDescent="0.2">
      <c r="B76">
        <v>26</v>
      </c>
    </row>
    <row r="77" spans="2:2" x14ac:dyDescent="0.2">
      <c r="B77">
        <v>32</v>
      </c>
    </row>
    <row r="78" spans="2:2" x14ac:dyDescent="0.2">
      <c r="B78">
        <v>25</v>
      </c>
    </row>
    <row r="79" spans="2:2" hidden="1" x14ac:dyDescent="0.2">
      <c r="B79" t="str">
        <v/>
      </c>
    </row>
    <row r="80" spans="2:2" hidden="1" x14ac:dyDescent="0.2">
      <c r="B80" t="str">
        <v/>
      </c>
    </row>
    <row r="81" spans="2:2" x14ac:dyDescent="0.2">
      <c r="B81">
        <v>83</v>
      </c>
    </row>
    <row r="82" spans="2:2" x14ac:dyDescent="0.2">
      <c r="B82">
        <v>30</v>
      </c>
    </row>
    <row r="83" spans="2:2" x14ac:dyDescent="0.2">
      <c r="B83">
        <v>22</v>
      </c>
    </row>
    <row r="84" spans="2:2" x14ac:dyDescent="0.2">
      <c r="B84">
        <v>29</v>
      </c>
    </row>
    <row r="85" spans="2:2" hidden="1" x14ac:dyDescent="0.2">
      <c r="B85" t="str">
        <v/>
      </c>
    </row>
    <row r="86" spans="2:2" x14ac:dyDescent="0.2">
      <c r="B86">
        <v>28</v>
      </c>
    </row>
    <row r="87" spans="2:2" x14ac:dyDescent="0.2">
      <c r="B87">
        <v>17</v>
      </c>
    </row>
    <row r="88" spans="2:2" x14ac:dyDescent="0.2">
      <c r="B88">
        <v>33</v>
      </c>
    </row>
    <row r="89" spans="2:2" x14ac:dyDescent="0.2">
      <c r="B89">
        <v>16</v>
      </c>
    </row>
    <row r="90" spans="2:2" hidden="1" x14ac:dyDescent="0.2">
      <c r="B90" t="str">
        <v/>
      </c>
    </row>
    <row r="91" spans="2:2" x14ac:dyDescent="0.2">
      <c r="B91">
        <v>23</v>
      </c>
    </row>
    <row r="92" spans="2:2" x14ac:dyDescent="0.2">
      <c r="B92">
        <v>24</v>
      </c>
    </row>
    <row r="93" spans="2:2" x14ac:dyDescent="0.2">
      <c r="B93">
        <v>29</v>
      </c>
    </row>
    <row r="94" spans="2:2" x14ac:dyDescent="0.2">
      <c r="B94">
        <v>20</v>
      </c>
    </row>
    <row r="95" spans="2:2" x14ac:dyDescent="0.2">
      <c r="B95">
        <v>46</v>
      </c>
    </row>
    <row r="96" spans="2:2" x14ac:dyDescent="0.2">
      <c r="B96">
        <v>26</v>
      </c>
    </row>
    <row r="97" spans="2:2" x14ac:dyDescent="0.2">
      <c r="B97">
        <v>59</v>
      </c>
    </row>
    <row r="98" spans="2:2" hidden="1" x14ac:dyDescent="0.2">
      <c r="B98" t="str">
        <v/>
      </c>
    </row>
    <row r="99" spans="2:2" x14ac:dyDescent="0.2">
      <c r="B99">
        <v>71</v>
      </c>
    </row>
    <row r="100" spans="2:2" x14ac:dyDescent="0.2">
      <c r="B100">
        <v>23</v>
      </c>
    </row>
    <row r="101" spans="2:2" x14ac:dyDescent="0.2">
      <c r="B101">
        <v>34</v>
      </c>
    </row>
    <row r="102" spans="2:2" x14ac:dyDescent="0.2">
      <c r="B102">
        <v>34</v>
      </c>
    </row>
    <row r="103" spans="2:2" x14ac:dyDescent="0.2">
      <c r="B103">
        <v>28</v>
      </c>
    </row>
    <row r="104" spans="2:2" hidden="1" x14ac:dyDescent="0.2">
      <c r="B104" t="str">
        <v/>
      </c>
    </row>
    <row r="105" spans="2:2" x14ac:dyDescent="0.2">
      <c r="B105">
        <v>21</v>
      </c>
    </row>
    <row r="106" spans="2:2" x14ac:dyDescent="0.2">
      <c r="B106">
        <v>33</v>
      </c>
    </row>
    <row r="107" spans="2:2" x14ac:dyDescent="0.2">
      <c r="B107">
        <v>37</v>
      </c>
    </row>
    <row r="108" spans="2:2" x14ac:dyDescent="0.2">
      <c r="B108">
        <v>28</v>
      </c>
    </row>
    <row r="109" spans="2:2" x14ac:dyDescent="0.2">
      <c r="B109">
        <v>21</v>
      </c>
    </row>
    <row r="110" spans="2:2" hidden="1" x14ac:dyDescent="0.2">
      <c r="B110" t="str">
        <v/>
      </c>
    </row>
    <row r="111" spans="2:2" x14ac:dyDescent="0.2">
      <c r="B111">
        <v>38</v>
      </c>
    </row>
    <row r="112" spans="2:2" hidden="1" x14ac:dyDescent="0.2">
      <c r="B112" t="str">
        <v/>
      </c>
    </row>
    <row r="113" spans="2:2" x14ac:dyDescent="0.2">
      <c r="B113">
        <v>47</v>
      </c>
    </row>
    <row r="114" spans="2:2" x14ac:dyDescent="0.2">
      <c r="B114">
        <v>14.5</v>
      </c>
    </row>
    <row r="115" spans="2:2" x14ac:dyDescent="0.2">
      <c r="B115">
        <v>22</v>
      </c>
    </row>
    <row r="116" spans="2:2" x14ac:dyDescent="0.2">
      <c r="B116">
        <v>20</v>
      </c>
    </row>
    <row r="117" spans="2:2" x14ac:dyDescent="0.2">
      <c r="B117">
        <v>17</v>
      </c>
    </row>
    <row r="118" spans="2:2" x14ac:dyDescent="0.2">
      <c r="B118">
        <v>21</v>
      </c>
    </row>
    <row r="119" spans="2:2" x14ac:dyDescent="0.2">
      <c r="B119">
        <v>70.5</v>
      </c>
    </row>
    <row r="120" spans="2:2" x14ac:dyDescent="0.2">
      <c r="B120">
        <v>29</v>
      </c>
    </row>
    <row r="121" spans="2:2" x14ac:dyDescent="0.2">
      <c r="B121">
        <v>24</v>
      </c>
    </row>
    <row r="122" spans="2:2" x14ac:dyDescent="0.2">
      <c r="B122">
        <v>2</v>
      </c>
    </row>
    <row r="123" spans="2:2" x14ac:dyDescent="0.2">
      <c r="B123">
        <v>21</v>
      </c>
    </row>
    <row r="124" spans="2:2" hidden="1" x14ac:dyDescent="0.2">
      <c r="B124" t="str">
        <v/>
      </c>
    </row>
    <row r="125" spans="2:2" x14ac:dyDescent="0.2">
      <c r="B125">
        <v>32.5</v>
      </c>
    </row>
    <row r="126" spans="2:2" x14ac:dyDescent="0.2">
      <c r="B126">
        <v>32.5</v>
      </c>
    </row>
    <row r="127" spans="2:2" x14ac:dyDescent="0.2">
      <c r="B127">
        <v>54</v>
      </c>
    </row>
    <row r="128" spans="2:2" x14ac:dyDescent="0.2">
      <c r="B128">
        <v>12</v>
      </c>
    </row>
    <row r="129" spans="2:2" hidden="1" x14ac:dyDescent="0.2">
      <c r="B129" t="str">
        <v/>
      </c>
    </row>
    <row r="130" spans="2:2" x14ac:dyDescent="0.2">
      <c r="B130">
        <v>24</v>
      </c>
    </row>
    <row r="131" spans="2:2" hidden="1" x14ac:dyDescent="0.2">
      <c r="B131" t="str">
        <v/>
      </c>
    </row>
    <row r="132" spans="2:2" x14ac:dyDescent="0.2">
      <c r="B132">
        <v>45</v>
      </c>
    </row>
    <row r="133" spans="2:2" x14ac:dyDescent="0.2">
      <c r="B133">
        <v>33</v>
      </c>
    </row>
    <row r="134" spans="2:2" x14ac:dyDescent="0.2">
      <c r="B134">
        <v>20</v>
      </c>
    </row>
    <row r="135" spans="2:2" x14ac:dyDescent="0.2">
      <c r="B135">
        <v>47</v>
      </c>
    </row>
    <row r="136" spans="2:2" x14ac:dyDescent="0.2">
      <c r="B136">
        <v>29</v>
      </c>
    </row>
    <row r="137" spans="2:2" x14ac:dyDescent="0.2">
      <c r="B137">
        <v>25</v>
      </c>
    </row>
    <row r="138" spans="2:2" x14ac:dyDescent="0.2">
      <c r="B138">
        <v>23</v>
      </c>
    </row>
    <row r="139" spans="2:2" x14ac:dyDescent="0.2">
      <c r="B139">
        <v>19</v>
      </c>
    </row>
    <row r="140" spans="2:2" x14ac:dyDescent="0.2">
      <c r="B140">
        <v>37</v>
      </c>
    </row>
    <row r="141" spans="2:2" x14ac:dyDescent="0.2">
      <c r="B141">
        <v>16</v>
      </c>
    </row>
    <row r="142" spans="2:2" x14ac:dyDescent="0.2">
      <c r="B142">
        <v>24</v>
      </c>
    </row>
    <row r="143" spans="2:2" hidden="1" x14ac:dyDescent="0.2">
      <c r="B143" t="str">
        <v/>
      </c>
    </row>
    <row r="144" spans="2:2" x14ac:dyDescent="0.2">
      <c r="B144">
        <v>22</v>
      </c>
    </row>
    <row r="145" spans="2:2" x14ac:dyDescent="0.2">
      <c r="B145">
        <v>24</v>
      </c>
    </row>
    <row r="146" spans="2:2" x14ac:dyDescent="0.2">
      <c r="B146">
        <v>19</v>
      </c>
    </row>
    <row r="147" spans="2:2" x14ac:dyDescent="0.2">
      <c r="B147">
        <v>18</v>
      </c>
    </row>
    <row r="148" spans="2:2" x14ac:dyDescent="0.2">
      <c r="B148">
        <v>19</v>
      </c>
    </row>
    <row r="149" spans="2:2" x14ac:dyDescent="0.2">
      <c r="B149">
        <v>27</v>
      </c>
    </row>
    <row r="150" spans="2:2" x14ac:dyDescent="0.2">
      <c r="B150">
        <v>9</v>
      </c>
    </row>
    <row r="151" spans="2:2" x14ac:dyDescent="0.2">
      <c r="B151">
        <v>36.5</v>
      </c>
    </row>
    <row r="152" spans="2:2" x14ac:dyDescent="0.2">
      <c r="B152">
        <v>42</v>
      </c>
    </row>
    <row r="153" spans="2:2" x14ac:dyDescent="0.2">
      <c r="B153">
        <v>51</v>
      </c>
    </row>
    <row r="154" spans="2:2" x14ac:dyDescent="0.2">
      <c r="B154">
        <v>22</v>
      </c>
    </row>
    <row r="155" spans="2:2" x14ac:dyDescent="0.2">
      <c r="B155">
        <v>55.5</v>
      </c>
    </row>
    <row r="156" spans="2:2" x14ac:dyDescent="0.2">
      <c r="B156">
        <v>40.5</v>
      </c>
    </row>
    <row r="157" spans="2:2" hidden="1" x14ac:dyDescent="0.2">
      <c r="B157" t="str">
        <v/>
      </c>
    </row>
    <row r="158" spans="2:2" x14ac:dyDescent="0.2">
      <c r="B158">
        <v>51</v>
      </c>
    </row>
    <row r="159" spans="2:2" x14ac:dyDescent="0.2">
      <c r="B159">
        <v>16</v>
      </c>
    </row>
    <row r="160" spans="2:2" x14ac:dyDescent="0.2">
      <c r="B160">
        <v>30</v>
      </c>
    </row>
    <row r="161" spans="2:2" hidden="1" x14ac:dyDescent="0.2">
      <c r="B161" t="str">
        <v/>
      </c>
    </row>
    <row r="162" spans="2:2" hidden="1" x14ac:dyDescent="0.2">
      <c r="B162" t="str">
        <v/>
      </c>
    </row>
    <row r="163" spans="2:2" x14ac:dyDescent="0.2">
      <c r="B163">
        <v>44</v>
      </c>
    </row>
    <row r="164" spans="2:2" x14ac:dyDescent="0.2">
      <c r="B164">
        <v>40</v>
      </c>
    </row>
    <row r="165" spans="2:2" x14ac:dyDescent="0.2">
      <c r="B165">
        <v>26</v>
      </c>
    </row>
    <row r="166" spans="2:2" x14ac:dyDescent="0.2">
      <c r="B166">
        <v>17</v>
      </c>
    </row>
    <row r="167" spans="2:2" x14ac:dyDescent="0.2">
      <c r="B167">
        <v>1</v>
      </c>
    </row>
    <row r="168" spans="2:2" x14ac:dyDescent="0.2">
      <c r="B168">
        <v>9</v>
      </c>
    </row>
    <row r="169" spans="2:2" hidden="1" x14ac:dyDescent="0.2">
      <c r="B169" t="str">
        <v/>
      </c>
    </row>
    <row r="170" spans="2:2" x14ac:dyDescent="0.2">
      <c r="B170">
        <v>45</v>
      </c>
    </row>
    <row r="171" spans="2:2" hidden="1" x14ac:dyDescent="0.2">
      <c r="B171" t="str">
        <v/>
      </c>
    </row>
    <row r="172" spans="2:2" x14ac:dyDescent="0.2">
      <c r="B172">
        <v>28</v>
      </c>
    </row>
    <row r="173" spans="2:2" x14ac:dyDescent="0.2">
      <c r="B173">
        <v>61</v>
      </c>
    </row>
    <row r="174" spans="2:2" x14ac:dyDescent="0.2">
      <c r="B174">
        <v>4</v>
      </c>
    </row>
    <row r="175" spans="2:2" x14ac:dyDescent="0.2">
      <c r="B175">
        <v>1</v>
      </c>
    </row>
    <row r="176" spans="2:2" x14ac:dyDescent="0.2">
      <c r="B176">
        <v>21</v>
      </c>
    </row>
    <row r="177" spans="2:2" x14ac:dyDescent="0.2">
      <c r="B177">
        <v>56</v>
      </c>
    </row>
    <row r="178" spans="2:2" x14ac:dyDescent="0.2">
      <c r="B178">
        <v>18</v>
      </c>
    </row>
    <row r="179" spans="2:2" hidden="1" x14ac:dyDescent="0.2">
      <c r="B179" t="str">
        <v/>
      </c>
    </row>
    <row r="180" spans="2:2" x14ac:dyDescent="0.2">
      <c r="B180">
        <v>50</v>
      </c>
    </row>
    <row r="181" spans="2:2" x14ac:dyDescent="0.2">
      <c r="B181">
        <v>30</v>
      </c>
    </row>
    <row r="182" spans="2:2" x14ac:dyDescent="0.2">
      <c r="B182">
        <v>36</v>
      </c>
    </row>
    <row r="183" spans="2:2" hidden="1" x14ac:dyDescent="0.2">
      <c r="B183" t="str">
        <v/>
      </c>
    </row>
    <row r="184" spans="2:2" hidden="1" x14ac:dyDescent="0.2">
      <c r="B184" t="str">
        <v/>
      </c>
    </row>
    <row r="185" spans="2:2" x14ac:dyDescent="0.2">
      <c r="B185">
        <v>9</v>
      </c>
    </row>
    <row r="186" spans="2:2" x14ac:dyDescent="0.2">
      <c r="B186">
        <v>1</v>
      </c>
    </row>
    <row r="187" spans="2:2" x14ac:dyDescent="0.2">
      <c r="B187">
        <v>4</v>
      </c>
    </row>
    <row r="188" spans="2:2" hidden="1" x14ac:dyDescent="0.2">
      <c r="B188" t="str">
        <v/>
      </c>
    </row>
    <row r="189" spans="2:2" hidden="1" x14ac:dyDescent="0.2">
      <c r="B189" t="str">
        <v/>
      </c>
    </row>
    <row r="190" spans="2:2" x14ac:dyDescent="0.2">
      <c r="B190">
        <v>45</v>
      </c>
    </row>
    <row r="191" spans="2:2" x14ac:dyDescent="0.2">
      <c r="B191">
        <v>40</v>
      </c>
    </row>
    <row r="192" spans="2:2" x14ac:dyDescent="0.2">
      <c r="B192">
        <v>36</v>
      </c>
    </row>
    <row r="193" spans="2:2" x14ac:dyDescent="0.2">
      <c r="B193">
        <v>32</v>
      </c>
    </row>
    <row r="194" spans="2:2" x14ac:dyDescent="0.2">
      <c r="B194">
        <v>19</v>
      </c>
    </row>
    <row r="195" spans="2:2" x14ac:dyDescent="0.2">
      <c r="B195">
        <v>19</v>
      </c>
    </row>
    <row r="196" spans="2:2" x14ac:dyDescent="0.2">
      <c r="B196">
        <v>3</v>
      </c>
    </row>
    <row r="197" spans="2:2" x14ac:dyDescent="0.2">
      <c r="B197">
        <v>44</v>
      </c>
    </row>
    <row r="198" spans="2:2" x14ac:dyDescent="0.2">
      <c r="B198">
        <v>58</v>
      </c>
    </row>
    <row r="199" spans="2:2" hidden="1" x14ac:dyDescent="0.2">
      <c r="B199" t="str">
        <v/>
      </c>
    </row>
    <row r="200" spans="2:2" x14ac:dyDescent="0.2">
      <c r="B200">
        <v>42</v>
      </c>
    </row>
    <row r="201" spans="2:2" hidden="1" x14ac:dyDescent="0.2">
      <c r="B201" t="str">
        <v/>
      </c>
    </row>
    <row r="202" spans="2:2" x14ac:dyDescent="0.2">
      <c r="B202">
        <v>24</v>
      </c>
    </row>
    <row r="203" spans="2:2" x14ac:dyDescent="0.2">
      <c r="B203">
        <v>28</v>
      </c>
    </row>
    <row r="204" spans="2:2" hidden="1" x14ac:dyDescent="0.2">
      <c r="B204" t="str">
        <v/>
      </c>
    </row>
    <row r="205" spans="2:2" x14ac:dyDescent="0.2">
      <c r="B205">
        <v>34</v>
      </c>
    </row>
    <row r="206" spans="2:2" x14ac:dyDescent="0.2">
      <c r="B206">
        <v>45.5</v>
      </c>
    </row>
    <row r="207" spans="2:2" x14ac:dyDescent="0.2">
      <c r="B207">
        <v>18</v>
      </c>
    </row>
    <row r="208" spans="2:2" x14ac:dyDescent="0.2">
      <c r="B208">
        <v>2</v>
      </c>
    </row>
    <row r="209" spans="2:2" x14ac:dyDescent="0.2">
      <c r="B209">
        <v>32</v>
      </c>
    </row>
    <row r="210" spans="2:2" x14ac:dyDescent="0.2">
      <c r="B210">
        <v>26</v>
      </c>
    </row>
    <row r="211" spans="2:2" x14ac:dyDescent="0.2">
      <c r="B211">
        <v>16</v>
      </c>
    </row>
    <row r="212" spans="2:2" x14ac:dyDescent="0.2">
      <c r="B212">
        <v>40</v>
      </c>
    </row>
    <row r="213" spans="2:2" x14ac:dyDescent="0.2">
      <c r="B213">
        <v>24</v>
      </c>
    </row>
    <row r="214" spans="2:2" x14ac:dyDescent="0.2">
      <c r="B214">
        <v>35</v>
      </c>
    </row>
    <row r="215" spans="2:2" x14ac:dyDescent="0.2">
      <c r="B215">
        <v>22</v>
      </c>
    </row>
    <row r="216" spans="2:2" x14ac:dyDescent="0.2">
      <c r="B216">
        <v>30</v>
      </c>
    </row>
    <row r="217" spans="2:2" hidden="1" x14ac:dyDescent="0.2">
      <c r="B217" t="str">
        <v/>
      </c>
    </row>
    <row r="218" spans="2:2" x14ac:dyDescent="0.2">
      <c r="B218">
        <v>31</v>
      </c>
    </row>
    <row r="219" spans="2:2" x14ac:dyDescent="0.2">
      <c r="B219">
        <v>27</v>
      </c>
    </row>
    <row r="220" spans="2:2" x14ac:dyDescent="0.2">
      <c r="B220">
        <v>42</v>
      </c>
    </row>
    <row r="221" spans="2:2" x14ac:dyDescent="0.2">
      <c r="B221">
        <v>32</v>
      </c>
    </row>
    <row r="222" spans="2:2" x14ac:dyDescent="0.2">
      <c r="B222">
        <v>30</v>
      </c>
    </row>
    <row r="223" spans="2:2" x14ac:dyDescent="0.2">
      <c r="B223">
        <v>16</v>
      </c>
    </row>
    <row r="224" spans="2:2" x14ac:dyDescent="0.2">
      <c r="B224">
        <v>27</v>
      </c>
    </row>
    <row r="225" spans="2:2" x14ac:dyDescent="0.2">
      <c r="B225">
        <v>51</v>
      </c>
    </row>
    <row r="226" spans="2:2" hidden="1" x14ac:dyDescent="0.2">
      <c r="B226" t="str">
        <v/>
      </c>
    </row>
    <row r="227" spans="2:2" x14ac:dyDescent="0.2">
      <c r="B227">
        <v>38</v>
      </c>
    </row>
    <row r="228" spans="2:2" x14ac:dyDescent="0.2">
      <c r="B228">
        <v>22</v>
      </c>
    </row>
    <row r="229" spans="2:2" x14ac:dyDescent="0.2">
      <c r="B229">
        <v>19</v>
      </c>
    </row>
    <row r="230" spans="2:2" x14ac:dyDescent="0.2">
      <c r="B230">
        <v>20.5</v>
      </c>
    </row>
    <row r="231" spans="2:2" x14ac:dyDescent="0.2">
      <c r="B231">
        <v>18</v>
      </c>
    </row>
    <row r="232" spans="2:2" hidden="1" x14ac:dyDescent="0.2">
      <c r="B232" t="str">
        <v/>
      </c>
    </row>
    <row r="233" spans="2:2" x14ac:dyDescent="0.2">
      <c r="B233">
        <v>35</v>
      </c>
    </row>
    <row r="234" spans="2:2" x14ac:dyDescent="0.2">
      <c r="B234">
        <v>29</v>
      </c>
    </row>
    <row r="235" spans="2:2" x14ac:dyDescent="0.2">
      <c r="B235">
        <v>59</v>
      </c>
    </row>
    <row r="236" spans="2:2" x14ac:dyDescent="0.2">
      <c r="B236">
        <v>5</v>
      </c>
    </row>
    <row r="237" spans="2:2" x14ac:dyDescent="0.2">
      <c r="B237">
        <v>24</v>
      </c>
    </row>
    <row r="238" spans="2:2" hidden="1" x14ac:dyDescent="0.2">
      <c r="B238" t="str">
        <v/>
      </c>
    </row>
    <row r="239" spans="2:2" x14ac:dyDescent="0.2">
      <c r="B239">
        <v>44</v>
      </c>
    </row>
    <row r="240" spans="2:2" x14ac:dyDescent="0.2">
      <c r="B240">
        <v>8</v>
      </c>
    </row>
    <row r="241" spans="2:2" x14ac:dyDescent="0.2">
      <c r="B241">
        <v>19</v>
      </c>
    </row>
    <row r="242" spans="2:2" x14ac:dyDescent="0.2">
      <c r="B242">
        <v>33</v>
      </c>
    </row>
    <row r="243" spans="2:2" hidden="1" x14ac:dyDescent="0.2">
      <c r="B243" t="str">
        <v/>
      </c>
    </row>
    <row r="244" spans="2:2" hidden="1" x14ac:dyDescent="0.2">
      <c r="B244" t="str">
        <v/>
      </c>
    </row>
    <row r="245" spans="2:2" x14ac:dyDescent="0.2">
      <c r="B245">
        <v>29</v>
      </c>
    </row>
    <row r="246" spans="2:2" x14ac:dyDescent="0.2">
      <c r="B246">
        <v>22</v>
      </c>
    </row>
    <row r="247" spans="2:2" x14ac:dyDescent="0.2">
      <c r="B247">
        <v>30</v>
      </c>
    </row>
    <row r="248" spans="2:2" x14ac:dyDescent="0.2">
      <c r="B248">
        <v>44</v>
      </c>
    </row>
    <row r="249" spans="2:2" x14ac:dyDescent="0.2">
      <c r="B249">
        <v>25</v>
      </c>
    </row>
    <row r="250" spans="2:2" x14ac:dyDescent="0.2">
      <c r="B250">
        <v>24</v>
      </c>
    </row>
    <row r="251" spans="2:2" x14ac:dyDescent="0.2">
      <c r="B251">
        <v>37</v>
      </c>
    </row>
    <row r="252" spans="2:2" x14ac:dyDescent="0.2">
      <c r="B252">
        <v>54</v>
      </c>
    </row>
    <row r="253" spans="2:2" hidden="1" x14ac:dyDescent="0.2">
      <c r="B253" t="str">
        <v/>
      </c>
    </row>
    <row r="254" spans="2:2" x14ac:dyDescent="0.2">
      <c r="B254">
        <v>29</v>
      </c>
    </row>
    <row r="255" spans="2:2" x14ac:dyDescent="0.2">
      <c r="B255">
        <v>62</v>
      </c>
    </row>
    <row r="256" spans="2:2" x14ac:dyDescent="0.2">
      <c r="B256">
        <v>30</v>
      </c>
    </row>
    <row r="257" spans="2:2" x14ac:dyDescent="0.2">
      <c r="B257">
        <v>41</v>
      </c>
    </row>
    <row r="258" spans="2:2" x14ac:dyDescent="0.2">
      <c r="B258">
        <v>29</v>
      </c>
    </row>
    <row r="259" spans="2:2" hidden="1" x14ac:dyDescent="0.2">
      <c r="B259" t="str">
        <v/>
      </c>
    </row>
    <row r="260" spans="2:2" x14ac:dyDescent="0.2">
      <c r="B260">
        <v>30</v>
      </c>
    </row>
    <row r="261" spans="2:2" x14ac:dyDescent="0.2">
      <c r="B261">
        <v>35</v>
      </c>
    </row>
    <row r="262" spans="2:2" x14ac:dyDescent="0.2">
      <c r="B262">
        <v>50</v>
      </c>
    </row>
    <row r="263" spans="2:2" hidden="1" x14ac:dyDescent="0.2">
      <c r="B263" t="str">
        <v/>
      </c>
    </row>
    <row r="264" spans="2:2" x14ac:dyDescent="0.2">
      <c r="B264">
        <v>3</v>
      </c>
    </row>
    <row r="265" spans="2:2" x14ac:dyDescent="0.2">
      <c r="B265">
        <v>52</v>
      </c>
    </row>
    <row r="266" spans="2:2" x14ac:dyDescent="0.2">
      <c r="B266">
        <v>40</v>
      </c>
    </row>
    <row r="267" spans="2:2" hidden="1" x14ac:dyDescent="0.2">
      <c r="B267" t="str">
        <v/>
      </c>
    </row>
    <row r="268" spans="2:2" x14ac:dyDescent="0.2">
      <c r="B268">
        <v>36</v>
      </c>
    </row>
    <row r="269" spans="2:2" x14ac:dyDescent="0.2">
      <c r="B269">
        <v>16</v>
      </c>
    </row>
    <row r="270" spans="2:2" x14ac:dyDescent="0.2">
      <c r="B270">
        <v>25</v>
      </c>
    </row>
    <row r="271" spans="2:2" x14ac:dyDescent="0.2">
      <c r="B271">
        <v>58</v>
      </c>
    </row>
    <row r="272" spans="2:2" x14ac:dyDescent="0.2">
      <c r="B272">
        <v>35</v>
      </c>
    </row>
    <row r="273" spans="2:2" hidden="1" x14ac:dyDescent="0.2">
      <c r="B273" t="str">
        <v/>
      </c>
    </row>
    <row r="274" spans="2:2" x14ac:dyDescent="0.2">
      <c r="B274">
        <v>25</v>
      </c>
    </row>
    <row r="275" spans="2:2" x14ac:dyDescent="0.2">
      <c r="B275">
        <v>41</v>
      </c>
    </row>
    <row r="276" spans="2:2" x14ac:dyDescent="0.2">
      <c r="B276">
        <v>37</v>
      </c>
    </row>
    <row r="277" spans="2:2" hidden="1" x14ac:dyDescent="0.2">
      <c r="B277" t="str">
        <v/>
      </c>
    </row>
    <row r="278" spans="2:2" x14ac:dyDescent="0.2">
      <c r="B278">
        <v>63</v>
      </c>
    </row>
    <row r="279" spans="2:2" x14ac:dyDescent="0.2">
      <c r="B279">
        <v>45</v>
      </c>
    </row>
    <row r="280" spans="2:2" hidden="1" x14ac:dyDescent="0.2">
      <c r="B280" t="str">
        <v/>
      </c>
    </row>
    <row r="281" spans="2:2" x14ac:dyDescent="0.2">
      <c r="B281">
        <v>7</v>
      </c>
    </row>
    <row r="282" spans="2:2" x14ac:dyDescent="0.2">
      <c r="B282">
        <v>35</v>
      </c>
    </row>
    <row r="283" spans="2:2" x14ac:dyDescent="0.2">
      <c r="B283">
        <v>65</v>
      </c>
    </row>
    <row r="284" spans="2:2" x14ac:dyDescent="0.2">
      <c r="B284">
        <v>28</v>
      </c>
    </row>
    <row r="285" spans="2:2" x14ac:dyDescent="0.2">
      <c r="B285">
        <v>16</v>
      </c>
    </row>
    <row r="286" spans="2:2" x14ac:dyDescent="0.2">
      <c r="B286">
        <v>19</v>
      </c>
    </row>
    <row r="287" spans="2:2" hidden="1" x14ac:dyDescent="0.2">
      <c r="B287" t="str">
        <v/>
      </c>
    </row>
    <row r="288" spans="2:2" x14ac:dyDescent="0.2">
      <c r="B288">
        <v>33</v>
      </c>
    </row>
    <row r="289" spans="2:2" x14ac:dyDescent="0.2">
      <c r="B289">
        <v>30</v>
      </c>
    </row>
    <row r="290" spans="2:2" x14ac:dyDescent="0.2">
      <c r="B290">
        <v>22</v>
      </c>
    </row>
    <row r="291" spans="2:2" x14ac:dyDescent="0.2">
      <c r="B291">
        <v>42</v>
      </c>
    </row>
    <row r="292" spans="2:2" x14ac:dyDescent="0.2">
      <c r="B292">
        <v>22</v>
      </c>
    </row>
    <row r="293" spans="2:2" x14ac:dyDescent="0.2">
      <c r="B293">
        <v>26</v>
      </c>
    </row>
    <row r="294" spans="2:2" x14ac:dyDescent="0.2">
      <c r="B294">
        <v>19</v>
      </c>
    </row>
    <row r="295" spans="2:2" x14ac:dyDescent="0.2">
      <c r="B295">
        <v>36</v>
      </c>
    </row>
    <row r="296" spans="2:2" x14ac:dyDescent="0.2">
      <c r="B296">
        <v>24</v>
      </c>
    </row>
    <row r="297" spans="2:2" x14ac:dyDescent="0.2">
      <c r="B297">
        <v>24</v>
      </c>
    </row>
    <row r="298" spans="2:2" hidden="1" x14ac:dyDescent="0.2">
      <c r="B298" t="str">
        <v/>
      </c>
    </row>
    <row r="299" spans="2:2" x14ac:dyDescent="0.2">
      <c r="B299">
        <v>23.5</v>
      </c>
    </row>
    <row r="300" spans="2:2" x14ac:dyDescent="0.2">
      <c r="B300">
        <v>2</v>
      </c>
    </row>
    <row r="301" spans="2:2" hidden="1" x14ac:dyDescent="0.2">
      <c r="B301" t="str">
        <v/>
      </c>
    </row>
    <row r="302" spans="2:2" x14ac:dyDescent="0.2">
      <c r="B302">
        <v>50</v>
      </c>
    </row>
    <row r="303" spans="2:2" hidden="1" x14ac:dyDescent="0.2">
      <c r="B303" t="str">
        <v/>
      </c>
    </row>
    <row r="304" spans="2:2" hidden="1" x14ac:dyDescent="0.2">
      <c r="B304" t="str">
        <v/>
      </c>
    </row>
    <row r="305" spans="2:2" x14ac:dyDescent="0.2">
      <c r="B305">
        <v>19</v>
      </c>
    </row>
    <row r="306" spans="2:2" hidden="1" x14ac:dyDescent="0.2">
      <c r="B306" t="str">
        <v/>
      </c>
    </row>
    <row r="307" spans="2:2" hidden="1" x14ac:dyDescent="0.2">
      <c r="B307" t="str">
        <v/>
      </c>
    </row>
    <row r="308" spans="2:2" x14ac:dyDescent="0.2">
      <c r="B308">
        <v>92</v>
      </c>
    </row>
    <row r="309" spans="2:2" hidden="1" x14ac:dyDescent="0.2">
      <c r="B309" t="str">
        <v/>
      </c>
    </row>
    <row r="310" spans="2:2" x14ac:dyDescent="0.2">
      <c r="B310">
        <v>17</v>
      </c>
    </row>
    <row r="311" spans="2:2" x14ac:dyDescent="0.2">
      <c r="B311">
        <v>30</v>
      </c>
    </row>
    <row r="312" spans="2:2" x14ac:dyDescent="0.2">
      <c r="B312">
        <v>30</v>
      </c>
    </row>
    <row r="313" spans="2:2" x14ac:dyDescent="0.2">
      <c r="B313">
        <v>24</v>
      </c>
    </row>
    <row r="314" spans="2:2" x14ac:dyDescent="0.2">
      <c r="B314">
        <v>18</v>
      </c>
    </row>
    <row r="315" spans="2:2" x14ac:dyDescent="0.2">
      <c r="B315">
        <v>26</v>
      </c>
    </row>
    <row r="316" spans="2:2" x14ac:dyDescent="0.2">
      <c r="B316">
        <v>28</v>
      </c>
    </row>
    <row r="317" spans="2:2" x14ac:dyDescent="0.2">
      <c r="B317">
        <v>43</v>
      </c>
    </row>
    <row r="318" spans="2:2" x14ac:dyDescent="0.2">
      <c r="B318">
        <v>26</v>
      </c>
    </row>
    <row r="319" spans="2:2" x14ac:dyDescent="0.2">
      <c r="B319">
        <v>24</v>
      </c>
    </row>
    <row r="320" spans="2:2" x14ac:dyDescent="0.2">
      <c r="B320">
        <v>54</v>
      </c>
    </row>
    <row r="321" spans="2:2" x14ac:dyDescent="0.2">
      <c r="B321">
        <v>31</v>
      </c>
    </row>
    <row r="322" spans="2:2" x14ac:dyDescent="0.2">
      <c r="B322">
        <v>40</v>
      </c>
    </row>
    <row r="323" spans="2:2" x14ac:dyDescent="0.2">
      <c r="B323">
        <v>22</v>
      </c>
    </row>
    <row r="324" spans="2:2" x14ac:dyDescent="0.2">
      <c r="B324">
        <v>27</v>
      </c>
    </row>
    <row r="325" spans="2:2" x14ac:dyDescent="0.2">
      <c r="B325">
        <v>30</v>
      </c>
    </row>
    <row r="326" spans="2:2" x14ac:dyDescent="0.2">
      <c r="B326">
        <v>22</v>
      </c>
    </row>
    <row r="327" spans="2:2" hidden="1" x14ac:dyDescent="0.2">
      <c r="B327" t="str">
        <v/>
      </c>
    </row>
    <row r="328" spans="2:2" x14ac:dyDescent="0.2">
      <c r="B328">
        <v>36</v>
      </c>
    </row>
    <row r="329" spans="2:2" x14ac:dyDescent="0.2">
      <c r="B329">
        <v>61</v>
      </c>
    </row>
    <row r="330" spans="2:2" x14ac:dyDescent="0.2">
      <c r="B330">
        <v>36</v>
      </c>
    </row>
    <row r="331" spans="2:2" x14ac:dyDescent="0.2">
      <c r="B331">
        <v>31</v>
      </c>
    </row>
    <row r="332" spans="2:2" x14ac:dyDescent="0.2">
      <c r="B332">
        <v>16</v>
      </c>
    </row>
    <row r="333" spans="2:2" hidden="1" x14ac:dyDescent="0.2">
      <c r="B333" t="str">
        <v/>
      </c>
    </row>
    <row r="334" spans="2:2" x14ac:dyDescent="0.2">
      <c r="B334">
        <v>45.5</v>
      </c>
    </row>
    <row r="335" spans="2:2" x14ac:dyDescent="0.2">
      <c r="B335">
        <v>38</v>
      </c>
    </row>
    <row r="336" spans="2:2" x14ac:dyDescent="0.2">
      <c r="B336">
        <v>16</v>
      </c>
    </row>
    <row r="337" spans="2:2" hidden="1" x14ac:dyDescent="0.2">
      <c r="B337" t="str">
        <v/>
      </c>
    </row>
    <row r="338" spans="2:2" hidden="1" x14ac:dyDescent="0.2">
      <c r="B338" t="str">
        <v/>
      </c>
    </row>
    <row r="339" spans="2:2" x14ac:dyDescent="0.2">
      <c r="B339">
        <v>29</v>
      </c>
    </row>
    <row r="340" spans="2:2" x14ac:dyDescent="0.2">
      <c r="B340">
        <v>41</v>
      </c>
    </row>
    <row r="341" spans="2:2" x14ac:dyDescent="0.2">
      <c r="B341">
        <v>45</v>
      </c>
    </row>
    <row r="342" spans="2:2" x14ac:dyDescent="0.2">
      <c r="B342">
        <v>45</v>
      </c>
    </row>
    <row r="343" spans="2:2" x14ac:dyDescent="0.2">
      <c r="B343">
        <v>2</v>
      </c>
    </row>
    <row r="344" spans="2:2" x14ac:dyDescent="0.2">
      <c r="B344">
        <v>24</v>
      </c>
    </row>
    <row r="345" spans="2:2" x14ac:dyDescent="0.2">
      <c r="B345">
        <v>28</v>
      </c>
    </row>
    <row r="346" spans="2:2" x14ac:dyDescent="0.2">
      <c r="B346">
        <v>25</v>
      </c>
    </row>
    <row r="347" spans="2:2" x14ac:dyDescent="0.2">
      <c r="B347">
        <v>36</v>
      </c>
    </row>
    <row r="348" spans="2:2" x14ac:dyDescent="0.2">
      <c r="B348">
        <v>24</v>
      </c>
    </row>
    <row r="349" spans="2:2" x14ac:dyDescent="0.2">
      <c r="B349">
        <v>40</v>
      </c>
    </row>
    <row r="350" spans="2:2" hidden="1" x14ac:dyDescent="0.2">
      <c r="B350" t="str">
        <v/>
      </c>
    </row>
    <row r="351" spans="2:2" x14ac:dyDescent="0.2">
      <c r="B351">
        <v>3</v>
      </c>
    </row>
    <row r="352" spans="2:2" x14ac:dyDescent="0.2">
      <c r="B352">
        <v>42</v>
      </c>
    </row>
    <row r="353" spans="2:2" x14ac:dyDescent="0.2">
      <c r="B353">
        <v>23</v>
      </c>
    </row>
    <row r="354" spans="2:2" hidden="1" x14ac:dyDescent="0.2">
      <c r="B354" t="str">
        <v/>
      </c>
    </row>
    <row r="355" spans="2:2" x14ac:dyDescent="0.2">
      <c r="B355">
        <v>15</v>
      </c>
    </row>
    <row r="356" spans="2:2" x14ac:dyDescent="0.2">
      <c r="B356">
        <v>25</v>
      </c>
    </row>
    <row r="357" spans="2:2" hidden="1" x14ac:dyDescent="0.2">
      <c r="B357" t="str">
        <v/>
      </c>
    </row>
    <row r="358" spans="2:2" x14ac:dyDescent="0.2">
      <c r="B358">
        <v>28</v>
      </c>
    </row>
    <row r="359" spans="2:2" x14ac:dyDescent="0.2">
      <c r="B359">
        <v>22</v>
      </c>
    </row>
    <row r="360" spans="2:2" x14ac:dyDescent="0.2">
      <c r="B360">
        <v>38</v>
      </c>
    </row>
    <row r="361" spans="2:2" hidden="1" x14ac:dyDescent="0.2">
      <c r="B361" t="str">
        <v/>
      </c>
    </row>
    <row r="362" spans="2:2" hidden="1" x14ac:dyDescent="0.2">
      <c r="B362" t="str">
        <v/>
      </c>
    </row>
    <row r="363" spans="2:2" x14ac:dyDescent="0.2">
      <c r="B363">
        <v>40</v>
      </c>
    </row>
    <row r="364" spans="2:2" x14ac:dyDescent="0.2">
      <c r="B364">
        <v>29</v>
      </c>
    </row>
    <row r="365" spans="2:2" x14ac:dyDescent="0.2">
      <c r="B365">
        <v>45</v>
      </c>
    </row>
    <row r="366" spans="2:2" x14ac:dyDescent="0.2">
      <c r="B366">
        <v>35</v>
      </c>
    </row>
    <row r="367" spans="2:2" hidden="1" x14ac:dyDescent="0.2">
      <c r="B367" t="str">
        <v/>
      </c>
    </row>
    <row r="368" spans="2:2" x14ac:dyDescent="0.2">
      <c r="B368">
        <v>30</v>
      </c>
    </row>
    <row r="369" spans="2:2" x14ac:dyDescent="0.2">
      <c r="B369">
        <v>60</v>
      </c>
    </row>
    <row r="370" spans="2:2" hidden="1" x14ac:dyDescent="0.2">
      <c r="B370" t="str">
        <v/>
      </c>
    </row>
    <row r="371" spans="2:2" hidden="1" x14ac:dyDescent="0.2">
      <c r="B371" t="str">
        <v/>
      </c>
    </row>
    <row r="372" spans="2:2" x14ac:dyDescent="0.2">
      <c r="B372">
        <v>24</v>
      </c>
    </row>
    <row r="373" spans="2:2" x14ac:dyDescent="0.2">
      <c r="B373">
        <v>25</v>
      </c>
    </row>
    <row r="374" spans="2:2" x14ac:dyDescent="0.2">
      <c r="B374">
        <v>18</v>
      </c>
    </row>
    <row r="375" spans="2:2" x14ac:dyDescent="0.2">
      <c r="B375">
        <v>19</v>
      </c>
    </row>
    <row r="376" spans="2:2" x14ac:dyDescent="0.2">
      <c r="B376">
        <v>22</v>
      </c>
    </row>
    <row r="377" spans="2:2" x14ac:dyDescent="0.2">
      <c r="B377">
        <v>3</v>
      </c>
    </row>
    <row r="378" spans="2:2" hidden="1" x14ac:dyDescent="0.2">
      <c r="B378" t="str">
        <v/>
      </c>
    </row>
    <row r="379" spans="2:2" x14ac:dyDescent="0.2">
      <c r="B379">
        <v>22</v>
      </c>
    </row>
    <row r="380" spans="2:2" x14ac:dyDescent="0.2">
      <c r="B380">
        <v>27</v>
      </c>
    </row>
    <row r="381" spans="2:2" x14ac:dyDescent="0.2">
      <c r="B381">
        <v>20</v>
      </c>
    </row>
    <row r="382" spans="2:2" x14ac:dyDescent="0.2">
      <c r="B382">
        <v>19</v>
      </c>
    </row>
    <row r="383" spans="2:2" x14ac:dyDescent="0.2">
      <c r="B383">
        <v>42</v>
      </c>
    </row>
    <row r="384" spans="2:2" x14ac:dyDescent="0.2">
      <c r="B384">
        <v>1</v>
      </c>
    </row>
    <row r="385" spans="2:2" x14ac:dyDescent="0.2">
      <c r="B385">
        <v>32</v>
      </c>
    </row>
    <row r="386" spans="2:2" x14ac:dyDescent="0.2">
      <c r="B386">
        <v>35</v>
      </c>
    </row>
    <row r="387" spans="2:2" hidden="1" x14ac:dyDescent="0.2">
      <c r="B387" t="str">
        <v/>
      </c>
    </row>
    <row r="388" spans="2:2" x14ac:dyDescent="0.2">
      <c r="B388">
        <v>18</v>
      </c>
    </row>
    <row r="389" spans="2:2" x14ac:dyDescent="0.2">
      <c r="B389">
        <v>1</v>
      </c>
    </row>
    <row r="390" spans="2:2" x14ac:dyDescent="0.2">
      <c r="B390">
        <v>36</v>
      </c>
    </row>
    <row r="391" spans="2:2" hidden="1" x14ac:dyDescent="0.2">
      <c r="B391" t="str">
        <v/>
      </c>
    </row>
    <row r="392" spans="2:2" x14ac:dyDescent="0.2">
      <c r="B392">
        <v>17</v>
      </c>
    </row>
    <row r="393" spans="2:2" x14ac:dyDescent="0.2">
      <c r="B393">
        <v>36</v>
      </c>
    </row>
    <row r="394" spans="2:2" x14ac:dyDescent="0.2">
      <c r="B394">
        <v>21</v>
      </c>
    </row>
    <row r="395" spans="2:2" x14ac:dyDescent="0.2">
      <c r="B395">
        <v>28</v>
      </c>
    </row>
    <row r="396" spans="2:2" x14ac:dyDescent="0.2">
      <c r="B396">
        <v>23</v>
      </c>
    </row>
    <row r="397" spans="2:2" x14ac:dyDescent="0.2">
      <c r="B397">
        <v>24</v>
      </c>
    </row>
    <row r="398" spans="2:2" x14ac:dyDescent="0.2">
      <c r="B398">
        <v>22</v>
      </c>
    </row>
    <row r="399" spans="2:2" x14ac:dyDescent="0.2">
      <c r="B399">
        <v>31</v>
      </c>
    </row>
    <row r="400" spans="2:2" x14ac:dyDescent="0.2">
      <c r="B400">
        <v>46</v>
      </c>
    </row>
    <row r="401" spans="2:2" x14ac:dyDescent="0.2">
      <c r="B401">
        <v>23</v>
      </c>
    </row>
    <row r="402" spans="2:2" x14ac:dyDescent="0.2">
      <c r="B402">
        <v>28</v>
      </c>
    </row>
    <row r="403" spans="2:2" x14ac:dyDescent="0.2">
      <c r="B403">
        <v>39</v>
      </c>
    </row>
    <row r="404" spans="2:2" x14ac:dyDescent="0.2">
      <c r="B404">
        <v>26</v>
      </c>
    </row>
    <row r="405" spans="2:2" x14ac:dyDescent="0.2">
      <c r="B405">
        <v>21</v>
      </c>
    </row>
    <row r="406" spans="2:2" x14ac:dyDescent="0.2">
      <c r="B406">
        <v>28</v>
      </c>
    </row>
    <row r="407" spans="2:2" x14ac:dyDescent="0.2">
      <c r="B407">
        <v>20</v>
      </c>
    </row>
    <row r="408" spans="2:2" x14ac:dyDescent="0.2">
      <c r="B408">
        <v>34</v>
      </c>
    </row>
    <row r="409" spans="2:2" x14ac:dyDescent="0.2">
      <c r="B409">
        <v>51</v>
      </c>
    </row>
    <row r="410" spans="2:2" x14ac:dyDescent="0.2">
      <c r="B410">
        <v>3</v>
      </c>
    </row>
    <row r="411" spans="2:2" x14ac:dyDescent="0.2">
      <c r="B411">
        <v>21</v>
      </c>
    </row>
    <row r="412" spans="2:2" hidden="1" x14ac:dyDescent="0.2">
      <c r="B412" t="str">
        <v/>
      </c>
    </row>
    <row r="413" spans="2:2" hidden="1" x14ac:dyDescent="0.2">
      <c r="B413" t="str">
        <v/>
      </c>
    </row>
    <row r="414" spans="2:2" hidden="1" x14ac:dyDescent="0.2">
      <c r="B414" t="str">
        <v/>
      </c>
    </row>
    <row r="415" spans="2:2" x14ac:dyDescent="0.2">
      <c r="B415">
        <v>33</v>
      </c>
    </row>
    <row r="416" spans="2:2" hidden="1" x14ac:dyDescent="0.2">
      <c r="B416" t="str">
        <v/>
      </c>
    </row>
    <row r="417" spans="2:2" x14ac:dyDescent="0.2">
      <c r="B417">
        <v>44</v>
      </c>
    </row>
    <row r="418" spans="2:2" hidden="1" x14ac:dyDescent="0.2">
      <c r="B418" t="str">
        <v/>
      </c>
    </row>
    <row r="419" spans="2:2" x14ac:dyDescent="0.2">
      <c r="B419">
        <v>34</v>
      </c>
    </row>
    <row r="420" spans="2:2" x14ac:dyDescent="0.2">
      <c r="B420">
        <v>18</v>
      </c>
    </row>
    <row r="421" spans="2:2" x14ac:dyDescent="0.2">
      <c r="B421">
        <v>30</v>
      </c>
    </row>
    <row r="422" spans="2:2" x14ac:dyDescent="0.2">
      <c r="B422">
        <v>10</v>
      </c>
    </row>
    <row r="423" spans="2:2" hidden="1" x14ac:dyDescent="0.2">
      <c r="B423" t="str">
        <v/>
      </c>
    </row>
    <row r="424" spans="2:2" x14ac:dyDescent="0.2">
      <c r="B424">
        <v>21</v>
      </c>
    </row>
    <row r="425" spans="2:2" x14ac:dyDescent="0.2">
      <c r="B425">
        <v>29</v>
      </c>
    </row>
    <row r="426" spans="2:2" x14ac:dyDescent="0.2">
      <c r="B426">
        <v>28</v>
      </c>
    </row>
    <row r="427" spans="2:2" x14ac:dyDescent="0.2">
      <c r="B427">
        <v>18</v>
      </c>
    </row>
    <row r="428" spans="2:2" hidden="1" x14ac:dyDescent="0.2">
      <c r="B428" t="str">
        <v/>
      </c>
    </row>
    <row r="429" spans="2:2" x14ac:dyDescent="0.2">
      <c r="B429">
        <v>28</v>
      </c>
    </row>
    <row r="430" spans="2:2" x14ac:dyDescent="0.2">
      <c r="B430">
        <v>19</v>
      </c>
    </row>
    <row r="431" spans="2:2" hidden="1" x14ac:dyDescent="0.2">
      <c r="B431" t="str">
        <v/>
      </c>
    </row>
    <row r="432" spans="2:2" x14ac:dyDescent="0.2">
      <c r="B432">
        <v>32</v>
      </c>
    </row>
    <row r="433" spans="2:2" x14ac:dyDescent="0.2">
      <c r="B433">
        <v>28</v>
      </c>
    </row>
    <row r="434" spans="2:2" hidden="1" x14ac:dyDescent="0.2">
      <c r="B434" t="str">
        <v/>
      </c>
    </row>
    <row r="435" spans="2:2" x14ac:dyDescent="0.2">
      <c r="B435">
        <v>42</v>
      </c>
    </row>
    <row r="436" spans="2:2" x14ac:dyDescent="0.2">
      <c r="B436">
        <v>17</v>
      </c>
    </row>
    <row r="437" spans="2:2" x14ac:dyDescent="0.2">
      <c r="B437">
        <v>50</v>
      </c>
    </row>
    <row r="438" spans="2:2" x14ac:dyDescent="0.2">
      <c r="B438">
        <v>14</v>
      </c>
    </row>
    <row r="439" spans="2:2" x14ac:dyDescent="0.2">
      <c r="B439">
        <v>21</v>
      </c>
    </row>
    <row r="440" spans="2:2" x14ac:dyDescent="0.2">
      <c r="B440">
        <v>24</v>
      </c>
    </row>
    <row r="441" spans="2:2" x14ac:dyDescent="0.2">
      <c r="B441">
        <v>64</v>
      </c>
    </row>
    <row r="442" spans="2:2" x14ac:dyDescent="0.2">
      <c r="B442">
        <v>31</v>
      </c>
    </row>
    <row r="443" spans="2:2" x14ac:dyDescent="0.2">
      <c r="B443">
        <v>45</v>
      </c>
    </row>
    <row r="444" spans="2:2" x14ac:dyDescent="0.2">
      <c r="B444">
        <v>20</v>
      </c>
    </row>
    <row r="445" spans="2:2" x14ac:dyDescent="0.2">
      <c r="B445">
        <v>25</v>
      </c>
    </row>
    <row r="446" spans="2:2" x14ac:dyDescent="0.2">
      <c r="B446">
        <v>28</v>
      </c>
    </row>
    <row r="447" spans="2:2" hidden="1" x14ac:dyDescent="0.2">
      <c r="B447" t="str">
        <v/>
      </c>
    </row>
    <row r="448" spans="2:2" x14ac:dyDescent="0.2">
      <c r="B448">
        <v>4</v>
      </c>
    </row>
    <row r="449" spans="2:2" x14ac:dyDescent="0.2">
      <c r="B449">
        <v>13</v>
      </c>
    </row>
    <row r="450" spans="2:2" x14ac:dyDescent="0.2">
      <c r="B450">
        <v>34</v>
      </c>
    </row>
    <row r="451" spans="2:2" x14ac:dyDescent="0.2">
      <c r="B451">
        <v>5</v>
      </c>
    </row>
    <row r="452" spans="2:2" x14ac:dyDescent="0.2">
      <c r="B452">
        <v>52</v>
      </c>
    </row>
    <row r="453" spans="2:2" x14ac:dyDescent="0.2">
      <c r="B453">
        <v>36</v>
      </c>
    </row>
    <row r="454" spans="2:2" hidden="1" x14ac:dyDescent="0.2">
      <c r="B454" t="str">
        <v/>
      </c>
    </row>
    <row r="455" spans="2:2" x14ac:dyDescent="0.2">
      <c r="B455">
        <v>30</v>
      </c>
    </row>
    <row r="456" spans="2:2" x14ac:dyDescent="0.2">
      <c r="B456">
        <v>49</v>
      </c>
    </row>
    <row r="457" spans="2:2" hidden="1" x14ac:dyDescent="0.2">
      <c r="B457" t="str">
        <v/>
      </c>
    </row>
    <row r="458" spans="2:2" x14ac:dyDescent="0.2">
      <c r="B458">
        <v>29</v>
      </c>
    </row>
    <row r="459" spans="2:2" x14ac:dyDescent="0.2">
      <c r="B459">
        <v>65</v>
      </c>
    </row>
    <row r="460" spans="2:2" hidden="1" x14ac:dyDescent="0.2">
      <c r="B460" t="str">
        <v/>
      </c>
    </row>
    <row r="461" spans="2:2" x14ac:dyDescent="0.2">
      <c r="B461">
        <v>50</v>
      </c>
    </row>
    <row r="462" spans="2:2" hidden="1" x14ac:dyDescent="0.2">
      <c r="B462" t="str">
        <v/>
      </c>
    </row>
    <row r="463" spans="2:2" x14ac:dyDescent="0.2">
      <c r="B463">
        <v>48</v>
      </c>
    </row>
    <row r="464" spans="2:2" x14ac:dyDescent="0.2">
      <c r="B464">
        <v>34</v>
      </c>
    </row>
    <row r="465" spans="2:2" x14ac:dyDescent="0.2">
      <c r="B465">
        <v>47</v>
      </c>
    </row>
    <row r="466" spans="2:2" x14ac:dyDescent="0.2">
      <c r="B466">
        <v>48</v>
      </c>
    </row>
    <row r="467" spans="2:2" hidden="1" x14ac:dyDescent="0.2">
      <c r="B467" t="str">
        <v/>
      </c>
    </row>
    <row r="468" spans="2:2" x14ac:dyDescent="0.2">
      <c r="B468">
        <v>38</v>
      </c>
    </row>
    <row r="469" spans="2:2" hidden="1" x14ac:dyDescent="0.2">
      <c r="B469" t="str">
        <v/>
      </c>
    </row>
    <row r="470" spans="2:2" x14ac:dyDescent="0.2">
      <c r="B470">
        <v>56</v>
      </c>
    </row>
    <row r="471" spans="2:2" hidden="1" x14ac:dyDescent="0.2">
      <c r="B471" t="str">
        <v/>
      </c>
    </row>
    <row r="472" spans="2:2" x14ac:dyDescent="0.2">
      <c r="B472">
        <v>75</v>
      </c>
    </row>
    <row r="473" spans="2:2" hidden="1" x14ac:dyDescent="0.2">
      <c r="B473" t="str">
        <v/>
      </c>
    </row>
    <row r="474" spans="2:2" x14ac:dyDescent="0.2">
      <c r="B474">
        <v>38</v>
      </c>
    </row>
    <row r="475" spans="2:2" x14ac:dyDescent="0.2">
      <c r="B475">
        <v>33</v>
      </c>
    </row>
    <row r="476" spans="2:2" x14ac:dyDescent="0.2">
      <c r="B476">
        <v>23</v>
      </c>
    </row>
    <row r="477" spans="2:2" x14ac:dyDescent="0.2">
      <c r="B477">
        <v>22</v>
      </c>
    </row>
    <row r="478" spans="2:2" hidden="1" x14ac:dyDescent="0.2">
      <c r="B478" t="str">
        <v/>
      </c>
    </row>
    <row r="479" spans="2:2" x14ac:dyDescent="0.2">
      <c r="B479">
        <v>34</v>
      </c>
    </row>
    <row r="480" spans="2:2" x14ac:dyDescent="0.2">
      <c r="B480">
        <v>29</v>
      </c>
    </row>
    <row r="481" spans="2:2" x14ac:dyDescent="0.2">
      <c r="B481">
        <v>22</v>
      </c>
    </row>
    <row r="482" spans="2:2" x14ac:dyDescent="0.2">
      <c r="B482">
        <v>2</v>
      </c>
    </row>
    <row r="483" spans="2:2" x14ac:dyDescent="0.2">
      <c r="B483">
        <v>9</v>
      </c>
    </row>
    <row r="484" spans="2:2" hidden="1" x14ac:dyDescent="0.2">
      <c r="B484" t="str">
        <v/>
      </c>
    </row>
    <row r="485" spans="2:2" x14ac:dyDescent="0.2">
      <c r="B485">
        <v>50</v>
      </c>
    </row>
    <row r="486" spans="2:2" x14ac:dyDescent="0.2">
      <c r="B486">
        <v>63</v>
      </c>
    </row>
    <row r="487" spans="2:2" x14ac:dyDescent="0.2">
      <c r="B487">
        <v>25</v>
      </c>
    </row>
    <row r="488" spans="2:2" hidden="1" x14ac:dyDescent="0.2">
      <c r="B488" t="str">
        <v/>
      </c>
    </row>
    <row r="489" spans="2:2" x14ac:dyDescent="0.2">
      <c r="B489">
        <v>35</v>
      </c>
    </row>
    <row r="490" spans="2:2" x14ac:dyDescent="0.2">
      <c r="B490">
        <v>58</v>
      </c>
    </row>
    <row r="491" spans="2:2" x14ac:dyDescent="0.2">
      <c r="B491">
        <v>30</v>
      </c>
    </row>
    <row r="492" spans="2:2" x14ac:dyDescent="0.2">
      <c r="B492">
        <v>9</v>
      </c>
    </row>
    <row r="493" spans="2:2" hidden="1" x14ac:dyDescent="0.2">
      <c r="B493" t="str">
        <v/>
      </c>
    </row>
    <row r="494" spans="2:2" x14ac:dyDescent="0.2">
      <c r="B494">
        <v>21</v>
      </c>
    </row>
    <row r="495" spans="2:2" x14ac:dyDescent="0.2">
      <c r="B495">
        <v>55</v>
      </c>
    </row>
    <row r="496" spans="2:2" x14ac:dyDescent="0.2">
      <c r="B496">
        <v>71</v>
      </c>
    </row>
    <row r="497" spans="2:2" x14ac:dyDescent="0.2">
      <c r="B497">
        <v>21</v>
      </c>
    </row>
    <row r="498" spans="2:2" hidden="1" x14ac:dyDescent="0.2">
      <c r="B498" t="str">
        <v/>
      </c>
    </row>
    <row r="499" spans="2:2" x14ac:dyDescent="0.2">
      <c r="B499">
        <v>54</v>
      </c>
    </row>
    <row r="500" spans="2:2" hidden="1" x14ac:dyDescent="0.2">
      <c r="B500" t="str">
        <v/>
      </c>
    </row>
    <row r="501" spans="2:2" x14ac:dyDescent="0.2">
      <c r="B501">
        <v>25</v>
      </c>
    </row>
    <row r="502" spans="2:2" x14ac:dyDescent="0.2">
      <c r="B502">
        <v>24</v>
      </c>
    </row>
    <row r="503" spans="2:2" x14ac:dyDescent="0.2">
      <c r="B503">
        <v>17</v>
      </c>
    </row>
    <row r="504" spans="2:2" x14ac:dyDescent="0.2">
      <c r="B504">
        <v>21</v>
      </c>
    </row>
    <row r="505" spans="2:2" hidden="1" x14ac:dyDescent="0.2">
      <c r="B505" t="str">
        <v/>
      </c>
    </row>
    <row r="506" spans="2:2" x14ac:dyDescent="0.2">
      <c r="B506">
        <v>37</v>
      </c>
    </row>
    <row r="507" spans="2:2" x14ac:dyDescent="0.2">
      <c r="B507">
        <v>16</v>
      </c>
    </row>
    <row r="508" spans="2:2" x14ac:dyDescent="0.2">
      <c r="B508">
        <v>18</v>
      </c>
    </row>
    <row r="509" spans="2:2" x14ac:dyDescent="0.2">
      <c r="B509">
        <v>33</v>
      </c>
    </row>
    <row r="510" spans="2:2" hidden="1" x14ac:dyDescent="0.2">
      <c r="B510" t="str">
        <v/>
      </c>
    </row>
    <row r="511" spans="2:2" x14ac:dyDescent="0.2">
      <c r="B511">
        <v>28</v>
      </c>
    </row>
    <row r="512" spans="2:2" x14ac:dyDescent="0.2">
      <c r="B512">
        <v>26</v>
      </c>
    </row>
    <row r="513" spans="2:2" x14ac:dyDescent="0.2">
      <c r="B513">
        <v>29</v>
      </c>
    </row>
    <row r="514" spans="2:2" hidden="1" x14ac:dyDescent="0.2">
      <c r="B514" t="str">
        <v/>
      </c>
    </row>
    <row r="515" spans="2:2" x14ac:dyDescent="0.2">
      <c r="B515">
        <v>36</v>
      </c>
    </row>
    <row r="516" spans="2:2" x14ac:dyDescent="0.2">
      <c r="B516">
        <v>54</v>
      </c>
    </row>
    <row r="517" spans="2:2" x14ac:dyDescent="0.2">
      <c r="B517">
        <v>24</v>
      </c>
    </row>
    <row r="518" spans="2:2" x14ac:dyDescent="0.2">
      <c r="B518">
        <v>47</v>
      </c>
    </row>
    <row r="519" spans="2:2" x14ac:dyDescent="0.2">
      <c r="B519">
        <v>34</v>
      </c>
    </row>
    <row r="520" spans="2:2" hidden="1" x14ac:dyDescent="0.2">
      <c r="B520" t="str">
        <v/>
      </c>
    </row>
    <row r="521" spans="2:2" x14ac:dyDescent="0.2">
      <c r="B521">
        <v>36</v>
      </c>
    </row>
    <row r="522" spans="2:2" x14ac:dyDescent="0.2">
      <c r="B522">
        <v>32</v>
      </c>
    </row>
    <row r="523" spans="2:2" x14ac:dyDescent="0.2">
      <c r="B523">
        <v>30</v>
      </c>
    </row>
    <row r="524" spans="2:2" x14ac:dyDescent="0.2">
      <c r="B524">
        <v>22</v>
      </c>
    </row>
    <row r="525" spans="2:2" hidden="1" x14ac:dyDescent="0.2">
      <c r="B525" t="str">
        <v/>
      </c>
    </row>
    <row r="526" spans="2:2" x14ac:dyDescent="0.2">
      <c r="B526">
        <v>44</v>
      </c>
    </row>
    <row r="527" spans="2:2" hidden="1" x14ac:dyDescent="0.2">
      <c r="B527" t="str">
        <v/>
      </c>
    </row>
    <row r="528" spans="2:2" x14ac:dyDescent="0.2">
      <c r="B528">
        <v>40.5</v>
      </c>
    </row>
    <row r="529" spans="2:2" x14ac:dyDescent="0.2">
      <c r="B529">
        <v>50</v>
      </c>
    </row>
    <row r="530" spans="2:2" hidden="1" x14ac:dyDescent="0.2">
      <c r="B530" t="str">
        <v/>
      </c>
    </row>
    <row r="531" spans="2:2" x14ac:dyDescent="0.2">
      <c r="B531">
        <v>39</v>
      </c>
    </row>
    <row r="532" spans="2:2" x14ac:dyDescent="0.2">
      <c r="B532">
        <v>23</v>
      </c>
    </row>
    <row r="533" spans="2:2" x14ac:dyDescent="0.2">
      <c r="B533">
        <v>2</v>
      </c>
    </row>
    <row r="534" spans="2:2" hidden="1" x14ac:dyDescent="0.2">
      <c r="B534" t="str">
        <v/>
      </c>
    </row>
    <row r="535" spans="2:2" x14ac:dyDescent="0.2">
      <c r="B535">
        <v>17</v>
      </c>
    </row>
    <row r="536" spans="2:2" hidden="1" x14ac:dyDescent="0.2">
      <c r="B536" t="str">
        <v/>
      </c>
    </row>
    <row r="537" spans="2:2" x14ac:dyDescent="0.2">
      <c r="B537">
        <v>30</v>
      </c>
    </row>
    <row r="538" spans="2:2" x14ac:dyDescent="0.2">
      <c r="B538">
        <v>7</v>
      </c>
    </row>
    <row r="539" spans="2:2" x14ac:dyDescent="0.2">
      <c r="B539">
        <v>45</v>
      </c>
    </row>
    <row r="540" spans="2:2" x14ac:dyDescent="0.2">
      <c r="B540">
        <v>30</v>
      </c>
    </row>
    <row r="541" spans="2:2" hidden="1" x14ac:dyDescent="0.2">
      <c r="B541" t="str">
        <v/>
      </c>
    </row>
    <row r="542" spans="2:2" x14ac:dyDescent="0.2">
      <c r="B542">
        <v>22</v>
      </c>
    </row>
    <row r="543" spans="2:2" x14ac:dyDescent="0.2">
      <c r="B543">
        <v>36</v>
      </c>
    </row>
    <row r="544" spans="2:2" x14ac:dyDescent="0.2">
      <c r="B544">
        <v>9</v>
      </c>
    </row>
    <row r="545" spans="2:2" x14ac:dyDescent="0.2">
      <c r="B545">
        <v>11</v>
      </c>
    </row>
    <row r="546" spans="2:2" x14ac:dyDescent="0.2">
      <c r="B546">
        <v>32</v>
      </c>
    </row>
    <row r="547" spans="2:2" x14ac:dyDescent="0.2">
      <c r="B547">
        <v>50</v>
      </c>
    </row>
    <row r="548" spans="2:2" x14ac:dyDescent="0.2">
      <c r="B548">
        <v>64</v>
      </c>
    </row>
    <row r="549" spans="2:2" x14ac:dyDescent="0.2">
      <c r="B549">
        <v>19</v>
      </c>
    </row>
    <row r="550" spans="2:2" hidden="1" x14ac:dyDescent="0.2">
      <c r="B550" t="str">
        <v/>
      </c>
    </row>
    <row r="551" spans="2:2" x14ac:dyDescent="0.2">
      <c r="B551">
        <v>33</v>
      </c>
    </row>
    <row r="552" spans="2:2" x14ac:dyDescent="0.2">
      <c r="B552">
        <v>8</v>
      </c>
    </row>
    <row r="553" spans="2:2" x14ac:dyDescent="0.2">
      <c r="B553">
        <v>17</v>
      </c>
    </row>
    <row r="554" spans="2:2" x14ac:dyDescent="0.2">
      <c r="B554">
        <v>27</v>
      </c>
    </row>
    <row r="555" spans="2:2" hidden="1" x14ac:dyDescent="0.2">
      <c r="B555" t="str">
        <v/>
      </c>
    </row>
    <row r="556" spans="2:2" x14ac:dyDescent="0.2">
      <c r="B556">
        <v>22</v>
      </c>
    </row>
    <row r="557" spans="2:2" x14ac:dyDescent="0.2">
      <c r="B557">
        <v>22</v>
      </c>
    </row>
    <row r="558" spans="2:2" x14ac:dyDescent="0.2">
      <c r="B558">
        <v>62</v>
      </c>
    </row>
    <row r="559" spans="2:2" x14ac:dyDescent="0.2">
      <c r="B559">
        <v>48</v>
      </c>
    </row>
    <row r="560" spans="2:2" hidden="1" x14ac:dyDescent="0.2">
      <c r="B560" t="str">
        <v/>
      </c>
    </row>
    <row r="561" spans="2:2" x14ac:dyDescent="0.2">
      <c r="B561">
        <v>39</v>
      </c>
    </row>
    <row r="562" spans="2:2" x14ac:dyDescent="0.2">
      <c r="B562">
        <v>36</v>
      </c>
    </row>
    <row r="563" spans="2:2" hidden="1" x14ac:dyDescent="0.2">
      <c r="B563" t="str">
        <v/>
      </c>
    </row>
    <row r="564" spans="2:2" x14ac:dyDescent="0.2">
      <c r="B564">
        <v>40</v>
      </c>
    </row>
    <row r="565" spans="2:2" x14ac:dyDescent="0.2">
      <c r="B565">
        <v>28</v>
      </c>
    </row>
    <row r="566" spans="2:2" hidden="1" x14ac:dyDescent="0.2">
      <c r="B566" t="str">
        <v/>
      </c>
    </row>
    <row r="567" spans="2:2" hidden="1" x14ac:dyDescent="0.2">
      <c r="B567" t="str">
        <v/>
      </c>
    </row>
    <row r="568" spans="2:2" x14ac:dyDescent="0.2">
      <c r="B568">
        <v>24</v>
      </c>
    </row>
    <row r="569" spans="2:2" x14ac:dyDescent="0.2">
      <c r="B569">
        <v>19</v>
      </c>
    </row>
    <row r="570" spans="2:2" x14ac:dyDescent="0.2">
      <c r="B570">
        <v>29</v>
      </c>
    </row>
    <row r="571" spans="2:2" hidden="1" x14ac:dyDescent="0.2">
      <c r="B571" t="str">
        <v/>
      </c>
    </row>
    <row r="572" spans="2:2" x14ac:dyDescent="0.2">
      <c r="B572">
        <v>32</v>
      </c>
    </row>
    <row r="573" spans="2:2" x14ac:dyDescent="0.2">
      <c r="B573">
        <v>62</v>
      </c>
    </row>
    <row r="574" spans="2:2" x14ac:dyDescent="0.2">
      <c r="B574">
        <v>53</v>
      </c>
    </row>
    <row r="575" spans="2:2" x14ac:dyDescent="0.2">
      <c r="B575">
        <v>36</v>
      </c>
    </row>
    <row r="576" spans="2:2" hidden="1" x14ac:dyDescent="0.2">
      <c r="B576" t="str">
        <v/>
      </c>
    </row>
    <row r="577" spans="2:2" x14ac:dyDescent="0.2">
      <c r="B577">
        <v>16</v>
      </c>
    </row>
    <row r="578" spans="2:2" x14ac:dyDescent="0.2">
      <c r="B578">
        <v>19</v>
      </c>
    </row>
    <row r="579" spans="2:2" x14ac:dyDescent="0.2">
      <c r="B579">
        <v>34</v>
      </c>
    </row>
    <row r="580" spans="2:2" x14ac:dyDescent="0.2">
      <c r="B580">
        <v>39</v>
      </c>
    </row>
    <row r="581" spans="2:2" hidden="1" x14ac:dyDescent="0.2">
      <c r="B581" t="str">
        <v/>
      </c>
    </row>
    <row r="582" spans="2:2" x14ac:dyDescent="0.2">
      <c r="B582">
        <v>32</v>
      </c>
    </row>
    <row r="583" spans="2:2" x14ac:dyDescent="0.2">
      <c r="B583">
        <v>25</v>
      </c>
    </row>
    <row r="584" spans="2:2" x14ac:dyDescent="0.2">
      <c r="B584">
        <v>39</v>
      </c>
    </row>
    <row r="585" spans="2:2" x14ac:dyDescent="0.2">
      <c r="B585">
        <v>54</v>
      </c>
    </row>
    <row r="586" spans="2:2" x14ac:dyDescent="0.2">
      <c r="B586">
        <v>36</v>
      </c>
    </row>
    <row r="587" spans="2:2" hidden="1" x14ac:dyDescent="0.2">
      <c r="B587" t="str">
        <v/>
      </c>
    </row>
    <row r="588" spans="2:2" x14ac:dyDescent="0.2">
      <c r="B588">
        <v>18</v>
      </c>
    </row>
    <row r="589" spans="2:2" x14ac:dyDescent="0.2">
      <c r="B589">
        <v>47</v>
      </c>
    </row>
    <row r="590" spans="2:2" x14ac:dyDescent="0.2">
      <c r="B590">
        <v>60</v>
      </c>
    </row>
    <row r="591" spans="2:2" x14ac:dyDescent="0.2">
      <c r="B591">
        <v>22</v>
      </c>
    </row>
    <row r="592" spans="2:2" hidden="1" x14ac:dyDescent="0.2">
      <c r="B592" t="str">
        <v/>
      </c>
    </row>
    <row r="593" spans="2:2" x14ac:dyDescent="0.2">
      <c r="B593">
        <v>35</v>
      </c>
    </row>
    <row r="594" spans="2:2" x14ac:dyDescent="0.2">
      <c r="B594">
        <v>52</v>
      </c>
    </row>
    <row r="595" spans="2:2" x14ac:dyDescent="0.2">
      <c r="B595">
        <v>47</v>
      </c>
    </row>
    <row r="596" spans="2:2" hidden="1" x14ac:dyDescent="0.2">
      <c r="B596" t="str">
        <v/>
      </c>
    </row>
    <row r="597" spans="2:2" x14ac:dyDescent="0.2">
      <c r="B597">
        <v>37</v>
      </c>
    </row>
    <row r="598" spans="2:2" x14ac:dyDescent="0.2">
      <c r="B598">
        <v>36</v>
      </c>
    </row>
    <row r="599" spans="2:2" hidden="1" x14ac:dyDescent="0.2">
      <c r="B599" t="str">
        <v/>
      </c>
    </row>
    <row r="600" spans="2:2" x14ac:dyDescent="0.2">
      <c r="B600">
        <v>49</v>
      </c>
    </row>
    <row r="601" spans="2:2" hidden="1" x14ac:dyDescent="0.2">
      <c r="B601" t="str">
        <v/>
      </c>
    </row>
    <row r="602" spans="2:2" x14ac:dyDescent="0.2">
      <c r="B602">
        <v>49</v>
      </c>
    </row>
    <row r="603" spans="2:2" x14ac:dyDescent="0.2">
      <c r="B603">
        <v>24</v>
      </c>
    </row>
    <row r="604" spans="2:2" hidden="1" x14ac:dyDescent="0.2">
      <c r="B604" t="str">
        <v/>
      </c>
    </row>
    <row r="605" spans="2:2" hidden="1" x14ac:dyDescent="0.2">
      <c r="B605" t="str">
        <v/>
      </c>
    </row>
    <row r="606" spans="2:2" x14ac:dyDescent="0.2">
      <c r="B606">
        <v>44</v>
      </c>
    </row>
    <row r="607" spans="2:2" x14ac:dyDescent="0.2">
      <c r="B607">
        <v>35</v>
      </c>
    </row>
    <row r="608" spans="2:2" x14ac:dyDescent="0.2">
      <c r="B608">
        <v>36</v>
      </c>
    </row>
    <row r="609" spans="2:2" x14ac:dyDescent="0.2">
      <c r="B609">
        <v>30</v>
      </c>
    </row>
    <row r="610" spans="2:2" x14ac:dyDescent="0.2">
      <c r="B610">
        <v>27</v>
      </c>
    </row>
    <row r="611" spans="2:2" x14ac:dyDescent="0.2">
      <c r="B611">
        <v>22</v>
      </c>
    </row>
    <row r="612" spans="2:2" x14ac:dyDescent="0.2">
      <c r="B612">
        <v>40</v>
      </c>
    </row>
    <row r="613" spans="2:2" x14ac:dyDescent="0.2">
      <c r="B613">
        <v>39</v>
      </c>
    </row>
    <row r="614" spans="2:2" hidden="1" x14ac:dyDescent="0.2">
      <c r="B614" t="str">
        <v/>
      </c>
    </row>
    <row r="615" spans="2:2" hidden="1" x14ac:dyDescent="0.2">
      <c r="B615" t="str">
        <v/>
      </c>
    </row>
    <row r="616" spans="2:2" hidden="1" x14ac:dyDescent="0.2">
      <c r="B616" t="str">
        <v/>
      </c>
    </row>
    <row r="617" spans="2:2" x14ac:dyDescent="0.2">
      <c r="B617">
        <v>35</v>
      </c>
    </row>
    <row r="618" spans="2:2" x14ac:dyDescent="0.2">
      <c r="B618">
        <v>24</v>
      </c>
    </row>
    <row r="619" spans="2:2" x14ac:dyDescent="0.2">
      <c r="B619">
        <v>34</v>
      </c>
    </row>
    <row r="620" spans="2:2" x14ac:dyDescent="0.2">
      <c r="B620">
        <v>26</v>
      </c>
    </row>
    <row r="621" spans="2:2" x14ac:dyDescent="0.2">
      <c r="B621">
        <v>4</v>
      </c>
    </row>
    <row r="622" spans="2:2" x14ac:dyDescent="0.2">
      <c r="B622">
        <v>26</v>
      </c>
    </row>
    <row r="623" spans="2:2" x14ac:dyDescent="0.2">
      <c r="B623">
        <v>27</v>
      </c>
    </row>
    <row r="624" spans="2:2" x14ac:dyDescent="0.2">
      <c r="B624">
        <v>42</v>
      </c>
    </row>
    <row r="625" spans="2:2" x14ac:dyDescent="0.2">
      <c r="B625">
        <v>20</v>
      </c>
    </row>
    <row r="626" spans="2:2" x14ac:dyDescent="0.2">
      <c r="B626">
        <v>21</v>
      </c>
    </row>
    <row r="627" spans="2:2" x14ac:dyDescent="0.2">
      <c r="B627">
        <v>21</v>
      </c>
    </row>
    <row r="628" spans="2:2" x14ac:dyDescent="0.2">
      <c r="B628">
        <v>61</v>
      </c>
    </row>
    <row r="629" spans="2:2" x14ac:dyDescent="0.2">
      <c r="B629">
        <v>57</v>
      </c>
    </row>
    <row r="630" spans="2:2" x14ac:dyDescent="0.2">
      <c r="B630">
        <v>21</v>
      </c>
    </row>
    <row r="631" spans="2:2" x14ac:dyDescent="0.2">
      <c r="B631">
        <v>26</v>
      </c>
    </row>
    <row r="632" spans="2:2" hidden="1" x14ac:dyDescent="0.2">
      <c r="B632" t="str">
        <v/>
      </c>
    </row>
    <row r="633" spans="2:2" x14ac:dyDescent="0.2">
      <c r="B633">
        <v>80</v>
      </c>
    </row>
    <row r="634" spans="2:2" x14ac:dyDescent="0.2">
      <c r="B634">
        <v>51</v>
      </c>
    </row>
    <row r="635" spans="2:2" x14ac:dyDescent="0.2">
      <c r="B635">
        <v>32</v>
      </c>
    </row>
    <row r="636" spans="2:2" hidden="1" x14ac:dyDescent="0.2">
      <c r="B636" t="str">
        <v/>
      </c>
    </row>
    <row r="637" spans="2:2" x14ac:dyDescent="0.2">
      <c r="B637">
        <v>9</v>
      </c>
    </row>
    <row r="638" spans="2:2" x14ac:dyDescent="0.2">
      <c r="B638">
        <v>28</v>
      </c>
    </row>
    <row r="639" spans="2:2" x14ac:dyDescent="0.2">
      <c r="B639">
        <v>32</v>
      </c>
    </row>
    <row r="640" spans="2:2" x14ac:dyDescent="0.2">
      <c r="B640">
        <v>31</v>
      </c>
    </row>
    <row r="641" spans="2:2" x14ac:dyDescent="0.2">
      <c r="B641">
        <v>41</v>
      </c>
    </row>
    <row r="642" spans="2:2" hidden="1" x14ac:dyDescent="0.2">
      <c r="B642" t="str">
        <v/>
      </c>
    </row>
    <row r="643" spans="2:2" x14ac:dyDescent="0.2">
      <c r="B643">
        <v>20</v>
      </c>
    </row>
    <row r="644" spans="2:2" x14ac:dyDescent="0.2">
      <c r="B644">
        <v>24</v>
      </c>
    </row>
    <row r="645" spans="2:2" x14ac:dyDescent="0.2">
      <c r="B645">
        <v>2</v>
      </c>
    </row>
    <row r="646" spans="2:2" hidden="1" x14ac:dyDescent="0.2">
      <c r="B646" t="str">
        <v/>
      </c>
    </row>
    <row r="647" spans="2:2" x14ac:dyDescent="0.2">
      <c r="B647">
        <v>75</v>
      </c>
    </row>
    <row r="648" spans="2:2" x14ac:dyDescent="0.2">
      <c r="B648">
        <v>48</v>
      </c>
    </row>
    <row r="649" spans="2:2" x14ac:dyDescent="0.2">
      <c r="B649">
        <v>19</v>
      </c>
    </row>
    <row r="650" spans="2:2" x14ac:dyDescent="0.2">
      <c r="B650">
        <v>56</v>
      </c>
    </row>
    <row r="651" spans="2:2" hidden="1" x14ac:dyDescent="0.2">
      <c r="B651" t="str">
        <v/>
      </c>
    </row>
    <row r="652" spans="2:2" x14ac:dyDescent="0.2">
      <c r="B652">
        <v>23</v>
      </c>
    </row>
    <row r="653" spans="2:2" hidden="1" x14ac:dyDescent="0.2">
      <c r="B653" t="str">
        <v/>
      </c>
    </row>
    <row r="654" spans="2:2" x14ac:dyDescent="0.2">
      <c r="B654">
        <v>18</v>
      </c>
    </row>
    <row r="655" spans="2:2" x14ac:dyDescent="0.2">
      <c r="B655">
        <v>21</v>
      </c>
    </row>
    <row r="656" spans="2:2" hidden="1" x14ac:dyDescent="0.2">
      <c r="B656" t="str">
        <v/>
      </c>
    </row>
    <row r="657" spans="2:2" x14ac:dyDescent="0.2">
      <c r="B657">
        <v>18</v>
      </c>
    </row>
    <row r="658" spans="2:2" x14ac:dyDescent="0.2">
      <c r="B658">
        <v>24</v>
      </c>
    </row>
    <row r="659" spans="2:2" hidden="1" x14ac:dyDescent="0.2">
      <c r="B659" t="str">
        <v/>
      </c>
    </row>
    <row r="660" spans="2:2" x14ac:dyDescent="0.2">
      <c r="B660">
        <v>32</v>
      </c>
    </row>
    <row r="661" spans="2:2" x14ac:dyDescent="0.2">
      <c r="B661">
        <v>23</v>
      </c>
    </row>
    <row r="662" spans="2:2" x14ac:dyDescent="0.2">
      <c r="B662">
        <v>58</v>
      </c>
    </row>
    <row r="663" spans="2:2" x14ac:dyDescent="0.2">
      <c r="B663">
        <v>50</v>
      </c>
    </row>
    <row r="664" spans="2:2" x14ac:dyDescent="0.2">
      <c r="B664">
        <v>40</v>
      </c>
    </row>
    <row r="665" spans="2:2" x14ac:dyDescent="0.2">
      <c r="B665">
        <v>47</v>
      </c>
    </row>
    <row r="666" spans="2:2" x14ac:dyDescent="0.2">
      <c r="B666">
        <v>36</v>
      </c>
    </row>
    <row r="667" spans="2:2" x14ac:dyDescent="0.2">
      <c r="B667">
        <v>20</v>
      </c>
    </row>
    <row r="668" spans="2:2" x14ac:dyDescent="0.2">
      <c r="B668">
        <v>32</v>
      </c>
    </row>
    <row r="669" spans="2:2" x14ac:dyDescent="0.2">
      <c r="B669">
        <v>25</v>
      </c>
    </row>
    <row r="670" spans="2:2" hidden="1" x14ac:dyDescent="0.2">
      <c r="B670" t="str">
        <v/>
      </c>
    </row>
    <row r="671" spans="2:2" x14ac:dyDescent="0.2">
      <c r="B671">
        <v>43</v>
      </c>
    </row>
    <row r="672" spans="2:2" hidden="1" x14ac:dyDescent="0.2">
      <c r="B672" t="str">
        <v/>
      </c>
    </row>
    <row r="673" spans="2:2" x14ac:dyDescent="0.2">
      <c r="B673">
        <v>40</v>
      </c>
    </row>
    <row r="674" spans="2:2" x14ac:dyDescent="0.2">
      <c r="B674">
        <v>31</v>
      </c>
    </row>
    <row r="675" spans="2:2" x14ac:dyDescent="0.2">
      <c r="B675">
        <v>70</v>
      </c>
    </row>
    <row r="676" spans="2:2" x14ac:dyDescent="0.2">
      <c r="B676">
        <v>31</v>
      </c>
    </row>
    <row r="677" spans="2:2" hidden="1" x14ac:dyDescent="0.2">
      <c r="B677" t="str">
        <v/>
      </c>
    </row>
    <row r="678" spans="2:2" x14ac:dyDescent="0.2">
      <c r="B678">
        <v>18</v>
      </c>
    </row>
    <row r="679" spans="2:2" x14ac:dyDescent="0.2">
      <c r="B679">
        <v>24.5</v>
      </c>
    </row>
    <row r="680" spans="2:2" x14ac:dyDescent="0.2">
      <c r="B680">
        <v>18</v>
      </c>
    </row>
    <row r="681" spans="2:2" x14ac:dyDescent="0.2">
      <c r="B681">
        <v>43</v>
      </c>
    </row>
    <row r="682" spans="2:2" x14ac:dyDescent="0.2">
      <c r="B682">
        <v>36</v>
      </c>
    </row>
    <row r="683" spans="2:2" hidden="1" x14ac:dyDescent="0.2">
      <c r="B683" t="str">
        <v/>
      </c>
    </row>
    <row r="684" spans="2:2" x14ac:dyDescent="0.2">
      <c r="B684">
        <v>27</v>
      </c>
    </row>
    <row r="685" spans="2:2" x14ac:dyDescent="0.2">
      <c r="B685">
        <v>20</v>
      </c>
    </row>
    <row r="686" spans="2:2" x14ac:dyDescent="0.2">
      <c r="B686">
        <v>14</v>
      </c>
    </row>
    <row r="687" spans="2:2" x14ac:dyDescent="0.2">
      <c r="B687">
        <v>60</v>
      </c>
    </row>
    <row r="688" spans="2:2" x14ac:dyDescent="0.2">
      <c r="B688">
        <v>25</v>
      </c>
    </row>
    <row r="689" spans="2:2" x14ac:dyDescent="0.2">
      <c r="B689">
        <v>14</v>
      </c>
    </row>
    <row r="690" spans="2:2" x14ac:dyDescent="0.2">
      <c r="B690">
        <v>19</v>
      </c>
    </row>
    <row r="691" spans="2:2" x14ac:dyDescent="0.2">
      <c r="B691">
        <v>18</v>
      </c>
    </row>
    <row r="692" spans="2:2" x14ac:dyDescent="0.2">
      <c r="B692">
        <v>15</v>
      </c>
    </row>
    <row r="693" spans="2:2" x14ac:dyDescent="0.2">
      <c r="B693">
        <v>31</v>
      </c>
    </row>
    <row r="694" spans="2:2" x14ac:dyDescent="0.2">
      <c r="B694">
        <v>4</v>
      </c>
    </row>
    <row r="695" spans="2:2" hidden="1" x14ac:dyDescent="0.2">
      <c r="B695" t="str">
        <v/>
      </c>
    </row>
    <row r="696" spans="2:2" x14ac:dyDescent="0.2">
      <c r="B696">
        <v>25</v>
      </c>
    </row>
    <row r="697" spans="2:2" x14ac:dyDescent="0.2">
      <c r="B697">
        <v>60</v>
      </c>
    </row>
    <row r="698" spans="2:2" x14ac:dyDescent="0.2">
      <c r="B698">
        <v>52</v>
      </c>
    </row>
    <row r="699" spans="2:2" x14ac:dyDescent="0.2">
      <c r="B699">
        <v>44</v>
      </c>
    </row>
    <row r="700" spans="2:2" hidden="1" x14ac:dyDescent="0.2">
      <c r="B700" t="str">
        <v/>
      </c>
    </row>
    <row r="701" spans="2:2" x14ac:dyDescent="0.2">
      <c r="B701">
        <v>49</v>
      </c>
    </row>
    <row r="702" spans="2:2" x14ac:dyDescent="0.2">
      <c r="B702">
        <v>42</v>
      </c>
    </row>
    <row r="703" spans="2:2" x14ac:dyDescent="0.2">
      <c r="B703">
        <v>18</v>
      </c>
    </row>
    <row r="704" spans="2:2" x14ac:dyDescent="0.2">
      <c r="B704">
        <v>35</v>
      </c>
    </row>
    <row r="705" spans="2:2" x14ac:dyDescent="0.2">
      <c r="B705">
        <v>18</v>
      </c>
    </row>
    <row r="706" spans="2:2" x14ac:dyDescent="0.2">
      <c r="B706">
        <v>25</v>
      </c>
    </row>
    <row r="707" spans="2:2" x14ac:dyDescent="0.2">
      <c r="B707">
        <v>26</v>
      </c>
    </row>
    <row r="708" spans="2:2" x14ac:dyDescent="0.2">
      <c r="B708">
        <v>39</v>
      </c>
    </row>
    <row r="709" spans="2:2" x14ac:dyDescent="0.2">
      <c r="B709">
        <v>45</v>
      </c>
    </row>
    <row r="710" spans="2:2" x14ac:dyDescent="0.2">
      <c r="B710">
        <v>42</v>
      </c>
    </row>
    <row r="711" spans="2:2" x14ac:dyDescent="0.2">
      <c r="B711">
        <v>22</v>
      </c>
    </row>
    <row r="712" spans="2:2" hidden="1" x14ac:dyDescent="0.2">
      <c r="B712" t="str">
        <v/>
      </c>
    </row>
    <row r="713" spans="2:2" x14ac:dyDescent="0.2">
      <c r="B713">
        <v>24</v>
      </c>
    </row>
    <row r="714" spans="2:2" hidden="1" x14ac:dyDescent="0.2">
      <c r="B714" t="str">
        <v/>
      </c>
    </row>
    <row r="715" spans="2:2" x14ac:dyDescent="0.2">
      <c r="B715">
        <v>48</v>
      </c>
    </row>
    <row r="716" spans="2:2" x14ac:dyDescent="0.2">
      <c r="B716">
        <v>29</v>
      </c>
    </row>
    <row r="717" spans="2:2" x14ac:dyDescent="0.2">
      <c r="B717">
        <v>52</v>
      </c>
    </row>
    <row r="718" spans="2:2" x14ac:dyDescent="0.2">
      <c r="B718">
        <v>19</v>
      </c>
    </row>
    <row r="719" spans="2:2" x14ac:dyDescent="0.2">
      <c r="B719">
        <v>38</v>
      </c>
    </row>
    <row r="720" spans="2:2" x14ac:dyDescent="0.2">
      <c r="B720">
        <v>27</v>
      </c>
    </row>
    <row r="721" spans="2:2" hidden="1" x14ac:dyDescent="0.2">
      <c r="B721" t="str">
        <v/>
      </c>
    </row>
    <row r="722" spans="2:2" x14ac:dyDescent="0.2">
      <c r="B722">
        <v>33</v>
      </c>
    </row>
    <row r="723" spans="2:2" x14ac:dyDescent="0.2">
      <c r="B723">
        <v>6</v>
      </c>
    </row>
    <row r="724" spans="2:2" x14ac:dyDescent="0.2">
      <c r="B724">
        <v>17</v>
      </c>
    </row>
    <row r="725" spans="2:2" x14ac:dyDescent="0.2">
      <c r="B725">
        <v>34</v>
      </c>
    </row>
    <row r="726" spans="2:2" x14ac:dyDescent="0.2">
      <c r="B726">
        <v>50</v>
      </c>
    </row>
    <row r="727" spans="2:2" x14ac:dyDescent="0.2">
      <c r="B727">
        <v>27</v>
      </c>
    </row>
    <row r="728" spans="2:2" x14ac:dyDescent="0.2">
      <c r="B728">
        <v>20</v>
      </c>
    </row>
    <row r="729" spans="2:2" x14ac:dyDescent="0.2">
      <c r="B729">
        <v>30</v>
      </c>
    </row>
    <row r="730" spans="2:2" hidden="1" x14ac:dyDescent="0.2">
      <c r="B730" t="str">
        <v/>
      </c>
    </row>
    <row r="731" spans="2:2" x14ac:dyDescent="0.2">
      <c r="B731">
        <v>25</v>
      </c>
    </row>
    <row r="732" spans="2:2" x14ac:dyDescent="0.2">
      <c r="B732">
        <v>25</v>
      </c>
    </row>
    <row r="733" spans="2:2" x14ac:dyDescent="0.2">
      <c r="B733">
        <v>29</v>
      </c>
    </row>
    <row r="734" spans="2:2" x14ac:dyDescent="0.2">
      <c r="B734">
        <v>11</v>
      </c>
    </row>
    <row r="735" spans="2:2" hidden="1" x14ac:dyDescent="0.2">
      <c r="B735" t="str">
        <v/>
      </c>
    </row>
    <row r="736" spans="2:2" x14ac:dyDescent="0.2">
      <c r="B736">
        <v>23</v>
      </c>
    </row>
    <row r="737" spans="2:2" x14ac:dyDescent="0.2">
      <c r="B737">
        <v>23</v>
      </c>
    </row>
    <row r="738" spans="2:2" x14ac:dyDescent="0.2">
      <c r="B738">
        <v>28.5</v>
      </c>
    </row>
    <row r="739" spans="2:2" x14ac:dyDescent="0.2">
      <c r="B739">
        <v>48</v>
      </c>
    </row>
    <row r="740" spans="2:2" x14ac:dyDescent="0.2">
      <c r="B740">
        <v>35</v>
      </c>
    </row>
    <row r="741" spans="2:2" hidden="1" x14ac:dyDescent="0.2">
      <c r="B741" t="str">
        <v/>
      </c>
    </row>
    <row r="742" spans="2:2" hidden="1" x14ac:dyDescent="0.2">
      <c r="B742" t="str">
        <v/>
      </c>
    </row>
    <row r="743" spans="2:2" hidden="1" x14ac:dyDescent="0.2">
      <c r="B743" t="str">
        <v/>
      </c>
    </row>
    <row r="744" spans="2:2" x14ac:dyDescent="0.2">
      <c r="B744">
        <v>36</v>
      </c>
    </row>
    <row r="745" spans="2:2" x14ac:dyDescent="0.2">
      <c r="B745">
        <v>21</v>
      </c>
    </row>
    <row r="746" spans="2:2" x14ac:dyDescent="0.2">
      <c r="B746">
        <v>24</v>
      </c>
    </row>
    <row r="747" spans="2:2" x14ac:dyDescent="0.2">
      <c r="B747">
        <v>31</v>
      </c>
    </row>
    <row r="748" spans="2:2" x14ac:dyDescent="0.2">
      <c r="B748">
        <v>70</v>
      </c>
    </row>
    <row r="749" spans="2:2" x14ac:dyDescent="0.2">
      <c r="B749">
        <v>16</v>
      </c>
    </row>
    <row r="750" spans="2:2" x14ac:dyDescent="0.2">
      <c r="B750">
        <v>30</v>
      </c>
    </row>
    <row r="751" spans="2:2" x14ac:dyDescent="0.2">
      <c r="B751">
        <v>19</v>
      </c>
    </row>
    <row r="752" spans="2:2" x14ac:dyDescent="0.2">
      <c r="B752">
        <v>31</v>
      </c>
    </row>
    <row r="753" spans="2:2" x14ac:dyDescent="0.2">
      <c r="B753">
        <v>4</v>
      </c>
    </row>
    <row r="754" spans="2:2" x14ac:dyDescent="0.2">
      <c r="B754">
        <v>6</v>
      </c>
    </row>
    <row r="755" spans="2:2" x14ac:dyDescent="0.2">
      <c r="B755">
        <v>33</v>
      </c>
    </row>
    <row r="756" spans="2:2" x14ac:dyDescent="0.2">
      <c r="B756">
        <v>23</v>
      </c>
    </row>
    <row r="757" spans="2:2" x14ac:dyDescent="0.2">
      <c r="B757">
        <v>48</v>
      </c>
    </row>
    <row r="758" spans="2:2" x14ac:dyDescent="0.2">
      <c r="B758">
        <v>67</v>
      </c>
    </row>
    <row r="759" spans="2:2" x14ac:dyDescent="0.2">
      <c r="B759">
        <v>28</v>
      </c>
    </row>
    <row r="760" spans="2:2" x14ac:dyDescent="0.2">
      <c r="B760">
        <v>18</v>
      </c>
    </row>
    <row r="761" spans="2:2" x14ac:dyDescent="0.2">
      <c r="B761">
        <v>34</v>
      </c>
    </row>
    <row r="762" spans="2:2" x14ac:dyDescent="0.2">
      <c r="B762">
        <v>33</v>
      </c>
    </row>
    <row r="763" spans="2:2" hidden="1" x14ac:dyDescent="0.2">
      <c r="B763" t="str">
        <v/>
      </c>
    </row>
    <row r="764" spans="2:2" x14ac:dyDescent="0.2">
      <c r="B764">
        <v>41</v>
      </c>
    </row>
    <row r="765" spans="2:2" x14ac:dyDescent="0.2">
      <c r="B765">
        <v>20</v>
      </c>
    </row>
    <row r="766" spans="2:2" x14ac:dyDescent="0.2">
      <c r="B766">
        <v>36</v>
      </c>
    </row>
    <row r="767" spans="2:2" x14ac:dyDescent="0.2">
      <c r="B767">
        <v>16</v>
      </c>
    </row>
    <row r="768" spans="2:2" x14ac:dyDescent="0.2">
      <c r="B768">
        <v>51</v>
      </c>
    </row>
    <row r="769" spans="2:2" hidden="1" x14ac:dyDescent="0.2">
      <c r="B769" t="str">
        <v/>
      </c>
    </row>
    <row r="770" spans="2:2" x14ac:dyDescent="0.2">
      <c r="B770">
        <v>30.5</v>
      </c>
    </row>
    <row r="771" spans="2:2" hidden="1" x14ac:dyDescent="0.2">
      <c r="B771" t="str">
        <v/>
      </c>
    </row>
    <row r="772" spans="2:2" x14ac:dyDescent="0.2">
      <c r="B772">
        <v>32</v>
      </c>
    </row>
    <row r="773" spans="2:2" x14ac:dyDescent="0.2">
      <c r="B773">
        <v>24</v>
      </c>
    </row>
    <row r="774" spans="2:2" x14ac:dyDescent="0.2">
      <c r="B774">
        <v>48</v>
      </c>
    </row>
    <row r="775" spans="2:2" x14ac:dyDescent="0.2">
      <c r="B775">
        <v>57</v>
      </c>
    </row>
    <row r="776" spans="2:2" hidden="1" x14ac:dyDescent="0.2">
      <c r="B776" t="str">
        <v/>
      </c>
    </row>
    <row r="777" spans="2:2" x14ac:dyDescent="0.2">
      <c r="B777">
        <v>54</v>
      </c>
    </row>
    <row r="778" spans="2:2" x14ac:dyDescent="0.2">
      <c r="B778">
        <v>18</v>
      </c>
    </row>
    <row r="779" spans="2:2" hidden="1" x14ac:dyDescent="0.2">
      <c r="B779" t="str">
        <v/>
      </c>
    </row>
    <row r="780" spans="2:2" x14ac:dyDescent="0.2">
      <c r="B780">
        <v>5</v>
      </c>
    </row>
    <row r="781" spans="2:2" hidden="1" x14ac:dyDescent="0.2">
      <c r="B781" t="str">
        <v/>
      </c>
    </row>
    <row r="782" spans="2:2" x14ac:dyDescent="0.2">
      <c r="B782">
        <v>43</v>
      </c>
    </row>
    <row r="783" spans="2:2" x14ac:dyDescent="0.2">
      <c r="B783">
        <v>13</v>
      </c>
    </row>
    <row r="784" spans="2:2" x14ac:dyDescent="0.2">
      <c r="B784">
        <v>17</v>
      </c>
    </row>
    <row r="785" spans="2:2" x14ac:dyDescent="0.2">
      <c r="B785">
        <v>29</v>
      </c>
    </row>
    <row r="786" spans="2:2" hidden="1" x14ac:dyDescent="0.2">
      <c r="B786" t="str">
        <v/>
      </c>
    </row>
    <row r="787" spans="2:2" x14ac:dyDescent="0.2">
      <c r="B787">
        <v>25</v>
      </c>
    </row>
    <row r="788" spans="2:2" x14ac:dyDescent="0.2">
      <c r="B788">
        <v>25</v>
      </c>
    </row>
    <row r="789" spans="2:2" x14ac:dyDescent="0.2">
      <c r="B789">
        <v>18</v>
      </c>
    </row>
    <row r="790" spans="2:2" x14ac:dyDescent="0.2">
      <c r="B790">
        <v>8</v>
      </c>
    </row>
    <row r="791" spans="2:2" x14ac:dyDescent="0.2">
      <c r="B791">
        <v>1</v>
      </c>
    </row>
    <row r="792" spans="2:2" x14ac:dyDescent="0.2">
      <c r="B792">
        <v>46</v>
      </c>
    </row>
    <row r="793" spans="2:2" hidden="1" x14ac:dyDescent="0.2">
      <c r="B793" t="str">
        <v/>
      </c>
    </row>
    <row r="794" spans="2:2" x14ac:dyDescent="0.2">
      <c r="B794">
        <v>16</v>
      </c>
    </row>
    <row r="795" spans="2:2" hidden="1" x14ac:dyDescent="0.2">
      <c r="B795" t="str">
        <v/>
      </c>
    </row>
    <row r="796" spans="2:2" hidden="1" x14ac:dyDescent="0.2">
      <c r="B796" t="str">
        <v/>
      </c>
    </row>
    <row r="797" spans="2:2" x14ac:dyDescent="0.2">
      <c r="B797">
        <v>25</v>
      </c>
    </row>
    <row r="798" spans="2:2" x14ac:dyDescent="0.2">
      <c r="B798">
        <v>39</v>
      </c>
    </row>
    <row r="799" spans="2:2" x14ac:dyDescent="0.2">
      <c r="B799">
        <v>49</v>
      </c>
    </row>
    <row r="800" spans="2:2" x14ac:dyDescent="0.2">
      <c r="B800">
        <v>31</v>
      </c>
    </row>
    <row r="801" spans="2:2" x14ac:dyDescent="0.2">
      <c r="B801">
        <v>30</v>
      </c>
    </row>
    <row r="802" spans="2:2" x14ac:dyDescent="0.2">
      <c r="B802">
        <v>30</v>
      </c>
    </row>
    <row r="803" spans="2:2" x14ac:dyDescent="0.2">
      <c r="B803">
        <v>34</v>
      </c>
    </row>
    <row r="804" spans="2:2" x14ac:dyDescent="0.2">
      <c r="B804">
        <v>31</v>
      </c>
    </row>
    <row r="805" spans="2:2" x14ac:dyDescent="0.2">
      <c r="B805">
        <v>11</v>
      </c>
    </row>
    <row r="806" spans="2:2" x14ac:dyDescent="0.2">
      <c r="B806">
        <v>42</v>
      </c>
    </row>
    <row r="807" spans="2:2" x14ac:dyDescent="0.2">
      <c r="B807">
        <v>27</v>
      </c>
    </row>
    <row r="808" spans="2:2" x14ac:dyDescent="0.2">
      <c r="B808">
        <v>31</v>
      </c>
    </row>
    <row r="809" spans="2:2" x14ac:dyDescent="0.2">
      <c r="B809">
        <v>39</v>
      </c>
    </row>
    <row r="810" spans="2:2" x14ac:dyDescent="0.2">
      <c r="B810">
        <v>18</v>
      </c>
    </row>
    <row r="811" spans="2:2" x14ac:dyDescent="0.2">
      <c r="B811">
        <v>39</v>
      </c>
    </row>
    <row r="812" spans="2:2" x14ac:dyDescent="0.2">
      <c r="B812">
        <v>33</v>
      </c>
    </row>
    <row r="813" spans="2:2" x14ac:dyDescent="0.2">
      <c r="B813">
        <v>26</v>
      </c>
    </row>
    <row r="814" spans="2:2" x14ac:dyDescent="0.2">
      <c r="B814">
        <v>39</v>
      </c>
    </row>
    <row r="815" spans="2:2" x14ac:dyDescent="0.2">
      <c r="B815">
        <v>35</v>
      </c>
    </row>
    <row r="816" spans="2:2" x14ac:dyDescent="0.2">
      <c r="B816">
        <v>6</v>
      </c>
    </row>
    <row r="817" spans="2:2" x14ac:dyDescent="0.2">
      <c r="B817">
        <v>30.5</v>
      </c>
    </row>
    <row r="818" spans="2:2" hidden="1" x14ac:dyDescent="0.2">
      <c r="B818" t="str">
        <v/>
      </c>
    </row>
    <row r="819" spans="2:2" x14ac:dyDescent="0.2">
      <c r="B819">
        <v>23</v>
      </c>
    </row>
    <row r="820" spans="2:2" x14ac:dyDescent="0.2">
      <c r="B820">
        <v>31</v>
      </c>
    </row>
    <row r="821" spans="2:2" x14ac:dyDescent="0.2">
      <c r="B821">
        <v>43</v>
      </c>
    </row>
    <row r="822" spans="2:2" x14ac:dyDescent="0.2">
      <c r="B822">
        <v>10</v>
      </c>
    </row>
    <row r="823" spans="2:2" x14ac:dyDescent="0.2">
      <c r="B823">
        <v>52</v>
      </c>
    </row>
    <row r="824" spans="2:2" x14ac:dyDescent="0.2">
      <c r="B824">
        <v>27</v>
      </c>
    </row>
    <row r="825" spans="2:2" x14ac:dyDescent="0.2">
      <c r="B825">
        <v>38</v>
      </c>
    </row>
    <row r="826" spans="2:2" x14ac:dyDescent="0.2">
      <c r="B826">
        <v>27</v>
      </c>
    </row>
    <row r="827" spans="2:2" x14ac:dyDescent="0.2">
      <c r="B827">
        <v>2</v>
      </c>
    </row>
    <row r="828" spans="2:2" hidden="1" x14ac:dyDescent="0.2">
      <c r="B828" t="str">
        <v/>
      </c>
    </row>
    <row r="829" spans="2:2" hidden="1" x14ac:dyDescent="0.2">
      <c r="B829" t="str">
        <v/>
      </c>
    </row>
    <row r="830" spans="2:2" x14ac:dyDescent="0.2">
      <c r="B830">
        <v>1</v>
      </c>
    </row>
    <row r="831" spans="2:2" hidden="1" x14ac:dyDescent="0.2">
      <c r="B831" t="str">
        <v/>
      </c>
    </row>
    <row r="832" spans="2:2" x14ac:dyDescent="0.2">
      <c r="B832">
        <v>62</v>
      </c>
    </row>
    <row r="833" spans="2:2" x14ac:dyDescent="0.2">
      <c r="B833">
        <v>15</v>
      </c>
    </row>
    <row r="834" spans="2:2" x14ac:dyDescent="0.2">
      <c r="B834">
        <v>83</v>
      </c>
    </row>
    <row r="835" spans="2:2" hidden="1" x14ac:dyDescent="0.2">
      <c r="B835" t="str">
        <v/>
      </c>
    </row>
    <row r="836" spans="2:2" x14ac:dyDescent="0.2">
      <c r="B836">
        <v>23</v>
      </c>
    </row>
    <row r="837" spans="2:2" x14ac:dyDescent="0.2">
      <c r="B837">
        <v>18</v>
      </c>
    </row>
    <row r="838" spans="2:2" x14ac:dyDescent="0.2">
      <c r="B838">
        <v>39</v>
      </c>
    </row>
    <row r="839" spans="2:2" x14ac:dyDescent="0.2">
      <c r="B839">
        <v>21</v>
      </c>
    </row>
    <row r="840" spans="2:2" hidden="1" x14ac:dyDescent="0.2">
      <c r="B840" t="str">
        <v/>
      </c>
    </row>
    <row r="841" spans="2:2" x14ac:dyDescent="0.2">
      <c r="B841">
        <v>32</v>
      </c>
    </row>
    <row r="842" spans="2:2" hidden="1" x14ac:dyDescent="0.2">
      <c r="B842" t="str">
        <v/>
      </c>
    </row>
    <row r="843" spans="2:2" x14ac:dyDescent="0.2">
      <c r="B843">
        <v>20</v>
      </c>
    </row>
    <row r="844" spans="2:2" x14ac:dyDescent="0.2">
      <c r="B844">
        <v>16</v>
      </c>
    </row>
    <row r="845" spans="2:2" x14ac:dyDescent="0.2">
      <c r="B845">
        <v>30</v>
      </c>
    </row>
    <row r="846" spans="2:2" x14ac:dyDescent="0.2">
      <c r="B846">
        <v>34.5</v>
      </c>
    </row>
    <row r="847" spans="2:2" x14ac:dyDescent="0.2">
      <c r="B847">
        <v>17</v>
      </c>
    </row>
    <row r="848" spans="2:2" x14ac:dyDescent="0.2">
      <c r="B848">
        <v>42</v>
      </c>
    </row>
    <row r="849" spans="2:2" hidden="1" x14ac:dyDescent="0.2">
      <c r="B849" t="str">
        <v/>
      </c>
    </row>
    <row r="850" spans="2:2" x14ac:dyDescent="0.2">
      <c r="B850">
        <v>35</v>
      </c>
    </row>
    <row r="851" spans="2:2" x14ac:dyDescent="0.2">
      <c r="B851">
        <v>28</v>
      </c>
    </row>
    <row r="852" spans="2:2" hidden="1" x14ac:dyDescent="0.2">
      <c r="B852" t="str">
        <v/>
      </c>
    </row>
    <row r="853" spans="2:2" x14ac:dyDescent="0.2">
      <c r="B853">
        <v>4</v>
      </c>
    </row>
    <row r="854" spans="2:2" x14ac:dyDescent="0.2">
      <c r="B854">
        <v>74</v>
      </c>
    </row>
    <row r="855" spans="2:2" x14ac:dyDescent="0.2">
      <c r="B855">
        <v>9</v>
      </c>
    </row>
    <row r="856" spans="2:2" x14ac:dyDescent="0.2">
      <c r="B856">
        <v>16</v>
      </c>
    </row>
    <row r="857" spans="2:2" x14ac:dyDescent="0.2">
      <c r="B857">
        <v>44</v>
      </c>
    </row>
    <row r="858" spans="2:2" x14ac:dyDescent="0.2">
      <c r="B858">
        <v>18</v>
      </c>
    </row>
    <row r="859" spans="2:2" x14ac:dyDescent="0.2">
      <c r="B859">
        <v>45</v>
      </c>
    </row>
    <row r="860" spans="2:2" x14ac:dyDescent="0.2">
      <c r="B860">
        <v>51</v>
      </c>
    </row>
    <row r="861" spans="2:2" x14ac:dyDescent="0.2">
      <c r="B861">
        <v>24</v>
      </c>
    </row>
    <row r="862" spans="2:2" hidden="1" x14ac:dyDescent="0.2">
      <c r="B862" t="str">
        <v/>
      </c>
    </row>
    <row r="863" spans="2:2" x14ac:dyDescent="0.2">
      <c r="B863">
        <v>41</v>
      </c>
    </row>
    <row r="864" spans="2:2" x14ac:dyDescent="0.2">
      <c r="B864">
        <v>21</v>
      </c>
    </row>
    <row r="865" spans="2:2" x14ac:dyDescent="0.2">
      <c r="B865">
        <v>48</v>
      </c>
    </row>
    <row r="866" spans="2:2" hidden="1" x14ac:dyDescent="0.2">
      <c r="B866" t="str">
        <v/>
      </c>
    </row>
    <row r="867" spans="2:2" x14ac:dyDescent="0.2">
      <c r="B867">
        <v>24</v>
      </c>
    </row>
    <row r="868" spans="2:2" x14ac:dyDescent="0.2">
      <c r="B868">
        <v>42</v>
      </c>
    </row>
    <row r="869" spans="2:2" x14ac:dyDescent="0.2">
      <c r="B869">
        <v>27</v>
      </c>
    </row>
    <row r="870" spans="2:2" x14ac:dyDescent="0.2">
      <c r="B870">
        <v>31</v>
      </c>
    </row>
    <row r="871" spans="2:2" hidden="1" x14ac:dyDescent="0.2">
      <c r="B871" t="str">
        <v/>
      </c>
    </row>
    <row r="872" spans="2:2" x14ac:dyDescent="0.2">
      <c r="B872">
        <v>4</v>
      </c>
    </row>
    <row r="873" spans="2:2" x14ac:dyDescent="0.2">
      <c r="B873">
        <v>26</v>
      </c>
    </row>
    <row r="874" spans="2:2" x14ac:dyDescent="0.2">
      <c r="B874">
        <v>47</v>
      </c>
    </row>
    <row r="875" spans="2:2" x14ac:dyDescent="0.2">
      <c r="B875">
        <v>33</v>
      </c>
    </row>
    <row r="876" spans="2:2" x14ac:dyDescent="0.2">
      <c r="B876">
        <v>47</v>
      </c>
    </row>
    <row r="877" spans="2:2" x14ac:dyDescent="0.2">
      <c r="B877">
        <v>28</v>
      </c>
    </row>
    <row r="878" spans="2:2" x14ac:dyDescent="0.2">
      <c r="B878">
        <v>15</v>
      </c>
    </row>
    <row r="879" spans="2:2" x14ac:dyDescent="0.2">
      <c r="B879">
        <v>20</v>
      </c>
    </row>
    <row r="880" spans="2:2" x14ac:dyDescent="0.2">
      <c r="B880">
        <v>19</v>
      </c>
    </row>
    <row r="881" spans="2:2" hidden="1" x14ac:dyDescent="0.2">
      <c r="B881" t="str">
        <v/>
      </c>
    </row>
    <row r="882" spans="2:2" x14ac:dyDescent="0.2">
      <c r="B882">
        <v>56</v>
      </c>
    </row>
    <row r="883" spans="2:2" x14ac:dyDescent="0.2">
      <c r="B883">
        <v>25</v>
      </c>
    </row>
    <row r="884" spans="2:2" x14ac:dyDescent="0.2">
      <c r="B884">
        <v>33</v>
      </c>
    </row>
    <row r="885" spans="2:2" x14ac:dyDescent="0.2">
      <c r="B885">
        <v>22</v>
      </c>
    </row>
    <row r="886" spans="2:2" x14ac:dyDescent="0.2">
      <c r="B886">
        <v>28</v>
      </c>
    </row>
    <row r="887" spans="2:2" x14ac:dyDescent="0.2">
      <c r="B887">
        <v>25</v>
      </c>
    </row>
    <row r="888" spans="2:2" x14ac:dyDescent="0.2">
      <c r="B888">
        <v>39</v>
      </c>
    </row>
    <row r="889" spans="2:2" x14ac:dyDescent="0.2">
      <c r="B889">
        <v>27</v>
      </c>
    </row>
    <row r="890" spans="2:2" x14ac:dyDescent="0.2">
      <c r="B890">
        <v>19</v>
      </c>
    </row>
    <row r="891" spans="2:2" hidden="1" x14ac:dyDescent="0.2">
      <c r="B891" t="str">
        <v/>
      </c>
    </row>
    <row r="892" spans="2:2" x14ac:dyDescent="0.2">
      <c r="B892">
        <v>26</v>
      </c>
    </row>
    <row r="893" spans="2:2" x14ac:dyDescent="0.2">
      <c r="B893">
        <v>32</v>
      </c>
    </row>
  </sheetData>
  <autoFilter ref="B2:B893" xr:uid="{F2F0261F-1DC4-9F4E-A408-E462BE5859C5}">
    <filterColumn colId="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B5D4-2F02-DD4F-8C7A-20B617D2D31C}">
  <dimension ref="B4:G895"/>
  <sheetViews>
    <sheetView workbookViewId="0">
      <selection activeCell="F21" sqref="F21"/>
    </sheetView>
  </sheetViews>
  <sheetFormatPr baseColWidth="10" defaultRowHeight="16" x14ac:dyDescent="0.2"/>
  <sheetData>
    <row r="4" spans="2:7" ht="17" thickBot="1" x14ac:dyDescent="0.25"/>
    <row r="5" spans="2:7" x14ac:dyDescent="0.2">
      <c r="B5" s="15">
        <v>22</v>
      </c>
      <c r="D5" s="28" t="s">
        <v>977</v>
      </c>
      <c r="E5" s="28"/>
      <c r="F5" s="28" t="s">
        <v>978</v>
      </c>
      <c r="G5" s="28" t="s">
        <v>979</v>
      </c>
    </row>
    <row r="6" spans="2:7" x14ac:dyDescent="0.2">
      <c r="B6" s="15">
        <v>38</v>
      </c>
      <c r="D6" s="22">
        <v>245</v>
      </c>
      <c r="E6" s="23">
        <v>92</v>
      </c>
      <c r="F6" s="22">
        <v>1</v>
      </c>
      <c r="G6" s="24">
        <v>1</v>
      </c>
    </row>
    <row r="7" spans="2:7" x14ac:dyDescent="0.2">
      <c r="B7" s="15">
        <v>26</v>
      </c>
      <c r="D7" s="22">
        <v>61</v>
      </c>
      <c r="E7" s="23">
        <v>83</v>
      </c>
      <c r="F7" s="22">
        <v>2</v>
      </c>
      <c r="G7" s="24">
        <v>0.997</v>
      </c>
    </row>
    <row r="8" spans="2:7" x14ac:dyDescent="0.2">
      <c r="B8" s="15">
        <v>35</v>
      </c>
      <c r="D8" s="22">
        <v>666</v>
      </c>
      <c r="E8" s="23">
        <v>83</v>
      </c>
      <c r="F8" s="22">
        <v>2</v>
      </c>
      <c r="G8" s="24">
        <v>0.997</v>
      </c>
    </row>
    <row r="9" spans="2:7" x14ac:dyDescent="0.2">
      <c r="B9" s="15">
        <v>35</v>
      </c>
      <c r="D9" s="22">
        <v>500</v>
      </c>
      <c r="E9" s="23">
        <v>80</v>
      </c>
      <c r="F9" s="22">
        <v>4</v>
      </c>
      <c r="G9" s="24">
        <v>0.995</v>
      </c>
    </row>
    <row r="10" spans="2:7" x14ac:dyDescent="0.2">
      <c r="B10" s="15">
        <v>54</v>
      </c>
      <c r="D10" s="22">
        <v>376</v>
      </c>
      <c r="E10" s="23">
        <v>75</v>
      </c>
      <c r="F10" s="22">
        <v>5</v>
      </c>
      <c r="G10" s="24">
        <v>0.99199999999999999</v>
      </c>
    </row>
    <row r="11" spans="2:7" x14ac:dyDescent="0.2">
      <c r="B11" s="15">
        <v>2</v>
      </c>
      <c r="D11" s="22">
        <v>511</v>
      </c>
      <c r="E11" s="23">
        <v>75</v>
      </c>
      <c r="F11" s="22">
        <v>5</v>
      </c>
      <c r="G11" s="24">
        <v>0.99199999999999999</v>
      </c>
    </row>
    <row r="12" spans="2:7" x14ac:dyDescent="0.2">
      <c r="B12" s="15">
        <v>27</v>
      </c>
      <c r="D12" s="22">
        <v>681</v>
      </c>
      <c r="E12" s="23">
        <v>74</v>
      </c>
      <c r="F12" s="22">
        <v>7</v>
      </c>
      <c r="G12" s="24">
        <v>0.99099999999999999</v>
      </c>
    </row>
    <row r="13" spans="2:7" x14ac:dyDescent="0.2">
      <c r="B13" s="15">
        <v>14</v>
      </c>
      <c r="D13" s="22">
        <v>76</v>
      </c>
      <c r="E13" s="23">
        <v>71</v>
      </c>
      <c r="F13" s="22">
        <v>8</v>
      </c>
      <c r="G13" s="24">
        <v>0.98799999999999999</v>
      </c>
    </row>
    <row r="14" spans="2:7" x14ac:dyDescent="0.2">
      <c r="B14" s="15">
        <v>4</v>
      </c>
      <c r="D14" s="22">
        <v>395</v>
      </c>
      <c r="E14" s="23">
        <v>71</v>
      </c>
      <c r="F14" s="22">
        <v>8</v>
      </c>
      <c r="G14" s="24">
        <v>0.98799999999999999</v>
      </c>
    </row>
    <row r="15" spans="2:7" x14ac:dyDescent="0.2">
      <c r="B15" s="15">
        <v>58</v>
      </c>
      <c r="D15" s="22">
        <v>93</v>
      </c>
      <c r="E15" s="23">
        <v>70.5</v>
      </c>
      <c r="F15" s="22">
        <v>10</v>
      </c>
      <c r="G15" s="24">
        <v>0.98699999999999999</v>
      </c>
    </row>
    <row r="16" spans="2:7" x14ac:dyDescent="0.2">
      <c r="B16" s="15">
        <v>20</v>
      </c>
      <c r="D16" s="22">
        <v>533</v>
      </c>
      <c r="E16" s="23">
        <v>70</v>
      </c>
      <c r="F16" s="22">
        <v>11</v>
      </c>
      <c r="G16" s="24">
        <v>0.98399999999999999</v>
      </c>
    </row>
    <row r="17" spans="2:7" x14ac:dyDescent="0.2">
      <c r="B17" s="15">
        <v>39</v>
      </c>
      <c r="D17" s="22">
        <v>594</v>
      </c>
      <c r="E17" s="23">
        <v>70</v>
      </c>
      <c r="F17" s="22">
        <v>11</v>
      </c>
      <c r="G17" s="24">
        <v>0.98399999999999999</v>
      </c>
    </row>
    <row r="18" spans="2:7" x14ac:dyDescent="0.2">
      <c r="B18" s="15">
        <v>14</v>
      </c>
      <c r="D18" s="22">
        <v>604</v>
      </c>
      <c r="E18" s="23">
        <v>67</v>
      </c>
      <c r="F18" s="22">
        <v>13</v>
      </c>
      <c r="G18" s="24">
        <v>0.98299999999999998</v>
      </c>
    </row>
    <row r="19" spans="2:7" x14ac:dyDescent="0.2">
      <c r="B19" s="15">
        <v>55</v>
      </c>
      <c r="D19" s="22">
        <v>27</v>
      </c>
      <c r="E19" s="23">
        <v>66</v>
      </c>
      <c r="F19" s="22">
        <v>14</v>
      </c>
      <c r="G19" s="24">
        <v>0.98099999999999998</v>
      </c>
    </row>
    <row r="20" spans="2:7" x14ac:dyDescent="0.2">
      <c r="B20" s="15">
        <v>2</v>
      </c>
      <c r="D20" s="22">
        <v>42</v>
      </c>
      <c r="E20" s="23">
        <v>65</v>
      </c>
      <c r="F20" s="22">
        <v>15</v>
      </c>
      <c r="G20" s="24">
        <v>0.97699999999999998</v>
      </c>
    </row>
    <row r="21" spans="2:7" x14ac:dyDescent="0.2">
      <c r="B21" s="15">
        <v>31</v>
      </c>
      <c r="D21" s="22">
        <v>227</v>
      </c>
      <c r="E21" s="23">
        <v>65</v>
      </c>
      <c r="F21" s="22">
        <v>15</v>
      </c>
      <c r="G21" s="24">
        <v>0.97699999999999998</v>
      </c>
    </row>
    <row r="22" spans="2:7" x14ac:dyDescent="0.2">
      <c r="B22" s="15">
        <v>35</v>
      </c>
      <c r="D22" s="22">
        <v>368</v>
      </c>
      <c r="E22" s="23">
        <v>65</v>
      </c>
      <c r="F22" s="22">
        <v>15</v>
      </c>
      <c r="G22" s="24">
        <v>0.97699999999999998</v>
      </c>
    </row>
    <row r="23" spans="2:7" x14ac:dyDescent="0.2">
      <c r="B23" s="15">
        <v>34</v>
      </c>
      <c r="D23" s="22">
        <v>353</v>
      </c>
      <c r="E23" s="23">
        <v>64</v>
      </c>
      <c r="F23" s="22">
        <v>18</v>
      </c>
      <c r="G23" s="24">
        <v>0.97399999999999998</v>
      </c>
    </row>
    <row r="24" spans="2:7" x14ac:dyDescent="0.2">
      <c r="B24" s="15">
        <v>15</v>
      </c>
      <c r="D24" s="22">
        <v>435</v>
      </c>
      <c r="E24" s="23">
        <v>64</v>
      </c>
      <c r="F24" s="22">
        <v>18</v>
      </c>
      <c r="G24" s="24">
        <v>0.97399999999999998</v>
      </c>
    </row>
    <row r="25" spans="2:7" x14ac:dyDescent="0.2">
      <c r="B25" s="15">
        <v>28</v>
      </c>
      <c r="D25" s="22">
        <v>223</v>
      </c>
      <c r="E25" s="23">
        <v>63</v>
      </c>
      <c r="F25" s="22">
        <v>20</v>
      </c>
      <c r="G25" s="24">
        <v>0.97099999999999997</v>
      </c>
    </row>
    <row r="26" spans="2:7" x14ac:dyDescent="0.2">
      <c r="B26" s="15">
        <v>8</v>
      </c>
      <c r="D26" s="22">
        <v>387</v>
      </c>
      <c r="E26" s="23">
        <v>63</v>
      </c>
      <c r="F26" s="22">
        <v>20</v>
      </c>
      <c r="G26" s="24">
        <v>0.97099999999999997</v>
      </c>
    </row>
    <row r="27" spans="2:7" x14ac:dyDescent="0.2">
      <c r="B27" s="15">
        <v>38</v>
      </c>
      <c r="D27" s="22">
        <v>205</v>
      </c>
      <c r="E27" s="23">
        <v>62</v>
      </c>
      <c r="F27" s="22">
        <v>22</v>
      </c>
      <c r="G27" s="24">
        <v>0.96599999999999997</v>
      </c>
    </row>
    <row r="28" spans="2:7" x14ac:dyDescent="0.2">
      <c r="B28" s="15">
        <v>19</v>
      </c>
      <c r="D28" s="22">
        <v>443</v>
      </c>
      <c r="E28" s="23">
        <v>62</v>
      </c>
      <c r="F28" s="22">
        <v>22</v>
      </c>
      <c r="G28" s="24">
        <v>0.96599999999999997</v>
      </c>
    </row>
    <row r="29" spans="2:7" x14ac:dyDescent="0.2">
      <c r="B29" s="15">
        <v>40</v>
      </c>
      <c r="D29" s="22">
        <v>453</v>
      </c>
      <c r="E29" s="23">
        <v>62</v>
      </c>
      <c r="F29" s="22">
        <v>22</v>
      </c>
      <c r="G29" s="24">
        <v>0.96599999999999997</v>
      </c>
    </row>
    <row r="30" spans="2:7" x14ac:dyDescent="0.2">
      <c r="B30" s="15">
        <v>66</v>
      </c>
      <c r="D30" s="22">
        <v>664</v>
      </c>
      <c r="E30" s="23">
        <v>62</v>
      </c>
      <c r="F30" s="22">
        <v>22</v>
      </c>
      <c r="G30" s="24">
        <v>0.96599999999999997</v>
      </c>
    </row>
    <row r="31" spans="2:7" x14ac:dyDescent="0.2">
      <c r="B31" s="15">
        <v>28</v>
      </c>
      <c r="D31" s="22">
        <v>138</v>
      </c>
      <c r="E31" s="23">
        <v>61</v>
      </c>
      <c r="F31" s="22">
        <v>26</v>
      </c>
      <c r="G31" s="24">
        <v>0.96199999999999997</v>
      </c>
    </row>
    <row r="32" spans="2:7" x14ac:dyDescent="0.2">
      <c r="B32" s="15">
        <v>42</v>
      </c>
      <c r="D32" s="22">
        <v>264</v>
      </c>
      <c r="E32" s="23">
        <v>61</v>
      </c>
      <c r="F32" s="22">
        <v>26</v>
      </c>
      <c r="G32" s="24">
        <v>0.96199999999999997</v>
      </c>
    </row>
    <row r="33" spans="2:7" x14ac:dyDescent="0.2">
      <c r="B33" s="15">
        <v>21</v>
      </c>
      <c r="D33" s="22">
        <v>496</v>
      </c>
      <c r="E33" s="23">
        <v>61</v>
      </c>
      <c r="F33" s="22">
        <v>26</v>
      </c>
      <c r="G33" s="24">
        <v>0.96199999999999997</v>
      </c>
    </row>
    <row r="34" spans="2:7" x14ac:dyDescent="0.2">
      <c r="B34" s="15">
        <v>18</v>
      </c>
      <c r="D34" s="22">
        <v>295</v>
      </c>
      <c r="E34" s="23">
        <v>60</v>
      </c>
      <c r="F34" s="22">
        <v>29</v>
      </c>
      <c r="G34" s="24">
        <v>0.95599999999999996</v>
      </c>
    </row>
    <row r="35" spans="2:7" x14ac:dyDescent="0.2">
      <c r="B35" s="15">
        <v>14</v>
      </c>
      <c r="D35" s="22">
        <v>467</v>
      </c>
      <c r="E35" s="23">
        <v>60</v>
      </c>
      <c r="F35" s="22">
        <v>29</v>
      </c>
      <c r="G35" s="24">
        <v>0.95599999999999996</v>
      </c>
    </row>
    <row r="36" spans="2:7" x14ac:dyDescent="0.2">
      <c r="B36" s="15">
        <v>40</v>
      </c>
      <c r="D36" s="22">
        <v>543</v>
      </c>
      <c r="E36" s="23">
        <v>60</v>
      </c>
      <c r="F36" s="22">
        <v>29</v>
      </c>
      <c r="G36" s="24">
        <v>0.95599999999999996</v>
      </c>
    </row>
    <row r="37" spans="2:7" x14ac:dyDescent="0.2">
      <c r="B37" s="15">
        <v>27</v>
      </c>
      <c r="D37" s="22">
        <v>552</v>
      </c>
      <c r="E37" s="23">
        <v>60</v>
      </c>
      <c r="F37" s="22">
        <v>29</v>
      </c>
      <c r="G37" s="24">
        <v>0.95599999999999996</v>
      </c>
    </row>
    <row r="38" spans="2:7" x14ac:dyDescent="0.2">
      <c r="B38" s="15">
        <v>3</v>
      </c>
      <c r="D38" s="22">
        <v>75</v>
      </c>
      <c r="E38" s="23">
        <v>59</v>
      </c>
      <c r="F38" s="22">
        <v>33</v>
      </c>
      <c r="G38" s="24">
        <v>0.95299999999999996</v>
      </c>
    </row>
    <row r="39" spans="2:7" x14ac:dyDescent="0.2">
      <c r="B39" s="15">
        <v>19</v>
      </c>
      <c r="D39" s="22">
        <v>189</v>
      </c>
      <c r="E39" s="23">
        <v>59</v>
      </c>
      <c r="F39" s="22">
        <v>33</v>
      </c>
      <c r="G39" s="24">
        <v>0.95299999999999996</v>
      </c>
    </row>
    <row r="40" spans="2:7" x14ac:dyDescent="0.2">
      <c r="B40" s="15">
        <v>18</v>
      </c>
      <c r="D40" s="22">
        <v>12</v>
      </c>
      <c r="E40" s="23">
        <v>58</v>
      </c>
      <c r="F40" s="22">
        <v>35</v>
      </c>
      <c r="G40" s="24">
        <v>0.94599999999999995</v>
      </c>
    </row>
    <row r="41" spans="2:7" x14ac:dyDescent="0.2">
      <c r="B41" s="15">
        <v>7</v>
      </c>
      <c r="D41" s="22">
        <v>158</v>
      </c>
      <c r="E41" s="23">
        <v>58</v>
      </c>
      <c r="F41" s="22">
        <v>35</v>
      </c>
      <c r="G41" s="24">
        <v>0.94599999999999995</v>
      </c>
    </row>
    <row r="42" spans="2:7" x14ac:dyDescent="0.2">
      <c r="B42" s="15">
        <v>21</v>
      </c>
      <c r="D42" s="22">
        <v>218</v>
      </c>
      <c r="E42" s="23">
        <v>58</v>
      </c>
      <c r="F42" s="22">
        <v>35</v>
      </c>
      <c r="G42" s="24">
        <v>0.94599999999999995</v>
      </c>
    </row>
    <row r="43" spans="2:7" x14ac:dyDescent="0.2">
      <c r="B43" s="15">
        <v>49</v>
      </c>
      <c r="D43" s="22">
        <v>390</v>
      </c>
      <c r="E43" s="23">
        <v>58</v>
      </c>
      <c r="F43" s="22">
        <v>35</v>
      </c>
      <c r="G43" s="24">
        <v>0.94599999999999995</v>
      </c>
    </row>
    <row r="44" spans="2:7" x14ac:dyDescent="0.2">
      <c r="B44" s="15">
        <v>29</v>
      </c>
      <c r="D44" s="22">
        <v>522</v>
      </c>
      <c r="E44" s="23">
        <v>58</v>
      </c>
      <c r="F44" s="22">
        <v>35</v>
      </c>
      <c r="G44" s="24">
        <v>0.94599999999999995</v>
      </c>
    </row>
    <row r="45" spans="2:7" x14ac:dyDescent="0.2">
      <c r="B45" s="15">
        <v>65</v>
      </c>
      <c r="D45" s="22">
        <v>497</v>
      </c>
      <c r="E45" s="23">
        <v>57</v>
      </c>
      <c r="F45" s="22">
        <v>40</v>
      </c>
      <c r="G45" s="24">
        <v>0.94299999999999995</v>
      </c>
    </row>
    <row r="46" spans="2:7" x14ac:dyDescent="0.2">
      <c r="B46" s="15">
        <v>21</v>
      </c>
      <c r="D46" s="22">
        <v>618</v>
      </c>
      <c r="E46" s="23">
        <v>57</v>
      </c>
      <c r="F46" s="22">
        <v>40</v>
      </c>
      <c r="G46" s="24">
        <v>0.94299999999999995</v>
      </c>
    </row>
    <row r="47" spans="2:7" x14ac:dyDescent="0.2">
      <c r="B47" s="15">
        <v>28.5</v>
      </c>
      <c r="D47" s="22">
        <v>142</v>
      </c>
      <c r="E47" s="23">
        <v>56</v>
      </c>
      <c r="F47" s="22">
        <v>42</v>
      </c>
      <c r="G47" s="24">
        <v>0.93799999999999994</v>
      </c>
    </row>
    <row r="48" spans="2:7" x14ac:dyDescent="0.2">
      <c r="B48" s="15">
        <v>5</v>
      </c>
      <c r="D48" s="22">
        <v>375</v>
      </c>
      <c r="E48" s="23">
        <v>56</v>
      </c>
      <c r="F48" s="22">
        <v>42</v>
      </c>
      <c r="G48" s="24">
        <v>0.93799999999999994</v>
      </c>
    </row>
    <row r="49" spans="2:7" x14ac:dyDescent="0.2">
      <c r="B49" s="15">
        <v>11</v>
      </c>
      <c r="D49" s="22">
        <v>514</v>
      </c>
      <c r="E49" s="23">
        <v>56</v>
      </c>
      <c r="F49" s="22">
        <v>42</v>
      </c>
      <c r="G49" s="24">
        <v>0.93799999999999994</v>
      </c>
    </row>
    <row r="50" spans="2:7" x14ac:dyDescent="0.2">
      <c r="B50" s="15">
        <v>22</v>
      </c>
      <c r="D50" s="22">
        <v>705</v>
      </c>
      <c r="E50" s="23">
        <v>56</v>
      </c>
      <c r="F50" s="22">
        <v>42</v>
      </c>
      <c r="G50" s="24">
        <v>0.93799999999999994</v>
      </c>
    </row>
    <row r="51" spans="2:7" x14ac:dyDescent="0.2">
      <c r="B51" s="15">
        <v>38</v>
      </c>
      <c r="D51" s="22">
        <v>125</v>
      </c>
      <c r="E51" s="23">
        <v>55.5</v>
      </c>
      <c r="F51" s="22">
        <v>46</v>
      </c>
      <c r="G51" s="24">
        <v>0.93600000000000005</v>
      </c>
    </row>
    <row r="52" spans="2:7" x14ac:dyDescent="0.2">
      <c r="B52" s="15">
        <v>45</v>
      </c>
      <c r="D52" s="22">
        <v>16</v>
      </c>
      <c r="E52" s="23">
        <v>55</v>
      </c>
      <c r="F52" s="22">
        <v>47</v>
      </c>
      <c r="G52" s="24">
        <v>0.93400000000000005</v>
      </c>
    </row>
    <row r="53" spans="2:7" x14ac:dyDescent="0.2">
      <c r="B53" s="15">
        <v>4</v>
      </c>
      <c r="D53" s="22">
        <v>394</v>
      </c>
      <c r="E53" s="23">
        <v>55</v>
      </c>
      <c r="F53" s="22">
        <v>47</v>
      </c>
      <c r="G53" s="24">
        <v>0.93400000000000005</v>
      </c>
    </row>
    <row r="54" spans="2:7" x14ac:dyDescent="0.2">
      <c r="B54" s="15">
        <v>29</v>
      </c>
      <c r="D54" s="22">
        <v>7</v>
      </c>
      <c r="E54" s="23">
        <v>54</v>
      </c>
      <c r="F54" s="22">
        <v>49</v>
      </c>
      <c r="G54" s="24">
        <v>0.92200000000000004</v>
      </c>
    </row>
    <row r="55" spans="2:7" x14ac:dyDescent="0.2">
      <c r="B55" s="15">
        <v>19</v>
      </c>
      <c r="D55" s="22">
        <v>100</v>
      </c>
      <c r="E55" s="23">
        <v>54</v>
      </c>
      <c r="F55" s="22">
        <v>49</v>
      </c>
      <c r="G55" s="24">
        <v>0.92200000000000004</v>
      </c>
    </row>
    <row r="56" spans="2:7" x14ac:dyDescent="0.2">
      <c r="B56" s="15">
        <v>17</v>
      </c>
      <c r="D56" s="22">
        <v>203</v>
      </c>
      <c r="E56" s="23">
        <v>54</v>
      </c>
      <c r="F56" s="22">
        <v>49</v>
      </c>
      <c r="G56" s="24">
        <v>0.92200000000000004</v>
      </c>
    </row>
    <row r="57" spans="2:7" x14ac:dyDescent="0.2">
      <c r="B57" s="15">
        <v>26</v>
      </c>
      <c r="D57" s="22">
        <v>256</v>
      </c>
      <c r="E57" s="23">
        <v>54</v>
      </c>
      <c r="F57" s="22">
        <v>49</v>
      </c>
      <c r="G57" s="24">
        <v>0.92200000000000004</v>
      </c>
    </row>
    <row r="58" spans="2:7" x14ac:dyDescent="0.2">
      <c r="B58" s="15">
        <v>32</v>
      </c>
      <c r="D58" s="22">
        <v>397</v>
      </c>
      <c r="E58" s="23">
        <v>54</v>
      </c>
      <c r="F58" s="22">
        <v>49</v>
      </c>
      <c r="G58" s="24">
        <v>0.92200000000000004</v>
      </c>
    </row>
    <row r="59" spans="2:7" x14ac:dyDescent="0.2">
      <c r="B59" s="15">
        <v>16</v>
      </c>
      <c r="D59" s="22">
        <v>410</v>
      </c>
      <c r="E59" s="23">
        <v>54</v>
      </c>
      <c r="F59" s="22">
        <v>49</v>
      </c>
      <c r="G59" s="24">
        <v>0.92200000000000004</v>
      </c>
    </row>
    <row r="60" spans="2:7" x14ac:dyDescent="0.2">
      <c r="B60" s="15">
        <v>21</v>
      </c>
      <c r="D60" s="22">
        <v>463</v>
      </c>
      <c r="E60" s="23">
        <v>54</v>
      </c>
      <c r="F60" s="22">
        <v>49</v>
      </c>
      <c r="G60" s="24">
        <v>0.92200000000000004</v>
      </c>
    </row>
    <row r="61" spans="2:7" x14ac:dyDescent="0.2">
      <c r="B61" s="15">
        <v>26</v>
      </c>
      <c r="D61" s="22">
        <v>619</v>
      </c>
      <c r="E61" s="23">
        <v>54</v>
      </c>
      <c r="F61" s="22">
        <v>49</v>
      </c>
      <c r="G61" s="24">
        <v>0.92200000000000004</v>
      </c>
    </row>
    <row r="62" spans="2:7" x14ac:dyDescent="0.2">
      <c r="B62" s="15">
        <v>32</v>
      </c>
      <c r="D62" s="22">
        <v>454</v>
      </c>
      <c r="E62" s="23">
        <v>53</v>
      </c>
      <c r="F62" s="22">
        <v>57</v>
      </c>
      <c r="G62" s="24">
        <v>0.92100000000000004</v>
      </c>
    </row>
    <row r="63" spans="2:7" x14ac:dyDescent="0.2">
      <c r="B63" s="15">
        <v>25</v>
      </c>
      <c r="D63" s="22">
        <v>213</v>
      </c>
      <c r="E63" s="23">
        <v>52</v>
      </c>
      <c r="F63" s="22">
        <v>58</v>
      </c>
      <c r="G63" s="24">
        <v>0.91300000000000003</v>
      </c>
    </row>
    <row r="64" spans="2:7" x14ac:dyDescent="0.2">
      <c r="B64" s="15">
        <v>83</v>
      </c>
      <c r="D64" s="22">
        <v>363</v>
      </c>
      <c r="E64" s="23">
        <v>52</v>
      </c>
      <c r="F64" s="22">
        <v>58</v>
      </c>
      <c r="G64" s="24">
        <v>0.91300000000000003</v>
      </c>
    </row>
    <row r="65" spans="2:7" x14ac:dyDescent="0.2">
      <c r="B65" s="15">
        <v>30</v>
      </c>
      <c r="D65" s="22">
        <v>470</v>
      </c>
      <c r="E65" s="23">
        <v>52</v>
      </c>
      <c r="F65" s="22">
        <v>58</v>
      </c>
      <c r="G65" s="24">
        <v>0.91300000000000003</v>
      </c>
    </row>
    <row r="66" spans="2:7" x14ac:dyDescent="0.2">
      <c r="B66" s="15">
        <v>22</v>
      </c>
      <c r="D66" s="22">
        <v>553</v>
      </c>
      <c r="E66" s="23">
        <v>52</v>
      </c>
      <c r="F66" s="22">
        <v>58</v>
      </c>
      <c r="G66" s="24">
        <v>0.91300000000000003</v>
      </c>
    </row>
    <row r="67" spans="2:7" x14ac:dyDescent="0.2">
      <c r="B67" s="15">
        <v>29</v>
      </c>
      <c r="D67" s="22">
        <v>569</v>
      </c>
      <c r="E67" s="23">
        <v>52</v>
      </c>
      <c r="F67" s="22">
        <v>58</v>
      </c>
      <c r="G67" s="24">
        <v>0.91300000000000003</v>
      </c>
    </row>
    <row r="68" spans="2:7" x14ac:dyDescent="0.2">
      <c r="B68" s="15">
        <v>28</v>
      </c>
      <c r="D68" s="22">
        <v>658</v>
      </c>
      <c r="E68" s="23">
        <v>52</v>
      </c>
      <c r="F68" s="22">
        <v>58</v>
      </c>
      <c r="G68" s="24">
        <v>0.91300000000000003</v>
      </c>
    </row>
    <row r="69" spans="2:7" x14ac:dyDescent="0.2">
      <c r="B69" s="15">
        <v>17</v>
      </c>
      <c r="D69" s="22">
        <v>123</v>
      </c>
      <c r="E69" s="23">
        <v>51</v>
      </c>
      <c r="F69" s="22">
        <v>64</v>
      </c>
      <c r="G69" s="24">
        <v>0.90300000000000002</v>
      </c>
    </row>
    <row r="70" spans="2:7" x14ac:dyDescent="0.2">
      <c r="B70" s="15">
        <v>33</v>
      </c>
      <c r="D70" s="22">
        <v>127</v>
      </c>
      <c r="E70" s="23">
        <v>51</v>
      </c>
      <c r="F70" s="22">
        <v>64</v>
      </c>
      <c r="G70" s="24">
        <v>0.90300000000000002</v>
      </c>
    </row>
    <row r="71" spans="2:7" x14ac:dyDescent="0.2">
      <c r="B71" s="15">
        <v>16</v>
      </c>
      <c r="D71" s="22">
        <v>181</v>
      </c>
      <c r="E71" s="23">
        <v>51</v>
      </c>
      <c r="F71" s="22">
        <v>64</v>
      </c>
      <c r="G71" s="24">
        <v>0.90300000000000002</v>
      </c>
    </row>
    <row r="72" spans="2:7" x14ac:dyDescent="0.2">
      <c r="B72" s="15">
        <v>23</v>
      </c>
      <c r="D72" s="22">
        <v>330</v>
      </c>
      <c r="E72" s="23">
        <v>51</v>
      </c>
      <c r="F72" s="22">
        <v>64</v>
      </c>
      <c r="G72" s="24">
        <v>0.90300000000000002</v>
      </c>
    </row>
    <row r="73" spans="2:7" x14ac:dyDescent="0.2">
      <c r="B73" s="15">
        <v>24</v>
      </c>
      <c r="D73" s="22">
        <v>501</v>
      </c>
      <c r="E73" s="23">
        <v>51</v>
      </c>
      <c r="F73" s="22">
        <v>64</v>
      </c>
      <c r="G73" s="24">
        <v>0.90300000000000002</v>
      </c>
    </row>
    <row r="74" spans="2:7" x14ac:dyDescent="0.2">
      <c r="B74" s="15">
        <v>29</v>
      </c>
      <c r="D74" s="22">
        <v>613</v>
      </c>
      <c r="E74" s="23">
        <v>51</v>
      </c>
      <c r="F74" s="22">
        <v>64</v>
      </c>
      <c r="G74" s="24">
        <v>0.90300000000000002</v>
      </c>
    </row>
    <row r="75" spans="2:7" x14ac:dyDescent="0.2">
      <c r="B75" s="15">
        <v>20</v>
      </c>
      <c r="D75" s="22">
        <v>687</v>
      </c>
      <c r="E75" s="23">
        <v>51</v>
      </c>
      <c r="F75" s="22">
        <v>64</v>
      </c>
      <c r="G75" s="24">
        <v>0.90300000000000002</v>
      </c>
    </row>
    <row r="76" spans="2:7" x14ac:dyDescent="0.2">
      <c r="B76" s="15">
        <v>46</v>
      </c>
      <c r="D76" s="22">
        <v>144</v>
      </c>
      <c r="E76" s="23">
        <v>50</v>
      </c>
      <c r="F76" s="22">
        <v>71</v>
      </c>
      <c r="G76" s="24">
        <v>0.88900000000000001</v>
      </c>
    </row>
    <row r="77" spans="2:7" x14ac:dyDescent="0.2">
      <c r="B77" s="15">
        <v>26</v>
      </c>
      <c r="D77" s="22">
        <v>211</v>
      </c>
      <c r="E77" s="23">
        <v>50</v>
      </c>
      <c r="F77" s="22">
        <v>71</v>
      </c>
      <c r="G77" s="24">
        <v>0.88900000000000001</v>
      </c>
    </row>
    <row r="78" spans="2:7" x14ac:dyDescent="0.2">
      <c r="B78" s="15">
        <v>59</v>
      </c>
      <c r="D78" s="22">
        <v>243</v>
      </c>
      <c r="E78" s="23">
        <v>50</v>
      </c>
      <c r="F78" s="22">
        <v>71</v>
      </c>
      <c r="G78" s="24">
        <v>0.88900000000000001</v>
      </c>
    </row>
    <row r="79" spans="2:7" x14ac:dyDescent="0.2">
      <c r="B79" s="15">
        <v>71</v>
      </c>
      <c r="D79" s="22">
        <v>349</v>
      </c>
      <c r="E79" s="23">
        <v>50</v>
      </c>
      <c r="F79" s="22">
        <v>71</v>
      </c>
      <c r="G79" s="24">
        <v>0.88900000000000001</v>
      </c>
    </row>
    <row r="80" spans="2:7" x14ac:dyDescent="0.2">
      <c r="B80" s="15">
        <v>23</v>
      </c>
      <c r="D80" s="22">
        <v>369</v>
      </c>
      <c r="E80" s="23">
        <v>50</v>
      </c>
      <c r="F80" s="22">
        <v>71</v>
      </c>
      <c r="G80" s="24">
        <v>0.88900000000000001</v>
      </c>
    </row>
    <row r="81" spans="2:7" x14ac:dyDescent="0.2">
      <c r="B81" s="15">
        <v>34</v>
      </c>
      <c r="D81" s="22">
        <v>386</v>
      </c>
      <c r="E81" s="23">
        <v>50</v>
      </c>
      <c r="F81" s="22">
        <v>71</v>
      </c>
      <c r="G81" s="24">
        <v>0.88900000000000001</v>
      </c>
    </row>
    <row r="82" spans="2:7" x14ac:dyDescent="0.2">
      <c r="B82" s="15">
        <v>34</v>
      </c>
      <c r="D82" s="22">
        <v>420</v>
      </c>
      <c r="E82" s="23">
        <v>50</v>
      </c>
      <c r="F82" s="22">
        <v>71</v>
      </c>
      <c r="G82" s="24">
        <v>0.88900000000000001</v>
      </c>
    </row>
    <row r="83" spans="2:7" x14ac:dyDescent="0.2">
      <c r="B83" s="15">
        <v>28</v>
      </c>
      <c r="D83" s="22">
        <v>434</v>
      </c>
      <c r="E83" s="23">
        <v>50</v>
      </c>
      <c r="F83" s="22">
        <v>71</v>
      </c>
      <c r="G83" s="24">
        <v>0.88900000000000001</v>
      </c>
    </row>
    <row r="84" spans="2:7" x14ac:dyDescent="0.2">
      <c r="B84" s="15">
        <v>21</v>
      </c>
      <c r="D84" s="22">
        <v>523</v>
      </c>
      <c r="E84" s="23">
        <v>50</v>
      </c>
      <c r="F84" s="22">
        <v>71</v>
      </c>
      <c r="G84" s="24">
        <v>0.88900000000000001</v>
      </c>
    </row>
    <row r="85" spans="2:7" x14ac:dyDescent="0.2">
      <c r="B85" s="15">
        <v>33</v>
      </c>
      <c r="D85" s="22">
        <v>577</v>
      </c>
      <c r="E85" s="23">
        <v>50</v>
      </c>
      <c r="F85" s="22">
        <v>71</v>
      </c>
      <c r="G85" s="24">
        <v>0.88900000000000001</v>
      </c>
    </row>
    <row r="86" spans="2:7" x14ac:dyDescent="0.2">
      <c r="B86" s="15">
        <v>37</v>
      </c>
      <c r="D86" s="22">
        <v>40</v>
      </c>
      <c r="E86" s="23">
        <v>49</v>
      </c>
      <c r="F86" s="22">
        <v>81</v>
      </c>
      <c r="G86" s="24">
        <v>0.88</v>
      </c>
    </row>
    <row r="87" spans="2:7" x14ac:dyDescent="0.2">
      <c r="B87" s="15">
        <v>28</v>
      </c>
      <c r="D87" s="22">
        <v>366</v>
      </c>
      <c r="E87" s="23">
        <v>49</v>
      </c>
      <c r="F87" s="22">
        <v>81</v>
      </c>
      <c r="G87" s="24">
        <v>0.88</v>
      </c>
    </row>
    <row r="88" spans="2:7" x14ac:dyDescent="0.2">
      <c r="B88" s="15">
        <v>21</v>
      </c>
      <c r="D88" s="22">
        <v>474</v>
      </c>
      <c r="E88" s="23">
        <v>49</v>
      </c>
      <c r="F88" s="22">
        <v>81</v>
      </c>
      <c r="G88" s="24">
        <v>0.88</v>
      </c>
    </row>
    <row r="89" spans="2:7" x14ac:dyDescent="0.2">
      <c r="B89" s="15">
        <v>38</v>
      </c>
      <c r="D89" s="22">
        <v>475</v>
      </c>
      <c r="E89" s="23">
        <v>49</v>
      </c>
      <c r="F89" s="22">
        <v>81</v>
      </c>
      <c r="G89" s="24">
        <v>0.88</v>
      </c>
    </row>
    <row r="90" spans="2:7" x14ac:dyDescent="0.2">
      <c r="B90" s="15">
        <v>47</v>
      </c>
      <c r="D90" s="22">
        <v>555</v>
      </c>
      <c r="E90" s="23">
        <v>49</v>
      </c>
      <c r="F90" s="22">
        <v>81</v>
      </c>
      <c r="G90" s="24">
        <v>0.88</v>
      </c>
    </row>
    <row r="91" spans="2:7" x14ac:dyDescent="0.2">
      <c r="B91" s="15">
        <v>14.5</v>
      </c>
      <c r="D91" s="22">
        <v>635</v>
      </c>
      <c r="E91" s="23">
        <v>49</v>
      </c>
      <c r="F91" s="22">
        <v>81</v>
      </c>
      <c r="G91" s="24">
        <v>0.88</v>
      </c>
    </row>
    <row r="92" spans="2:7" x14ac:dyDescent="0.2">
      <c r="B92" s="15">
        <v>22</v>
      </c>
      <c r="D92" s="22">
        <v>370</v>
      </c>
      <c r="E92" s="23">
        <v>48</v>
      </c>
      <c r="F92" s="22">
        <v>87</v>
      </c>
      <c r="G92" s="24">
        <v>0.86799999999999999</v>
      </c>
    </row>
    <row r="93" spans="2:7" x14ac:dyDescent="0.2">
      <c r="B93" s="15">
        <v>20</v>
      </c>
      <c r="D93" s="22">
        <v>373</v>
      </c>
      <c r="E93" s="23">
        <v>48</v>
      </c>
      <c r="F93" s="22">
        <v>87</v>
      </c>
      <c r="G93" s="24">
        <v>0.86799999999999999</v>
      </c>
    </row>
    <row r="94" spans="2:7" x14ac:dyDescent="0.2">
      <c r="B94" s="15">
        <v>17</v>
      </c>
      <c r="D94" s="22">
        <v>444</v>
      </c>
      <c r="E94" s="23">
        <v>48</v>
      </c>
      <c r="F94" s="22">
        <v>87</v>
      </c>
      <c r="G94" s="24">
        <v>0.86799999999999999</v>
      </c>
    </row>
    <row r="95" spans="2:7" x14ac:dyDescent="0.2">
      <c r="B95" s="15">
        <v>21</v>
      </c>
      <c r="D95" s="22">
        <v>512</v>
      </c>
      <c r="E95" s="23">
        <v>48</v>
      </c>
      <c r="F95" s="22">
        <v>87</v>
      </c>
      <c r="G95" s="24">
        <v>0.86799999999999999</v>
      </c>
    </row>
    <row r="96" spans="2:7" x14ac:dyDescent="0.2">
      <c r="B96" s="15">
        <v>70.5</v>
      </c>
      <c r="D96" s="22">
        <v>567</v>
      </c>
      <c r="E96" s="23">
        <v>48</v>
      </c>
      <c r="F96" s="22">
        <v>87</v>
      </c>
      <c r="G96" s="24">
        <v>0.86799999999999999</v>
      </c>
    </row>
    <row r="97" spans="2:7" x14ac:dyDescent="0.2">
      <c r="B97" s="15">
        <v>29</v>
      </c>
      <c r="D97" s="22">
        <v>588</v>
      </c>
      <c r="E97" s="23">
        <v>48</v>
      </c>
      <c r="F97" s="22">
        <v>87</v>
      </c>
      <c r="G97" s="24">
        <v>0.86799999999999999</v>
      </c>
    </row>
    <row r="98" spans="2:7" x14ac:dyDescent="0.2">
      <c r="B98" s="15">
        <v>24</v>
      </c>
      <c r="D98" s="22">
        <v>603</v>
      </c>
      <c r="E98" s="23">
        <v>48</v>
      </c>
      <c r="F98" s="22">
        <v>87</v>
      </c>
      <c r="G98" s="24">
        <v>0.86799999999999999</v>
      </c>
    </row>
    <row r="99" spans="2:7" x14ac:dyDescent="0.2">
      <c r="B99" s="15">
        <v>2</v>
      </c>
      <c r="D99" s="22">
        <v>617</v>
      </c>
      <c r="E99" s="23">
        <v>48</v>
      </c>
      <c r="F99" s="22">
        <v>87</v>
      </c>
      <c r="G99" s="24">
        <v>0.86799999999999999</v>
      </c>
    </row>
    <row r="100" spans="2:7" x14ac:dyDescent="0.2">
      <c r="B100" s="15">
        <v>21</v>
      </c>
      <c r="D100" s="22">
        <v>691</v>
      </c>
      <c r="E100" s="23">
        <v>48</v>
      </c>
      <c r="F100" s="22">
        <v>87</v>
      </c>
      <c r="G100" s="24">
        <v>0.86799999999999999</v>
      </c>
    </row>
    <row r="101" spans="2:7" x14ac:dyDescent="0.2">
      <c r="B101" s="15">
        <v>32.5</v>
      </c>
      <c r="D101" s="22">
        <v>87</v>
      </c>
      <c r="E101" s="23">
        <v>47</v>
      </c>
      <c r="F101" s="22">
        <v>96</v>
      </c>
      <c r="G101" s="24">
        <v>0.85499999999999998</v>
      </c>
    </row>
    <row r="102" spans="2:7" x14ac:dyDescent="0.2">
      <c r="B102" s="15">
        <v>32.5</v>
      </c>
      <c r="D102" s="22">
        <v>106</v>
      </c>
      <c r="E102" s="23">
        <v>47</v>
      </c>
      <c r="F102" s="22">
        <v>96</v>
      </c>
      <c r="G102" s="24">
        <v>0.85499999999999998</v>
      </c>
    </row>
    <row r="103" spans="2:7" x14ac:dyDescent="0.2">
      <c r="B103" s="15">
        <v>54</v>
      </c>
      <c r="D103" s="22">
        <v>372</v>
      </c>
      <c r="E103" s="23">
        <v>47</v>
      </c>
      <c r="F103" s="22">
        <v>96</v>
      </c>
      <c r="G103" s="24">
        <v>0.85499999999999998</v>
      </c>
    </row>
    <row r="104" spans="2:7" x14ac:dyDescent="0.2">
      <c r="B104" s="15">
        <v>12</v>
      </c>
      <c r="D104" s="22">
        <v>412</v>
      </c>
      <c r="E104" s="23">
        <v>47</v>
      </c>
      <c r="F104" s="22">
        <v>96</v>
      </c>
      <c r="G104" s="24">
        <v>0.85499999999999998</v>
      </c>
    </row>
    <row r="105" spans="2:7" x14ac:dyDescent="0.2">
      <c r="B105" s="15">
        <v>24</v>
      </c>
      <c r="D105" s="22">
        <v>466</v>
      </c>
      <c r="E105" s="23">
        <v>47</v>
      </c>
      <c r="F105" s="22">
        <v>96</v>
      </c>
      <c r="G105" s="24">
        <v>0.85499999999999998</v>
      </c>
    </row>
    <row r="106" spans="2:7" x14ac:dyDescent="0.2">
      <c r="B106" s="15">
        <v>45</v>
      </c>
      <c r="D106" s="22">
        <v>471</v>
      </c>
      <c r="E106" s="23">
        <v>47</v>
      </c>
      <c r="F106" s="22">
        <v>96</v>
      </c>
      <c r="G106" s="24">
        <v>0.85499999999999998</v>
      </c>
    </row>
    <row r="107" spans="2:7" x14ac:dyDescent="0.2">
      <c r="B107" s="15">
        <v>33</v>
      </c>
      <c r="D107" s="22">
        <v>525</v>
      </c>
      <c r="E107" s="23">
        <v>47</v>
      </c>
      <c r="F107" s="22">
        <v>96</v>
      </c>
      <c r="G107" s="24">
        <v>0.85499999999999998</v>
      </c>
    </row>
    <row r="108" spans="2:7" x14ac:dyDescent="0.2">
      <c r="B108" s="15">
        <v>20</v>
      </c>
      <c r="D108" s="22">
        <v>698</v>
      </c>
      <c r="E108" s="23">
        <v>47</v>
      </c>
      <c r="F108" s="22">
        <v>96</v>
      </c>
      <c r="G108" s="24">
        <v>0.85499999999999998</v>
      </c>
    </row>
    <row r="109" spans="2:7" x14ac:dyDescent="0.2">
      <c r="B109" s="15">
        <v>47</v>
      </c>
      <c r="D109" s="22">
        <v>700</v>
      </c>
      <c r="E109" s="23">
        <v>47</v>
      </c>
      <c r="F109" s="22">
        <v>96</v>
      </c>
      <c r="G109" s="24">
        <v>0.85499999999999998</v>
      </c>
    </row>
    <row r="110" spans="2:7" x14ac:dyDescent="0.2">
      <c r="B110" s="15">
        <v>29</v>
      </c>
      <c r="D110" s="22">
        <v>73</v>
      </c>
      <c r="E110" s="23">
        <v>46</v>
      </c>
      <c r="F110" s="22">
        <v>105</v>
      </c>
      <c r="G110" s="24">
        <v>0.85099999999999998</v>
      </c>
    </row>
    <row r="111" spans="2:7" x14ac:dyDescent="0.2">
      <c r="B111" s="15">
        <v>25</v>
      </c>
      <c r="D111" s="22">
        <v>321</v>
      </c>
      <c r="E111" s="23">
        <v>46</v>
      </c>
      <c r="F111" s="22">
        <v>105</v>
      </c>
      <c r="G111" s="24">
        <v>0.85099999999999998</v>
      </c>
    </row>
    <row r="112" spans="2:7" x14ac:dyDescent="0.2">
      <c r="B112" s="15">
        <v>23</v>
      </c>
      <c r="D112" s="22">
        <v>631</v>
      </c>
      <c r="E112" s="23">
        <v>46</v>
      </c>
      <c r="F112" s="22">
        <v>105</v>
      </c>
      <c r="G112" s="24">
        <v>0.85099999999999998</v>
      </c>
    </row>
    <row r="113" spans="2:7" x14ac:dyDescent="0.2">
      <c r="B113" s="15">
        <v>19</v>
      </c>
      <c r="D113" s="22">
        <v>163</v>
      </c>
      <c r="E113" s="23">
        <v>45.5</v>
      </c>
      <c r="F113" s="22">
        <v>108</v>
      </c>
      <c r="G113" s="24">
        <v>0.84799999999999998</v>
      </c>
    </row>
    <row r="114" spans="2:7" x14ac:dyDescent="0.2">
      <c r="B114" s="15">
        <v>37</v>
      </c>
      <c r="D114" s="22">
        <v>268</v>
      </c>
      <c r="E114" s="23">
        <v>45.5</v>
      </c>
      <c r="F114" s="22">
        <v>108</v>
      </c>
      <c r="G114" s="24">
        <v>0.84799999999999998</v>
      </c>
    </row>
    <row r="115" spans="2:7" x14ac:dyDescent="0.2">
      <c r="B115" s="15">
        <v>16</v>
      </c>
      <c r="D115" s="22">
        <v>49</v>
      </c>
      <c r="E115" s="23">
        <v>45</v>
      </c>
      <c r="F115" s="22">
        <v>110</v>
      </c>
      <c r="G115" s="24">
        <v>0.83099999999999996</v>
      </c>
    </row>
    <row r="116" spans="2:7" x14ac:dyDescent="0.2">
      <c r="B116" s="15">
        <v>24</v>
      </c>
      <c r="D116" s="22">
        <v>103</v>
      </c>
      <c r="E116" s="23">
        <v>45</v>
      </c>
      <c r="F116" s="22">
        <v>110</v>
      </c>
      <c r="G116" s="24">
        <v>0.83099999999999996</v>
      </c>
    </row>
    <row r="117" spans="2:7" x14ac:dyDescent="0.2">
      <c r="B117" s="15">
        <v>22</v>
      </c>
      <c r="D117" s="22">
        <v>136</v>
      </c>
      <c r="E117" s="23">
        <v>45</v>
      </c>
      <c r="F117" s="22">
        <v>110</v>
      </c>
      <c r="G117" s="24">
        <v>0.83099999999999996</v>
      </c>
    </row>
    <row r="118" spans="2:7" x14ac:dyDescent="0.2">
      <c r="B118" s="15">
        <v>24</v>
      </c>
      <c r="D118" s="22">
        <v>150</v>
      </c>
      <c r="E118" s="23">
        <v>45</v>
      </c>
      <c r="F118" s="22">
        <v>110</v>
      </c>
      <c r="G118" s="24">
        <v>0.83099999999999996</v>
      </c>
    </row>
    <row r="119" spans="2:7" x14ac:dyDescent="0.2">
      <c r="B119" s="15">
        <v>19</v>
      </c>
      <c r="D119" s="22">
        <v>224</v>
      </c>
      <c r="E119" s="23">
        <v>45</v>
      </c>
      <c r="F119" s="22">
        <v>110</v>
      </c>
      <c r="G119" s="24">
        <v>0.83099999999999996</v>
      </c>
    </row>
    <row r="120" spans="2:7" x14ac:dyDescent="0.2">
      <c r="B120" s="15">
        <v>18</v>
      </c>
      <c r="D120" s="22">
        <v>273</v>
      </c>
      <c r="E120" s="23">
        <v>45</v>
      </c>
      <c r="F120" s="22">
        <v>110</v>
      </c>
      <c r="G120" s="24">
        <v>0.83099999999999996</v>
      </c>
    </row>
    <row r="121" spans="2:7" x14ac:dyDescent="0.2">
      <c r="B121" s="15">
        <v>19</v>
      </c>
      <c r="D121" s="22">
        <v>274</v>
      </c>
      <c r="E121" s="23">
        <v>45</v>
      </c>
      <c r="F121" s="22">
        <v>110</v>
      </c>
      <c r="G121" s="24">
        <v>0.83099999999999996</v>
      </c>
    </row>
    <row r="122" spans="2:7" x14ac:dyDescent="0.2">
      <c r="B122" s="15">
        <v>27</v>
      </c>
      <c r="D122" s="22">
        <v>292</v>
      </c>
      <c r="E122" s="23">
        <v>45</v>
      </c>
      <c r="F122" s="22">
        <v>110</v>
      </c>
      <c r="G122" s="24">
        <v>0.83099999999999996</v>
      </c>
    </row>
    <row r="123" spans="2:7" x14ac:dyDescent="0.2">
      <c r="B123" s="15">
        <v>9</v>
      </c>
      <c r="D123" s="22">
        <v>355</v>
      </c>
      <c r="E123" s="23">
        <v>45</v>
      </c>
      <c r="F123" s="22">
        <v>110</v>
      </c>
      <c r="G123" s="24">
        <v>0.83099999999999996</v>
      </c>
    </row>
    <row r="124" spans="2:7" x14ac:dyDescent="0.2">
      <c r="B124" s="15">
        <v>36.5</v>
      </c>
      <c r="D124" s="22">
        <v>427</v>
      </c>
      <c r="E124" s="23">
        <v>45</v>
      </c>
      <c r="F124" s="22">
        <v>110</v>
      </c>
      <c r="G124" s="24">
        <v>0.83099999999999996</v>
      </c>
    </row>
    <row r="125" spans="2:7" x14ac:dyDescent="0.2">
      <c r="B125" s="15">
        <v>42</v>
      </c>
      <c r="D125" s="22">
        <v>563</v>
      </c>
      <c r="E125" s="23">
        <v>45</v>
      </c>
      <c r="F125" s="22">
        <v>110</v>
      </c>
      <c r="G125" s="24">
        <v>0.83099999999999996</v>
      </c>
    </row>
    <row r="126" spans="2:7" x14ac:dyDescent="0.2">
      <c r="B126" s="15">
        <v>51</v>
      </c>
      <c r="D126" s="22">
        <v>686</v>
      </c>
      <c r="E126" s="23">
        <v>45</v>
      </c>
      <c r="F126" s="22">
        <v>110</v>
      </c>
      <c r="G126" s="24">
        <v>0.83099999999999996</v>
      </c>
    </row>
    <row r="127" spans="2:7" x14ac:dyDescent="0.2">
      <c r="B127" s="15">
        <v>22</v>
      </c>
      <c r="D127" s="22">
        <v>130</v>
      </c>
      <c r="E127" s="23">
        <v>44</v>
      </c>
      <c r="F127" s="22">
        <v>122</v>
      </c>
      <c r="G127" s="24">
        <v>0.81899999999999995</v>
      </c>
    </row>
    <row r="128" spans="2:7" x14ac:dyDescent="0.2">
      <c r="B128" s="15">
        <v>55.5</v>
      </c>
      <c r="D128" s="22">
        <v>157</v>
      </c>
      <c r="E128" s="23">
        <v>44</v>
      </c>
      <c r="F128" s="22">
        <v>122</v>
      </c>
      <c r="G128" s="24">
        <v>0.81899999999999995</v>
      </c>
    </row>
    <row r="129" spans="2:7" x14ac:dyDescent="0.2">
      <c r="B129" s="15">
        <v>40.5</v>
      </c>
      <c r="D129" s="22">
        <v>192</v>
      </c>
      <c r="E129" s="23">
        <v>44</v>
      </c>
      <c r="F129" s="22">
        <v>122</v>
      </c>
      <c r="G129" s="24">
        <v>0.81899999999999995</v>
      </c>
    </row>
    <row r="130" spans="2:7" x14ac:dyDescent="0.2">
      <c r="B130" s="15">
        <v>51</v>
      </c>
      <c r="D130" s="22">
        <v>199</v>
      </c>
      <c r="E130" s="23">
        <v>44</v>
      </c>
      <c r="F130" s="22">
        <v>122</v>
      </c>
      <c r="G130" s="24">
        <v>0.81899999999999995</v>
      </c>
    </row>
    <row r="131" spans="2:7" x14ac:dyDescent="0.2">
      <c r="B131" s="15">
        <v>16</v>
      </c>
      <c r="D131" s="22">
        <v>334</v>
      </c>
      <c r="E131" s="23">
        <v>44</v>
      </c>
      <c r="F131" s="22">
        <v>122</v>
      </c>
      <c r="G131" s="24">
        <v>0.81899999999999995</v>
      </c>
    </row>
    <row r="132" spans="2:7" x14ac:dyDescent="0.2">
      <c r="B132" s="15">
        <v>30</v>
      </c>
      <c r="D132" s="22">
        <v>418</v>
      </c>
      <c r="E132" s="23">
        <v>44</v>
      </c>
      <c r="F132" s="22">
        <v>122</v>
      </c>
      <c r="G132" s="24">
        <v>0.81899999999999995</v>
      </c>
    </row>
    <row r="133" spans="2:7" x14ac:dyDescent="0.2">
      <c r="B133" s="15">
        <v>44</v>
      </c>
      <c r="D133" s="22">
        <v>477</v>
      </c>
      <c r="E133" s="23">
        <v>44</v>
      </c>
      <c r="F133" s="22">
        <v>122</v>
      </c>
      <c r="G133" s="24">
        <v>0.81899999999999995</v>
      </c>
    </row>
    <row r="134" spans="2:7" x14ac:dyDescent="0.2">
      <c r="B134" s="15">
        <v>40</v>
      </c>
      <c r="D134" s="22">
        <v>554</v>
      </c>
      <c r="E134" s="23">
        <v>44</v>
      </c>
      <c r="F134" s="22">
        <v>122</v>
      </c>
      <c r="G134" s="24">
        <v>0.81899999999999995</v>
      </c>
    </row>
    <row r="135" spans="2:7" x14ac:dyDescent="0.2">
      <c r="B135" s="15">
        <v>26</v>
      </c>
      <c r="D135" s="22">
        <v>684</v>
      </c>
      <c r="E135" s="23">
        <v>44</v>
      </c>
      <c r="F135" s="22">
        <v>122</v>
      </c>
      <c r="G135" s="24">
        <v>0.81899999999999995</v>
      </c>
    </row>
    <row r="136" spans="2:7" x14ac:dyDescent="0.2">
      <c r="B136" s="15">
        <v>17</v>
      </c>
      <c r="D136" s="22">
        <v>253</v>
      </c>
      <c r="E136" s="23">
        <v>43</v>
      </c>
      <c r="F136" s="22">
        <v>131</v>
      </c>
      <c r="G136" s="24">
        <v>0.81200000000000006</v>
      </c>
    </row>
    <row r="137" spans="2:7" x14ac:dyDescent="0.2">
      <c r="B137" s="15">
        <v>1</v>
      </c>
      <c r="D137" s="22">
        <v>530</v>
      </c>
      <c r="E137" s="23">
        <v>43</v>
      </c>
      <c r="F137" s="22">
        <v>131</v>
      </c>
      <c r="G137" s="24">
        <v>0.81200000000000006</v>
      </c>
    </row>
    <row r="138" spans="2:7" x14ac:dyDescent="0.2">
      <c r="B138" s="15">
        <v>9</v>
      </c>
      <c r="D138" s="22">
        <v>538</v>
      </c>
      <c r="E138" s="23">
        <v>43</v>
      </c>
      <c r="F138" s="22">
        <v>131</v>
      </c>
      <c r="G138" s="24">
        <v>0.81200000000000006</v>
      </c>
    </row>
    <row r="139" spans="2:7" x14ac:dyDescent="0.2">
      <c r="B139" s="15">
        <v>45</v>
      </c>
      <c r="D139" s="22">
        <v>622</v>
      </c>
      <c r="E139" s="23">
        <v>43</v>
      </c>
      <c r="F139" s="22">
        <v>131</v>
      </c>
      <c r="G139" s="24">
        <v>0.81200000000000006</v>
      </c>
    </row>
    <row r="140" spans="2:7" x14ac:dyDescent="0.2">
      <c r="B140" s="15">
        <v>28</v>
      </c>
      <c r="D140" s="22">
        <v>656</v>
      </c>
      <c r="E140" s="23">
        <v>43</v>
      </c>
      <c r="F140" s="22">
        <v>131</v>
      </c>
      <c r="G140" s="24">
        <v>0.81200000000000006</v>
      </c>
    </row>
    <row r="141" spans="2:7" x14ac:dyDescent="0.2">
      <c r="B141" s="15">
        <v>61</v>
      </c>
      <c r="D141" s="22">
        <v>29</v>
      </c>
      <c r="E141" s="23">
        <v>42</v>
      </c>
      <c r="F141" s="22">
        <v>136</v>
      </c>
      <c r="G141" s="24">
        <v>0.79200000000000004</v>
      </c>
    </row>
    <row r="142" spans="2:7" x14ac:dyDescent="0.2">
      <c r="B142" s="15">
        <v>4</v>
      </c>
      <c r="D142" s="22">
        <v>122</v>
      </c>
      <c r="E142" s="23">
        <v>42</v>
      </c>
      <c r="F142" s="22">
        <v>136</v>
      </c>
      <c r="G142" s="24">
        <v>0.79200000000000004</v>
      </c>
    </row>
    <row r="143" spans="2:7" x14ac:dyDescent="0.2">
      <c r="B143" s="15">
        <v>1</v>
      </c>
      <c r="D143" s="22">
        <v>159</v>
      </c>
      <c r="E143" s="23">
        <v>42</v>
      </c>
      <c r="F143" s="22">
        <v>136</v>
      </c>
      <c r="G143" s="24">
        <v>0.79200000000000004</v>
      </c>
    </row>
    <row r="144" spans="2:7" x14ac:dyDescent="0.2">
      <c r="B144" s="15">
        <v>21</v>
      </c>
      <c r="D144" s="22">
        <v>176</v>
      </c>
      <c r="E144" s="23">
        <v>42</v>
      </c>
      <c r="F144" s="22">
        <v>136</v>
      </c>
      <c r="G144" s="24">
        <v>0.79200000000000004</v>
      </c>
    </row>
    <row r="145" spans="2:7" x14ac:dyDescent="0.2">
      <c r="B145" s="15">
        <v>56</v>
      </c>
      <c r="D145" s="22">
        <v>234</v>
      </c>
      <c r="E145" s="23">
        <v>42</v>
      </c>
      <c r="F145" s="22">
        <v>136</v>
      </c>
      <c r="G145" s="24">
        <v>0.79200000000000004</v>
      </c>
    </row>
    <row r="146" spans="2:7" x14ac:dyDescent="0.2">
      <c r="B146" s="15">
        <v>18</v>
      </c>
      <c r="D146" s="22">
        <v>283</v>
      </c>
      <c r="E146" s="23">
        <v>42</v>
      </c>
      <c r="F146" s="22">
        <v>136</v>
      </c>
      <c r="G146" s="24">
        <v>0.79200000000000004</v>
      </c>
    </row>
    <row r="147" spans="2:7" x14ac:dyDescent="0.2">
      <c r="B147" s="15">
        <v>50</v>
      </c>
      <c r="D147" s="22">
        <v>306</v>
      </c>
      <c r="E147" s="23">
        <v>42</v>
      </c>
      <c r="F147" s="22">
        <v>136</v>
      </c>
      <c r="G147" s="24">
        <v>0.79200000000000004</v>
      </c>
    </row>
    <row r="148" spans="2:7" x14ac:dyDescent="0.2">
      <c r="B148" s="15">
        <v>30</v>
      </c>
      <c r="D148" s="22">
        <v>347</v>
      </c>
      <c r="E148" s="23">
        <v>42</v>
      </c>
      <c r="F148" s="22">
        <v>136</v>
      </c>
      <c r="G148" s="24">
        <v>0.79200000000000004</v>
      </c>
    </row>
    <row r="149" spans="2:7" x14ac:dyDescent="0.2">
      <c r="B149" s="15">
        <v>36</v>
      </c>
      <c r="D149" s="22">
        <v>492</v>
      </c>
      <c r="E149" s="23">
        <v>42</v>
      </c>
      <c r="F149" s="22">
        <v>136</v>
      </c>
      <c r="G149" s="24">
        <v>0.79200000000000004</v>
      </c>
    </row>
    <row r="150" spans="2:7" x14ac:dyDescent="0.2">
      <c r="B150" s="15">
        <v>9</v>
      </c>
      <c r="D150" s="22">
        <v>556</v>
      </c>
      <c r="E150" s="23">
        <v>42</v>
      </c>
      <c r="F150" s="22">
        <v>136</v>
      </c>
      <c r="G150" s="24">
        <v>0.79200000000000004</v>
      </c>
    </row>
    <row r="151" spans="2:7" x14ac:dyDescent="0.2">
      <c r="B151" s="15">
        <v>1</v>
      </c>
      <c r="D151" s="22">
        <v>564</v>
      </c>
      <c r="E151" s="23">
        <v>42</v>
      </c>
      <c r="F151" s="22">
        <v>136</v>
      </c>
      <c r="G151" s="24">
        <v>0.79200000000000004</v>
      </c>
    </row>
    <row r="152" spans="2:7" x14ac:dyDescent="0.2">
      <c r="B152" s="15">
        <v>4</v>
      </c>
      <c r="D152" s="22">
        <v>642</v>
      </c>
      <c r="E152" s="23">
        <v>42</v>
      </c>
      <c r="F152" s="22">
        <v>136</v>
      </c>
      <c r="G152" s="24">
        <v>0.79200000000000004</v>
      </c>
    </row>
    <row r="153" spans="2:7" x14ac:dyDescent="0.2">
      <c r="B153" s="15">
        <v>45</v>
      </c>
      <c r="D153" s="22">
        <v>677</v>
      </c>
      <c r="E153" s="23">
        <v>42</v>
      </c>
      <c r="F153" s="22">
        <v>136</v>
      </c>
      <c r="G153" s="24">
        <v>0.79200000000000004</v>
      </c>
    </row>
    <row r="154" spans="2:7" x14ac:dyDescent="0.2">
      <c r="B154" s="15">
        <v>40</v>
      </c>
      <c r="D154" s="22">
        <v>693</v>
      </c>
      <c r="E154" s="23">
        <v>42</v>
      </c>
      <c r="F154" s="22">
        <v>136</v>
      </c>
      <c r="G154" s="24">
        <v>0.79200000000000004</v>
      </c>
    </row>
    <row r="155" spans="2:7" x14ac:dyDescent="0.2">
      <c r="B155" s="15">
        <v>36</v>
      </c>
      <c r="D155" s="22">
        <v>207</v>
      </c>
      <c r="E155" s="23">
        <v>41</v>
      </c>
      <c r="F155" s="22">
        <v>150</v>
      </c>
      <c r="G155" s="24">
        <v>0.78400000000000003</v>
      </c>
    </row>
    <row r="156" spans="2:7" x14ac:dyDescent="0.2">
      <c r="B156" s="15">
        <v>32</v>
      </c>
      <c r="D156" s="22">
        <v>221</v>
      </c>
      <c r="E156" s="23">
        <v>41</v>
      </c>
      <c r="F156" s="22">
        <v>150</v>
      </c>
      <c r="G156" s="24">
        <v>0.78400000000000003</v>
      </c>
    </row>
    <row r="157" spans="2:7" x14ac:dyDescent="0.2">
      <c r="B157" s="15">
        <v>19</v>
      </c>
      <c r="D157" s="22">
        <v>272</v>
      </c>
      <c r="E157" s="23">
        <v>41</v>
      </c>
      <c r="F157" s="22">
        <v>150</v>
      </c>
      <c r="G157" s="24">
        <v>0.78400000000000003</v>
      </c>
    </row>
    <row r="158" spans="2:7" x14ac:dyDescent="0.2">
      <c r="B158" s="15">
        <v>19</v>
      </c>
      <c r="D158" s="22">
        <v>507</v>
      </c>
      <c r="E158" s="23">
        <v>41</v>
      </c>
      <c r="F158" s="22">
        <v>150</v>
      </c>
      <c r="G158" s="24">
        <v>0.78400000000000003</v>
      </c>
    </row>
    <row r="159" spans="2:7" x14ac:dyDescent="0.2">
      <c r="B159" s="15">
        <v>3</v>
      </c>
      <c r="D159" s="22">
        <v>609</v>
      </c>
      <c r="E159" s="23">
        <v>41</v>
      </c>
      <c r="F159" s="22">
        <v>150</v>
      </c>
      <c r="G159" s="24">
        <v>0.78400000000000003</v>
      </c>
    </row>
    <row r="160" spans="2:7" x14ac:dyDescent="0.2">
      <c r="B160" s="15">
        <v>44</v>
      </c>
      <c r="D160" s="22">
        <v>689</v>
      </c>
      <c r="E160" s="23">
        <v>41</v>
      </c>
      <c r="F160" s="22">
        <v>150</v>
      </c>
      <c r="G160" s="24">
        <v>0.78400000000000003</v>
      </c>
    </row>
    <row r="161" spans="2:7" x14ac:dyDescent="0.2">
      <c r="B161" s="15">
        <v>58</v>
      </c>
      <c r="D161" s="22">
        <v>126</v>
      </c>
      <c r="E161" s="23">
        <v>40.5</v>
      </c>
      <c r="F161" s="22">
        <v>156</v>
      </c>
      <c r="G161" s="24">
        <v>0.78100000000000003</v>
      </c>
    </row>
    <row r="162" spans="2:7" x14ac:dyDescent="0.2">
      <c r="B162" s="15">
        <v>42</v>
      </c>
      <c r="D162" s="22">
        <v>419</v>
      </c>
      <c r="E162" s="23">
        <v>40.5</v>
      </c>
      <c r="F162" s="22">
        <v>156</v>
      </c>
      <c r="G162" s="24">
        <v>0.78100000000000003</v>
      </c>
    </row>
    <row r="163" spans="2:7" x14ac:dyDescent="0.2">
      <c r="B163" s="15">
        <v>24</v>
      </c>
      <c r="D163" s="22">
        <v>26</v>
      </c>
      <c r="E163" s="23">
        <v>40</v>
      </c>
      <c r="F163" s="22">
        <v>158</v>
      </c>
      <c r="G163" s="24">
        <v>0.76200000000000001</v>
      </c>
    </row>
    <row r="164" spans="2:7" x14ac:dyDescent="0.2">
      <c r="B164" s="15">
        <v>28</v>
      </c>
      <c r="D164" s="22">
        <v>33</v>
      </c>
      <c r="E164" s="23">
        <v>40</v>
      </c>
      <c r="F164" s="22">
        <v>158</v>
      </c>
      <c r="G164" s="24">
        <v>0.76200000000000001</v>
      </c>
    </row>
    <row r="165" spans="2:7" x14ac:dyDescent="0.2">
      <c r="B165" s="15">
        <v>34</v>
      </c>
      <c r="D165" s="22">
        <v>131</v>
      </c>
      <c r="E165" s="23">
        <v>40</v>
      </c>
      <c r="F165" s="22">
        <v>158</v>
      </c>
      <c r="G165" s="24">
        <v>0.76200000000000001</v>
      </c>
    </row>
    <row r="166" spans="2:7" x14ac:dyDescent="0.2">
      <c r="B166" s="15">
        <v>45.5</v>
      </c>
      <c r="D166" s="22">
        <v>151</v>
      </c>
      <c r="E166" s="23">
        <v>40</v>
      </c>
      <c r="F166" s="22">
        <v>158</v>
      </c>
      <c r="G166" s="24">
        <v>0.76200000000000001</v>
      </c>
    </row>
    <row r="167" spans="2:7" x14ac:dyDescent="0.2">
      <c r="B167" s="15">
        <v>18</v>
      </c>
      <c r="D167" s="22">
        <v>169</v>
      </c>
      <c r="E167" s="23">
        <v>40</v>
      </c>
      <c r="F167" s="22">
        <v>158</v>
      </c>
      <c r="G167" s="24">
        <v>0.76200000000000001</v>
      </c>
    </row>
    <row r="168" spans="2:7" x14ac:dyDescent="0.2">
      <c r="B168" s="15">
        <v>2</v>
      </c>
      <c r="D168" s="22">
        <v>214</v>
      </c>
      <c r="E168" s="23">
        <v>40</v>
      </c>
      <c r="F168" s="22">
        <v>158</v>
      </c>
      <c r="G168" s="24">
        <v>0.76200000000000001</v>
      </c>
    </row>
    <row r="169" spans="2:7" x14ac:dyDescent="0.2">
      <c r="B169" s="15">
        <v>32</v>
      </c>
      <c r="D169" s="22">
        <v>258</v>
      </c>
      <c r="E169" s="23">
        <v>40</v>
      </c>
      <c r="F169" s="22">
        <v>158</v>
      </c>
      <c r="G169" s="24">
        <v>0.76200000000000001</v>
      </c>
    </row>
    <row r="170" spans="2:7" x14ac:dyDescent="0.2">
      <c r="B170" s="15">
        <v>26</v>
      </c>
      <c r="D170" s="22">
        <v>281</v>
      </c>
      <c r="E170" s="23">
        <v>40</v>
      </c>
      <c r="F170" s="22">
        <v>158</v>
      </c>
      <c r="G170" s="24">
        <v>0.76200000000000001</v>
      </c>
    </row>
    <row r="171" spans="2:7" x14ac:dyDescent="0.2">
      <c r="B171" s="15">
        <v>16</v>
      </c>
      <c r="D171" s="22">
        <v>290</v>
      </c>
      <c r="E171" s="23">
        <v>40</v>
      </c>
      <c r="F171" s="22">
        <v>158</v>
      </c>
      <c r="G171" s="24">
        <v>0.76200000000000001</v>
      </c>
    </row>
    <row r="172" spans="2:7" x14ac:dyDescent="0.2">
      <c r="B172" s="15">
        <v>40</v>
      </c>
      <c r="D172" s="22">
        <v>447</v>
      </c>
      <c r="E172" s="23">
        <v>40</v>
      </c>
      <c r="F172" s="22">
        <v>158</v>
      </c>
      <c r="G172" s="24">
        <v>0.76200000000000001</v>
      </c>
    </row>
    <row r="173" spans="2:7" x14ac:dyDescent="0.2">
      <c r="B173" s="15">
        <v>24</v>
      </c>
      <c r="D173" s="22">
        <v>483</v>
      </c>
      <c r="E173" s="23">
        <v>40</v>
      </c>
      <c r="F173" s="22">
        <v>158</v>
      </c>
      <c r="G173" s="24">
        <v>0.76200000000000001</v>
      </c>
    </row>
    <row r="174" spans="2:7" x14ac:dyDescent="0.2">
      <c r="B174" s="15">
        <v>35</v>
      </c>
      <c r="D174" s="22">
        <v>524</v>
      </c>
      <c r="E174" s="23">
        <v>40</v>
      </c>
      <c r="F174" s="22">
        <v>158</v>
      </c>
      <c r="G174" s="24">
        <v>0.76200000000000001</v>
      </c>
    </row>
    <row r="175" spans="2:7" x14ac:dyDescent="0.2">
      <c r="B175" s="15">
        <v>22</v>
      </c>
      <c r="D175" s="22">
        <v>531</v>
      </c>
      <c r="E175" s="23">
        <v>40</v>
      </c>
      <c r="F175" s="22">
        <v>158</v>
      </c>
      <c r="G175" s="24">
        <v>0.76200000000000001</v>
      </c>
    </row>
    <row r="176" spans="2:7" x14ac:dyDescent="0.2">
      <c r="B176" s="15">
        <v>30</v>
      </c>
      <c r="D176" s="22">
        <v>14</v>
      </c>
      <c r="E176" s="23">
        <v>39</v>
      </c>
      <c r="F176" s="22">
        <v>171</v>
      </c>
      <c r="G176" s="24">
        <v>0.74299999999999999</v>
      </c>
    </row>
    <row r="177" spans="2:7" x14ac:dyDescent="0.2">
      <c r="B177" s="15">
        <v>31</v>
      </c>
      <c r="D177" s="22">
        <v>324</v>
      </c>
      <c r="E177" s="23">
        <v>39</v>
      </c>
      <c r="F177" s="22">
        <v>171</v>
      </c>
      <c r="G177" s="24">
        <v>0.74299999999999999</v>
      </c>
    </row>
    <row r="178" spans="2:7" x14ac:dyDescent="0.2">
      <c r="B178" s="15">
        <v>27</v>
      </c>
      <c r="D178" s="22">
        <v>421</v>
      </c>
      <c r="E178" s="23">
        <v>39</v>
      </c>
      <c r="F178" s="22">
        <v>171</v>
      </c>
      <c r="G178" s="24">
        <v>0.74299999999999999</v>
      </c>
    </row>
    <row r="179" spans="2:7" x14ac:dyDescent="0.2">
      <c r="B179" s="15">
        <v>42</v>
      </c>
      <c r="D179" s="22">
        <v>445</v>
      </c>
      <c r="E179" s="23">
        <v>39</v>
      </c>
      <c r="F179" s="22">
        <v>171</v>
      </c>
      <c r="G179" s="24">
        <v>0.74299999999999999</v>
      </c>
    </row>
    <row r="180" spans="2:7" x14ac:dyDescent="0.2">
      <c r="B180" s="15">
        <v>32</v>
      </c>
      <c r="D180" s="22">
        <v>459</v>
      </c>
      <c r="E180" s="23">
        <v>39</v>
      </c>
      <c r="F180" s="22">
        <v>171</v>
      </c>
      <c r="G180" s="24">
        <v>0.74299999999999999</v>
      </c>
    </row>
    <row r="181" spans="2:7" x14ac:dyDescent="0.2">
      <c r="B181" s="15">
        <v>30</v>
      </c>
      <c r="D181" s="22">
        <v>462</v>
      </c>
      <c r="E181" s="23">
        <v>39</v>
      </c>
      <c r="F181" s="22">
        <v>171</v>
      </c>
      <c r="G181" s="24">
        <v>0.74299999999999999</v>
      </c>
    </row>
    <row r="182" spans="2:7" x14ac:dyDescent="0.2">
      <c r="B182" s="15">
        <v>16</v>
      </c>
      <c r="D182" s="22">
        <v>484</v>
      </c>
      <c r="E182" s="23">
        <v>39</v>
      </c>
      <c r="F182" s="22">
        <v>171</v>
      </c>
      <c r="G182" s="24">
        <v>0.74299999999999999</v>
      </c>
    </row>
    <row r="183" spans="2:7" x14ac:dyDescent="0.2">
      <c r="B183" s="15">
        <v>27</v>
      </c>
      <c r="D183" s="22">
        <v>562</v>
      </c>
      <c r="E183" s="23">
        <v>39</v>
      </c>
      <c r="F183" s="22">
        <v>171</v>
      </c>
      <c r="G183" s="24">
        <v>0.74299999999999999</v>
      </c>
    </row>
    <row r="184" spans="2:7" x14ac:dyDescent="0.2">
      <c r="B184" s="15">
        <v>51</v>
      </c>
      <c r="D184" s="22">
        <v>634</v>
      </c>
      <c r="E184" s="23">
        <v>39</v>
      </c>
      <c r="F184" s="22">
        <v>171</v>
      </c>
      <c r="G184" s="24">
        <v>0.74299999999999999</v>
      </c>
    </row>
    <row r="185" spans="2:7" x14ac:dyDescent="0.2">
      <c r="B185" s="15">
        <v>38</v>
      </c>
      <c r="D185" s="22">
        <v>645</v>
      </c>
      <c r="E185" s="23">
        <v>39</v>
      </c>
      <c r="F185" s="22">
        <v>171</v>
      </c>
      <c r="G185" s="24">
        <v>0.74299999999999999</v>
      </c>
    </row>
    <row r="186" spans="2:7" x14ac:dyDescent="0.2">
      <c r="B186" s="15">
        <v>22</v>
      </c>
      <c r="D186" s="22">
        <v>647</v>
      </c>
      <c r="E186" s="23">
        <v>39</v>
      </c>
      <c r="F186" s="22">
        <v>171</v>
      </c>
      <c r="G186" s="24">
        <v>0.74299999999999999</v>
      </c>
    </row>
    <row r="187" spans="2:7" x14ac:dyDescent="0.2">
      <c r="B187" s="15">
        <v>19</v>
      </c>
      <c r="D187" s="22">
        <v>650</v>
      </c>
      <c r="E187" s="23">
        <v>39</v>
      </c>
      <c r="F187" s="22">
        <v>171</v>
      </c>
      <c r="G187" s="24">
        <v>0.74299999999999999</v>
      </c>
    </row>
    <row r="188" spans="2:7" x14ac:dyDescent="0.2">
      <c r="B188" s="15">
        <v>20.5</v>
      </c>
      <c r="D188" s="22">
        <v>669</v>
      </c>
      <c r="E188" s="23">
        <v>39</v>
      </c>
      <c r="F188" s="22">
        <v>171</v>
      </c>
      <c r="G188" s="24">
        <v>0.74299999999999999</v>
      </c>
    </row>
    <row r="189" spans="2:7" x14ac:dyDescent="0.2">
      <c r="B189" s="15">
        <v>18</v>
      </c>
      <c r="D189" s="22">
        <v>711</v>
      </c>
      <c r="E189" s="23">
        <v>39</v>
      </c>
      <c r="F189" s="22">
        <v>171</v>
      </c>
      <c r="G189" s="24">
        <v>0.74299999999999999</v>
      </c>
    </row>
    <row r="190" spans="2:7" x14ac:dyDescent="0.2">
      <c r="B190" s="15">
        <v>35</v>
      </c>
      <c r="D190" s="22">
        <v>3</v>
      </c>
      <c r="E190" s="23">
        <v>38</v>
      </c>
      <c r="F190" s="22">
        <v>185</v>
      </c>
      <c r="G190" s="24">
        <v>0.72699999999999998</v>
      </c>
    </row>
    <row r="191" spans="2:7" x14ac:dyDescent="0.2">
      <c r="B191" s="15">
        <v>29</v>
      </c>
      <c r="D191" s="22">
        <v>24</v>
      </c>
      <c r="E191" s="23">
        <v>38</v>
      </c>
      <c r="F191" s="22">
        <v>185</v>
      </c>
      <c r="G191" s="24">
        <v>0.72699999999999998</v>
      </c>
    </row>
    <row r="192" spans="2:7" x14ac:dyDescent="0.2">
      <c r="B192" s="15">
        <v>59</v>
      </c>
      <c r="D192" s="22">
        <v>48</v>
      </c>
      <c r="E192" s="23">
        <v>38</v>
      </c>
      <c r="F192" s="22">
        <v>185</v>
      </c>
      <c r="G192" s="24">
        <v>0.72699999999999998</v>
      </c>
    </row>
    <row r="193" spans="2:7" x14ac:dyDescent="0.2">
      <c r="B193" s="15">
        <v>5</v>
      </c>
      <c r="D193" s="22">
        <v>86</v>
      </c>
      <c r="E193" s="23">
        <v>38</v>
      </c>
      <c r="F193" s="22">
        <v>185</v>
      </c>
      <c r="G193" s="24">
        <v>0.72699999999999998</v>
      </c>
    </row>
    <row r="194" spans="2:7" x14ac:dyDescent="0.2">
      <c r="B194" s="15">
        <v>24</v>
      </c>
      <c r="D194" s="22">
        <v>182</v>
      </c>
      <c r="E194" s="23">
        <v>38</v>
      </c>
      <c r="F194" s="22">
        <v>185</v>
      </c>
      <c r="G194" s="24">
        <v>0.72699999999999998</v>
      </c>
    </row>
    <row r="195" spans="2:7" x14ac:dyDescent="0.2">
      <c r="B195" s="15">
        <v>44</v>
      </c>
      <c r="D195" s="22">
        <v>269</v>
      </c>
      <c r="E195" s="23">
        <v>38</v>
      </c>
      <c r="F195" s="22">
        <v>185</v>
      </c>
      <c r="G195" s="24">
        <v>0.72699999999999998</v>
      </c>
    </row>
    <row r="196" spans="2:7" x14ac:dyDescent="0.2">
      <c r="B196" s="15">
        <v>8</v>
      </c>
      <c r="D196" s="22">
        <v>289</v>
      </c>
      <c r="E196" s="23">
        <v>38</v>
      </c>
      <c r="F196" s="22">
        <v>185</v>
      </c>
      <c r="G196" s="24">
        <v>0.72699999999999998</v>
      </c>
    </row>
    <row r="197" spans="2:7" x14ac:dyDescent="0.2">
      <c r="B197" s="15">
        <v>19</v>
      </c>
      <c r="D197" s="22">
        <v>374</v>
      </c>
      <c r="E197" s="23">
        <v>38</v>
      </c>
      <c r="F197" s="22">
        <v>185</v>
      </c>
      <c r="G197" s="24">
        <v>0.72699999999999998</v>
      </c>
    </row>
    <row r="198" spans="2:7" x14ac:dyDescent="0.2">
      <c r="B198" s="15">
        <v>33</v>
      </c>
      <c r="D198" s="22">
        <v>377</v>
      </c>
      <c r="E198" s="23">
        <v>38</v>
      </c>
      <c r="F198" s="22">
        <v>185</v>
      </c>
      <c r="G198" s="24">
        <v>0.72699999999999998</v>
      </c>
    </row>
    <row r="199" spans="2:7" x14ac:dyDescent="0.2">
      <c r="B199" s="15">
        <v>29</v>
      </c>
      <c r="D199" s="22">
        <v>571</v>
      </c>
      <c r="E199" s="23">
        <v>38</v>
      </c>
      <c r="F199" s="22">
        <v>185</v>
      </c>
      <c r="G199" s="24">
        <v>0.72699999999999998</v>
      </c>
    </row>
    <row r="200" spans="2:7" x14ac:dyDescent="0.2">
      <c r="B200" s="15">
        <v>22</v>
      </c>
      <c r="D200" s="22">
        <v>660</v>
      </c>
      <c r="E200" s="23">
        <v>38</v>
      </c>
      <c r="F200" s="22">
        <v>185</v>
      </c>
      <c r="G200" s="24">
        <v>0.72699999999999998</v>
      </c>
    </row>
    <row r="201" spans="2:7" x14ac:dyDescent="0.2">
      <c r="B201" s="15">
        <v>30</v>
      </c>
      <c r="D201" s="22">
        <v>83</v>
      </c>
      <c r="E201" s="23">
        <v>37</v>
      </c>
      <c r="F201" s="22">
        <v>196</v>
      </c>
      <c r="G201" s="24">
        <v>0.71899999999999997</v>
      </c>
    </row>
    <row r="202" spans="2:7" x14ac:dyDescent="0.2">
      <c r="B202" s="15">
        <v>44</v>
      </c>
      <c r="D202" s="22">
        <v>111</v>
      </c>
      <c r="E202" s="23">
        <v>37</v>
      </c>
      <c r="F202" s="22">
        <v>196</v>
      </c>
      <c r="G202" s="24">
        <v>0.71899999999999997</v>
      </c>
    </row>
    <row r="203" spans="2:7" x14ac:dyDescent="0.2">
      <c r="B203" s="15">
        <v>25</v>
      </c>
      <c r="D203" s="22">
        <v>202</v>
      </c>
      <c r="E203" s="23">
        <v>37</v>
      </c>
      <c r="F203" s="22">
        <v>196</v>
      </c>
      <c r="G203" s="24">
        <v>0.71899999999999997</v>
      </c>
    </row>
    <row r="204" spans="2:7" x14ac:dyDescent="0.2">
      <c r="B204" s="15">
        <v>24</v>
      </c>
      <c r="D204" s="22">
        <v>222</v>
      </c>
      <c r="E204" s="23">
        <v>37</v>
      </c>
      <c r="F204" s="22">
        <v>196</v>
      </c>
      <c r="G204" s="24">
        <v>0.71899999999999997</v>
      </c>
    </row>
    <row r="205" spans="2:7" x14ac:dyDescent="0.2">
      <c r="B205" s="15">
        <v>37</v>
      </c>
      <c r="D205" s="22">
        <v>402</v>
      </c>
      <c r="E205" s="23">
        <v>37</v>
      </c>
      <c r="F205" s="22">
        <v>196</v>
      </c>
      <c r="G205" s="24">
        <v>0.71899999999999997</v>
      </c>
    </row>
    <row r="206" spans="2:7" x14ac:dyDescent="0.2">
      <c r="B206" s="15">
        <v>54</v>
      </c>
      <c r="D206" s="22">
        <v>472</v>
      </c>
      <c r="E206" s="23">
        <v>37</v>
      </c>
      <c r="F206" s="22">
        <v>196</v>
      </c>
      <c r="G206" s="24">
        <v>0.71899999999999997</v>
      </c>
    </row>
    <row r="207" spans="2:7" x14ac:dyDescent="0.2">
      <c r="B207" s="15">
        <v>29</v>
      </c>
      <c r="D207" s="22">
        <v>121</v>
      </c>
      <c r="E207" s="23">
        <v>36.5</v>
      </c>
      <c r="F207" s="22">
        <v>202</v>
      </c>
      <c r="G207" s="24">
        <v>0.71799999999999997</v>
      </c>
    </row>
    <row r="208" spans="2:7" x14ac:dyDescent="0.2">
      <c r="B208" s="15">
        <v>62</v>
      </c>
      <c r="D208" s="22">
        <v>146</v>
      </c>
      <c r="E208" s="23">
        <v>36</v>
      </c>
      <c r="F208" s="22">
        <v>203</v>
      </c>
      <c r="G208" s="24">
        <v>0.68700000000000006</v>
      </c>
    </row>
    <row r="209" spans="2:7" x14ac:dyDescent="0.2">
      <c r="B209" s="15">
        <v>30</v>
      </c>
      <c r="D209" s="22">
        <v>152</v>
      </c>
      <c r="E209" s="23">
        <v>36</v>
      </c>
      <c r="F209" s="22">
        <v>203</v>
      </c>
      <c r="G209" s="24">
        <v>0.68700000000000006</v>
      </c>
    </row>
    <row r="210" spans="2:7" x14ac:dyDescent="0.2">
      <c r="B210" s="15">
        <v>41</v>
      </c>
      <c r="D210" s="22">
        <v>215</v>
      </c>
      <c r="E210" s="23">
        <v>36</v>
      </c>
      <c r="F210" s="22">
        <v>203</v>
      </c>
      <c r="G210" s="24">
        <v>0.68700000000000006</v>
      </c>
    </row>
    <row r="211" spans="2:7" x14ac:dyDescent="0.2">
      <c r="B211" s="15">
        <v>29</v>
      </c>
      <c r="D211" s="22">
        <v>238</v>
      </c>
      <c r="E211" s="23">
        <v>36</v>
      </c>
      <c r="F211" s="22">
        <v>203</v>
      </c>
      <c r="G211" s="24">
        <v>0.68700000000000006</v>
      </c>
    </row>
    <row r="212" spans="2:7" x14ac:dyDescent="0.2">
      <c r="B212" s="15">
        <v>30</v>
      </c>
      <c r="D212" s="22">
        <v>263</v>
      </c>
      <c r="E212" s="23">
        <v>36</v>
      </c>
      <c r="F212" s="22">
        <v>203</v>
      </c>
      <c r="G212" s="24">
        <v>0.68700000000000006</v>
      </c>
    </row>
    <row r="213" spans="2:7" x14ac:dyDescent="0.2">
      <c r="B213" s="15">
        <v>35</v>
      </c>
      <c r="D213" s="22">
        <v>265</v>
      </c>
      <c r="E213" s="23">
        <v>36</v>
      </c>
      <c r="F213" s="22">
        <v>203</v>
      </c>
      <c r="G213" s="24">
        <v>0.68700000000000006</v>
      </c>
    </row>
    <row r="214" spans="2:7" x14ac:dyDescent="0.2">
      <c r="B214" s="15">
        <v>50</v>
      </c>
      <c r="D214" s="22">
        <v>279</v>
      </c>
      <c r="E214" s="23">
        <v>36</v>
      </c>
      <c r="F214" s="22">
        <v>203</v>
      </c>
      <c r="G214" s="24">
        <v>0.68700000000000006</v>
      </c>
    </row>
    <row r="215" spans="2:7" x14ac:dyDescent="0.2">
      <c r="B215" s="15">
        <v>3</v>
      </c>
      <c r="D215" s="22">
        <v>312</v>
      </c>
      <c r="E215" s="23">
        <v>36</v>
      </c>
      <c r="F215" s="22">
        <v>203</v>
      </c>
      <c r="G215" s="24">
        <v>0.68700000000000006</v>
      </c>
    </row>
    <row r="216" spans="2:7" x14ac:dyDescent="0.2">
      <c r="B216" s="15">
        <v>52</v>
      </c>
      <c r="D216" s="22">
        <v>314</v>
      </c>
      <c r="E216" s="23">
        <v>36</v>
      </c>
      <c r="F216" s="22">
        <v>203</v>
      </c>
      <c r="G216" s="24">
        <v>0.68700000000000006</v>
      </c>
    </row>
    <row r="217" spans="2:7" x14ac:dyDescent="0.2">
      <c r="B217" s="15">
        <v>40</v>
      </c>
      <c r="D217" s="22">
        <v>364</v>
      </c>
      <c r="E217" s="23">
        <v>36</v>
      </c>
      <c r="F217" s="22">
        <v>203</v>
      </c>
      <c r="G217" s="24">
        <v>0.68700000000000006</v>
      </c>
    </row>
    <row r="218" spans="2:7" x14ac:dyDescent="0.2">
      <c r="B218" s="15">
        <v>36</v>
      </c>
      <c r="D218" s="22">
        <v>409</v>
      </c>
      <c r="E218" s="23">
        <v>36</v>
      </c>
      <c r="F218" s="22">
        <v>203</v>
      </c>
      <c r="G218" s="24">
        <v>0.68700000000000006</v>
      </c>
    </row>
    <row r="219" spans="2:7" x14ac:dyDescent="0.2">
      <c r="B219" s="15">
        <v>16</v>
      </c>
      <c r="D219" s="22">
        <v>414</v>
      </c>
      <c r="E219" s="23">
        <v>36</v>
      </c>
      <c r="F219" s="22">
        <v>203</v>
      </c>
      <c r="G219" s="24">
        <v>0.68700000000000006</v>
      </c>
    </row>
    <row r="220" spans="2:7" x14ac:dyDescent="0.2">
      <c r="B220" s="15">
        <v>25</v>
      </c>
      <c r="D220" s="22">
        <v>430</v>
      </c>
      <c r="E220" s="23">
        <v>36</v>
      </c>
      <c r="F220" s="22">
        <v>203</v>
      </c>
      <c r="G220" s="24">
        <v>0.68700000000000006</v>
      </c>
    </row>
    <row r="221" spans="2:7" x14ac:dyDescent="0.2">
      <c r="B221" s="15">
        <v>58</v>
      </c>
      <c r="D221" s="22">
        <v>446</v>
      </c>
      <c r="E221" s="23">
        <v>36</v>
      </c>
      <c r="F221" s="22">
        <v>203</v>
      </c>
      <c r="G221" s="24">
        <v>0.68700000000000006</v>
      </c>
    </row>
    <row r="222" spans="2:7" x14ac:dyDescent="0.2">
      <c r="B222" s="15">
        <v>35</v>
      </c>
      <c r="D222" s="22">
        <v>455</v>
      </c>
      <c r="E222" s="23">
        <v>36</v>
      </c>
      <c r="F222" s="22">
        <v>203</v>
      </c>
      <c r="G222" s="24">
        <v>0.68700000000000006</v>
      </c>
    </row>
    <row r="223" spans="2:7" x14ac:dyDescent="0.2">
      <c r="B223" s="15">
        <v>25</v>
      </c>
      <c r="D223" s="22">
        <v>464</v>
      </c>
      <c r="E223" s="23">
        <v>36</v>
      </c>
      <c r="F223" s="22">
        <v>203</v>
      </c>
      <c r="G223" s="24">
        <v>0.68700000000000006</v>
      </c>
    </row>
    <row r="224" spans="2:7" x14ac:dyDescent="0.2">
      <c r="B224" s="15">
        <v>41</v>
      </c>
      <c r="D224" s="22">
        <v>473</v>
      </c>
      <c r="E224" s="23">
        <v>36</v>
      </c>
      <c r="F224" s="22">
        <v>203</v>
      </c>
      <c r="G224" s="24">
        <v>0.68700000000000006</v>
      </c>
    </row>
    <row r="225" spans="2:7" x14ac:dyDescent="0.2">
      <c r="B225" s="15">
        <v>37</v>
      </c>
      <c r="D225" s="22">
        <v>479</v>
      </c>
      <c r="E225" s="23">
        <v>36</v>
      </c>
      <c r="F225" s="22">
        <v>203</v>
      </c>
      <c r="G225" s="24">
        <v>0.68700000000000006</v>
      </c>
    </row>
    <row r="226" spans="2:7" x14ac:dyDescent="0.2">
      <c r="B226" s="15">
        <v>63</v>
      </c>
      <c r="D226" s="22">
        <v>526</v>
      </c>
      <c r="E226" s="23">
        <v>36</v>
      </c>
      <c r="F226" s="22">
        <v>203</v>
      </c>
      <c r="G226" s="24">
        <v>0.68700000000000006</v>
      </c>
    </row>
    <row r="227" spans="2:7" x14ac:dyDescent="0.2">
      <c r="B227" s="15">
        <v>45</v>
      </c>
      <c r="D227" s="22">
        <v>539</v>
      </c>
      <c r="E227" s="23">
        <v>36</v>
      </c>
      <c r="F227" s="22">
        <v>203</v>
      </c>
      <c r="G227" s="24">
        <v>0.68700000000000006</v>
      </c>
    </row>
    <row r="228" spans="2:7" x14ac:dyDescent="0.2">
      <c r="B228" s="15">
        <v>7</v>
      </c>
      <c r="D228" s="22">
        <v>590</v>
      </c>
      <c r="E228" s="23">
        <v>36</v>
      </c>
      <c r="F228" s="22">
        <v>203</v>
      </c>
      <c r="G228" s="24">
        <v>0.68700000000000006</v>
      </c>
    </row>
    <row r="229" spans="2:7" x14ac:dyDescent="0.2">
      <c r="B229" s="15">
        <v>35</v>
      </c>
      <c r="D229" s="22">
        <v>611</v>
      </c>
      <c r="E229" s="23">
        <v>36</v>
      </c>
      <c r="F229" s="22">
        <v>203</v>
      </c>
      <c r="G229" s="24">
        <v>0.68700000000000006</v>
      </c>
    </row>
    <row r="230" spans="2:7" x14ac:dyDescent="0.2">
      <c r="B230" s="15">
        <v>65</v>
      </c>
      <c r="D230" s="22">
        <v>5</v>
      </c>
      <c r="E230" s="23">
        <v>35</v>
      </c>
      <c r="F230" s="22">
        <v>225</v>
      </c>
      <c r="G230" s="24">
        <v>0.66100000000000003</v>
      </c>
    </row>
    <row r="231" spans="2:7" x14ac:dyDescent="0.2">
      <c r="B231" s="15">
        <v>28</v>
      </c>
      <c r="D231" s="22">
        <v>6</v>
      </c>
      <c r="E231" s="23">
        <v>35</v>
      </c>
      <c r="F231" s="22">
        <v>225</v>
      </c>
      <c r="G231" s="24">
        <v>0.66100000000000003</v>
      </c>
    </row>
    <row r="232" spans="2:7" x14ac:dyDescent="0.2">
      <c r="B232" s="15">
        <v>16</v>
      </c>
      <c r="D232" s="22">
        <v>19</v>
      </c>
      <c r="E232" s="23">
        <v>35</v>
      </c>
      <c r="F232" s="22">
        <v>225</v>
      </c>
      <c r="G232" s="24">
        <v>0.66100000000000003</v>
      </c>
    </row>
    <row r="233" spans="2:7" x14ac:dyDescent="0.2">
      <c r="B233" s="15">
        <v>19</v>
      </c>
      <c r="D233" s="22">
        <v>171</v>
      </c>
      <c r="E233" s="23">
        <v>35</v>
      </c>
      <c r="F233" s="22">
        <v>225</v>
      </c>
      <c r="G233" s="24">
        <v>0.66100000000000003</v>
      </c>
    </row>
    <row r="234" spans="2:7" x14ac:dyDescent="0.2">
      <c r="B234" s="15">
        <v>33</v>
      </c>
      <c r="D234" s="22">
        <v>187</v>
      </c>
      <c r="E234" s="23">
        <v>35</v>
      </c>
      <c r="F234" s="22">
        <v>225</v>
      </c>
      <c r="G234" s="24">
        <v>0.66100000000000003</v>
      </c>
    </row>
    <row r="235" spans="2:7" x14ac:dyDescent="0.2">
      <c r="B235" s="15">
        <v>30</v>
      </c>
      <c r="D235" s="22">
        <v>210</v>
      </c>
      <c r="E235" s="23">
        <v>35</v>
      </c>
      <c r="F235" s="22">
        <v>225</v>
      </c>
      <c r="G235" s="24">
        <v>0.66100000000000003</v>
      </c>
    </row>
    <row r="236" spans="2:7" x14ac:dyDescent="0.2">
      <c r="B236" s="15">
        <v>22</v>
      </c>
      <c r="D236" s="22">
        <v>219</v>
      </c>
      <c r="E236" s="23">
        <v>35</v>
      </c>
      <c r="F236" s="22">
        <v>225</v>
      </c>
      <c r="G236" s="24">
        <v>0.66100000000000003</v>
      </c>
    </row>
    <row r="237" spans="2:7" x14ac:dyDescent="0.2">
      <c r="B237" s="15">
        <v>42</v>
      </c>
      <c r="D237" s="22">
        <v>226</v>
      </c>
      <c r="E237" s="23">
        <v>35</v>
      </c>
      <c r="F237" s="22">
        <v>225</v>
      </c>
      <c r="G237" s="24">
        <v>0.66100000000000003</v>
      </c>
    </row>
    <row r="238" spans="2:7" x14ac:dyDescent="0.2">
      <c r="B238" s="15">
        <v>22</v>
      </c>
      <c r="D238" s="22">
        <v>293</v>
      </c>
      <c r="E238" s="23">
        <v>35</v>
      </c>
      <c r="F238" s="22">
        <v>225</v>
      </c>
      <c r="G238" s="24">
        <v>0.66100000000000003</v>
      </c>
    </row>
    <row r="239" spans="2:7" x14ac:dyDescent="0.2">
      <c r="B239" s="15">
        <v>26</v>
      </c>
      <c r="D239" s="22">
        <v>309</v>
      </c>
      <c r="E239" s="23">
        <v>35</v>
      </c>
      <c r="F239" s="22">
        <v>225</v>
      </c>
      <c r="G239" s="24">
        <v>0.66100000000000003</v>
      </c>
    </row>
    <row r="240" spans="2:7" x14ac:dyDescent="0.2">
      <c r="B240" s="15">
        <v>19</v>
      </c>
      <c r="D240" s="22">
        <v>389</v>
      </c>
      <c r="E240" s="23">
        <v>35</v>
      </c>
      <c r="F240" s="22">
        <v>225</v>
      </c>
      <c r="G240" s="24">
        <v>0.66100000000000003</v>
      </c>
    </row>
    <row r="241" spans="2:7" x14ac:dyDescent="0.2">
      <c r="B241" s="15">
        <v>36</v>
      </c>
      <c r="D241" s="22">
        <v>469</v>
      </c>
      <c r="E241" s="23">
        <v>35</v>
      </c>
      <c r="F241" s="22">
        <v>225</v>
      </c>
      <c r="G241" s="24">
        <v>0.66100000000000003</v>
      </c>
    </row>
    <row r="242" spans="2:7" x14ac:dyDescent="0.2">
      <c r="B242" s="15">
        <v>24</v>
      </c>
      <c r="D242" s="22">
        <v>478</v>
      </c>
      <c r="E242" s="23">
        <v>35</v>
      </c>
      <c r="F242" s="22">
        <v>225</v>
      </c>
      <c r="G242" s="24">
        <v>0.66100000000000003</v>
      </c>
    </row>
    <row r="243" spans="2:7" x14ac:dyDescent="0.2">
      <c r="B243" s="15">
        <v>24</v>
      </c>
      <c r="D243" s="22">
        <v>485</v>
      </c>
      <c r="E243" s="23">
        <v>35</v>
      </c>
      <c r="F243" s="22">
        <v>225</v>
      </c>
      <c r="G243" s="24">
        <v>0.66100000000000003</v>
      </c>
    </row>
    <row r="244" spans="2:7" x14ac:dyDescent="0.2">
      <c r="B244" s="15">
        <v>23.5</v>
      </c>
      <c r="D244" s="22">
        <v>558</v>
      </c>
      <c r="E244" s="23">
        <v>35</v>
      </c>
      <c r="F244" s="22">
        <v>225</v>
      </c>
      <c r="G244" s="24">
        <v>0.66100000000000003</v>
      </c>
    </row>
    <row r="245" spans="2:7" x14ac:dyDescent="0.2">
      <c r="B245" s="15">
        <v>2</v>
      </c>
      <c r="D245" s="22">
        <v>589</v>
      </c>
      <c r="E245" s="23">
        <v>35</v>
      </c>
      <c r="F245" s="22">
        <v>225</v>
      </c>
      <c r="G245" s="24">
        <v>0.66100000000000003</v>
      </c>
    </row>
    <row r="246" spans="2:7" x14ac:dyDescent="0.2">
      <c r="B246" s="15">
        <v>50</v>
      </c>
      <c r="D246" s="22">
        <v>651</v>
      </c>
      <c r="E246" s="23">
        <v>35</v>
      </c>
      <c r="F246" s="22">
        <v>225</v>
      </c>
      <c r="G246" s="24">
        <v>0.66100000000000003</v>
      </c>
    </row>
    <row r="247" spans="2:7" x14ac:dyDescent="0.2">
      <c r="B247" s="15">
        <v>19</v>
      </c>
      <c r="D247" s="22">
        <v>678</v>
      </c>
      <c r="E247" s="23">
        <v>35</v>
      </c>
      <c r="F247" s="22">
        <v>225</v>
      </c>
      <c r="G247" s="24">
        <v>0.66100000000000003</v>
      </c>
    </row>
    <row r="248" spans="2:7" x14ac:dyDescent="0.2">
      <c r="B248" s="15">
        <v>92</v>
      </c>
      <c r="D248" s="22">
        <v>675</v>
      </c>
      <c r="E248" s="23">
        <v>34.5</v>
      </c>
      <c r="F248" s="22">
        <v>243</v>
      </c>
      <c r="G248" s="24">
        <v>0.66</v>
      </c>
    </row>
    <row r="249" spans="2:7" x14ac:dyDescent="0.2">
      <c r="B249" s="15">
        <v>17</v>
      </c>
      <c r="D249" s="22">
        <v>20</v>
      </c>
      <c r="E249" s="23">
        <v>34</v>
      </c>
      <c r="F249" s="22">
        <v>244</v>
      </c>
      <c r="G249" s="24">
        <v>0.63900000000000001</v>
      </c>
    </row>
    <row r="250" spans="2:7" x14ac:dyDescent="0.2">
      <c r="B250" s="15">
        <v>30</v>
      </c>
      <c r="D250" s="22">
        <v>78</v>
      </c>
      <c r="E250" s="23">
        <v>34</v>
      </c>
      <c r="F250" s="22">
        <v>244</v>
      </c>
      <c r="G250" s="24">
        <v>0.63900000000000001</v>
      </c>
    </row>
    <row r="251" spans="2:7" x14ac:dyDescent="0.2">
      <c r="B251" s="15">
        <v>30</v>
      </c>
      <c r="D251" s="22">
        <v>79</v>
      </c>
      <c r="E251" s="23">
        <v>34</v>
      </c>
      <c r="F251" s="22">
        <v>244</v>
      </c>
      <c r="G251" s="24">
        <v>0.63900000000000001</v>
      </c>
    </row>
    <row r="252" spans="2:7" x14ac:dyDescent="0.2">
      <c r="B252" s="15">
        <v>24</v>
      </c>
      <c r="D252" s="22">
        <v>162</v>
      </c>
      <c r="E252" s="23">
        <v>34</v>
      </c>
      <c r="F252" s="22">
        <v>244</v>
      </c>
      <c r="G252" s="24">
        <v>0.63900000000000001</v>
      </c>
    </row>
    <row r="253" spans="2:7" x14ac:dyDescent="0.2">
      <c r="B253" s="15">
        <v>18</v>
      </c>
      <c r="D253" s="22">
        <v>329</v>
      </c>
      <c r="E253" s="23">
        <v>34</v>
      </c>
      <c r="F253" s="22">
        <v>244</v>
      </c>
      <c r="G253" s="24">
        <v>0.63900000000000001</v>
      </c>
    </row>
    <row r="254" spans="2:7" x14ac:dyDescent="0.2">
      <c r="B254" s="15">
        <v>26</v>
      </c>
      <c r="D254" s="22">
        <v>335</v>
      </c>
      <c r="E254" s="23">
        <v>34</v>
      </c>
      <c r="F254" s="22">
        <v>244</v>
      </c>
      <c r="G254" s="24">
        <v>0.63900000000000001</v>
      </c>
    </row>
    <row r="255" spans="2:7" x14ac:dyDescent="0.2">
      <c r="B255" s="15">
        <v>28</v>
      </c>
      <c r="D255" s="22">
        <v>361</v>
      </c>
      <c r="E255" s="23">
        <v>34</v>
      </c>
      <c r="F255" s="22">
        <v>244</v>
      </c>
      <c r="G255" s="24">
        <v>0.63900000000000001</v>
      </c>
    </row>
    <row r="256" spans="2:7" x14ac:dyDescent="0.2">
      <c r="B256" s="15">
        <v>43</v>
      </c>
      <c r="D256" s="22">
        <v>371</v>
      </c>
      <c r="E256" s="23">
        <v>34</v>
      </c>
      <c r="F256" s="22">
        <v>244</v>
      </c>
      <c r="G256" s="24">
        <v>0.63900000000000001</v>
      </c>
    </row>
    <row r="257" spans="2:7" x14ac:dyDescent="0.2">
      <c r="B257" s="15">
        <v>26</v>
      </c>
      <c r="D257" s="22">
        <v>381</v>
      </c>
      <c r="E257" s="23">
        <v>34</v>
      </c>
      <c r="F257" s="22">
        <v>244</v>
      </c>
      <c r="G257" s="24">
        <v>0.63900000000000001</v>
      </c>
    </row>
    <row r="258" spans="2:7" x14ac:dyDescent="0.2">
      <c r="B258" s="15">
        <v>24</v>
      </c>
      <c r="D258" s="22">
        <v>413</v>
      </c>
      <c r="E258" s="23">
        <v>34</v>
      </c>
      <c r="F258" s="22">
        <v>244</v>
      </c>
      <c r="G258" s="24">
        <v>0.63900000000000001</v>
      </c>
    </row>
    <row r="259" spans="2:7" x14ac:dyDescent="0.2">
      <c r="B259" s="15">
        <v>54</v>
      </c>
      <c r="D259" s="22">
        <v>458</v>
      </c>
      <c r="E259" s="23">
        <v>34</v>
      </c>
      <c r="F259" s="22">
        <v>244</v>
      </c>
      <c r="G259" s="24">
        <v>0.63900000000000001</v>
      </c>
    </row>
    <row r="260" spans="2:7" x14ac:dyDescent="0.2">
      <c r="B260" s="15">
        <v>31</v>
      </c>
      <c r="D260" s="22">
        <v>487</v>
      </c>
      <c r="E260" s="23">
        <v>34</v>
      </c>
      <c r="F260" s="22">
        <v>244</v>
      </c>
      <c r="G260" s="24">
        <v>0.63900000000000001</v>
      </c>
    </row>
    <row r="261" spans="2:7" x14ac:dyDescent="0.2">
      <c r="B261" s="15">
        <v>40</v>
      </c>
      <c r="D261" s="22">
        <v>576</v>
      </c>
      <c r="E261" s="23">
        <v>34</v>
      </c>
      <c r="F261" s="22">
        <v>244</v>
      </c>
      <c r="G261" s="24">
        <v>0.63900000000000001</v>
      </c>
    </row>
    <row r="262" spans="2:7" x14ac:dyDescent="0.2">
      <c r="B262" s="15">
        <v>22</v>
      </c>
      <c r="D262" s="22">
        <v>607</v>
      </c>
      <c r="E262" s="23">
        <v>34</v>
      </c>
      <c r="F262" s="22">
        <v>244</v>
      </c>
      <c r="G262" s="24">
        <v>0.63900000000000001</v>
      </c>
    </row>
    <row r="263" spans="2:7" x14ac:dyDescent="0.2">
      <c r="B263" s="15">
        <v>27</v>
      </c>
      <c r="D263" s="22">
        <v>639</v>
      </c>
      <c r="E263" s="23">
        <v>34</v>
      </c>
      <c r="F263" s="22">
        <v>244</v>
      </c>
      <c r="G263" s="24">
        <v>0.63900000000000001</v>
      </c>
    </row>
    <row r="264" spans="2:7" x14ac:dyDescent="0.2">
      <c r="B264" s="15">
        <v>30</v>
      </c>
      <c r="D264" s="22">
        <v>67</v>
      </c>
      <c r="E264" s="23">
        <v>33</v>
      </c>
      <c r="F264" s="22">
        <v>259</v>
      </c>
      <c r="G264" s="24">
        <v>0.61799999999999999</v>
      </c>
    </row>
    <row r="265" spans="2:7" x14ac:dyDescent="0.2">
      <c r="B265" s="15">
        <v>22</v>
      </c>
      <c r="D265" s="22">
        <v>82</v>
      </c>
      <c r="E265" s="23">
        <v>33</v>
      </c>
      <c r="F265" s="22">
        <v>259</v>
      </c>
      <c r="G265" s="24">
        <v>0.61799999999999999</v>
      </c>
    </row>
    <row r="266" spans="2:7" x14ac:dyDescent="0.2">
      <c r="B266" s="15">
        <v>36</v>
      </c>
      <c r="D266" s="22">
        <v>104</v>
      </c>
      <c r="E266" s="23">
        <v>33</v>
      </c>
      <c r="F266" s="22">
        <v>259</v>
      </c>
      <c r="G266" s="24">
        <v>0.61799999999999999</v>
      </c>
    </row>
    <row r="267" spans="2:7" x14ac:dyDescent="0.2">
      <c r="B267" s="15">
        <v>61</v>
      </c>
      <c r="D267" s="22">
        <v>195</v>
      </c>
      <c r="E267" s="23">
        <v>33</v>
      </c>
      <c r="F267" s="22">
        <v>259</v>
      </c>
      <c r="G267" s="24">
        <v>0.61799999999999999</v>
      </c>
    </row>
    <row r="268" spans="2:7" x14ac:dyDescent="0.2">
      <c r="B268" s="15">
        <v>36</v>
      </c>
      <c r="D268" s="22">
        <v>231</v>
      </c>
      <c r="E268" s="23">
        <v>33</v>
      </c>
      <c r="F268" s="22">
        <v>259</v>
      </c>
      <c r="G268" s="24">
        <v>0.61799999999999999</v>
      </c>
    </row>
    <row r="269" spans="2:7" x14ac:dyDescent="0.2">
      <c r="B269" s="15">
        <v>31</v>
      </c>
      <c r="D269" s="22">
        <v>333</v>
      </c>
      <c r="E269" s="23">
        <v>33</v>
      </c>
      <c r="F269" s="22">
        <v>259</v>
      </c>
      <c r="G269" s="24">
        <v>0.61799999999999999</v>
      </c>
    </row>
    <row r="270" spans="2:7" x14ac:dyDescent="0.2">
      <c r="B270" s="15">
        <v>16</v>
      </c>
      <c r="D270" s="22">
        <v>378</v>
      </c>
      <c r="E270" s="23">
        <v>33</v>
      </c>
      <c r="F270" s="22">
        <v>259</v>
      </c>
      <c r="G270" s="24">
        <v>0.61799999999999999</v>
      </c>
    </row>
    <row r="271" spans="2:7" x14ac:dyDescent="0.2">
      <c r="B271" s="15">
        <v>45.5</v>
      </c>
      <c r="D271" s="22">
        <v>405</v>
      </c>
      <c r="E271" s="23">
        <v>33</v>
      </c>
      <c r="F271" s="22">
        <v>259</v>
      </c>
      <c r="G271" s="24">
        <v>0.61799999999999999</v>
      </c>
    </row>
    <row r="272" spans="2:7" x14ac:dyDescent="0.2">
      <c r="B272" s="15">
        <v>38</v>
      </c>
      <c r="D272" s="22">
        <v>437</v>
      </c>
      <c r="E272" s="23">
        <v>33</v>
      </c>
      <c r="F272" s="22">
        <v>259</v>
      </c>
      <c r="G272" s="24">
        <v>0.61799999999999999</v>
      </c>
    </row>
    <row r="273" spans="2:7" x14ac:dyDescent="0.2">
      <c r="B273" s="15">
        <v>16</v>
      </c>
      <c r="D273" s="22">
        <v>573</v>
      </c>
      <c r="E273" s="23">
        <v>33</v>
      </c>
      <c r="F273" s="22">
        <v>259</v>
      </c>
      <c r="G273" s="24">
        <v>0.61799999999999999</v>
      </c>
    </row>
    <row r="274" spans="2:7" x14ac:dyDescent="0.2">
      <c r="B274" s="15">
        <v>29</v>
      </c>
      <c r="D274" s="22">
        <v>601</v>
      </c>
      <c r="E274" s="23">
        <v>33</v>
      </c>
      <c r="F274" s="22">
        <v>259</v>
      </c>
      <c r="G274" s="24">
        <v>0.61799999999999999</v>
      </c>
    </row>
    <row r="275" spans="2:7" x14ac:dyDescent="0.2">
      <c r="B275" s="15">
        <v>41</v>
      </c>
      <c r="D275" s="22">
        <v>608</v>
      </c>
      <c r="E275" s="23">
        <v>33</v>
      </c>
      <c r="F275" s="22">
        <v>259</v>
      </c>
      <c r="G275" s="24">
        <v>0.61799999999999999</v>
      </c>
    </row>
    <row r="276" spans="2:7" x14ac:dyDescent="0.2">
      <c r="B276" s="15">
        <v>45</v>
      </c>
      <c r="D276" s="22">
        <v>648</v>
      </c>
      <c r="E276" s="23">
        <v>33</v>
      </c>
      <c r="F276" s="22">
        <v>259</v>
      </c>
      <c r="G276" s="24">
        <v>0.61799999999999999</v>
      </c>
    </row>
    <row r="277" spans="2:7" x14ac:dyDescent="0.2">
      <c r="B277" s="15">
        <v>45</v>
      </c>
      <c r="D277" s="22">
        <v>699</v>
      </c>
      <c r="E277" s="23">
        <v>33</v>
      </c>
      <c r="F277" s="22">
        <v>259</v>
      </c>
      <c r="G277" s="24">
        <v>0.61799999999999999</v>
      </c>
    </row>
    <row r="278" spans="2:7" x14ac:dyDescent="0.2">
      <c r="B278" s="15">
        <v>2</v>
      </c>
      <c r="D278" s="22">
        <v>707</v>
      </c>
      <c r="E278" s="23">
        <v>33</v>
      </c>
      <c r="F278" s="22">
        <v>259</v>
      </c>
      <c r="G278" s="24">
        <v>0.61799999999999999</v>
      </c>
    </row>
    <row r="279" spans="2:7" x14ac:dyDescent="0.2">
      <c r="B279" s="15">
        <v>24</v>
      </c>
      <c r="D279" s="22">
        <v>98</v>
      </c>
      <c r="E279" s="23">
        <v>32.5</v>
      </c>
      <c r="F279" s="22">
        <v>274</v>
      </c>
      <c r="G279" s="24">
        <v>0.61499999999999999</v>
      </c>
    </row>
    <row r="280" spans="2:7" x14ac:dyDescent="0.2">
      <c r="B280" s="15">
        <v>28</v>
      </c>
      <c r="D280" s="22">
        <v>99</v>
      </c>
      <c r="E280" s="23">
        <v>32.5</v>
      </c>
      <c r="F280" s="22">
        <v>274</v>
      </c>
      <c r="G280" s="24">
        <v>0.61499999999999999</v>
      </c>
    </row>
    <row r="281" spans="2:7" x14ac:dyDescent="0.2">
      <c r="B281" s="15">
        <v>25</v>
      </c>
      <c r="D281" s="22">
        <v>55</v>
      </c>
      <c r="E281" s="23">
        <v>32</v>
      </c>
      <c r="F281" s="22">
        <v>276</v>
      </c>
      <c r="G281" s="24">
        <v>0.59</v>
      </c>
    </row>
    <row r="282" spans="2:7" x14ac:dyDescent="0.2">
      <c r="B282" s="15">
        <v>36</v>
      </c>
      <c r="D282" s="22">
        <v>59</v>
      </c>
      <c r="E282" s="23">
        <v>32</v>
      </c>
      <c r="F282" s="22">
        <v>276</v>
      </c>
      <c r="G282" s="24">
        <v>0.59</v>
      </c>
    </row>
    <row r="283" spans="2:7" x14ac:dyDescent="0.2">
      <c r="B283" s="15">
        <v>24</v>
      </c>
      <c r="D283" s="22">
        <v>153</v>
      </c>
      <c r="E283" s="23">
        <v>32</v>
      </c>
      <c r="F283" s="22">
        <v>276</v>
      </c>
      <c r="G283" s="24">
        <v>0.59</v>
      </c>
    </row>
    <row r="284" spans="2:7" x14ac:dyDescent="0.2">
      <c r="B284" s="15">
        <v>40</v>
      </c>
      <c r="D284" s="22">
        <v>166</v>
      </c>
      <c r="E284" s="23">
        <v>32</v>
      </c>
      <c r="F284" s="22">
        <v>276</v>
      </c>
      <c r="G284" s="24">
        <v>0.59</v>
      </c>
    </row>
    <row r="285" spans="2:7" x14ac:dyDescent="0.2">
      <c r="B285" s="15">
        <v>3</v>
      </c>
      <c r="D285" s="22">
        <v>177</v>
      </c>
      <c r="E285" s="23">
        <v>32</v>
      </c>
      <c r="F285" s="22">
        <v>276</v>
      </c>
      <c r="G285" s="24">
        <v>0.59</v>
      </c>
    </row>
    <row r="286" spans="2:7" x14ac:dyDescent="0.2">
      <c r="B286" s="15">
        <v>42</v>
      </c>
      <c r="D286" s="22">
        <v>308</v>
      </c>
      <c r="E286" s="23">
        <v>32</v>
      </c>
      <c r="F286" s="22">
        <v>276</v>
      </c>
      <c r="G286" s="24">
        <v>0.59</v>
      </c>
    </row>
    <row r="287" spans="2:7" x14ac:dyDescent="0.2">
      <c r="B287" s="15">
        <v>23</v>
      </c>
      <c r="D287" s="22">
        <v>345</v>
      </c>
      <c r="E287" s="23">
        <v>32</v>
      </c>
      <c r="F287" s="22">
        <v>276</v>
      </c>
      <c r="G287" s="24">
        <v>0.59</v>
      </c>
    </row>
    <row r="288" spans="2:7" x14ac:dyDescent="0.2">
      <c r="B288" s="15">
        <v>15</v>
      </c>
      <c r="D288" s="22">
        <v>415</v>
      </c>
      <c r="E288" s="23">
        <v>32</v>
      </c>
      <c r="F288" s="22">
        <v>276</v>
      </c>
      <c r="G288" s="24">
        <v>0.59</v>
      </c>
    </row>
    <row r="289" spans="2:7" x14ac:dyDescent="0.2">
      <c r="B289" s="15">
        <v>25</v>
      </c>
      <c r="D289" s="22">
        <v>433</v>
      </c>
      <c r="E289" s="23">
        <v>32</v>
      </c>
      <c r="F289" s="22">
        <v>276</v>
      </c>
      <c r="G289" s="24">
        <v>0.59</v>
      </c>
    </row>
    <row r="290" spans="2:7" x14ac:dyDescent="0.2">
      <c r="B290" s="15">
        <v>28</v>
      </c>
      <c r="D290" s="22">
        <v>452</v>
      </c>
      <c r="E290" s="23">
        <v>32</v>
      </c>
      <c r="F290" s="22">
        <v>276</v>
      </c>
      <c r="G290" s="24">
        <v>0.59</v>
      </c>
    </row>
    <row r="291" spans="2:7" x14ac:dyDescent="0.2">
      <c r="B291" s="15">
        <v>22</v>
      </c>
      <c r="D291" s="22">
        <v>460</v>
      </c>
      <c r="E291" s="23">
        <v>32</v>
      </c>
      <c r="F291" s="22">
        <v>276</v>
      </c>
      <c r="G291" s="24">
        <v>0.59</v>
      </c>
    </row>
    <row r="292" spans="2:7" x14ac:dyDescent="0.2">
      <c r="B292" s="15">
        <v>38</v>
      </c>
      <c r="D292" s="22">
        <v>502</v>
      </c>
      <c r="E292" s="23">
        <v>32</v>
      </c>
      <c r="F292" s="22">
        <v>276</v>
      </c>
      <c r="G292" s="24">
        <v>0.59</v>
      </c>
    </row>
    <row r="293" spans="2:7" x14ac:dyDescent="0.2">
      <c r="B293" s="15">
        <v>40</v>
      </c>
      <c r="D293" s="22">
        <v>505</v>
      </c>
      <c r="E293" s="23">
        <v>32</v>
      </c>
      <c r="F293" s="22">
        <v>276</v>
      </c>
      <c r="G293" s="24">
        <v>0.59</v>
      </c>
    </row>
    <row r="294" spans="2:7" x14ac:dyDescent="0.2">
      <c r="B294" s="15">
        <v>29</v>
      </c>
      <c r="D294" s="22">
        <v>520</v>
      </c>
      <c r="E294" s="23">
        <v>32</v>
      </c>
      <c r="F294" s="22">
        <v>276</v>
      </c>
      <c r="G294" s="24">
        <v>0.59</v>
      </c>
    </row>
    <row r="295" spans="2:7" x14ac:dyDescent="0.2">
      <c r="B295" s="15">
        <v>45</v>
      </c>
      <c r="D295" s="22">
        <v>528</v>
      </c>
      <c r="E295" s="23">
        <v>32</v>
      </c>
      <c r="F295" s="22">
        <v>276</v>
      </c>
      <c r="G295" s="24">
        <v>0.59</v>
      </c>
    </row>
    <row r="296" spans="2:7" x14ac:dyDescent="0.2">
      <c r="B296" s="15">
        <v>35</v>
      </c>
      <c r="D296" s="22">
        <v>615</v>
      </c>
      <c r="E296" s="23">
        <v>32</v>
      </c>
      <c r="F296" s="22">
        <v>276</v>
      </c>
      <c r="G296" s="24">
        <v>0.59</v>
      </c>
    </row>
    <row r="297" spans="2:7" x14ac:dyDescent="0.2">
      <c r="B297" s="15">
        <v>30</v>
      </c>
      <c r="D297" s="22">
        <v>671</v>
      </c>
      <c r="E297" s="23">
        <v>32</v>
      </c>
      <c r="F297" s="22">
        <v>276</v>
      </c>
      <c r="G297" s="24">
        <v>0.59</v>
      </c>
    </row>
    <row r="298" spans="2:7" x14ac:dyDescent="0.2">
      <c r="B298" s="15">
        <v>60</v>
      </c>
      <c r="D298" s="22">
        <v>715</v>
      </c>
      <c r="E298" s="23">
        <v>32</v>
      </c>
      <c r="F298" s="22">
        <v>276</v>
      </c>
      <c r="G298" s="24">
        <v>0.59</v>
      </c>
    </row>
    <row r="299" spans="2:7" x14ac:dyDescent="0.2">
      <c r="B299" s="15">
        <v>24</v>
      </c>
      <c r="D299" s="22">
        <v>18</v>
      </c>
      <c r="E299" s="23">
        <v>31</v>
      </c>
      <c r="F299" s="22">
        <v>294</v>
      </c>
      <c r="G299" s="24">
        <v>0.56599999999999995</v>
      </c>
    </row>
    <row r="300" spans="2:7" x14ac:dyDescent="0.2">
      <c r="B300" s="15">
        <v>25</v>
      </c>
      <c r="D300" s="22">
        <v>174</v>
      </c>
      <c r="E300" s="23">
        <v>31</v>
      </c>
      <c r="F300" s="22">
        <v>294</v>
      </c>
      <c r="G300" s="24">
        <v>0.56599999999999995</v>
      </c>
    </row>
    <row r="301" spans="2:7" x14ac:dyDescent="0.2">
      <c r="B301" s="15">
        <v>18</v>
      </c>
      <c r="D301" s="22">
        <v>257</v>
      </c>
      <c r="E301" s="23">
        <v>31</v>
      </c>
      <c r="F301" s="22">
        <v>294</v>
      </c>
      <c r="G301" s="24">
        <v>0.56599999999999995</v>
      </c>
    </row>
    <row r="302" spans="2:7" x14ac:dyDescent="0.2">
      <c r="B302" s="15">
        <v>19</v>
      </c>
      <c r="D302" s="22">
        <v>266</v>
      </c>
      <c r="E302" s="23">
        <v>31</v>
      </c>
      <c r="F302" s="22">
        <v>294</v>
      </c>
      <c r="G302" s="24">
        <v>0.56599999999999995</v>
      </c>
    </row>
    <row r="303" spans="2:7" x14ac:dyDescent="0.2">
      <c r="B303" s="15">
        <v>22</v>
      </c>
      <c r="D303" s="22">
        <v>320</v>
      </c>
      <c r="E303" s="23">
        <v>31</v>
      </c>
      <c r="F303" s="22">
        <v>294</v>
      </c>
      <c r="G303" s="24">
        <v>0.56599999999999995</v>
      </c>
    </row>
    <row r="304" spans="2:7" x14ac:dyDescent="0.2">
      <c r="B304" s="15">
        <v>3</v>
      </c>
      <c r="D304" s="22">
        <v>354</v>
      </c>
      <c r="E304" s="23">
        <v>31</v>
      </c>
      <c r="F304" s="22">
        <v>294</v>
      </c>
      <c r="G304" s="24">
        <v>0.56599999999999995</v>
      </c>
    </row>
    <row r="305" spans="2:7" x14ac:dyDescent="0.2">
      <c r="B305" s="15">
        <v>22</v>
      </c>
      <c r="D305" s="22">
        <v>506</v>
      </c>
      <c r="E305" s="23">
        <v>31</v>
      </c>
      <c r="F305" s="22">
        <v>294</v>
      </c>
      <c r="G305" s="24">
        <v>0.56599999999999995</v>
      </c>
    </row>
    <row r="306" spans="2:7" x14ac:dyDescent="0.2">
      <c r="B306" s="15">
        <v>27</v>
      </c>
      <c r="D306" s="22">
        <v>532</v>
      </c>
      <c r="E306" s="23">
        <v>31</v>
      </c>
      <c r="F306" s="22">
        <v>294</v>
      </c>
      <c r="G306" s="24">
        <v>0.56599999999999995</v>
      </c>
    </row>
    <row r="307" spans="2:7" x14ac:dyDescent="0.2">
      <c r="B307" s="15">
        <v>20</v>
      </c>
      <c r="D307" s="22">
        <v>534</v>
      </c>
      <c r="E307" s="23">
        <v>31</v>
      </c>
      <c r="F307" s="22">
        <v>294</v>
      </c>
      <c r="G307" s="24">
        <v>0.56599999999999995</v>
      </c>
    </row>
    <row r="308" spans="2:7" x14ac:dyDescent="0.2">
      <c r="B308" s="15">
        <v>19</v>
      </c>
      <c r="D308" s="22">
        <v>549</v>
      </c>
      <c r="E308" s="23">
        <v>31</v>
      </c>
      <c r="F308" s="22">
        <v>294</v>
      </c>
      <c r="G308" s="24">
        <v>0.56599999999999995</v>
      </c>
    </row>
    <row r="309" spans="2:7" x14ac:dyDescent="0.2">
      <c r="B309" s="15">
        <v>42</v>
      </c>
      <c r="D309" s="22">
        <v>593</v>
      </c>
      <c r="E309" s="23">
        <v>31</v>
      </c>
      <c r="F309" s="22">
        <v>294</v>
      </c>
      <c r="G309" s="24">
        <v>0.56599999999999995</v>
      </c>
    </row>
    <row r="310" spans="2:7" x14ac:dyDescent="0.2">
      <c r="B310" s="15">
        <v>1</v>
      </c>
      <c r="D310" s="22">
        <v>598</v>
      </c>
      <c r="E310" s="23">
        <v>31</v>
      </c>
      <c r="F310" s="22">
        <v>294</v>
      </c>
      <c r="G310" s="24">
        <v>0.56599999999999995</v>
      </c>
    </row>
    <row r="311" spans="2:7" x14ac:dyDescent="0.2">
      <c r="B311" s="15">
        <v>32</v>
      </c>
      <c r="D311" s="22">
        <v>636</v>
      </c>
      <c r="E311" s="23">
        <v>31</v>
      </c>
      <c r="F311" s="22">
        <v>294</v>
      </c>
      <c r="G311" s="24">
        <v>0.56599999999999995</v>
      </c>
    </row>
    <row r="312" spans="2:7" x14ac:dyDescent="0.2">
      <c r="B312" s="15">
        <v>35</v>
      </c>
      <c r="D312" s="22">
        <v>640</v>
      </c>
      <c r="E312" s="23">
        <v>31</v>
      </c>
      <c r="F312" s="22">
        <v>294</v>
      </c>
      <c r="G312" s="24">
        <v>0.56599999999999995</v>
      </c>
    </row>
    <row r="313" spans="2:7" x14ac:dyDescent="0.2">
      <c r="B313" s="15">
        <v>18</v>
      </c>
      <c r="D313" s="22">
        <v>644</v>
      </c>
      <c r="E313" s="23">
        <v>31</v>
      </c>
      <c r="F313" s="22">
        <v>294</v>
      </c>
      <c r="G313" s="24">
        <v>0.56599999999999995</v>
      </c>
    </row>
    <row r="314" spans="2:7" x14ac:dyDescent="0.2">
      <c r="B314" s="15">
        <v>1</v>
      </c>
      <c r="D314" s="22">
        <v>655</v>
      </c>
      <c r="E314" s="23">
        <v>31</v>
      </c>
      <c r="F314" s="22">
        <v>294</v>
      </c>
      <c r="G314" s="24">
        <v>0.56599999999999995</v>
      </c>
    </row>
    <row r="315" spans="2:7" x14ac:dyDescent="0.2">
      <c r="B315" s="15">
        <v>36</v>
      </c>
      <c r="D315" s="22">
        <v>695</v>
      </c>
      <c r="E315" s="23">
        <v>31</v>
      </c>
      <c r="F315" s="22">
        <v>294</v>
      </c>
      <c r="G315" s="24">
        <v>0.56599999999999995</v>
      </c>
    </row>
    <row r="316" spans="2:7" x14ac:dyDescent="0.2">
      <c r="B316" s="15">
        <v>17</v>
      </c>
      <c r="D316" s="22">
        <v>614</v>
      </c>
      <c r="E316" s="23">
        <v>30.5</v>
      </c>
      <c r="F316" s="22">
        <v>311</v>
      </c>
      <c r="G316" s="24">
        <v>0.56299999999999994</v>
      </c>
    </row>
    <row r="317" spans="2:7" x14ac:dyDescent="0.2">
      <c r="B317" s="15">
        <v>36</v>
      </c>
      <c r="D317" s="22">
        <v>653</v>
      </c>
      <c r="E317" s="23">
        <v>30.5</v>
      </c>
      <c r="F317" s="22">
        <v>311</v>
      </c>
      <c r="G317" s="24">
        <v>0.56299999999999994</v>
      </c>
    </row>
    <row r="318" spans="2:7" x14ac:dyDescent="0.2">
      <c r="B318" s="15">
        <v>21</v>
      </c>
      <c r="D318" s="22">
        <v>62</v>
      </c>
      <c r="E318" s="23">
        <v>30</v>
      </c>
      <c r="F318" s="22">
        <v>313</v>
      </c>
      <c r="G318" s="24">
        <v>0.52800000000000002</v>
      </c>
    </row>
    <row r="319" spans="2:7" x14ac:dyDescent="0.2">
      <c r="B319" s="15">
        <v>28</v>
      </c>
      <c r="D319" s="22">
        <v>129</v>
      </c>
      <c r="E319" s="23">
        <v>30</v>
      </c>
      <c r="F319" s="22">
        <v>313</v>
      </c>
      <c r="G319" s="24">
        <v>0.52800000000000002</v>
      </c>
    </row>
    <row r="320" spans="2:7" x14ac:dyDescent="0.2">
      <c r="B320" s="15">
        <v>23</v>
      </c>
      <c r="D320" s="22">
        <v>145</v>
      </c>
      <c r="E320" s="23">
        <v>30</v>
      </c>
      <c r="F320" s="22">
        <v>313</v>
      </c>
      <c r="G320" s="24">
        <v>0.52800000000000002</v>
      </c>
    </row>
    <row r="321" spans="2:7" x14ac:dyDescent="0.2">
      <c r="B321" s="15">
        <v>24</v>
      </c>
      <c r="D321" s="22">
        <v>173</v>
      </c>
      <c r="E321" s="23">
        <v>30</v>
      </c>
      <c r="F321" s="22">
        <v>313</v>
      </c>
      <c r="G321" s="24">
        <v>0.52800000000000002</v>
      </c>
    </row>
    <row r="322" spans="2:7" x14ac:dyDescent="0.2">
      <c r="B322" s="15">
        <v>22</v>
      </c>
      <c r="D322" s="22">
        <v>178</v>
      </c>
      <c r="E322" s="23">
        <v>30</v>
      </c>
      <c r="F322" s="22">
        <v>313</v>
      </c>
      <c r="G322" s="24">
        <v>0.52800000000000002</v>
      </c>
    </row>
    <row r="323" spans="2:7" x14ac:dyDescent="0.2">
      <c r="B323" s="15">
        <v>31</v>
      </c>
      <c r="D323" s="22">
        <v>198</v>
      </c>
      <c r="E323" s="23">
        <v>30</v>
      </c>
      <c r="F323" s="22">
        <v>313</v>
      </c>
      <c r="G323" s="24">
        <v>0.52800000000000002</v>
      </c>
    </row>
    <row r="324" spans="2:7" x14ac:dyDescent="0.2">
      <c r="B324" s="15">
        <v>46</v>
      </c>
      <c r="D324" s="22">
        <v>206</v>
      </c>
      <c r="E324" s="23">
        <v>30</v>
      </c>
      <c r="F324" s="22">
        <v>313</v>
      </c>
      <c r="G324" s="24">
        <v>0.52800000000000002</v>
      </c>
    </row>
    <row r="325" spans="2:7" x14ac:dyDescent="0.2">
      <c r="B325" s="15">
        <v>23</v>
      </c>
      <c r="D325" s="22">
        <v>209</v>
      </c>
      <c r="E325" s="23">
        <v>30</v>
      </c>
      <c r="F325" s="22">
        <v>313</v>
      </c>
      <c r="G325" s="24">
        <v>0.52800000000000002</v>
      </c>
    </row>
    <row r="326" spans="2:7" x14ac:dyDescent="0.2">
      <c r="B326" s="15">
        <v>28</v>
      </c>
      <c r="D326" s="22">
        <v>232</v>
      </c>
      <c r="E326" s="23">
        <v>30</v>
      </c>
      <c r="F326" s="22">
        <v>313</v>
      </c>
      <c r="G326" s="24">
        <v>0.52800000000000002</v>
      </c>
    </row>
    <row r="327" spans="2:7" x14ac:dyDescent="0.2">
      <c r="B327" s="15">
        <v>39</v>
      </c>
      <c r="D327" s="22">
        <v>247</v>
      </c>
      <c r="E327" s="23">
        <v>30</v>
      </c>
      <c r="F327" s="22">
        <v>313</v>
      </c>
      <c r="G327" s="24">
        <v>0.52800000000000002</v>
      </c>
    </row>
    <row r="328" spans="2:7" x14ac:dyDescent="0.2">
      <c r="B328" s="15">
        <v>26</v>
      </c>
      <c r="D328" s="22">
        <v>248</v>
      </c>
      <c r="E328" s="23">
        <v>30</v>
      </c>
      <c r="F328" s="22">
        <v>313</v>
      </c>
      <c r="G328" s="24">
        <v>0.52800000000000002</v>
      </c>
    </row>
    <row r="329" spans="2:7" x14ac:dyDescent="0.2">
      <c r="B329" s="15">
        <v>21</v>
      </c>
      <c r="D329" s="22">
        <v>261</v>
      </c>
      <c r="E329" s="23">
        <v>30</v>
      </c>
      <c r="F329" s="22">
        <v>313</v>
      </c>
      <c r="G329" s="24">
        <v>0.52800000000000002</v>
      </c>
    </row>
    <row r="330" spans="2:7" x14ac:dyDescent="0.2">
      <c r="B330" s="15">
        <v>28</v>
      </c>
      <c r="D330" s="22">
        <v>294</v>
      </c>
      <c r="E330" s="23">
        <v>30</v>
      </c>
      <c r="F330" s="22">
        <v>313</v>
      </c>
      <c r="G330" s="24">
        <v>0.52800000000000002</v>
      </c>
    </row>
    <row r="331" spans="2:7" x14ac:dyDescent="0.2">
      <c r="B331" s="15">
        <v>20</v>
      </c>
      <c r="D331" s="22">
        <v>337</v>
      </c>
      <c r="E331" s="23">
        <v>30</v>
      </c>
      <c r="F331" s="22">
        <v>313</v>
      </c>
      <c r="G331" s="24">
        <v>0.52800000000000002</v>
      </c>
    </row>
    <row r="332" spans="2:7" x14ac:dyDescent="0.2">
      <c r="B332" s="15">
        <v>34</v>
      </c>
      <c r="D332" s="22">
        <v>365</v>
      </c>
      <c r="E332" s="23">
        <v>30</v>
      </c>
      <c r="F332" s="22">
        <v>313</v>
      </c>
      <c r="G332" s="24">
        <v>0.52800000000000002</v>
      </c>
    </row>
    <row r="333" spans="2:7" x14ac:dyDescent="0.2">
      <c r="B333" s="15">
        <v>51</v>
      </c>
      <c r="D333" s="22">
        <v>391</v>
      </c>
      <c r="E333" s="23">
        <v>30</v>
      </c>
      <c r="F333" s="22">
        <v>313</v>
      </c>
      <c r="G333" s="24">
        <v>0.52800000000000002</v>
      </c>
    </row>
    <row r="334" spans="2:7" x14ac:dyDescent="0.2">
      <c r="B334" s="15">
        <v>3</v>
      </c>
      <c r="D334" s="22">
        <v>416</v>
      </c>
      <c r="E334" s="23">
        <v>30</v>
      </c>
      <c r="F334" s="22">
        <v>313</v>
      </c>
      <c r="G334" s="24">
        <v>0.52800000000000002</v>
      </c>
    </row>
    <row r="335" spans="2:7" x14ac:dyDescent="0.2">
      <c r="B335" s="15">
        <v>21</v>
      </c>
      <c r="D335" s="22">
        <v>425</v>
      </c>
      <c r="E335" s="23">
        <v>30</v>
      </c>
      <c r="F335" s="22">
        <v>313</v>
      </c>
      <c r="G335" s="24">
        <v>0.52800000000000002</v>
      </c>
    </row>
    <row r="336" spans="2:7" x14ac:dyDescent="0.2">
      <c r="B336" s="15">
        <v>33</v>
      </c>
      <c r="D336" s="22">
        <v>428</v>
      </c>
      <c r="E336" s="23">
        <v>30</v>
      </c>
      <c r="F336" s="22">
        <v>313</v>
      </c>
      <c r="G336" s="24">
        <v>0.52800000000000002</v>
      </c>
    </row>
    <row r="337" spans="2:7" x14ac:dyDescent="0.2">
      <c r="B337" s="15">
        <v>44</v>
      </c>
      <c r="D337" s="22">
        <v>480</v>
      </c>
      <c r="E337" s="23">
        <v>30</v>
      </c>
      <c r="F337" s="22">
        <v>313</v>
      </c>
      <c r="G337" s="24">
        <v>0.52800000000000002</v>
      </c>
    </row>
    <row r="338" spans="2:7" x14ac:dyDescent="0.2">
      <c r="B338" s="15">
        <v>34</v>
      </c>
      <c r="D338" s="22">
        <v>580</v>
      </c>
      <c r="E338" s="23">
        <v>30</v>
      </c>
      <c r="F338" s="22">
        <v>313</v>
      </c>
      <c r="G338" s="24">
        <v>0.52800000000000002</v>
      </c>
    </row>
    <row r="339" spans="2:7" x14ac:dyDescent="0.2">
      <c r="B339" s="15">
        <v>18</v>
      </c>
      <c r="D339" s="22">
        <v>596</v>
      </c>
      <c r="E339" s="23">
        <v>30</v>
      </c>
      <c r="F339" s="22">
        <v>313</v>
      </c>
      <c r="G339" s="24">
        <v>0.52800000000000002</v>
      </c>
    </row>
    <row r="340" spans="2:7" x14ac:dyDescent="0.2">
      <c r="B340" s="15">
        <v>30</v>
      </c>
      <c r="D340" s="22">
        <v>637</v>
      </c>
      <c r="E340" s="23">
        <v>30</v>
      </c>
      <c r="F340" s="22">
        <v>313</v>
      </c>
      <c r="G340" s="24">
        <v>0.52800000000000002</v>
      </c>
    </row>
    <row r="341" spans="2:7" x14ac:dyDescent="0.2">
      <c r="B341" s="15">
        <v>10</v>
      </c>
      <c r="D341" s="22">
        <v>638</v>
      </c>
      <c r="E341" s="23">
        <v>30</v>
      </c>
      <c r="F341" s="22">
        <v>313</v>
      </c>
      <c r="G341" s="24">
        <v>0.52800000000000002</v>
      </c>
    </row>
    <row r="342" spans="2:7" x14ac:dyDescent="0.2">
      <c r="B342" s="15">
        <v>21</v>
      </c>
      <c r="D342" s="22">
        <v>674</v>
      </c>
      <c r="E342" s="23">
        <v>30</v>
      </c>
      <c r="F342" s="22">
        <v>313</v>
      </c>
      <c r="G342" s="24">
        <v>0.52800000000000002</v>
      </c>
    </row>
    <row r="343" spans="2:7" x14ac:dyDescent="0.2">
      <c r="B343" s="15">
        <v>29</v>
      </c>
      <c r="D343" s="22">
        <v>41</v>
      </c>
      <c r="E343" s="23">
        <v>29</v>
      </c>
      <c r="F343" s="22">
        <v>338</v>
      </c>
      <c r="G343" s="24">
        <v>0.5</v>
      </c>
    </row>
    <row r="344" spans="2:7" x14ac:dyDescent="0.2">
      <c r="B344" s="15">
        <v>28</v>
      </c>
      <c r="D344" s="22">
        <v>51</v>
      </c>
      <c r="E344" s="23">
        <v>29</v>
      </c>
      <c r="F344" s="22">
        <v>338</v>
      </c>
      <c r="G344" s="24">
        <v>0.5</v>
      </c>
    </row>
    <row r="345" spans="2:7" x14ac:dyDescent="0.2">
      <c r="B345" s="15">
        <v>18</v>
      </c>
      <c r="D345" s="22">
        <v>64</v>
      </c>
      <c r="E345" s="23">
        <v>29</v>
      </c>
      <c r="F345" s="22">
        <v>338</v>
      </c>
      <c r="G345" s="24">
        <v>0.5</v>
      </c>
    </row>
    <row r="346" spans="2:7" x14ac:dyDescent="0.2">
      <c r="B346" s="15">
        <v>28</v>
      </c>
      <c r="D346" s="22">
        <v>71</v>
      </c>
      <c r="E346" s="23">
        <v>29</v>
      </c>
      <c r="F346" s="22">
        <v>338</v>
      </c>
      <c r="G346" s="24">
        <v>0.5</v>
      </c>
    </row>
    <row r="347" spans="2:7" x14ac:dyDescent="0.2">
      <c r="B347" s="15">
        <v>19</v>
      </c>
      <c r="D347" s="22">
        <v>94</v>
      </c>
      <c r="E347" s="23">
        <v>29</v>
      </c>
      <c r="F347" s="22">
        <v>338</v>
      </c>
      <c r="G347" s="24">
        <v>0.5</v>
      </c>
    </row>
    <row r="348" spans="2:7" x14ac:dyDescent="0.2">
      <c r="B348" s="15">
        <v>32</v>
      </c>
      <c r="D348" s="22">
        <v>107</v>
      </c>
      <c r="E348" s="23">
        <v>29</v>
      </c>
      <c r="F348" s="22">
        <v>338</v>
      </c>
      <c r="G348" s="24">
        <v>0.5</v>
      </c>
    </row>
    <row r="349" spans="2:7" x14ac:dyDescent="0.2">
      <c r="B349" s="15">
        <v>28</v>
      </c>
      <c r="D349" s="22">
        <v>188</v>
      </c>
      <c r="E349" s="23">
        <v>29</v>
      </c>
      <c r="F349" s="22">
        <v>338</v>
      </c>
      <c r="G349" s="24">
        <v>0.5</v>
      </c>
    </row>
    <row r="350" spans="2:7" x14ac:dyDescent="0.2">
      <c r="B350" s="15">
        <v>42</v>
      </c>
      <c r="D350" s="22">
        <v>196</v>
      </c>
      <c r="E350" s="23">
        <v>29</v>
      </c>
      <c r="F350" s="22">
        <v>338</v>
      </c>
      <c r="G350" s="24">
        <v>0.5</v>
      </c>
    </row>
    <row r="351" spans="2:7" x14ac:dyDescent="0.2">
      <c r="B351" s="15">
        <v>17</v>
      </c>
      <c r="D351" s="22">
        <v>204</v>
      </c>
      <c r="E351" s="23">
        <v>29</v>
      </c>
      <c r="F351" s="22">
        <v>338</v>
      </c>
      <c r="G351" s="24">
        <v>0.5</v>
      </c>
    </row>
    <row r="352" spans="2:7" x14ac:dyDescent="0.2">
      <c r="B352" s="15">
        <v>50</v>
      </c>
      <c r="D352" s="22">
        <v>208</v>
      </c>
      <c r="E352" s="23">
        <v>29</v>
      </c>
      <c r="F352" s="22">
        <v>338</v>
      </c>
      <c r="G352" s="24">
        <v>0.5</v>
      </c>
    </row>
    <row r="353" spans="2:7" x14ac:dyDescent="0.2">
      <c r="B353" s="15">
        <v>14</v>
      </c>
      <c r="D353" s="22">
        <v>271</v>
      </c>
      <c r="E353" s="23">
        <v>29</v>
      </c>
      <c r="F353" s="22">
        <v>338</v>
      </c>
      <c r="G353" s="24">
        <v>0.5</v>
      </c>
    </row>
    <row r="354" spans="2:7" x14ac:dyDescent="0.2">
      <c r="B354" s="15">
        <v>21</v>
      </c>
      <c r="D354" s="22">
        <v>291</v>
      </c>
      <c r="E354" s="23">
        <v>29</v>
      </c>
      <c r="F354" s="22">
        <v>338</v>
      </c>
      <c r="G354" s="24">
        <v>0.5</v>
      </c>
    </row>
    <row r="355" spans="2:7" x14ac:dyDescent="0.2">
      <c r="B355" s="15">
        <v>24</v>
      </c>
      <c r="D355" s="22">
        <v>340</v>
      </c>
      <c r="E355" s="23">
        <v>29</v>
      </c>
      <c r="F355" s="22">
        <v>338</v>
      </c>
      <c r="G355" s="24">
        <v>0.5</v>
      </c>
    </row>
    <row r="356" spans="2:7" x14ac:dyDescent="0.2">
      <c r="B356" s="15">
        <v>64</v>
      </c>
      <c r="D356" s="22">
        <v>367</v>
      </c>
      <c r="E356" s="23">
        <v>29</v>
      </c>
      <c r="F356" s="22">
        <v>338</v>
      </c>
      <c r="G356" s="24">
        <v>0.5</v>
      </c>
    </row>
    <row r="357" spans="2:7" x14ac:dyDescent="0.2">
      <c r="B357" s="15">
        <v>31</v>
      </c>
      <c r="D357" s="22">
        <v>382</v>
      </c>
      <c r="E357" s="23">
        <v>29</v>
      </c>
      <c r="F357" s="22">
        <v>338</v>
      </c>
      <c r="G357" s="24">
        <v>0.5</v>
      </c>
    </row>
    <row r="358" spans="2:7" x14ac:dyDescent="0.2">
      <c r="B358" s="15">
        <v>45</v>
      </c>
      <c r="D358" s="22">
        <v>408</v>
      </c>
      <c r="E358" s="23">
        <v>29</v>
      </c>
      <c r="F358" s="22">
        <v>338</v>
      </c>
      <c r="G358" s="24">
        <v>0.5</v>
      </c>
    </row>
    <row r="359" spans="2:7" x14ac:dyDescent="0.2">
      <c r="B359" s="15">
        <v>20</v>
      </c>
      <c r="D359" s="22">
        <v>451</v>
      </c>
      <c r="E359" s="23">
        <v>29</v>
      </c>
      <c r="F359" s="22">
        <v>338</v>
      </c>
      <c r="G359" s="24">
        <v>0.5</v>
      </c>
    </row>
    <row r="360" spans="2:7" x14ac:dyDescent="0.2">
      <c r="B360" s="15">
        <v>25</v>
      </c>
      <c r="D360" s="22">
        <v>568</v>
      </c>
      <c r="E360" s="23">
        <v>29</v>
      </c>
      <c r="F360" s="22">
        <v>338</v>
      </c>
      <c r="G360" s="24">
        <v>0.5</v>
      </c>
    </row>
    <row r="361" spans="2:7" x14ac:dyDescent="0.2">
      <c r="B361" s="15">
        <v>28</v>
      </c>
      <c r="D361" s="22">
        <v>583</v>
      </c>
      <c r="E361" s="23">
        <v>29</v>
      </c>
      <c r="F361" s="22">
        <v>338</v>
      </c>
      <c r="G361" s="24">
        <v>0.5</v>
      </c>
    </row>
    <row r="362" spans="2:7" x14ac:dyDescent="0.2">
      <c r="B362" s="15">
        <v>4</v>
      </c>
      <c r="D362" s="22">
        <v>625</v>
      </c>
      <c r="E362" s="23">
        <v>29</v>
      </c>
      <c r="F362" s="22">
        <v>338</v>
      </c>
      <c r="G362" s="24">
        <v>0.5</v>
      </c>
    </row>
    <row r="363" spans="2:7" x14ac:dyDescent="0.2">
      <c r="B363" s="15">
        <v>13</v>
      </c>
      <c r="D363" s="22">
        <v>44</v>
      </c>
      <c r="E363" s="23">
        <v>28.5</v>
      </c>
      <c r="F363" s="22">
        <v>358</v>
      </c>
      <c r="G363" s="24">
        <v>0.497</v>
      </c>
    </row>
    <row r="364" spans="2:7" x14ac:dyDescent="0.2">
      <c r="B364" s="15">
        <v>34</v>
      </c>
      <c r="D364" s="22">
        <v>587</v>
      </c>
      <c r="E364" s="23">
        <v>28.5</v>
      </c>
      <c r="F364" s="22">
        <v>358</v>
      </c>
      <c r="G364" s="24">
        <v>0.497</v>
      </c>
    </row>
    <row r="365" spans="2:7" x14ac:dyDescent="0.2">
      <c r="B365" s="15">
        <v>5</v>
      </c>
      <c r="D365" s="22">
        <v>22</v>
      </c>
      <c r="E365" s="23">
        <v>28</v>
      </c>
      <c r="F365" s="22">
        <v>360</v>
      </c>
      <c r="G365" s="24">
        <v>0.46200000000000002</v>
      </c>
    </row>
    <row r="366" spans="2:7" x14ac:dyDescent="0.2">
      <c r="B366" s="15">
        <v>52</v>
      </c>
      <c r="D366" s="22">
        <v>28</v>
      </c>
      <c r="E366" s="23">
        <v>28</v>
      </c>
      <c r="F366" s="22">
        <v>360</v>
      </c>
      <c r="G366" s="24">
        <v>0.46200000000000002</v>
      </c>
    </row>
    <row r="367" spans="2:7" x14ac:dyDescent="0.2">
      <c r="B367" s="15">
        <v>36</v>
      </c>
      <c r="D367" s="22">
        <v>65</v>
      </c>
      <c r="E367" s="23">
        <v>28</v>
      </c>
      <c r="F367" s="22">
        <v>360</v>
      </c>
      <c r="G367" s="24">
        <v>0.46200000000000002</v>
      </c>
    </row>
    <row r="368" spans="2:7" x14ac:dyDescent="0.2">
      <c r="B368" s="15">
        <v>30</v>
      </c>
      <c r="D368" s="22">
        <v>80</v>
      </c>
      <c r="E368" s="23">
        <v>28</v>
      </c>
      <c r="F368" s="22">
        <v>360</v>
      </c>
      <c r="G368" s="24">
        <v>0.46200000000000002</v>
      </c>
    </row>
    <row r="369" spans="2:7" x14ac:dyDescent="0.2">
      <c r="B369" s="15">
        <v>49</v>
      </c>
      <c r="D369" s="22">
        <v>84</v>
      </c>
      <c r="E369" s="23">
        <v>28</v>
      </c>
      <c r="F369" s="22">
        <v>360</v>
      </c>
      <c r="G369" s="24">
        <v>0.46200000000000002</v>
      </c>
    </row>
    <row r="370" spans="2:7" x14ac:dyDescent="0.2">
      <c r="B370" s="15">
        <v>29</v>
      </c>
      <c r="D370" s="22">
        <v>137</v>
      </c>
      <c r="E370" s="23">
        <v>28</v>
      </c>
      <c r="F370" s="22">
        <v>360</v>
      </c>
      <c r="G370" s="24">
        <v>0.46200000000000002</v>
      </c>
    </row>
    <row r="371" spans="2:7" x14ac:dyDescent="0.2">
      <c r="B371" s="15">
        <v>65</v>
      </c>
      <c r="D371" s="22">
        <v>161</v>
      </c>
      <c r="E371" s="23">
        <v>28</v>
      </c>
      <c r="F371" s="22">
        <v>360</v>
      </c>
      <c r="G371" s="24">
        <v>0.46200000000000002</v>
      </c>
    </row>
    <row r="372" spans="2:7" x14ac:dyDescent="0.2">
      <c r="B372" s="15">
        <v>50</v>
      </c>
      <c r="D372" s="22">
        <v>228</v>
      </c>
      <c r="E372" s="23">
        <v>28</v>
      </c>
      <c r="F372" s="22">
        <v>360</v>
      </c>
      <c r="G372" s="24">
        <v>0.46200000000000002</v>
      </c>
    </row>
    <row r="373" spans="2:7" x14ac:dyDescent="0.2">
      <c r="B373" s="15">
        <v>48</v>
      </c>
      <c r="D373" s="22">
        <v>252</v>
      </c>
      <c r="E373" s="23">
        <v>28</v>
      </c>
      <c r="F373" s="22">
        <v>360</v>
      </c>
      <c r="G373" s="24">
        <v>0.46200000000000002</v>
      </c>
    </row>
    <row r="374" spans="2:7" x14ac:dyDescent="0.2">
      <c r="B374" s="15">
        <v>34</v>
      </c>
      <c r="D374" s="22">
        <v>277</v>
      </c>
      <c r="E374" s="23">
        <v>28</v>
      </c>
      <c r="F374" s="22">
        <v>360</v>
      </c>
      <c r="G374" s="24">
        <v>0.46200000000000002</v>
      </c>
    </row>
    <row r="375" spans="2:7" x14ac:dyDescent="0.2">
      <c r="B375" s="15">
        <v>47</v>
      </c>
      <c r="D375" s="22">
        <v>287</v>
      </c>
      <c r="E375" s="23">
        <v>28</v>
      </c>
      <c r="F375" s="22">
        <v>360</v>
      </c>
      <c r="G375" s="24">
        <v>0.46200000000000002</v>
      </c>
    </row>
    <row r="376" spans="2:7" x14ac:dyDescent="0.2">
      <c r="B376" s="15">
        <v>48</v>
      </c>
      <c r="D376" s="22">
        <v>316</v>
      </c>
      <c r="E376" s="23">
        <v>28</v>
      </c>
      <c r="F376" s="22">
        <v>360</v>
      </c>
      <c r="G376" s="24">
        <v>0.46200000000000002</v>
      </c>
    </row>
    <row r="377" spans="2:7" x14ac:dyDescent="0.2">
      <c r="B377" s="15">
        <v>38</v>
      </c>
      <c r="D377" s="22">
        <v>323</v>
      </c>
      <c r="E377" s="23">
        <v>28</v>
      </c>
      <c r="F377" s="22">
        <v>360</v>
      </c>
      <c r="G377" s="24">
        <v>0.46200000000000002</v>
      </c>
    </row>
    <row r="378" spans="2:7" x14ac:dyDescent="0.2">
      <c r="B378" s="15">
        <v>56</v>
      </c>
      <c r="D378" s="22">
        <v>327</v>
      </c>
      <c r="E378" s="23">
        <v>28</v>
      </c>
      <c r="F378" s="22">
        <v>360</v>
      </c>
      <c r="G378" s="24">
        <v>0.46200000000000002</v>
      </c>
    </row>
    <row r="379" spans="2:7" x14ac:dyDescent="0.2">
      <c r="B379" s="15">
        <v>75</v>
      </c>
      <c r="D379" s="22">
        <v>341</v>
      </c>
      <c r="E379" s="23">
        <v>28</v>
      </c>
      <c r="F379" s="22">
        <v>360</v>
      </c>
      <c r="G379" s="24">
        <v>0.46200000000000002</v>
      </c>
    </row>
    <row r="380" spans="2:7" x14ac:dyDescent="0.2">
      <c r="B380" s="15">
        <v>38</v>
      </c>
      <c r="D380" s="22">
        <v>343</v>
      </c>
      <c r="E380" s="23">
        <v>28</v>
      </c>
      <c r="F380" s="22">
        <v>360</v>
      </c>
      <c r="G380" s="24">
        <v>0.46200000000000002</v>
      </c>
    </row>
    <row r="381" spans="2:7" x14ac:dyDescent="0.2">
      <c r="B381" s="15">
        <v>33</v>
      </c>
      <c r="D381" s="22">
        <v>346</v>
      </c>
      <c r="E381" s="23">
        <v>28</v>
      </c>
      <c r="F381" s="22">
        <v>360</v>
      </c>
      <c r="G381" s="24">
        <v>0.46200000000000002</v>
      </c>
    </row>
    <row r="382" spans="2:7" x14ac:dyDescent="0.2">
      <c r="B382" s="15">
        <v>23</v>
      </c>
      <c r="D382" s="22">
        <v>358</v>
      </c>
      <c r="E382" s="23">
        <v>28</v>
      </c>
      <c r="F382" s="22">
        <v>360</v>
      </c>
      <c r="G382" s="24">
        <v>0.46200000000000002</v>
      </c>
    </row>
    <row r="383" spans="2:7" x14ac:dyDescent="0.2">
      <c r="B383" s="15">
        <v>22</v>
      </c>
      <c r="D383" s="22">
        <v>406</v>
      </c>
      <c r="E383" s="23">
        <v>28</v>
      </c>
      <c r="F383" s="22">
        <v>360</v>
      </c>
      <c r="G383" s="24">
        <v>0.46200000000000002</v>
      </c>
    </row>
    <row r="384" spans="2:7" x14ac:dyDescent="0.2">
      <c r="B384" s="15">
        <v>34</v>
      </c>
      <c r="D384" s="22">
        <v>448</v>
      </c>
      <c r="E384" s="23">
        <v>28</v>
      </c>
      <c r="F384" s="22">
        <v>360</v>
      </c>
      <c r="G384" s="24">
        <v>0.46200000000000002</v>
      </c>
    </row>
    <row r="385" spans="2:7" x14ac:dyDescent="0.2">
      <c r="B385" s="15">
        <v>29</v>
      </c>
      <c r="D385" s="22">
        <v>504</v>
      </c>
      <c r="E385" s="23">
        <v>28</v>
      </c>
      <c r="F385" s="22">
        <v>360</v>
      </c>
      <c r="G385" s="24">
        <v>0.46200000000000002</v>
      </c>
    </row>
    <row r="386" spans="2:7" x14ac:dyDescent="0.2">
      <c r="B386" s="15">
        <v>22</v>
      </c>
      <c r="D386" s="22">
        <v>605</v>
      </c>
      <c r="E386" s="23">
        <v>28</v>
      </c>
      <c r="F386" s="22">
        <v>360</v>
      </c>
      <c r="G386" s="24">
        <v>0.46200000000000002</v>
      </c>
    </row>
    <row r="387" spans="2:7" x14ac:dyDescent="0.2">
      <c r="B387" s="15">
        <v>2</v>
      </c>
      <c r="D387" s="22">
        <v>679</v>
      </c>
      <c r="E387" s="23">
        <v>28</v>
      </c>
      <c r="F387" s="22">
        <v>360</v>
      </c>
      <c r="G387" s="24">
        <v>0.46200000000000002</v>
      </c>
    </row>
    <row r="388" spans="2:7" x14ac:dyDescent="0.2">
      <c r="B388" s="15">
        <v>9</v>
      </c>
      <c r="D388" s="22">
        <v>701</v>
      </c>
      <c r="E388" s="23">
        <v>28</v>
      </c>
      <c r="F388" s="22">
        <v>360</v>
      </c>
      <c r="G388" s="24">
        <v>0.46200000000000002</v>
      </c>
    </row>
    <row r="389" spans="2:7" x14ac:dyDescent="0.2">
      <c r="B389" s="15">
        <v>50</v>
      </c>
      <c r="D389" s="22">
        <v>709</v>
      </c>
      <c r="E389" s="23">
        <v>28</v>
      </c>
      <c r="F389" s="22">
        <v>360</v>
      </c>
      <c r="G389" s="24">
        <v>0.46200000000000002</v>
      </c>
    </row>
    <row r="390" spans="2:7" x14ac:dyDescent="0.2">
      <c r="B390" s="15">
        <v>63</v>
      </c>
      <c r="D390" s="22">
        <v>9</v>
      </c>
      <c r="E390" s="23">
        <v>27</v>
      </c>
      <c r="F390" s="22">
        <v>385</v>
      </c>
      <c r="G390" s="24">
        <v>0.437</v>
      </c>
    </row>
    <row r="391" spans="2:7" x14ac:dyDescent="0.2">
      <c r="B391" s="15">
        <v>25</v>
      </c>
      <c r="D391" s="22">
        <v>34</v>
      </c>
      <c r="E391" s="23">
        <v>27</v>
      </c>
      <c r="F391" s="22">
        <v>385</v>
      </c>
      <c r="G391" s="24">
        <v>0.437</v>
      </c>
    </row>
    <row r="392" spans="2:7" x14ac:dyDescent="0.2">
      <c r="B392" s="15">
        <v>35</v>
      </c>
      <c r="D392" s="22">
        <v>119</v>
      </c>
      <c r="E392" s="23">
        <v>27</v>
      </c>
      <c r="F392" s="22">
        <v>385</v>
      </c>
      <c r="G392" s="24">
        <v>0.437</v>
      </c>
    </row>
    <row r="393" spans="2:7" x14ac:dyDescent="0.2">
      <c r="B393" s="15">
        <v>58</v>
      </c>
      <c r="D393" s="22">
        <v>175</v>
      </c>
      <c r="E393" s="23">
        <v>27</v>
      </c>
      <c r="F393" s="22">
        <v>385</v>
      </c>
      <c r="G393" s="24">
        <v>0.437</v>
      </c>
    </row>
    <row r="394" spans="2:7" x14ac:dyDescent="0.2">
      <c r="B394" s="15">
        <v>30</v>
      </c>
      <c r="D394" s="22">
        <v>180</v>
      </c>
      <c r="E394" s="23">
        <v>27</v>
      </c>
      <c r="F394" s="22">
        <v>385</v>
      </c>
      <c r="G394" s="24">
        <v>0.437</v>
      </c>
    </row>
    <row r="395" spans="2:7" x14ac:dyDescent="0.2">
      <c r="B395" s="15">
        <v>9</v>
      </c>
      <c r="D395" s="22">
        <v>260</v>
      </c>
      <c r="E395" s="23">
        <v>27</v>
      </c>
      <c r="F395" s="22">
        <v>385</v>
      </c>
      <c r="G395" s="24">
        <v>0.437</v>
      </c>
    </row>
    <row r="396" spans="2:7" x14ac:dyDescent="0.2">
      <c r="B396" s="15">
        <v>21</v>
      </c>
      <c r="D396" s="22">
        <v>303</v>
      </c>
      <c r="E396" s="23">
        <v>27</v>
      </c>
      <c r="F396" s="22">
        <v>385</v>
      </c>
      <c r="G396" s="24">
        <v>0.437</v>
      </c>
    </row>
    <row r="397" spans="2:7" x14ac:dyDescent="0.2">
      <c r="B397" s="15">
        <v>55</v>
      </c>
      <c r="D397" s="22">
        <v>440</v>
      </c>
      <c r="E397" s="23">
        <v>27</v>
      </c>
      <c r="F397" s="22">
        <v>385</v>
      </c>
      <c r="G397" s="24">
        <v>0.437</v>
      </c>
    </row>
    <row r="398" spans="2:7" x14ac:dyDescent="0.2">
      <c r="B398" s="15">
        <v>71</v>
      </c>
      <c r="D398" s="22">
        <v>481</v>
      </c>
      <c r="E398" s="23">
        <v>27</v>
      </c>
      <c r="F398" s="22">
        <v>385</v>
      </c>
      <c r="G398" s="24">
        <v>0.437</v>
      </c>
    </row>
    <row r="399" spans="2:7" x14ac:dyDescent="0.2">
      <c r="B399" s="15">
        <v>21</v>
      </c>
      <c r="D399" s="22">
        <v>491</v>
      </c>
      <c r="E399" s="23">
        <v>27</v>
      </c>
      <c r="F399" s="22">
        <v>385</v>
      </c>
      <c r="G399" s="24">
        <v>0.437</v>
      </c>
    </row>
    <row r="400" spans="2:7" x14ac:dyDescent="0.2">
      <c r="B400" s="15">
        <v>54</v>
      </c>
      <c r="D400" s="22">
        <v>540</v>
      </c>
      <c r="E400" s="23">
        <v>27</v>
      </c>
      <c r="F400" s="22">
        <v>385</v>
      </c>
      <c r="G400" s="24">
        <v>0.437</v>
      </c>
    </row>
    <row r="401" spans="2:7" x14ac:dyDescent="0.2">
      <c r="B401" s="15">
        <v>25</v>
      </c>
      <c r="D401" s="22">
        <v>572</v>
      </c>
      <c r="E401" s="23">
        <v>27</v>
      </c>
      <c r="F401" s="22">
        <v>385</v>
      </c>
      <c r="G401" s="24">
        <v>0.437</v>
      </c>
    </row>
    <row r="402" spans="2:7" x14ac:dyDescent="0.2">
      <c r="B402" s="15">
        <v>24</v>
      </c>
      <c r="D402" s="22">
        <v>578</v>
      </c>
      <c r="E402" s="23">
        <v>27</v>
      </c>
      <c r="F402" s="22">
        <v>385</v>
      </c>
      <c r="G402" s="24">
        <v>0.437</v>
      </c>
    </row>
    <row r="403" spans="2:7" x14ac:dyDescent="0.2">
      <c r="B403" s="15">
        <v>17</v>
      </c>
      <c r="D403" s="22">
        <v>643</v>
      </c>
      <c r="E403" s="23">
        <v>27</v>
      </c>
      <c r="F403" s="22">
        <v>385</v>
      </c>
      <c r="G403" s="24">
        <v>0.437</v>
      </c>
    </row>
    <row r="404" spans="2:7" x14ac:dyDescent="0.2">
      <c r="B404" s="15">
        <v>21</v>
      </c>
      <c r="D404" s="22">
        <v>659</v>
      </c>
      <c r="E404" s="23">
        <v>27</v>
      </c>
      <c r="F404" s="22">
        <v>385</v>
      </c>
      <c r="G404" s="24">
        <v>0.437</v>
      </c>
    </row>
    <row r="405" spans="2:7" x14ac:dyDescent="0.2">
      <c r="B405" s="15">
        <v>37</v>
      </c>
      <c r="D405" s="22">
        <v>661</v>
      </c>
      <c r="E405" s="23">
        <v>27</v>
      </c>
      <c r="F405" s="22">
        <v>385</v>
      </c>
      <c r="G405" s="24">
        <v>0.437</v>
      </c>
    </row>
    <row r="406" spans="2:7" x14ac:dyDescent="0.2">
      <c r="B406" s="15">
        <v>16</v>
      </c>
      <c r="D406" s="22">
        <v>694</v>
      </c>
      <c r="E406" s="23">
        <v>27</v>
      </c>
      <c r="F406" s="22">
        <v>385</v>
      </c>
      <c r="G406" s="24">
        <v>0.437</v>
      </c>
    </row>
    <row r="407" spans="2:7" x14ac:dyDescent="0.2">
      <c r="B407" s="15">
        <v>18</v>
      </c>
      <c r="D407" s="22">
        <v>712</v>
      </c>
      <c r="E407" s="23">
        <v>27</v>
      </c>
      <c r="F407" s="22">
        <v>385</v>
      </c>
      <c r="G407" s="24">
        <v>0.437</v>
      </c>
    </row>
    <row r="408" spans="2:7" x14ac:dyDescent="0.2">
      <c r="B408" s="15">
        <v>33</v>
      </c>
      <c r="D408" s="22">
        <v>4</v>
      </c>
      <c r="E408" s="23">
        <v>26</v>
      </c>
      <c r="F408" s="22">
        <v>403</v>
      </c>
      <c r="G408" s="24">
        <v>0.41199999999999998</v>
      </c>
    </row>
    <row r="409" spans="2:7" x14ac:dyDescent="0.2">
      <c r="B409" s="15">
        <v>28</v>
      </c>
      <c r="D409" s="22">
        <v>54</v>
      </c>
      <c r="E409" s="23">
        <v>26</v>
      </c>
      <c r="F409" s="22">
        <v>403</v>
      </c>
      <c r="G409" s="24">
        <v>0.41199999999999998</v>
      </c>
    </row>
    <row r="410" spans="2:7" x14ac:dyDescent="0.2">
      <c r="B410" s="15">
        <v>26</v>
      </c>
      <c r="D410" s="22">
        <v>58</v>
      </c>
      <c r="E410" s="23">
        <v>26</v>
      </c>
      <c r="F410" s="22">
        <v>403</v>
      </c>
      <c r="G410" s="24">
        <v>0.41199999999999998</v>
      </c>
    </row>
    <row r="411" spans="2:7" x14ac:dyDescent="0.2">
      <c r="B411" s="15">
        <v>29</v>
      </c>
      <c r="D411" s="22">
        <v>74</v>
      </c>
      <c r="E411" s="23">
        <v>26</v>
      </c>
      <c r="F411" s="22">
        <v>403</v>
      </c>
      <c r="G411" s="24">
        <v>0.41199999999999998</v>
      </c>
    </row>
    <row r="412" spans="2:7" x14ac:dyDescent="0.2">
      <c r="B412" s="15">
        <v>36</v>
      </c>
      <c r="D412" s="22">
        <v>132</v>
      </c>
      <c r="E412" s="23">
        <v>26</v>
      </c>
      <c r="F412" s="22">
        <v>403</v>
      </c>
      <c r="G412" s="24">
        <v>0.41199999999999998</v>
      </c>
    </row>
    <row r="413" spans="2:7" x14ac:dyDescent="0.2">
      <c r="B413" s="15">
        <v>54</v>
      </c>
      <c r="D413" s="22">
        <v>167</v>
      </c>
      <c r="E413" s="23">
        <v>26</v>
      </c>
      <c r="F413" s="22">
        <v>403</v>
      </c>
      <c r="G413" s="24">
        <v>0.41199999999999998</v>
      </c>
    </row>
    <row r="414" spans="2:7" x14ac:dyDescent="0.2">
      <c r="B414" s="15">
        <v>24</v>
      </c>
      <c r="D414" s="22">
        <v>236</v>
      </c>
      <c r="E414" s="23">
        <v>26</v>
      </c>
      <c r="F414" s="22">
        <v>403</v>
      </c>
      <c r="G414" s="24">
        <v>0.41199999999999998</v>
      </c>
    </row>
    <row r="415" spans="2:7" x14ac:dyDescent="0.2">
      <c r="B415" s="15">
        <v>47</v>
      </c>
      <c r="D415" s="22">
        <v>251</v>
      </c>
      <c r="E415" s="23">
        <v>26</v>
      </c>
      <c r="F415" s="22">
        <v>403</v>
      </c>
      <c r="G415" s="24">
        <v>0.41199999999999998</v>
      </c>
    </row>
    <row r="416" spans="2:7" x14ac:dyDescent="0.2">
      <c r="B416" s="15">
        <v>34</v>
      </c>
      <c r="D416" s="22">
        <v>254</v>
      </c>
      <c r="E416" s="23">
        <v>26</v>
      </c>
      <c r="F416" s="22">
        <v>403</v>
      </c>
      <c r="G416" s="24">
        <v>0.41199999999999998</v>
      </c>
    </row>
    <row r="417" spans="2:7" x14ac:dyDescent="0.2">
      <c r="B417" s="15">
        <v>36</v>
      </c>
      <c r="D417" s="22">
        <v>325</v>
      </c>
      <c r="E417" s="23">
        <v>26</v>
      </c>
      <c r="F417" s="22">
        <v>403</v>
      </c>
      <c r="G417" s="24">
        <v>0.41199999999999998</v>
      </c>
    </row>
    <row r="418" spans="2:7" x14ac:dyDescent="0.2">
      <c r="B418" s="15">
        <v>32</v>
      </c>
      <c r="D418" s="22">
        <v>407</v>
      </c>
      <c r="E418" s="23">
        <v>26</v>
      </c>
      <c r="F418" s="22">
        <v>403</v>
      </c>
      <c r="G418" s="24">
        <v>0.41199999999999998</v>
      </c>
    </row>
    <row r="419" spans="2:7" x14ac:dyDescent="0.2">
      <c r="B419" s="15">
        <v>30</v>
      </c>
      <c r="D419" s="22">
        <v>488</v>
      </c>
      <c r="E419" s="23">
        <v>26</v>
      </c>
      <c r="F419" s="22">
        <v>403</v>
      </c>
      <c r="G419" s="24">
        <v>0.41199999999999998</v>
      </c>
    </row>
    <row r="420" spans="2:7" x14ac:dyDescent="0.2">
      <c r="B420" s="15">
        <v>22</v>
      </c>
      <c r="D420" s="22">
        <v>490</v>
      </c>
      <c r="E420" s="23">
        <v>26</v>
      </c>
      <c r="F420" s="22">
        <v>403</v>
      </c>
      <c r="G420" s="24">
        <v>0.41199999999999998</v>
      </c>
    </row>
    <row r="421" spans="2:7" x14ac:dyDescent="0.2">
      <c r="B421" s="15">
        <v>44</v>
      </c>
      <c r="D421" s="22">
        <v>499</v>
      </c>
      <c r="E421" s="23">
        <v>26</v>
      </c>
      <c r="F421" s="22">
        <v>403</v>
      </c>
      <c r="G421" s="24">
        <v>0.41199999999999998</v>
      </c>
    </row>
    <row r="422" spans="2:7" x14ac:dyDescent="0.2">
      <c r="B422" s="15">
        <v>40.5</v>
      </c>
      <c r="D422" s="22">
        <v>561</v>
      </c>
      <c r="E422" s="23">
        <v>26</v>
      </c>
      <c r="F422" s="22">
        <v>403</v>
      </c>
      <c r="G422" s="24">
        <v>0.41199999999999998</v>
      </c>
    </row>
    <row r="423" spans="2:7" x14ac:dyDescent="0.2">
      <c r="B423" s="15">
        <v>50</v>
      </c>
      <c r="D423" s="22">
        <v>649</v>
      </c>
      <c r="E423" s="23">
        <v>26</v>
      </c>
      <c r="F423" s="22">
        <v>403</v>
      </c>
      <c r="G423" s="24">
        <v>0.41199999999999998</v>
      </c>
    </row>
    <row r="424" spans="2:7" x14ac:dyDescent="0.2">
      <c r="B424" s="15">
        <v>39</v>
      </c>
      <c r="D424" s="22">
        <v>697</v>
      </c>
      <c r="E424" s="23">
        <v>26</v>
      </c>
      <c r="F424" s="22">
        <v>403</v>
      </c>
      <c r="G424" s="24">
        <v>0.41199999999999998</v>
      </c>
    </row>
    <row r="425" spans="2:7" x14ac:dyDescent="0.2">
      <c r="B425" s="15">
        <v>23</v>
      </c>
      <c r="D425" s="22">
        <v>714</v>
      </c>
      <c r="E425" s="23">
        <v>26</v>
      </c>
      <c r="F425" s="22">
        <v>403</v>
      </c>
      <c r="G425" s="24">
        <v>0.41199999999999998</v>
      </c>
    </row>
    <row r="426" spans="2:7" x14ac:dyDescent="0.2">
      <c r="B426" s="15">
        <v>2</v>
      </c>
      <c r="D426" s="22">
        <v>60</v>
      </c>
      <c r="E426" s="23">
        <v>25</v>
      </c>
      <c r="F426" s="22">
        <v>421</v>
      </c>
      <c r="G426" s="24">
        <v>0.38</v>
      </c>
    </row>
    <row r="427" spans="2:7" x14ac:dyDescent="0.2">
      <c r="B427" s="15">
        <v>17</v>
      </c>
      <c r="D427" s="22">
        <v>108</v>
      </c>
      <c r="E427" s="23">
        <v>25</v>
      </c>
      <c r="F427" s="22">
        <v>421</v>
      </c>
      <c r="G427" s="24">
        <v>0.38</v>
      </c>
    </row>
    <row r="428" spans="2:7" x14ac:dyDescent="0.2">
      <c r="B428" s="15">
        <v>30</v>
      </c>
      <c r="D428" s="22">
        <v>200</v>
      </c>
      <c r="E428" s="23">
        <v>25</v>
      </c>
      <c r="F428" s="22">
        <v>421</v>
      </c>
      <c r="G428" s="24">
        <v>0.38</v>
      </c>
    </row>
    <row r="429" spans="2:7" x14ac:dyDescent="0.2">
      <c r="B429" s="15">
        <v>7</v>
      </c>
      <c r="D429" s="22">
        <v>217</v>
      </c>
      <c r="E429" s="23">
        <v>25</v>
      </c>
      <c r="F429" s="22">
        <v>421</v>
      </c>
      <c r="G429" s="24">
        <v>0.38</v>
      </c>
    </row>
    <row r="430" spans="2:7" x14ac:dyDescent="0.2">
      <c r="B430" s="15">
        <v>45</v>
      </c>
      <c r="D430" s="22">
        <v>220</v>
      </c>
      <c r="E430" s="23">
        <v>25</v>
      </c>
      <c r="F430" s="22">
        <v>421</v>
      </c>
      <c r="G430" s="24">
        <v>0.38</v>
      </c>
    </row>
    <row r="431" spans="2:7" x14ac:dyDescent="0.2">
      <c r="B431" s="15">
        <v>30</v>
      </c>
      <c r="D431" s="22">
        <v>278</v>
      </c>
      <c r="E431" s="23">
        <v>25</v>
      </c>
      <c r="F431" s="22">
        <v>421</v>
      </c>
      <c r="G431" s="24">
        <v>0.38</v>
      </c>
    </row>
    <row r="432" spans="2:7" x14ac:dyDescent="0.2">
      <c r="B432" s="15">
        <v>22</v>
      </c>
      <c r="D432" s="22">
        <v>286</v>
      </c>
      <c r="E432" s="23">
        <v>25</v>
      </c>
      <c r="F432" s="22">
        <v>421</v>
      </c>
      <c r="G432" s="24">
        <v>0.38</v>
      </c>
    </row>
    <row r="433" spans="2:7" x14ac:dyDescent="0.2">
      <c r="B433" s="15">
        <v>36</v>
      </c>
      <c r="D433" s="22">
        <v>297</v>
      </c>
      <c r="E433" s="23">
        <v>25</v>
      </c>
      <c r="F433" s="22">
        <v>421</v>
      </c>
      <c r="G433" s="24">
        <v>0.38</v>
      </c>
    </row>
    <row r="434" spans="2:7" x14ac:dyDescent="0.2">
      <c r="B434" s="15">
        <v>9</v>
      </c>
      <c r="D434" s="22">
        <v>357</v>
      </c>
      <c r="E434" s="23">
        <v>25</v>
      </c>
      <c r="F434" s="22">
        <v>421</v>
      </c>
      <c r="G434" s="24">
        <v>0.38</v>
      </c>
    </row>
    <row r="435" spans="2:7" x14ac:dyDescent="0.2">
      <c r="B435" s="15">
        <v>11</v>
      </c>
      <c r="D435" s="22">
        <v>388</v>
      </c>
      <c r="E435" s="23">
        <v>25</v>
      </c>
      <c r="F435" s="22">
        <v>421</v>
      </c>
      <c r="G435" s="24">
        <v>0.38</v>
      </c>
    </row>
    <row r="436" spans="2:7" x14ac:dyDescent="0.2">
      <c r="B436" s="15">
        <v>32</v>
      </c>
      <c r="D436" s="22">
        <v>398</v>
      </c>
      <c r="E436" s="23">
        <v>25</v>
      </c>
      <c r="F436" s="22">
        <v>421</v>
      </c>
      <c r="G436" s="24">
        <v>0.38</v>
      </c>
    </row>
    <row r="437" spans="2:7" x14ac:dyDescent="0.2">
      <c r="B437" s="15">
        <v>50</v>
      </c>
      <c r="D437" s="22">
        <v>461</v>
      </c>
      <c r="E437" s="23">
        <v>25</v>
      </c>
      <c r="F437" s="22">
        <v>421</v>
      </c>
      <c r="G437" s="24">
        <v>0.38</v>
      </c>
    </row>
    <row r="438" spans="2:7" x14ac:dyDescent="0.2">
      <c r="B438" s="15">
        <v>64</v>
      </c>
      <c r="D438" s="22">
        <v>529</v>
      </c>
      <c r="E438" s="23">
        <v>25</v>
      </c>
      <c r="F438" s="22">
        <v>421</v>
      </c>
      <c r="G438" s="24">
        <v>0.38</v>
      </c>
    </row>
    <row r="439" spans="2:7" x14ac:dyDescent="0.2">
      <c r="B439" s="15">
        <v>19</v>
      </c>
      <c r="D439" s="22">
        <v>544</v>
      </c>
      <c r="E439" s="23">
        <v>25</v>
      </c>
      <c r="F439" s="22">
        <v>421</v>
      </c>
      <c r="G439" s="24">
        <v>0.38</v>
      </c>
    </row>
    <row r="440" spans="2:7" x14ac:dyDescent="0.2">
      <c r="B440" s="15">
        <v>33</v>
      </c>
      <c r="D440" s="22">
        <v>551</v>
      </c>
      <c r="E440" s="23">
        <v>25</v>
      </c>
      <c r="F440" s="22">
        <v>421</v>
      </c>
      <c r="G440" s="24">
        <v>0.38</v>
      </c>
    </row>
    <row r="441" spans="2:7" x14ac:dyDescent="0.2">
      <c r="B441" s="15">
        <v>8</v>
      </c>
      <c r="D441" s="22">
        <v>560</v>
      </c>
      <c r="E441" s="23">
        <v>25</v>
      </c>
      <c r="F441" s="22">
        <v>421</v>
      </c>
      <c r="G441" s="24">
        <v>0.38</v>
      </c>
    </row>
    <row r="442" spans="2:7" x14ac:dyDescent="0.2">
      <c r="B442" s="15">
        <v>17</v>
      </c>
      <c r="D442" s="22">
        <v>581</v>
      </c>
      <c r="E442" s="23">
        <v>25</v>
      </c>
      <c r="F442" s="22">
        <v>421</v>
      </c>
      <c r="G442" s="24">
        <v>0.38</v>
      </c>
    </row>
    <row r="443" spans="2:7" x14ac:dyDescent="0.2">
      <c r="B443" s="15">
        <v>27</v>
      </c>
      <c r="D443" s="22">
        <v>582</v>
      </c>
      <c r="E443" s="23">
        <v>25</v>
      </c>
      <c r="F443" s="22">
        <v>421</v>
      </c>
      <c r="G443" s="24">
        <v>0.38</v>
      </c>
    </row>
    <row r="444" spans="2:7" x14ac:dyDescent="0.2">
      <c r="B444" s="15">
        <v>22</v>
      </c>
      <c r="D444" s="22">
        <v>626</v>
      </c>
      <c r="E444" s="23">
        <v>25</v>
      </c>
      <c r="F444" s="22">
        <v>421</v>
      </c>
      <c r="G444" s="24">
        <v>0.38</v>
      </c>
    </row>
    <row r="445" spans="2:7" x14ac:dyDescent="0.2">
      <c r="B445" s="15">
        <v>22</v>
      </c>
      <c r="D445" s="22">
        <v>627</v>
      </c>
      <c r="E445" s="23">
        <v>25</v>
      </c>
      <c r="F445" s="22">
        <v>421</v>
      </c>
      <c r="G445" s="24">
        <v>0.38</v>
      </c>
    </row>
    <row r="446" spans="2:7" x14ac:dyDescent="0.2">
      <c r="B446" s="15">
        <v>62</v>
      </c>
      <c r="D446" s="22">
        <v>633</v>
      </c>
      <c r="E446" s="23">
        <v>25</v>
      </c>
      <c r="F446" s="22">
        <v>421</v>
      </c>
      <c r="G446" s="24">
        <v>0.38</v>
      </c>
    </row>
    <row r="447" spans="2:7" x14ac:dyDescent="0.2">
      <c r="B447" s="15">
        <v>48</v>
      </c>
      <c r="D447" s="22">
        <v>706</v>
      </c>
      <c r="E447" s="23">
        <v>25</v>
      </c>
      <c r="F447" s="22">
        <v>421</v>
      </c>
      <c r="G447" s="24">
        <v>0.38</v>
      </c>
    </row>
    <row r="448" spans="2:7" x14ac:dyDescent="0.2">
      <c r="B448" s="15">
        <v>39</v>
      </c>
      <c r="D448" s="22">
        <v>710</v>
      </c>
      <c r="E448" s="23">
        <v>25</v>
      </c>
      <c r="F448" s="22">
        <v>421</v>
      </c>
      <c r="G448" s="24">
        <v>0.38</v>
      </c>
    </row>
    <row r="449" spans="2:7" x14ac:dyDescent="0.2">
      <c r="B449" s="15">
        <v>36</v>
      </c>
      <c r="D449" s="22">
        <v>536</v>
      </c>
      <c r="E449" s="23">
        <v>24.5</v>
      </c>
      <c r="F449" s="22">
        <v>444</v>
      </c>
      <c r="G449" s="24">
        <v>0.378</v>
      </c>
    </row>
    <row r="450" spans="2:7" x14ac:dyDescent="0.2">
      <c r="B450" s="15">
        <v>40</v>
      </c>
      <c r="D450" s="22">
        <v>70</v>
      </c>
      <c r="E450" s="23">
        <v>24</v>
      </c>
      <c r="F450" s="22">
        <v>445</v>
      </c>
      <c r="G450" s="24">
        <v>0.33600000000000002</v>
      </c>
    </row>
    <row r="451" spans="2:7" x14ac:dyDescent="0.2">
      <c r="B451" s="15">
        <v>28</v>
      </c>
      <c r="D451" s="22">
        <v>95</v>
      </c>
      <c r="E451" s="23">
        <v>24</v>
      </c>
      <c r="F451" s="22">
        <v>445</v>
      </c>
      <c r="G451" s="24">
        <v>0.33600000000000002</v>
      </c>
    </row>
    <row r="452" spans="2:7" x14ac:dyDescent="0.2">
      <c r="B452" s="15">
        <v>24</v>
      </c>
      <c r="D452" s="22">
        <v>102</v>
      </c>
      <c r="E452" s="23">
        <v>24</v>
      </c>
      <c r="F452" s="22">
        <v>445</v>
      </c>
      <c r="G452" s="24">
        <v>0.33600000000000002</v>
      </c>
    </row>
    <row r="453" spans="2:7" x14ac:dyDescent="0.2">
      <c r="B453" s="15">
        <v>19</v>
      </c>
      <c r="D453" s="22">
        <v>113</v>
      </c>
      <c r="E453" s="23">
        <v>24</v>
      </c>
      <c r="F453" s="22">
        <v>445</v>
      </c>
      <c r="G453" s="24">
        <v>0.33600000000000002</v>
      </c>
    </row>
    <row r="454" spans="2:7" x14ac:dyDescent="0.2">
      <c r="B454" s="15">
        <v>29</v>
      </c>
      <c r="D454" s="22">
        <v>115</v>
      </c>
      <c r="E454" s="23">
        <v>24</v>
      </c>
      <c r="F454" s="22">
        <v>445</v>
      </c>
      <c r="G454" s="24">
        <v>0.33600000000000002</v>
      </c>
    </row>
    <row r="455" spans="2:7" x14ac:dyDescent="0.2">
      <c r="B455" s="15">
        <v>32</v>
      </c>
      <c r="D455" s="22">
        <v>160</v>
      </c>
      <c r="E455" s="23">
        <v>24</v>
      </c>
      <c r="F455" s="22">
        <v>445</v>
      </c>
      <c r="G455" s="24">
        <v>0.33600000000000002</v>
      </c>
    </row>
    <row r="456" spans="2:7" x14ac:dyDescent="0.2">
      <c r="B456" s="15">
        <v>62</v>
      </c>
      <c r="D456" s="22">
        <v>170</v>
      </c>
      <c r="E456" s="23">
        <v>24</v>
      </c>
      <c r="F456" s="22">
        <v>445</v>
      </c>
      <c r="G456" s="24">
        <v>0.33600000000000002</v>
      </c>
    </row>
    <row r="457" spans="2:7" x14ac:dyDescent="0.2">
      <c r="B457" s="15">
        <v>53</v>
      </c>
      <c r="D457" s="22">
        <v>191</v>
      </c>
      <c r="E457" s="23">
        <v>24</v>
      </c>
      <c r="F457" s="22">
        <v>445</v>
      </c>
      <c r="G457" s="24">
        <v>0.33600000000000002</v>
      </c>
    </row>
    <row r="458" spans="2:7" x14ac:dyDescent="0.2">
      <c r="B458" s="15">
        <v>36</v>
      </c>
      <c r="D458" s="22">
        <v>201</v>
      </c>
      <c r="E458" s="23">
        <v>24</v>
      </c>
      <c r="F458" s="22">
        <v>445</v>
      </c>
      <c r="G458" s="24">
        <v>0.33600000000000002</v>
      </c>
    </row>
    <row r="459" spans="2:7" x14ac:dyDescent="0.2">
      <c r="B459" s="15">
        <v>16</v>
      </c>
      <c r="D459" s="22">
        <v>239</v>
      </c>
      <c r="E459" s="23">
        <v>24</v>
      </c>
      <c r="F459" s="22">
        <v>445</v>
      </c>
      <c r="G459" s="24">
        <v>0.33600000000000002</v>
      </c>
    </row>
    <row r="460" spans="2:7" x14ac:dyDescent="0.2">
      <c r="B460" s="15">
        <v>19</v>
      </c>
      <c r="D460" s="22">
        <v>240</v>
      </c>
      <c r="E460" s="23">
        <v>24</v>
      </c>
      <c r="F460" s="22">
        <v>445</v>
      </c>
      <c r="G460" s="24">
        <v>0.33600000000000002</v>
      </c>
    </row>
    <row r="461" spans="2:7" x14ac:dyDescent="0.2">
      <c r="B461" s="15">
        <v>34</v>
      </c>
      <c r="D461" s="22">
        <v>249</v>
      </c>
      <c r="E461" s="23">
        <v>24</v>
      </c>
      <c r="F461" s="22">
        <v>445</v>
      </c>
      <c r="G461" s="24">
        <v>0.33600000000000002</v>
      </c>
    </row>
    <row r="462" spans="2:7" x14ac:dyDescent="0.2">
      <c r="B462" s="15">
        <v>39</v>
      </c>
      <c r="D462" s="22">
        <v>255</v>
      </c>
      <c r="E462" s="23">
        <v>24</v>
      </c>
      <c r="F462" s="22">
        <v>445</v>
      </c>
      <c r="G462" s="24">
        <v>0.33600000000000002</v>
      </c>
    </row>
    <row r="463" spans="2:7" x14ac:dyDescent="0.2">
      <c r="B463" s="15">
        <v>32</v>
      </c>
      <c r="D463" s="22">
        <v>276</v>
      </c>
      <c r="E463" s="23">
        <v>24</v>
      </c>
      <c r="F463" s="22">
        <v>445</v>
      </c>
      <c r="G463" s="24">
        <v>0.33600000000000002</v>
      </c>
    </row>
    <row r="464" spans="2:7" x14ac:dyDescent="0.2">
      <c r="B464" s="15">
        <v>25</v>
      </c>
      <c r="D464" s="22">
        <v>280</v>
      </c>
      <c r="E464" s="23">
        <v>24</v>
      </c>
      <c r="F464" s="22">
        <v>445</v>
      </c>
      <c r="G464" s="24">
        <v>0.33600000000000002</v>
      </c>
    </row>
    <row r="465" spans="2:7" x14ac:dyDescent="0.2">
      <c r="B465" s="15">
        <v>39</v>
      </c>
      <c r="D465" s="22">
        <v>296</v>
      </c>
      <c r="E465" s="23">
        <v>24</v>
      </c>
      <c r="F465" s="22">
        <v>445</v>
      </c>
      <c r="G465" s="24">
        <v>0.33600000000000002</v>
      </c>
    </row>
    <row r="466" spans="2:7" x14ac:dyDescent="0.2">
      <c r="B466" s="15">
        <v>54</v>
      </c>
      <c r="D466" s="22">
        <v>318</v>
      </c>
      <c r="E466" s="23">
        <v>24</v>
      </c>
      <c r="F466" s="22">
        <v>445</v>
      </c>
      <c r="G466" s="24">
        <v>0.33600000000000002</v>
      </c>
    </row>
    <row r="467" spans="2:7" x14ac:dyDescent="0.2">
      <c r="B467" s="15">
        <v>36</v>
      </c>
      <c r="D467" s="22">
        <v>352</v>
      </c>
      <c r="E467" s="23">
        <v>24</v>
      </c>
      <c r="F467" s="22">
        <v>445</v>
      </c>
      <c r="G467" s="24">
        <v>0.33600000000000002</v>
      </c>
    </row>
    <row r="468" spans="2:7" x14ac:dyDescent="0.2">
      <c r="B468" s="15">
        <v>18</v>
      </c>
      <c r="D468" s="22">
        <v>399</v>
      </c>
      <c r="E468" s="23">
        <v>24</v>
      </c>
      <c r="F468" s="22">
        <v>445</v>
      </c>
      <c r="G468" s="24">
        <v>0.33600000000000002</v>
      </c>
    </row>
    <row r="469" spans="2:7" x14ac:dyDescent="0.2">
      <c r="B469" s="15">
        <v>47</v>
      </c>
      <c r="D469" s="22">
        <v>411</v>
      </c>
      <c r="E469" s="23">
        <v>24</v>
      </c>
      <c r="F469" s="22">
        <v>445</v>
      </c>
      <c r="G469" s="24">
        <v>0.33600000000000002</v>
      </c>
    </row>
    <row r="470" spans="2:7" x14ac:dyDescent="0.2">
      <c r="B470" s="15">
        <v>60</v>
      </c>
      <c r="D470" s="22">
        <v>449</v>
      </c>
      <c r="E470" s="23">
        <v>24</v>
      </c>
      <c r="F470" s="22">
        <v>445</v>
      </c>
      <c r="G470" s="24">
        <v>0.33600000000000002</v>
      </c>
    </row>
    <row r="471" spans="2:7" x14ac:dyDescent="0.2">
      <c r="B471" s="15">
        <v>22</v>
      </c>
      <c r="D471" s="22">
        <v>476</v>
      </c>
      <c r="E471" s="23">
        <v>24</v>
      </c>
      <c r="F471" s="22">
        <v>445</v>
      </c>
      <c r="G471" s="24">
        <v>0.33600000000000002</v>
      </c>
    </row>
    <row r="472" spans="2:7" x14ac:dyDescent="0.2">
      <c r="B472" s="15">
        <v>35</v>
      </c>
      <c r="D472" s="22">
        <v>486</v>
      </c>
      <c r="E472" s="23">
        <v>24</v>
      </c>
      <c r="F472" s="22">
        <v>445</v>
      </c>
      <c r="G472" s="24">
        <v>0.33600000000000002</v>
      </c>
    </row>
    <row r="473" spans="2:7" x14ac:dyDescent="0.2">
      <c r="B473" s="15">
        <v>52</v>
      </c>
      <c r="D473" s="22">
        <v>509</v>
      </c>
      <c r="E473" s="23">
        <v>24</v>
      </c>
      <c r="F473" s="22">
        <v>445</v>
      </c>
      <c r="G473" s="24">
        <v>0.33600000000000002</v>
      </c>
    </row>
    <row r="474" spans="2:7" x14ac:dyDescent="0.2">
      <c r="B474" s="15">
        <v>47</v>
      </c>
      <c r="D474" s="22">
        <v>519</v>
      </c>
      <c r="E474" s="23">
        <v>24</v>
      </c>
      <c r="F474" s="22">
        <v>445</v>
      </c>
      <c r="G474" s="24">
        <v>0.33600000000000002</v>
      </c>
    </row>
    <row r="475" spans="2:7" x14ac:dyDescent="0.2">
      <c r="B475" s="15">
        <v>37</v>
      </c>
      <c r="D475" s="22">
        <v>566</v>
      </c>
      <c r="E475" s="23">
        <v>24</v>
      </c>
      <c r="F475" s="22">
        <v>445</v>
      </c>
      <c r="G475" s="24">
        <v>0.33600000000000002</v>
      </c>
    </row>
    <row r="476" spans="2:7" x14ac:dyDescent="0.2">
      <c r="B476" s="15">
        <v>36</v>
      </c>
      <c r="D476" s="22">
        <v>592</v>
      </c>
      <c r="E476" s="23">
        <v>24</v>
      </c>
      <c r="F476" s="22">
        <v>445</v>
      </c>
      <c r="G476" s="24">
        <v>0.33600000000000002</v>
      </c>
    </row>
    <row r="477" spans="2:7" x14ac:dyDescent="0.2">
      <c r="B477" s="15">
        <v>49</v>
      </c>
      <c r="D477" s="22">
        <v>616</v>
      </c>
      <c r="E477" s="23">
        <v>24</v>
      </c>
      <c r="F477" s="22">
        <v>445</v>
      </c>
      <c r="G477" s="24">
        <v>0.33600000000000002</v>
      </c>
    </row>
    <row r="478" spans="2:7" x14ac:dyDescent="0.2">
      <c r="B478" s="15">
        <v>49</v>
      </c>
      <c r="D478" s="22">
        <v>688</v>
      </c>
      <c r="E478" s="23">
        <v>24</v>
      </c>
      <c r="F478" s="22">
        <v>445</v>
      </c>
      <c r="G478" s="24">
        <v>0.33600000000000002</v>
      </c>
    </row>
    <row r="479" spans="2:7" x14ac:dyDescent="0.2">
      <c r="B479" s="15">
        <v>24</v>
      </c>
      <c r="D479" s="22">
        <v>692</v>
      </c>
      <c r="E479" s="23">
        <v>24</v>
      </c>
      <c r="F479" s="22">
        <v>445</v>
      </c>
      <c r="G479" s="24">
        <v>0.33600000000000002</v>
      </c>
    </row>
    <row r="480" spans="2:7" x14ac:dyDescent="0.2">
      <c r="B480" s="15">
        <v>44</v>
      </c>
      <c r="D480" s="22">
        <v>241</v>
      </c>
      <c r="E480" s="23">
        <v>23.5</v>
      </c>
      <c r="F480" s="22">
        <v>475</v>
      </c>
      <c r="G480" s="24">
        <v>0.33500000000000002</v>
      </c>
    </row>
    <row r="481" spans="2:7" x14ac:dyDescent="0.2">
      <c r="B481" s="15">
        <v>35</v>
      </c>
      <c r="D481" s="22">
        <v>69</v>
      </c>
      <c r="E481" s="23">
        <v>23</v>
      </c>
      <c r="F481" s="22">
        <v>476</v>
      </c>
      <c r="G481" s="24">
        <v>0.314</v>
      </c>
    </row>
    <row r="482" spans="2:7" x14ac:dyDescent="0.2">
      <c r="B482" s="15">
        <v>36</v>
      </c>
      <c r="D482" s="22">
        <v>77</v>
      </c>
      <c r="E482" s="23">
        <v>23</v>
      </c>
      <c r="F482" s="22">
        <v>476</v>
      </c>
      <c r="G482" s="24">
        <v>0.314</v>
      </c>
    </row>
    <row r="483" spans="2:7" x14ac:dyDescent="0.2">
      <c r="B483" s="15">
        <v>30</v>
      </c>
      <c r="D483" s="22">
        <v>109</v>
      </c>
      <c r="E483" s="23">
        <v>23</v>
      </c>
      <c r="F483" s="22">
        <v>476</v>
      </c>
      <c r="G483" s="24">
        <v>0.314</v>
      </c>
    </row>
    <row r="484" spans="2:7" x14ac:dyDescent="0.2">
      <c r="B484" s="15">
        <v>27</v>
      </c>
      <c r="D484" s="22">
        <v>284</v>
      </c>
      <c r="E484" s="23">
        <v>23</v>
      </c>
      <c r="F484" s="22">
        <v>476</v>
      </c>
      <c r="G484" s="24">
        <v>0.314</v>
      </c>
    </row>
    <row r="485" spans="2:7" x14ac:dyDescent="0.2">
      <c r="B485" s="15">
        <v>22</v>
      </c>
      <c r="D485" s="22">
        <v>317</v>
      </c>
      <c r="E485" s="23">
        <v>23</v>
      </c>
      <c r="F485" s="22">
        <v>476</v>
      </c>
      <c r="G485" s="24">
        <v>0.314</v>
      </c>
    </row>
    <row r="486" spans="2:7" x14ac:dyDescent="0.2">
      <c r="B486" s="15">
        <v>40</v>
      </c>
      <c r="D486" s="22">
        <v>322</v>
      </c>
      <c r="E486" s="23">
        <v>23</v>
      </c>
      <c r="F486" s="22">
        <v>476</v>
      </c>
      <c r="G486" s="24">
        <v>0.314</v>
      </c>
    </row>
    <row r="487" spans="2:7" x14ac:dyDescent="0.2">
      <c r="B487" s="15">
        <v>39</v>
      </c>
      <c r="D487" s="22">
        <v>379</v>
      </c>
      <c r="E487" s="23">
        <v>23</v>
      </c>
      <c r="F487" s="22">
        <v>476</v>
      </c>
      <c r="G487" s="24">
        <v>0.314</v>
      </c>
    </row>
    <row r="488" spans="2:7" x14ac:dyDescent="0.2">
      <c r="B488" s="15">
        <v>35</v>
      </c>
      <c r="D488" s="22">
        <v>422</v>
      </c>
      <c r="E488" s="23">
        <v>23</v>
      </c>
      <c r="F488" s="22">
        <v>476</v>
      </c>
      <c r="G488" s="24">
        <v>0.314</v>
      </c>
    </row>
    <row r="489" spans="2:7" x14ac:dyDescent="0.2">
      <c r="B489" s="15">
        <v>24</v>
      </c>
      <c r="D489" s="22">
        <v>515</v>
      </c>
      <c r="E489" s="23">
        <v>23</v>
      </c>
      <c r="F489" s="22">
        <v>476</v>
      </c>
      <c r="G489" s="24">
        <v>0.314</v>
      </c>
    </row>
    <row r="490" spans="2:7" x14ac:dyDescent="0.2">
      <c r="B490" s="15">
        <v>34</v>
      </c>
      <c r="D490" s="22">
        <v>521</v>
      </c>
      <c r="E490" s="23">
        <v>23</v>
      </c>
      <c r="F490" s="22">
        <v>476</v>
      </c>
      <c r="G490" s="24">
        <v>0.314</v>
      </c>
    </row>
    <row r="491" spans="2:7" x14ac:dyDescent="0.2">
      <c r="B491" s="15">
        <v>26</v>
      </c>
      <c r="D491" s="22">
        <v>585</v>
      </c>
      <c r="E491" s="23">
        <v>23</v>
      </c>
      <c r="F491" s="22">
        <v>476</v>
      </c>
      <c r="G491" s="24">
        <v>0.314</v>
      </c>
    </row>
    <row r="492" spans="2:7" x14ac:dyDescent="0.2">
      <c r="B492" s="15">
        <v>4</v>
      </c>
      <c r="D492" s="22">
        <v>586</v>
      </c>
      <c r="E492" s="23">
        <v>23</v>
      </c>
      <c r="F492" s="22">
        <v>476</v>
      </c>
      <c r="G492" s="24">
        <v>0.314</v>
      </c>
    </row>
    <row r="493" spans="2:7" x14ac:dyDescent="0.2">
      <c r="B493" s="15">
        <v>26</v>
      </c>
      <c r="D493" s="22">
        <v>602</v>
      </c>
      <c r="E493" s="23">
        <v>23</v>
      </c>
      <c r="F493" s="22">
        <v>476</v>
      </c>
      <c r="G493" s="24">
        <v>0.314</v>
      </c>
    </row>
    <row r="494" spans="2:7" x14ac:dyDescent="0.2">
      <c r="B494" s="15">
        <v>27</v>
      </c>
      <c r="D494" s="22">
        <v>654</v>
      </c>
      <c r="E494" s="23">
        <v>23</v>
      </c>
      <c r="F494" s="22">
        <v>476</v>
      </c>
      <c r="G494" s="24">
        <v>0.314</v>
      </c>
    </row>
    <row r="495" spans="2:7" x14ac:dyDescent="0.2">
      <c r="B495" s="15">
        <v>42</v>
      </c>
      <c r="D495" s="22">
        <v>667</v>
      </c>
      <c r="E495" s="23">
        <v>23</v>
      </c>
      <c r="F495" s="22">
        <v>476</v>
      </c>
      <c r="G495" s="24">
        <v>0.314</v>
      </c>
    </row>
    <row r="496" spans="2:7" x14ac:dyDescent="0.2">
      <c r="B496" s="15">
        <v>20</v>
      </c>
      <c r="D496" s="22">
        <v>2</v>
      </c>
      <c r="E496" s="23">
        <v>22</v>
      </c>
      <c r="F496" s="22">
        <v>491</v>
      </c>
      <c r="G496" s="24">
        <v>0.27600000000000002</v>
      </c>
    </row>
    <row r="497" spans="2:7" x14ac:dyDescent="0.2">
      <c r="B497" s="15">
        <v>21</v>
      </c>
      <c r="D497" s="22">
        <v>47</v>
      </c>
      <c r="E497" s="23">
        <v>22</v>
      </c>
      <c r="F497" s="22">
        <v>491</v>
      </c>
      <c r="G497" s="24">
        <v>0.27600000000000002</v>
      </c>
    </row>
    <row r="498" spans="2:7" x14ac:dyDescent="0.2">
      <c r="B498" s="15">
        <v>21</v>
      </c>
      <c r="D498" s="22">
        <v>63</v>
      </c>
      <c r="E498" s="23">
        <v>22</v>
      </c>
      <c r="F498" s="22">
        <v>491</v>
      </c>
      <c r="G498" s="24">
        <v>0.27600000000000002</v>
      </c>
    </row>
    <row r="499" spans="2:7" x14ac:dyDescent="0.2">
      <c r="B499" s="15">
        <v>61</v>
      </c>
      <c r="D499" s="22">
        <v>89</v>
      </c>
      <c r="E499" s="23">
        <v>22</v>
      </c>
      <c r="F499" s="22">
        <v>491</v>
      </c>
      <c r="G499" s="24">
        <v>0.27600000000000002</v>
      </c>
    </row>
    <row r="500" spans="2:7" x14ac:dyDescent="0.2">
      <c r="B500" s="15">
        <v>57</v>
      </c>
      <c r="D500" s="22">
        <v>114</v>
      </c>
      <c r="E500" s="23">
        <v>22</v>
      </c>
      <c r="F500" s="22">
        <v>491</v>
      </c>
      <c r="G500" s="24">
        <v>0.27600000000000002</v>
      </c>
    </row>
    <row r="501" spans="2:7" x14ac:dyDescent="0.2">
      <c r="B501" s="15">
        <v>21</v>
      </c>
      <c r="D501" s="22">
        <v>124</v>
      </c>
      <c r="E501" s="23">
        <v>22</v>
      </c>
      <c r="F501" s="22">
        <v>491</v>
      </c>
      <c r="G501" s="24">
        <v>0.27600000000000002</v>
      </c>
    </row>
    <row r="502" spans="2:7" x14ac:dyDescent="0.2">
      <c r="B502" s="15">
        <v>26</v>
      </c>
      <c r="D502" s="22">
        <v>172</v>
      </c>
      <c r="E502" s="23">
        <v>22</v>
      </c>
      <c r="F502" s="22">
        <v>491</v>
      </c>
      <c r="G502" s="24">
        <v>0.27600000000000002</v>
      </c>
    </row>
    <row r="503" spans="2:7" x14ac:dyDescent="0.2">
      <c r="B503" s="15">
        <v>80</v>
      </c>
      <c r="D503" s="22">
        <v>183</v>
      </c>
      <c r="E503" s="23">
        <v>22</v>
      </c>
      <c r="F503" s="22">
        <v>491</v>
      </c>
      <c r="G503" s="24">
        <v>0.27600000000000002</v>
      </c>
    </row>
    <row r="504" spans="2:7" x14ac:dyDescent="0.2">
      <c r="B504" s="15">
        <v>51</v>
      </c>
      <c r="D504" s="22">
        <v>197</v>
      </c>
      <c r="E504" s="23">
        <v>22</v>
      </c>
      <c r="F504" s="22">
        <v>491</v>
      </c>
      <c r="G504" s="24">
        <v>0.27600000000000002</v>
      </c>
    </row>
    <row r="505" spans="2:7" x14ac:dyDescent="0.2">
      <c r="B505" s="15">
        <v>32</v>
      </c>
      <c r="D505" s="22">
        <v>233</v>
      </c>
      <c r="E505" s="23">
        <v>22</v>
      </c>
      <c r="F505" s="22">
        <v>491</v>
      </c>
      <c r="G505" s="24">
        <v>0.27600000000000002</v>
      </c>
    </row>
    <row r="506" spans="2:7" x14ac:dyDescent="0.2">
      <c r="B506" s="15">
        <v>9</v>
      </c>
      <c r="D506" s="22">
        <v>235</v>
      </c>
      <c r="E506" s="23">
        <v>22</v>
      </c>
      <c r="F506" s="22">
        <v>491</v>
      </c>
      <c r="G506" s="24">
        <v>0.27600000000000002</v>
      </c>
    </row>
    <row r="507" spans="2:7" x14ac:dyDescent="0.2">
      <c r="B507" s="15">
        <v>28</v>
      </c>
      <c r="D507" s="22">
        <v>259</v>
      </c>
      <c r="E507" s="23">
        <v>22</v>
      </c>
      <c r="F507" s="22">
        <v>491</v>
      </c>
      <c r="G507" s="24">
        <v>0.27600000000000002</v>
      </c>
    </row>
    <row r="508" spans="2:7" x14ac:dyDescent="0.2">
      <c r="B508" s="15">
        <v>32</v>
      </c>
      <c r="D508" s="22">
        <v>262</v>
      </c>
      <c r="E508" s="23">
        <v>22</v>
      </c>
      <c r="F508" s="22">
        <v>491</v>
      </c>
      <c r="G508" s="24">
        <v>0.27600000000000002</v>
      </c>
    </row>
    <row r="509" spans="2:7" x14ac:dyDescent="0.2">
      <c r="B509" s="15">
        <v>31</v>
      </c>
      <c r="D509" s="22">
        <v>288</v>
      </c>
      <c r="E509" s="23">
        <v>22</v>
      </c>
      <c r="F509" s="22">
        <v>491</v>
      </c>
      <c r="G509" s="24">
        <v>0.27600000000000002</v>
      </c>
    </row>
    <row r="510" spans="2:7" x14ac:dyDescent="0.2">
      <c r="B510" s="15">
        <v>41</v>
      </c>
      <c r="D510" s="22">
        <v>300</v>
      </c>
      <c r="E510" s="23">
        <v>22</v>
      </c>
      <c r="F510" s="22">
        <v>491</v>
      </c>
      <c r="G510" s="24">
        <v>0.27600000000000002</v>
      </c>
    </row>
    <row r="511" spans="2:7" x14ac:dyDescent="0.2">
      <c r="B511" s="15">
        <v>20</v>
      </c>
      <c r="D511" s="22">
        <v>302</v>
      </c>
      <c r="E511" s="23">
        <v>22</v>
      </c>
      <c r="F511" s="22">
        <v>491</v>
      </c>
      <c r="G511" s="24">
        <v>0.27600000000000002</v>
      </c>
    </row>
    <row r="512" spans="2:7" x14ac:dyDescent="0.2">
      <c r="B512" s="15">
        <v>24</v>
      </c>
      <c r="D512" s="22">
        <v>319</v>
      </c>
      <c r="E512" s="23">
        <v>22</v>
      </c>
      <c r="F512" s="22">
        <v>491</v>
      </c>
      <c r="G512" s="24">
        <v>0.27600000000000002</v>
      </c>
    </row>
    <row r="513" spans="2:7" x14ac:dyDescent="0.2">
      <c r="B513" s="15">
        <v>2</v>
      </c>
      <c r="D513" s="22">
        <v>380</v>
      </c>
      <c r="E513" s="23">
        <v>22</v>
      </c>
      <c r="F513" s="22">
        <v>491</v>
      </c>
      <c r="G513" s="24">
        <v>0.27600000000000002</v>
      </c>
    </row>
    <row r="514" spans="2:7" x14ac:dyDescent="0.2">
      <c r="B514" s="15">
        <v>75</v>
      </c>
      <c r="D514" s="22">
        <v>383</v>
      </c>
      <c r="E514" s="23">
        <v>22</v>
      </c>
      <c r="F514" s="22">
        <v>491</v>
      </c>
      <c r="G514" s="24">
        <v>0.27600000000000002</v>
      </c>
    </row>
    <row r="515" spans="2:7" x14ac:dyDescent="0.2">
      <c r="B515" s="15">
        <v>48</v>
      </c>
      <c r="D515" s="22">
        <v>417</v>
      </c>
      <c r="E515" s="23">
        <v>22</v>
      </c>
      <c r="F515" s="22">
        <v>491</v>
      </c>
      <c r="G515" s="24">
        <v>0.27600000000000002</v>
      </c>
    </row>
    <row r="516" spans="2:7" x14ac:dyDescent="0.2">
      <c r="B516" s="15">
        <v>19</v>
      </c>
      <c r="D516" s="22">
        <v>429</v>
      </c>
      <c r="E516" s="23">
        <v>22</v>
      </c>
      <c r="F516" s="22">
        <v>491</v>
      </c>
      <c r="G516" s="24">
        <v>0.27600000000000002</v>
      </c>
    </row>
    <row r="517" spans="2:7" x14ac:dyDescent="0.2">
      <c r="B517" s="15">
        <v>56</v>
      </c>
      <c r="D517" s="22">
        <v>441</v>
      </c>
      <c r="E517" s="23">
        <v>22</v>
      </c>
      <c r="F517" s="22">
        <v>491</v>
      </c>
      <c r="G517" s="24">
        <v>0.27600000000000002</v>
      </c>
    </row>
    <row r="518" spans="2:7" x14ac:dyDescent="0.2">
      <c r="B518" s="15">
        <v>23</v>
      </c>
      <c r="D518" s="22">
        <v>442</v>
      </c>
      <c r="E518" s="23">
        <v>22</v>
      </c>
      <c r="F518" s="22">
        <v>491</v>
      </c>
      <c r="G518" s="24">
        <v>0.27600000000000002</v>
      </c>
    </row>
    <row r="519" spans="2:7" x14ac:dyDescent="0.2">
      <c r="B519" s="15">
        <v>18</v>
      </c>
      <c r="D519" s="22">
        <v>468</v>
      </c>
      <c r="E519" s="23">
        <v>22</v>
      </c>
      <c r="F519" s="22">
        <v>491</v>
      </c>
      <c r="G519" s="24">
        <v>0.27600000000000002</v>
      </c>
    </row>
    <row r="520" spans="2:7" x14ac:dyDescent="0.2">
      <c r="B520" s="15">
        <v>21</v>
      </c>
      <c r="D520" s="22">
        <v>482</v>
      </c>
      <c r="E520" s="23">
        <v>22</v>
      </c>
      <c r="F520" s="22">
        <v>491</v>
      </c>
      <c r="G520" s="24">
        <v>0.27600000000000002</v>
      </c>
    </row>
    <row r="521" spans="2:7" x14ac:dyDescent="0.2">
      <c r="B521" s="15">
        <v>18</v>
      </c>
      <c r="D521" s="22">
        <v>565</v>
      </c>
      <c r="E521" s="23">
        <v>22</v>
      </c>
      <c r="F521" s="22">
        <v>491</v>
      </c>
      <c r="G521" s="24">
        <v>0.27600000000000002</v>
      </c>
    </row>
    <row r="522" spans="2:7" x14ac:dyDescent="0.2">
      <c r="B522" s="15">
        <v>24</v>
      </c>
      <c r="D522" s="22">
        <v>708</v>
      </c>
      <c r="E522" s="23">
        <v>22</v>
      </c>
      <c r="F522" s="22">
        <v>491</v>
      </c>
      <c r="G522" s="24">
        <v>0.27600000000000002</v>
      </c>
    </row>
    <row r="523" spans="2:7" x14ac:dyDescent="0.2">
      <c r="B523" s="15">
        <v>32</v>
      </c>
      <c r="D523" s="22">
        <v>30</v>
      </c>
      <c r="E523" s="23">
        <v>21</v>
      </c>
      <c r="F523" s="22">
        <v>518</v>
      </c>
      <c r="G523" s="24">
        <v>0.24199999999999999</v>
      </c>
    </row>
    <row r="524" spans="2:7" x14ac:dyDescent="0.2">
      <c r="B524" s="15">
        <v>23</v>
      </c>
      <c r="D524" s="22">
        <v>39</v>
      </c>
      <c r="E524" s="23">
        <v>21</v>
      </c>
      <c r="F524" s="22">
        <v>518</v>
      </c>
      <c r="G524" s="24">
        <v>0.24199999999999999</v>
      </c>
    </row>
    <row r="525" spans="2:7" x14ac:dyDescent="0.2">
      <c r="B525" s="15">
        <v>58</v>
      </c>
      <c r="D525" s="22">
        <v>43</v>
      </c>
      <c r="E525" s="23">
        <v>21</v>
      </c>
      <c r="F525" s="22">
        <v>518</v>
      </c>
      <c r="G525" s="24">
        <v>0.24199999999999999</v>
      </c>
    </row>
    <row r="526" spans="2:7" x14ac:dyDescent="0.2">
      <c r="B526" s="15">
        <v>50</v>
      </c>
      <c r="D526" s="22">
        <v>57</v>
      </c>
      <c r="E526" s="23">
        <v>21</v>
      </c>
      <c r="F526" s="22">
        <v>518</v>
      </c>
      <c r="G526" s="24">
        <v>0.24199999999999999</v>
      </c>
    </row>
    <row r="527" spans="2:7" x14ac:dyDescent="0.2">
      <c r="B527" s="15">
        <v>40</v>
      </c>
      <c r="D527" s="22">
        <v>81</v>
      </c>
      <c r="E527" s="23">
        <v>21</v>
      </c>
      <c r="F527" s="22">
        <v>518</v>
      </c>
      <c r="G527" s="24">
        <v>0.24199999999999999</v>
      </c>
    </row>
    <row r="528" spans="2:7" x14ac:dyDescent="0.2">
      <c r="B528" s="15">
        <v>47</v>
      </c>
      <c r="D528" s="22">
        <v>85</v>
      </c>
      <c r="E528" s="23">
        <v>21</v>
      </c>
      <c r="F528" s="22">
        <v>518</v>
      </c>
      <c r="G528" s="24">
        <v>0.24199999999999999</v>
      </c>
    </row>
    <row r="529" spans="2:7" x14ac:dyDescent="0.2">
      <c r="B529" s="15">
        <v>36</v>
      </c>
      <c r="D529" s="22">
        <v>92</v>
      </c>
      <c r="E529" s="23">
        <v>21</v>
      </c>
      <c r="F529" s="22">
        <v>518</v>
      </c>
      <c r="G529" s="24">
        <v>0.24199999999999999</v>
      </c>
    </row>
    <row r="530" spans="2:7" x14ac:dyDescent="0.2">
      <c r="B530" s="15">
        <v>20</v>
      </c>
      <c r="D530" s="22">
        <v>97</v>
      </c>
      <c r="E530" s="23">
        <v>21</v>
      </c>
      <c r="F530" s="22">
        <v>518</v>
      </c>
      <c r="G530" s="24">
        <v>0.24199999999999999</v>
      </c>
    </row>
    <row r="531" spans="2:7" x14ac:dyDescent="0.2">
      <c r="B531" s="15">
        <v>32</v>
      </c>
      <c r="D531" s="22">
        <v>141</v>
      </c>
      <c r="E531" s="23">
        <v>21</v>
      </c>
      <c r="F531" s="22">
        <v>518</v>
      </c>
      <c r="G531" s="24">
        <v>0.24199999999999999</v>
      </c>
    </row>
    <row r="532" spans="2:7" x14ac:dyDescent="0.2">
      <c r="B532" s="15">
        <v>25</v>
      </c>
      <c r="D532" s="22">
        <v>315</v>
      </c>
      <c r="E532" s="23">
        <v>21</v>
      </c>
      <c r="F532" s="22">
        <v>518</v>
      </c>
      <c r="G532" s="24">
        <v>0.24199999999999999</v>
      </c>
    </row>
    <row r="533" spans="2:7" x14ac:dyDescent="0.2">
      <c r="B533" s="15">
        <v>43</v>
      </c>
      <c r="D533" s="22">
        <v>326</v>
      </c>
      <c r="E533" s="23">
        <v>21</v>
      </c>
      <c r="F533" s="22">
        <v>518</v>
      </c>
      <c r="G533" s="24">
        <v>0.24199999999999999</v>
      </c>
    </row>
    <row r="534" spans="2:7" x14ac:dyDescent="0.2">
      <c r="B534" s="15">
        <v>40</v>
      </c>
      <c r="D534" s="22">
        <v>332</v>
      </c>
      <c r="E534" s="23">
        <v>21</v>
      </c>
      <c r="F534" s="22">
        <v>518</v>
      </c>
      <c r="G534" s="24">
        <v>0.24199999999999999</v>
      </c>
    </row>
    <row r="535" spans="2:7" x14ac:dyDescent="0.2">
      <c r="B535" s="15">
        <v>31</v>
      </c>
      <c r="D535" s="22">
        <v>339</v>
      </c>
      <c r="E535" s="23">
        <v>21</v>
      </c>
      <c r="F535" s="22">
        <v>518</v>
      </c>
      <c r="G535" s="24">
        <v>0.24199999999999999</v>
      </c>
    </row>
    <row r="536" spans="2:7" x14ac:dyDescent="0.2">
      <c r="B536" s="15">
        <v>70</v>
      </c>
      <c r="D536" s="22">
        <v>351</v>
      </c>
      <c r="E536" s="23">
        <v>21</v>
      </c>
      <c r="F536" s="22">
        <v>518</v>
      </c>
      <c r="G536" s="24">
        <v>0.24199999999999999</v>
      </c>
    </row>
    <row r="537" spans="2:7" x14ac:dyDescent="0.2">
      <c r="B537" s="15">
        <v>31</v>
      </c>
      <c r="D537" s="22">
        <v>393</v>
      </c>
      <c r="E537" s="23">
        <v>21</v>
      </c>
      <c r="F537" s="22">
        <v>518</v>
      </c>
      <c r="G537" s="24">
        <v>0.24199999999999999</v>
      </c>
    </row>
    <row r="538" spans="2:7" x14ac:dyDescent="0.2">
      <c r="B538" s="15">
        <v>18</v>
      </c>
      <c r="D538" s="22">
        <v>396</v>
      </c>
      <c r="E538" s="23">
        <v>21</v>
      </c>
      <c r="F538" s="22">
        <v>518</v>
      </c>
      <c r="G538" s="24">
        <v>0.24199999999999999</v>
      </c>
    </row>
    <row r="539" spans="2:7" x14ac:dyDescent="0.2">
      <c r="B539" s="15">
        <v>24.5</v>
      </c>
      <c r="D539" s="22">
        <v>401</v>
      </c>
      <c r="E539" s="23">
        <v>21</v>
      </c>
      <c r="F539" s="22">
        <v>518</v>
      </c>
      <c r="G539" s="24">
        <v>0.24199999999999999</v>
      </c>
    </row>
    <row r="540" spans="2:7" x14ac:dyDescent="0.2">
      <c r="B540" s="15">
        <v>18</v>
      </c>
      <c r="D540" s="22">
        <v>494</v>
      </c>
      <c r="E540" s="23">
        <v>21</v>
      </c>
      <c r="F540" s="22">
        <v>518</v>
      </c>
      <c r="G540" s="24">
        <v>0.24199999999999999</v>
      </c>
    </row>
    <row r="541" spans="2:7" x14ac:dyDescent="0.2">
      <c r="B541" s="15">
        <v>43</v>
      </c>
      <c r="D541" s="22">
        <v>495</v>
      </c>
      <c r="E541" s="23">
        <v>21</v>
      </c>
      <c r="F541" s="22">
        <v>518</v>
      </c>
      <c r="G541" s="24">
        <v>0.24199999999999999</v>
      </c>
    </row>
    <row r="542" spans="2:7" x14ac:dyDescent="0.2">
      <c r="B542" s="15">
        <v>36</v>
      </c>
      <c r="D542" s="22">
        <v>498</v>
      </c>
      <c r="E542" s="23">
        <v>21</v>
      </c>
      <c r="F542" s="22">
        <v>518</v>
      </c>
      <c r="G542" s="24">
        <v>0.24199999999999999</v>
      </c>
    </row>
    <row r="543" spans="2:7" x14ac:dyDescent="0.2">
      <c r="B543" s="15">
        <v>27</v>
      </c>
      <c r="D543" s="22">
        <v>517</v>
      </c>
      <c r="E543" s="23">
        <v>21</v>
      </c>
      <c r="F543" s="22">
        <v>518</v>
      </c>
      <c r="G543" s="24">
        <v>0.24199999999999999</v>
      </c>
    </row>
    <row r="544" spans="2:7" x14ac:dyDescent="0.2">
      <c r="B544" s="15">
        <v>20</v>
      </c>
      <c r="D544" s="22">
        <v>591</v>
      </c>
      <c r="E544" s="23">
        <v>21</v>
      </c>
      <c r="F544" s="22">
        <v>518</v>
      </c>
      <c r="G544" s="24">
        <v>0.24199999999999999</v>
      </c>
    </row>
    <row r="545" spans="2:7" x14ac:dyDescent="0.2">
      <c r="B545" s="15">
        <v>14</v>
      </c>
      <c r="D545" s="22">
        <v>670</v>
      </c>
      <c r="E545" s="23">
        <v>21</v>
      </c>
      <c r="F545" s="22">
        <v>518</v>
      </c>
      <c r="G545" s="24">
        <v>0.24199999999999999</v>
      </c>
    </row>
    <row r="546" spans="2:7" x14ac:dyDescent="0.2">
      <c r="B546" s="15">
        <v>60</v>
      </c>
      <c r="D546" s="22">
        <v>690</v>
      </c>
      <c r="E546" s="23">
        <v>21</v>
      </c>
      <c r="F546" s="22">
        <v>518</v>
      </c>
      <c r="G546" s="24">
        <v>0.24199999999999999</v>
      </c>
    </row>
    <row r="547" spans="2:7" x14ac:dyDescent="0.2">
      <c r="B547" s="15">
        <v>25</v>
      </c>
      <c r="D547" s="22">
        <v>185</v>
      </c>
      <c r="E547" s="23">
        <v>20.5</v>
      </c>
      <c r="F547" s="22">
        <v>542</v>
      </c>
      <c r="G547" s="24">
        <v>0.24099999999999999</v>
      </c>
    </row>
    <row r="548" spans="2:7" x14ac:dyDescent="0.2">
      <c r="B548" s="15">
        <v>14</v>
      </c>
      <c r="D548" s="22">
        <v>13</v>
      </c>
      <c r="E548" s="23">
        <v>20</v>
      </c>
      <c r="F548" s="22">
        <v>543</v>
      </c>
      <c r="G548" s="24">
        <v>0.22</v>
      </c>
    </row>
    <row r="549" spans="2:7" x14ac:dyDescent="0.2">
      <c r="B549" s="15">
        <v>19</v>
      </c>
      <c r="D549" s="22">
        <v>72</v>
      </c>
      <c r="E549" s="23">
        <v>20</v>
      </c>
      <c r="F549" s="22">
        <v>543</v>
      </c>
      <c r="G549" s="24">
        <v>0.22</v>
      </c>
    </row>
    <row r="550" spans="2:7" x14ac:dyDescent="0.2">
      <c r="B550" s="15">
        <v>18</v>
      </c>
      <c r="D550" s="22">
        <v>90</v>
      </c>
      <c r="E550" s="23">
        <v>20</v>
      </c>
      <c r="F550" s="22">
        <v>543</v>
      </c>
      <c r="G550" s="24">
        <v>0.22</v>
      </c>
    </row>
    <row r="551" spans="2:7" x14ac:dyDescent="0.2">
      <c r="B551" s="15">
        <v>15</v>
      </c>
      <c r="D551" s="22">
        <v>105</v>
      </c>
      <c r="E551" s="23">
        <v>20</v>
      </c>
      <c r="F551" s="22">
        <v>543</v>
      </c>
      <c r="G551" s="24">
        <v>0.22</v>
      </c>
    </row>
    <row r="552" spans="2:7" x14ac:dyDescent="0.2">
      <c r="B552" s="15">
        <v>31</v>
      </c>
      <c r="D552" s="22">
        <v>304</v>
      </c>
      <c r="E552" s="23">
        <v>20</v>
      </c>
      <c r="F552" s="22">
        <v>543</v>
      </c>
      <c r="G552" s="24">
        <v>0.22</v>
      </c>
    </row>
    <row r="553" spans="2:7" x14ac:dyDescent="0.2">
      <c r="B553" s="15">
        <v>4</v>
      </c>
      <c r="D553" s="22">
        <v>328</v>
      </c>
      <c r="E553" s="23">
        <v>20</v>
      </c>
      <c r="F553" s="22">
        <v>543</v>
      </c>
      <c r="G553" s="24">
        <v>0.22</v>
      </c>
    </row>
    <row r="554" spans="2:7" x14ac:dyDescent="0.2">
      <c r="B554" s="15">
        <v>25</v>
      </c>
      <c r="D554" s="22">
        <v>356</v>
      </c>
      <c r="E554" s="23">
        <v>20</v>
      </c>
      <c r="F554" s="22">
        <v>543</v>
      </c>
      <c r="G554" s="24">
        <v>0.22</v>
      </c>
    </row>
    <row r="555" spans="2:7" x14ac:dyDescent="0.2">
      <c r="B555" s="15">
        <v>60</v>
      </c>
      <c r="D555" s="22">
        <v>493</v>
      </c>
      <c r="E555" s="23">
        <v>20</v>
      </c>
      <c r="F555" s="22">
        <v>543</v>
      </c>
      <c r="G555" s="24">
        <v>0.22</v>
      </c>
    </row>
    <row r="556" spans="2:7" x14ac:dyDescent="0.2">
      <c r="B556" s="15">
        <v>52</v>
      </c>
      <c r="D556" s="22">
        <v>508</v>
      </c>
      <c r="E556" s="23">
        <v>20</v>
      </c>
      <c r="F556" s="22">
        <v>543</v>
      </c>
      <c r="G556" s="24">
        <v>0.22</v>
      </c>
    </row>
    <row r="557" spans="2:7" x14ac:dyDescent="0.2">
      <c r="B557" s="15">
        <v>44</v>
      </c>
      <c r="D557" s="22">
        <v>527</v>
      </c>
      <c r="E557" s="23">
        <v>20</v>
      </c>
      <c r="F557" s="22">
        <v>543</v>
      </c>
      <c r="G557" s="24">
        <v>0.22</v>
      </c>
    </row>
    <row r="558" spans="2:7" x14ac:dyDescent="0.2">
      <c r="B558" s="15">
        <v>49</v>
      </c>
      <c r="D558" s="22">
        <v>541</v>
      </c>
      <c r="E558" s="23">
        <v>20</v>
      </c>
      <c r="F558" s="22">
        <v>543</v>
      </c>
      <c r="G558" s="24">
        <v>0.22</v>
      </c>
    </row>
    <row r="559" spans="2:7" x14ac:dyDescent="0.2">
      <c r="B559" s="15">
        <v>42</v>
      </c>
      <c r="D559" s="22">
        <v>579</v>
      </c>
      <c r="E559" s="23">
        <v>20</v>
      </c>
      <c r="F559" s="22">
        <v>543</v>
      </c>
      <c r="G559" s="24">
        <v>0.22</v>
      </c>
    </row>
    <row r="560" spans="2:7" x14ac:dyDescent="0.2">
      <c r="B560" s="15">
        <v>18</v>
      </c>
      <c r="D560" s="22">
        <v>610</v>
      </c>
      <c r="E560" s="23">
        <v>20</v>
      </c>
      <c r="F560" s="22">
        <v>543</v>
      </c>
      <c r="G560" s="24">
        <v>0.22</v>
      </c>
    </row>
    <row r="561" spans="2:7" x14ac:dyDescent="0.2">
      <c r="B561" s="15">
        <v>35</v>
      </c>
      <c r="D561" s="22">
        <v>672</v>
      </c>
      <c r="E561" s="23">
        <v>20</v>
      </c>
      <c r="F561" s="22">
        <v>543</v>
      </c>
      <c r="G561" s="24">
        <v>0.22</v>
      </c>
    </row>
    <row r="562" spans="2:7" x14ac:dyDescent="0.2">
      <c r="B562" s="15">
        <v>18</v>
      </c>
      <c r="D562" s="22">
        <v>703</v>
      </c>
      <c r="E562" s="23">
        <v>20</v>
      </c>
      <c r="F562" s="22">
        <v>543</v>
      </c>
      <c r="G562" s="24">
        <v>0.22</v>
      </c>
    </row>
    <row r="563" spans="2:7" x14ac:dyDescent="0.2">
      <c r="B563" s="15">
        <v>25</v>
      </c>
      <c r="D563" s="22">
        <v>25</v>
      </c>
      <c r="E563" s="23">
        <v>19</v>
      </c>
      <c r="F563" s="22">
        <v>558</v>
      </c>
      <c r="G563" s="24">
        <v>0.185</v>
      </c>
    </row>
    <row r="564" spans="2:7" x14ac:dyDescent="0.2">
      <c r="B564" s="15">
        <v>26</v>
      </c>
      <c r="D564" s="22">
        <v>36</v>
      </c>
      <c r="E564" s="23">
        <v>19</v>
      </c>
      <c r="F564" s="22">
        <v>558</v>
      </c>
      <c r="G564" s="24">
        <v>0.185</v>
      </c>
    </row>
    <row r="565" spans="2:7" x14ac:dyDescent="0.2">
      <c r="B565" s="15">
        <v>39</v>
      </c>
      <c r="D565" s="22">
        <v>52</v>
      </c>
      <c r="E565" s="23">
        <v>19</v>
      </c>
      <c r="F565" s="22">
        <v>558</v>
      </c>
      <c r="G565" s="24">
        <v>0.185</v>
      </c>
    </row>
    <row r="566" spans="2:7" x14ac:dyDescent="0.2">
      <c r="B566" s="15">
        <v>45</v>
      </c>
      <c r="D566" s="22">
        <v>110</v>
      </c>
      <c r="E566" s="23">
        <v>19</v>
      </c>
      <c r="F566" s="22">
        <v>558</v>
      </c>
      <c r="G566" s="24">
        <v>0.185</v>
      </c>
    </row>
    <row r="567" spans="2:7" x14ac:dyDescent="0.2">
      <c r="B567" s="15">
        <v>42</v>
      </c>
      <c r="D567" s="22">
        <v>116</v>
      </c>
      <c r="E567" s="23">
        <v>19</v>
      </c>
      <c r="F567" s="22">
        <v>558</v>
      </c>
      <c r="G567" s="24">
        <v>0.185</v>
      </c>
    </row>
    <row r="568" spans="2:7" x14ac:dyDescent="0.2">
      <c r="B568" s="15">
        <v>22</v>
      </c>
      <c r="D568" s="22">
        <v>118</v>
      </c>
      <c r="E568" s="23">
        <v>19</v>
      </c>
      <c r="F568" s="22">
        <v>558</v>
      </c>
      <c r="G568" s="24">
        <v>0.185</v>
      </c>
    </row>
    <row r="569" spans="2:7" x14ac:dyDescent="0.2">
      <c r="B569" s="15">
        <v>24</v>
      </c>
      <c r="D569" s="22">
        <v>154</v>
      </c>
      <c r="E569" s="23">
        <v>19</v>
      </c>
      <c r="F569" s="22">
        <v>558</v>
      </c>
      <c r="G569" s="24">
        <v>0.185</v>
      </c>
    </row>
    <row r="570" spans="2:7" x14ac:dyDescent="0.2">
      <c r="B570" s="15">
        <v>48</v>
      </c>
      <c r="D570" s="22">
        <v>155</v>
      </c>
      <c r="E570" s="23">
        <v>19</v>
      </c>
      <c r="F570" s="22">
        <v>558</v>
      </c>
      <c r="G570" s="24">
        <v>0.185</v>
      </c>
    </row>
    <row r="571" spans="2:7" x14ac:dyDescent="0.2">
      <c r="B571" s="15">
        <v>29</v>
      </c>
      <c r="D571" s="22">
        <v>184</v>
      </c>
      <c r="E571" s="23">
        <v>19</v>
      </c>
      <c r="F571" s="22">
        <v>558</v>
      </c>
      <c r="G571" s="24">
        <v>0.185</v>
      </c>
    </row>
    <row r="572" spans="2:7" x14ac:dyDescent="0.2">
      <c r="B572" s="15">
        <v>52</v>
      </c>
      <c r="D572" s="22">
        <v>194</v>
      </c>
      <c r="E572" s="23">
        <v>19</v>
      </c>
      <c r="F572" s="22">
        <v>558</v>
      </c>
      <c r="G572" s="24">
        <v>0.185</v>
      </c>
    </row>
    <row r="573" spans="2:7" x14ac:dyDescent="0.2">
      <c r="B573" s="15">
        <v>19</v>
      </c>
      <c r="D573" s="22">
        <v>230</v>
      </c>
      <c r="E573" s="23">
        <v>19</v>
      </c>
      <c r="F573" s="22">
        <v>558</v>
      </c>
      <c r="G573" s="24">
        <v>0.185</v>
      </c>
    </row>
    <row r="574" spans="2:7" x14ac:dyDescent="0.2">
      <c r="B574" s="15">
        <v>38</v>
      </c>
      <c r="D574" s="22">
        <v>237</v>
      </c>
      <c r="E574" s="23">
        <v>19</v>
      </c>
      <c r="F574" s="22">
        <v>558</v>
      </c>
      <c r="G574" s="24">
        <v>0.185</v>
      </c>
    </row>
    <row r="575" spans="2:7" x14ac:dyDescent="0.2">
      <c r="B575" s="15">
        <v>27</v>
      </c>
      <c r="D575" s="22">
        <v>244</v>
      </c>
      <c r="E575" s="23">
        <v>19</v>
      </c>
      <c r="F575" s="22">
        <v>558</v>
      </c>
      <c r="G575" s="24">
        <v>0.185</v>
      </c>
    </row>
    <row r="576" spans="2:7" x14ac:dyDescent="0.2">
      <c r="B576" s="15">
        <v>33</v>
      </c>
      <c r="D576" s="22">
        <v>299</v>
      </c>
      <c r="E576" s="23">
        <v>19</v>
      </c>
      <c r="F576" s="22">
        <v>558</v>
      </c>
      <c r="G576" s="24">
        <v>0.185</v>
      </c>
    </row>
    <row r="577" spans="2:7" x14ac:dyDescent="0.2">
      <c r="B577" s="15">
        <v>6</v>
      </c>
      <c r="D577" s="22">
        <v>305</v>
      </c>
      <c r="E577" s="23">
        <v>19</v>
      </c>
      <c r="F577" s="22">
        <v>558</v>
      </c>
      <c r="G577" s="24">
        <v>0.185</v>
      </c>
    </row>
    <row r="578" spans="2:7" x14ac:dyDescent="0.2">
      <c r="B578" s="15">
        <v>17</v>
      </c>
      <c r="D578" s="22">
        <v>344</v>
      </c>
      <c r="E578" s="23">
        <v>19</v>
      </c>
      <c r="F578" s="22">
        <v>558</v>
      </c>
      <c r="G578" s="24">
        <v>0.185</v>
      </c>
    </row>
    <row r="579" spans="2:7" x14ac:dyDescent="0.2">
      <c r="B579" s="15">
        <v>34</v>
      </c>
      <c r="D579" s="22">
        <v>436</v>
      </c>
      <c r="E579" s="23">
        <v>19</v>
      </c>
      <c r="F579" s="22">
        <v>558</v>
      </c>
      <c r="G579" s="24">
        <v>0.185</v>
      </c>
    </row>
    <row r="580" spans="2:7" x14ac:dyDescent="0.2">
      <c r="B580" s="15">
        <v>50</v>
      </c>
      <c r="D580" s="22">
        <v>450</v>
      </c>
      <c r="E580" s="23">
        <v>19</v>
      </c>
      <c r="F580" s="22">
        <v>558</v>
      </c>
      <c r="G580" s="24">
        <v>0.185</v>
      </c>
    </row>
    <row r="581" spans="2:7" x14ac:dyDescent="0.2">
      <c r="B581" s="15">
        <v>27</v>
      </c>
      <c r="D581" s="22">
        <v>457</v>
      </c>
      <c r="E581" s="23">
        <v>19</v>
      </c>
      <c r="F581" s="22">
        <v>558</v>
      </c>
      <c r="G581" s="24">
        <v>0.185</v>
      </c>
    </row>
    <row r="582" spans="2:7" x14ac:dyDescent="0.2">
      <c r="B582" s="15">
        <v>20</v>
      </c>
      <c r="D582" s="22">
        <v>513</v>
      </c>
      <c r="E582" s="23">
        <v>19</v>
      </c>
      <c r="F582" s="22">
        <v>558</v>
      </c>
      <c r="G582" s="24">
        <v>0.185</v>
      </c>
    </row>
    <row r="583" spans="2:7" x14ac:dyDescent="0.2">
      <c r="B583" s="15">
        <v>30</v>
      </c>
      <c r="D583" s="22">
        <v>546</v>
      </c>
      <c r="E583" s="23">
        <v>19</v>
      </c>
      <c r="F583" s="22">
        <v>558</v>
      </c>
      <c r="G583" s="24">
        <v>0.185</v>
      </c>
    </row>
    <row r="584" spans="2:7" x14ac:dyDescent="0.2">
      <c r="B584" s="15">
        <v>25</v>
      </c>
      <c r="D584" s="22">
        <v>570</v>
      </c>
      <c r="E584" s="23">
        <v>19</v>
      </c>
      <c r="F584" s="22">
        <v>558</v>
      </c>
      <c r="G584" s="24">
        <v>0.185</v>
      </c>
    </row>
    <row r="585" spans="2:7" x14ac:dyDescent="0.2">
      <c r="B585" s="15">
        <v>25</v>
      </c>
      <c r="D585" s="22">
        <v>597</v>
      </c>
      <c r="E585" s="23">
        <v>19</v>
      </c>
      <c r="F585" s="22">
        <v>558</v>
      </c>
      <c r="G585" s="24">
        <v>0.185</v>
      </c>
    </row>
    <row r="586" spans="2:7" x14ac:dyDescent="0.2">
      <c r="B586" s="15">
        <v>29</v>
      </c>
      <c r="D586" s="22">
        <v>704</v>
      </c>
      <c r="E586" s="23">
        <v>19</v>
      </c>
      <c r="F586" s="22">
        <v>558</v>
      </c>
      <c r="G586" s="24">
        <v>0.185</v>
      </c>
    </row>
    <row r="587" spans="2:7" x14ac:dyDescent="0.2">
      <c r="B587" s="15">
        <v>11</v>
      </c>
      <c r="D587" s="22">
        <v>713</v>
      </c>
      <c r="E587" s="23">
        <v>19</v>
      </c>
      <c r="F587" s="22">
        <v>558</v>
      </c>
      <c r="G587" s="24">
        <v>0.185</v>
      </c>
    </row>
    <row r="588" spans="2:7" x14ac:dyDescent="0.2">
      <c r="B588" s="15">
        <v>23</v>
      </c>
      <c r="D588" s="22">
        <v>31</v>
      </c>
      <c r="E588" s="23">
        <v>18</v>
      </c>
      <c r="F588" s="22">
        <v>583</v>
      </c>
      <c r="G588" s="24">
        <v>0.14799999999999999</v>
      </c>
    </row>
    <row r="589" spans="2:7" x14ac:dyDescent="0.2">
      <c r="B589" s="15">
        <v>23</v>
      </c>
      <c r="D589" s="22">
        <v>37</v>
      </c>
      <c r="E589" s="23">
        <v>18</v>
      </c>
      <c r="F589" s="22">
        <v>583</v>
      </c>
      <c r="G589" s="24">
        <v>0.14799999999999999</v>
      </c>
    </row>
    <row r="590" spans="2:7" x14ac:dyDescent="0.2">
      <c r="B590" s="15">
        <v>28.5</v>
      </c>
      <c r="D590" s="22">
        <v>117</v>
      </c>
      <c r="E590" s="23">
        <v>18</v>
      </c>
      <c r="F590" s="22">
        <v>583</v>
      </c>
      <c r="G590" s="24">
        <v>0.14799999999999999</v>
      </c>
    </row>
    <row r="591" spans="2:7" x14ac:dyDescent="0.2">
      <c r="B591" s="15">
        <v>48</v>
      </c>
      <c r="D591" s="22">
        <v>143</v>
      </c>
      <c r="E591" s="23">
        <v>18</v>
      </c>
      <c r="F591" s="22">
        <v>583</v>
      </c>
      <c r="G591" s="24">
        <v>0.14799999999999999</v>
      </c>
    </row>
    <row r="592" spans="2:7" x14ac:dyDescent="0.2">
      <c r="B592" s="15">
        <v>35</v>
      </c>
      <c r="D592" s="22">
        <v>164</v>
      </c>
      <c r="E592" s="23">
        <v>18</v>
      </c>
      <c r="F592" s="22">
        <v>583</v>
      </c>
      <c r="G592" s="24">
        <v>0.14799999999999999</v>
      </c>
    </row>
    <row r="593" spans="2:7" x14ac:dyDescent="0.2">
      <c r="B593" s="15">
        <v>36</v>
      </c>
      <c r="D593" s="22">
        <v>186</v>
      </c>
      <c r="E593" s="23">
        <v>18</v>
      </c>
      <c r="F593" s="22">
        <v>583</v>
      </c>
      <c r="G593" s="24">
        <v>0.14799999999999999</v>
      </c>
    </row>
    <row r="594" spans="2:7" x14ac:dyDescent="0.2">
      <c r="B594" s="15">
        <v>21</v>
      </c>
      <c r="D594" s="22">
        <v>250</v>
      </c>
      <c r="E594" s="23">
        <v>18</v>
      </c>
      <c r="F594" s="22">
        <v>583</v>
      </c>
      <c r="G594" s="24">
        <v>0.14799999999999999</v>
      </c>
    </row>
    <row r="595" spans="2:7" x14ac:dyDescent="0.2">
      <c r="B595" s="15">
        <v>24</v>
      </c>
      <c r="D595" s="22">
        <v>298</v>
      </c>
      <c r="E595" s="23">
        <v>18</v>
      </c>
      <c r="F595" s="22">
        <v>583</v>
      </c>
      <c r="G595" s="24">
        <v>0.14799999999999999</v>
      </c>
    </row>
    <row r="596" spans="2:7" x14ac:dyDescent="0.2">
      <c r="B596" s="15">
        <v>31</v>
      </c>
      <c r="D596" s="22">
        <v>310</v>
      </c>
      <c r="E596" s="23">
        <v>18</v>
      </c>
      <c r="F596" s="22">
        <v>583</v>
      </c>
      <c r="G596" s="24">
        <v>0.14799999999999999</v>
      </c>
    </row>
    <row r="597" spans="2:7" x14ac:dyDescent="0.2">
      <c r="B597" s="15">
        <v>70</v>
      </c>
      <c r="D597" s="22">
        <v>336</v>
      </c>
      <c r="E597" s="23">
        <v>18</v>
      </c>
      <c r="F597" s="22">
        <v>583</v>
      </c>
      <c r="G597" s="24">
        <v>0.14799999999999999</v>
      </c>
    </row>
    <row r="598" spans="2:7" x14ac:dyDescent="0.2">
      <c r="B598" s="15">
        <v>16</v>
      </c>
      <c r="D598" s="22">
        <v>342</v>
      </c>
      <c r="E598" s="23">
        <v>18</v>
      </c>
      <c r="F598" s="22">
        <v>583</v>
      </c>
      <c r="G598" s="24">
        <v>0.14799999999999999</v>
      </c>
    </row>
    <row r="599" spans="2:7" x14ac:dyDescent="0.2">
      <c r="B599" s="15">
        <v>30</v>
      </c>
      <c r="D599" s="22">
        <v>404</v>
      </c>
      <c r="E599" s="23">
        <v>18</v>
      </c>
      <c r="F599" s="22">
        <v>583</v>
      </c>
      <c r="G599" s="24">
        <v>0.14799999999999999</v>
      </c>
    </row>
    <row r="600" spans="2:7" x14ac:dyDescent="0.2">
      <c r="B600" s="15">
        <v>19</v>
      </c>
      <c r="D600" s="22">
        <v>465</v>
      </c>
      <c r="E600" s="23">
        <v>18</v>
      </c>
      <c r="F600" s="22">
        <v>583</v>
      </c>
      <c r="G600" s="24">
        <v>0.14799999999999999</v>
      </c>
    </row>
    <row r="601" spans="2:7" x14ac:dyDescent="0.2">
      <c r="B601" s="15">
        <v>31</v>
      </c>
      <c r="D601" s="22">
        <v>516</v>
      </c>
      <c r="E601" s="23">
        <v>18</v>
      </c>
      <c r="F601" s="22">
        <v>583</v>
      </c>
      <c r="G601" s="24">
        <v>0.14799999999999999</v>
      </c>
    </row>
    <row r="602" spans="2:7" x14ac:dyDescent="0.2">
      <c r="B602" s="15">
        <v>4</v>
      </c>
      <c r="D602" s="22">
        <v>518</v>
      </c>
      <c r="E602" s="23">
        <v>18</v>
      </c>
      <c r="F602" s="22">
        <v>583</v>
      </c>
      <c r="G602" s="24">
        <v>0.14799999999999999</v>
      </c>
    </row>
    <row r="603" spans="2:7" x14ac:dyDescent="0.2">
      <c r="B603" s="15">
        <v>6</v>
      </c>
      <c r="D603" s="22">
        <v>535</v>
      </c>
      <c r="E603" s="23">
        <v>18</v>
      </c>
      <c r="F603" s="22">
        <v>583</v>
      </c>
      <c r="G603" s="24">
        <v>0.14799999999999999</v>
      </c>
    </row>
    <row r="604" spans="2:7" x14ac:dyDescent="0.2">
      <c r="B604" s="15">
        <v>33</v>
      </c>
      <c r="D604" s="22">
        <v>537</v>
      </c>
      <c r="E604" s="23">
        <v>18</v>
      </c>
      <c r="F604" s="22">
        <v>583</v>
      </c>
      <c r="G604" s="24">
        <v>0.14799999999999999</v>
      </c>
    </row>
    <row r="605" spans="2:7" x14ac:dyDescent="0.2">
      <c r="B605" s="15">
        <v>23</v>
      </c>
      <c r="D605" s="22">
        <v>547</v>
      </c>
      <c r="E605" s="23">
        <v>18</v>
      </c>
      <c r="F605" s="22">
        <v>583</v>
      </c>
      <c r="G605" s="24">
        <v>0.14799999999999999</v>
      </c>
    </row>
    <row r="606" spans="2:7" x14ac:dyDescent="0.2">
      <c r="B606" s="15">
        <v>48</v>
      </c>
      <c r="D606" s="22">
        <v>557</v>
      </c>
      <c r="E606" s="23">
        <v>18</v>
      </c>
      <c r="F606" s="22">
        <v>583</v>
      </c>
      <c r="G606" s="24">
        <v>0.14799999999999999</v>
      </c>
    </row>
    <row r="607" spans="2:7" x14ac:dyDescent="0.2">
      <c r="B607" s="15">
        <v>67</v>
      </c>
      <c r="D607" s="22">
        <v>559</v>
      </c>
      <c r="E607" s="23">
        <v>18</v>
      </c>
      <c r="F607" s="22">
        <v>583</v>
      </c>
      <c r="G607" s="24">
        <v>0.14799999999999999</v>
      </c>
    </row>
    <row r="608" spans="2:7" x14ac:dyDescent="0.2">
      <c r="B608" s="15">
        <v>28</v>
      </c>
      <c r="D608" s="22">
        <v>606</v>
      </c>
      <c r="E608" s="23">
        <v>18</v>
      </c>
      <c r="F608" s="22">
        <v>583</v>
      </c>
      <c r="G608" s="24">
        <v>0.14799999999999999</v>
      </c>
    </row>
    <row r="609" spans="2:7" x14ac:dyDescent="0.2">
      <c r="B609" s="15">
        <v>18</v>
      </c>
      <c r="D609" s="22">
        <v>620</v>
      </c>
      <c r="E609" s="23">
        <v>18</v>
      </c>
      <c r="F609" s="22">
        <v>583</v>
      </c>
      <c r="G609" s="24">
        <v>0.14799999999999999</v>
      </c>
    </row>
    <row r="610" spans="2:7" x14ac:dyDescent="0.2">
      <c r="B610" s="15">
        <v>34</v>
      </c>
      <c r="D610" s="22">
        <v>628</v>
      </c>
      <c r="E610" s="23">
        <v>18</v>
      </c>
      <c r="F610" s="22">
        <v>583</v>
      </c>
      <c r="G610" s="24">
        <v>0.14799999999999999</v>
      </c>
    </row>
    <row r="611" spans="2:7" x14ac:dyDescent="0.2">
      <c r="B611" s="15">
        <v>33</v>
      </c>
      <c r="D611" s="22">
        <v>646</v>
      </c>
      <c r="E611" s="23">
        <v>18</v>
      </c>
      <c r="F611" s="22">
        <v>583</v>
      </c>
      <c r="G611" s="24">
        <v>0.14799999999999999</v>
      </c>
    </row>
    <row r="612" spans="2:7" x14ac:dyDescent="0.2">
      <c r="B612" s="15">
        <v>41</v>
      </c>
      <c r="D612" s="22">
        <v>668</v>
      </c>
      <c r="E612" s="23">
        <v>18</v>
      </c>
      <c r="F612" s="22">
        <v>583</v>
      </c>
      <c r="G612" s="24">
        <v>0.14799999999999999</v>
      </c>
    </row>
    <row r="613" spans="2:7" x14ac:dyDescent="0.2">
      <c r="B613" s="15">
        <v>20</v>
      </c>
      <c r="D613" s="22">
        <v>685</v>
      </c>
      <c r="E613" s="23">
        <v>18</v>
      </c>
      <c r="F613" s="22">
        <v>583</v>
      </c>
      <c r="G613" s="24">
        <v>0.14799999999999999</v>
      </c>
    </row>
    <row r="614" spans="2:7" x14ac:dyDescent="0.2">
      <c r="B614" s="15">
        <v>36</v>
      </c>
      <c r="D614" s="22">
        <v>53</v>
      </c>
      <c r="E614" s="23">
        <v>17</v>
      </c>
      <c r="F614" s="22">
        <v>609</v>
      </c>
      <c r="G614" s="24">
        <v>0.13</v>
      </c>
    </row>
    <row r="615" spans="2:7" x14ac:dyDescent="0.2">
      <c r="B615" s="15">
        <v>16</v>
      </c>
      <c r="D615" s="22">
        <v>66</v>
      </c>
      <c r="E615" s="23">
        <v>17</v>
      </c>
      <c r="F615" s="22">
        <v>609</v>
      </c>
      <c r="G615" s="24">
        <v>0.13</v>
      </c>
    </row>
    <row r="616" spans="2:7" x14ac:dyDescent="0.2">
      <c r="B616" s="15">
        <v>51</v>
      </c>
      <c r="D616" s="22">
        <v>91</v>
      </c>
      <c r="E616" s="23">
        <v>17</v>
      </c>
      <c r="F616" s="22">
        <v>609</v>
      </c>
      <c r="G616" s="24">
        <v>0.13</v>
      </c>
    </row>
    <row r="617" spans="2:7" x14ac:dyDescent="0.2">
      <c r="B617" s="15">
        <v>30.5</v>
      </c>
      <c r="D617" s="22">
        <v>133</v>
      </c>
      <c r="E617" s="23">
        <v>17</v>
      </c>
      <c r="F617" s="22">
        <v>609</v>
      </c>
      <c r="G617" s="24">
        <v>0.13</v>
      </c>
    </row>
    <row r="618" spans="2:7" x14ac:dyDescent="0.2">
      <c r="B618" s="15">
        <v>32</v>
      </c>
      <c r="D618" s="22">
        <v>246</v>
      </c>
      <c r="E618" s="23">
        <v>17</v>
      </c>
      <c r="F618" s="22">
        <v>609</v>
      </c>
      <c r="G618" s="24">
        <v>0.13</v>
      </c>
    </row>
    <row r="619" spans="2:7" x14ac:dyDescent="0.2">
      <c r="B619" s="15">
        <v>24</v>
      </c>
      <c r="D619" s="22">
        <v>313</v>
      </c>
      <c r="E619" s="23">
        <v>17</v>
      </c>
      <c r="F619" s="22">
        <v>609</v>
      </c>
      <c r="G619" s="24">
        <v>0.13</v>
      </c>
    </row>
    <row r="620" spans="2:7" x14ac:dyDescent="0.2">
      <c r="B620" s="15">
        <v>48</v>
      </c>
      <c r="D620" s="22">
        <v>348</v>
      </c>
      <c r="E620" s="23">
        <v>17</v>
      </c>
      <c r="F620" s="22">
        <v>609</v>
      </c>
      <c r="G620" s="24">
        <v>0.13</v>
      </c>
    </row>
    <row r="621" spans="2:7" x14ac:dyDescent="0.2">
      <c r="B621" s="15">
        <v>57</v>
      </c>
      <c r="D621" s="22">
        <v>400</v>
      </c>
      <c r="E621" s="23">
        <v>17</v>
      </c>
      <c r="F621" s="22">
        <v>609</v>
      </c>
      <c r="G621" s="24">
        <v>0.13</v>
      </c>
    </row>
    <row r="622" spans="2:7" x14ac:dyDescent="0.2">
      <c r="B622" s="15">
        <v>54</v>
      </c>
      <c r="D622" s="22">
        <v>424</v>
      </c>
      <c r="E622" s="23">
        <v>17</v>
      </c>
      <c r="F622" s="22">
        <v>609</v>
      </c>
      <c r="G622" s="24">
        <v>0.13</v>
      </c>
    </row>
    <row r="623" spans="2:7" x14ac:dyDescent="0.2">
      <c r="B623" s="15">
        <v>18</v>
      </c>
      <c r="D623" s="22">
        <v>439</v>
      </c>
      <c r="E623" s="23">
        <v>17</v>
      </c>
      <c r="F623" s="22">
        <v>609</v>
      </c>
      <c r="G623" s="24">
        <v>0.13</v>
      </c>
    </row>
    <row r="624" spans="2:7" x14ac:dyDescent="0.2">
      <c r="B624" s="15">
        <v>5</v>
      </c>
      <c r="D624" s="22">
        <v>575</v>
      </c>
      <c r="E624" s="23">
        <v>17</v>
      </c>
      <c r="F624" s="22">
        <v>609</v>
      </c>
      <c r="G624" s="24">
        <v>0.13</v>
      </c>
    </row>
    <row r="625" spans="2:7" x14ac:dyDescent="0.2">
      <c r="B625" s="15">
        <v>43</v>
      </c>
      <c r="D625" s="22">
        <v>624</v>
      </c>
      <c r="E625" s="23">
        <v>17</v>
      </c>
      <c r="F625" s="22">
        <v>609</v>
      </c>
      <c r="G625" s="24">
        <v>0.13</v>
      </c>
    </row>
    <row r="626" spans="2:7" x14ac:dyDescent="0.2">
      <c r="B626" s="15">
        <v>13</v>
      </c>
      <c r="D626" s="22">
        <v>676</v>
      </c>
      <c r="E626" s="23">
        <v>17</v>
      </c>
      <c r="F626" s="22">
        <v>609</v>
      </c>
      <c r="G626" s="24">
        <v>0.13</v>
      </c>
    </row>
    <row r="627" spans="2:7" x14ac:dyDescent="0.2">
      <c r="B627" s="15">
        <v>17</v>
      </c>
      <c r="D627" s="22">
        <v>56</v>
      </c>
      <c r="E627" s="23">
        <v>16</v>
      </c>
      <c r="F627" s="22">
        <v>622</v>
      </c>
      <c r="G627" s="24">
        <v>0.106</v>
      </c>
    </row>
    <row r="628" spans="2:7" x14ac:dyDescent="0.2">
      <c r="B628" s="15">
        <v>29</v>
      </c>
      <c r="D628" s="22">
        <v>68</v>
      </c>
      <c r="E628" s="23">
        <v>16</v>
      </c>
      <c r="F628" s="22">
        <v>622</v>
      </c>
      <c r="G628" s="24">
        <v>0.106</v>
      </c>
    </row>
    <row r="629" spans="2:7" x14ac:dyDescent="0.2">
      <c r="B629" s="15">
        <v>25</v>
      </c>
      <c r="D629" s="22">
        <v>112</v>
      </c>
      <c r="E629" s="23">
        <v>16</v>
      </c>
      <c r="F629" s="22">
        <v>622</v>
      </c>
      <c r="G629" s="24">
        <v>0.106</v>
      </c>
    </row>
    <row r="630" spans="2:7" x14ac:dyDescent="0.2">
      <c r="B630" s="15">
        <v>25</v>
      </c>
      <c r="D630" s="22">
        <v>128</v>
      </c>
      <c r="E630" s="23">
        <v>16</v>
      </c>
      <c r="F630" s="22">
        <v>622</v>
      </c>
      <c r="G630" s="24">
        <v>0.106</v>
      </c>
    </row>
    <row r="631" spans="2:7" x14ac:dyDescent="0.2">
      <c r="B631" s="15">
        <v>18</v>
      </c>
      <c r="D631" s="22">
        <v>168</v>
      </c>
      <c r="E631" s="23">
        <v>16</v>
      </c>
      <c r="F631" s="22">
        <v>622</v>
      </c>
      <c r="G631" s="24">
        <v>0.106</v>
      </c>
    </row>
    <row r="632" spans="2:7" x14ac:dyDescent="0.2">
      <c r="B632" s="15">
        <v>8</v>
      </c>
      <c r="D632" s="22">
        <v>179</v>
      </c>
      <c r="E632" s="23">
        <v>16</v>
      </c>
      <c r="F632" s="22">
        <v>622</v>
      </c>
      <c r="G632" s="24">
        <v>0.106</v>
      </c>
    </row>
    <row r="633" spans="2:7" x14ac:dyDescent="0.2">
      <c r="B633" s="15">
        <v>1</v>
      </c>
      <c r="D633" s="22">
        <v>216</v>
      </c>
      <c r="E633" s="23">
        <v>16</v>
      </c>
      <c r="F633" s="22">
        <v>622</v>
      </c>
      <c r="G633" s="24">
        <v>0.106</v>
      </c>
    </row>
    <row r="634" spans="2:7" x14ac:dyDescent="0.2">
      <c r="B634" s="15">
        <v>46</v>
      </c>
      <c r="D634" s="22">
        <v>229</v>
      </c>
      <c r="E634" s="23">
        <v>16</v>
      </c>
      <c r="F634" s="22">
        <v>622</v>
      </c>
      <c r="G634" s="24">
        <v>0.106</v>
      </c>
    </row>
    <row r="635" spans="2:7" x14ac:dyDescent="0.2">
      <c r="B635" s="15">
        <v>16</v>
      </c>
      <c r="D635" s="22">
        <v>267</v>
      </c>
      <c r="E635" s="23">
        <v>16</v>
      </c>
      <c r="F635" s="22">
        <v>622</v>
      </c>
      <c r="G635" s="24">
        <v>0.106</v>
      </c>
    </row>
    <row r="636" spans="2:7" x14ac:dyDescent="0.2">
      <c r="B636" s="15">
        <v>25</v>
      </c>
      <c r="D636" s="22">
        <v>270</v>
      </c>
      <c r="E636" s="23">
        <v>16</v>
      </c>
      <c r="F636" s="22">
        <v>622</v>
      </c>
      <c r="G636" s="24">
        <v>0.106</v>
      </c>
    </row>
    <row r="637" spans="2:7" x14ac:dyDescent="0.2">
      <c r="B637" s="15">
        <v>39</v>
      </c>
      <c r="D637" s="22">
        <v>403</v>
      </c>
      <c r="E637" s="23">
        <v>16</v>
      </c>
      <c r="F637" s="22">
        <v>622</v>
      </c>
      <c r="G637" s="24">
        <v>0.106</v>
      </c>
    </row>
    <row r="638" spans="2:7" x14ac:dyDescent="0.2">
      <c r="B638" s="15">
        <v>49</v>
      </c>
      <c r="D638" s="22">
        <v>456</v>
      </c>
      <c r="E638" s="23">
        <v>16</v>
      </c>
      <c r="F638" s="22">
        <v>622</v>
      </c>
      <c r="G638" s="24">
        <v>0.106</v>
      </c>
    </row>
    <row r="639" spans="2:7" x14ac:dyDescent="0.2">
      <c r="B639" s="15">
        <v>31</v>
      </c>
      <c r="D639" s="22">
        <v>595</v>
      </c>
      <c r="E639" s="23">
        <v>16</v>
      </c>
      <c r="F639" s="22">
        <v>622</v>
      </c>
      <c r="G639" s="24">
        <v>0.106</v>
      </c>
    </row>
    <row r="640" spans="2:7" x14ac:dyDescent="0.2">
      <c r="B640" s="15">
        <v>30</v>
      </c>
      <c r="D640" s="22">
        <v>612</v>
      </c>
      <c r="E640" s="23">
        <v>16</v>
      </c>
      <c r="F640" s="22">
        <v>622</v>
      </c>
      <c r="G640" s="24">
        <v>0.106</v>
      </c>
    </row>
    <row r="641" spans="2:7" x14ac:dyDescent="0.2">
      <c r="B641" s="15">
        <v>30</v>
      </c>
      <c r="D641" s="22">
        <v>632</v>
      </c>
      <c r="E641" s="23">
        <v>16</v>
      </c>
      <c r="F641" s="22">
        <v>622</v>
      </c>
      <c r="G641" s="24">
        <v>0.106</v>
      </c>
    </row>
    <row r="642" spans="2:7" x14ac:dyDescent="0.2">
      <c r="B642" s="15">
        <v>34</v>
      </c>
      <c r="D642" s="22">
        <v>673</v>
      </c>
      <c r="E642" s="23">
        <v>16</v>
      </c>
      <c r="F642" s="22">
        <v>622</v>
      </c>
      <c r="G642" s="24">
        <v>0.106</v>
      </c>
    </row>
    <row r="643" spans="2:7" x14ac:dyDescent="0.2">
      <c r="B643" s="15">
        <v>31</v>
      </c>
      <c r="D643" s="22">
        <v>683</v>
      </c>
      <c r="E643" s="23">
        <v>16</v>
      </c>
      <c r="F643" s="22">
        <v>622</v>
      </c>
      <c r="G643" s="24">
        <v>0.106</v>
      </c>
    </row>
    <row r="644" spans="2:7" x14ac:dyDescent="0.2">
      <c r="B644" s="15">
        <v>11</v>
      </c>
      <c r="D644" s="22">
        <v>21</v>
      </c>
      <c r="E644" s="23">
        <v>15</v>
      </c>
      <c r="F644" s="22">
        <v>639</v>
      </c>
      <c r="G644" s="24">
        <v>9.9000000000000005E-2</v>
      </c>
    </row>
    <row r="645" spans="2:7" x14ac:dyDescent="0.2">
      <c r="B645" s="15">
        <v>42</v>
      </c>
      <c r="D645" s="22">
        <v>285</v>
      </c>
      <c r="E645" s="23">
        <v>15</v>
      </c>
      <c r="F645" s="22">
        <v>639</v>
      </c>
      <c r="G645" s="24">
        <v>9.9000000000000005E-2</v>
      </c>
    </row>
    <row r="646" spans="2:7" x14ac:dyDescent="0.2">
      <c r="B646" s="15">
        <v>27</v>
      </c>
      <c r="D646" s="22">
        <v>548</v>
      </c>
      <c r="E646" s="23">
        <v>15</v>
      </c>
      <c r="F646" s="22">
        <v>639</v>
      </c>
      <c r="G646" s="24">
        <v>9.9000000000000005E-2</v>
      </c>
    </row>
    <row r="647" spans="2:7" x14ac:dyDescent="0.2">
      <c r="B647" s="15">
        <v>31</v>
      </c>
      <c r="D647" s="22">
        <v>665</v>
      </c>
      <c r="E647" s="23">
        <v>15</v>
      </c>
      <c r="F647" s="22">
        <v>639</v>
      </c>
      <c r="G647" s="24">
        <v>9.9000000000000005E-2</v>
      </c>
    </row>
    <row r="648" spans="2:7" x14ac:dyDescent="0.2">
      <c r="B648" s="15">
        <v>39</v>
      </c>
      <c r="D648" s="22">
        <v>702</v>
      </c>
      <c r="E648" s="23">
        <v>15</v>
      </c>
      <c r="F648" s="22">
        <v>639</v>
      </c>
      <c r="G648" s="24">
        <v>9.9000000000000005E-2</v>
      </c>
    </row>
    <row r="649" spans="2:7" x14ac:dyDescent="0.2">
      <c r="B649" s="15">
        <v>18</v>
      </c>
      <c r="D649" s="22">
        <v>88</v>
      </c>
      <c r="E649" s="23">
        <v>14.5</v>
      </c>
      <c r="F649" s="22">
        <v>644</v>
      </c>
      <c r="G649" s="24">
        <v>9.8000000000000004E-2</v>
      </c>
    </row>
    <row r="650" spans="2:7" x14ac:dyDescent="0.2">
      <c r="B650" s="15">
        <v>39</v>
      </c>
      <c r="D650" s="22">
        <v>10</v>
      </c>
      <c r="E650" s="23">
        <v>14</v>
      </c>
      <c r="F650" s="22">
        <v>645</v>
      </c>
      <c r="G650" s="24">
        <v>8.8999999999999996E-2</v>
      </c>
    </row>
    <row r="651" spans="2:7" x14ac:dyDescent="0.2">
      <c r="B651" s="15">
        <v>33</v>
      </c>
      <c r="D651" s="22">
        <v>15</v>
      </c>
      <c r="E651" s="23">
        <v>14</v>
      </c>
      <c r="F651" s="22">
        <v>645</v>
      </c>
      <c r="G651" s="24">
        <v>8.8999999999999996E-2</v>
      </c>
    </row>
    <row r="652" spans="2:7" x14ac:dyDescent="0.2">
      <c r="B652" s="15">
        <v>26</v>
      </c>
      <c r="D652" s="22">
        <v>32</v>
      </c>
      <c r="E652" s="23">
        <v>14</v>
      </c>
      <c r="F652" s="22">
        <v>645</v>
      </c>
      <c r="G652" s="24">
        <v>8.8999999999999996E-2</v>
      </c>
    </row>
    <row r="653" spans="2:7" x14ac:dyDescent="0.2">
      <c r="B653" s="15">
        <v>39</v>
      </c>
      <c r="D653" s="22">
        <v>350</v>
      </c>
      <c r="E653" s="23">
        <v>14</v>
      </c>
      <c r="F653" s="22">
        <v>645</v>
      </c>
      <c r="G653" s="24">
        <v>8.8999999999999996E-2</v>
      </c>
    </row>
    <row r="654" spans="2:7" x14ac:dyDescent="0.2">
      <c r="B654" s="15">
        <v>35</v>
      </c>
      <c r="D654" s="22">
        <v>542</v>
      </c>
      <c r="E654" s="23">
        <v>14</v>
      </c>
      <c r="F654" s="22">
        <v>645</v>
      </c>
      <c r="G654" s="24">
        <v>8.8999999999999996E-2</v>
      </c>
    </row>
    <row r="655" spans="2:7" x14ac:dyDescent="0.2">
      <c r="B655" s="15">
        <v>6</v>
      </c>
      <c r="D655" s="22">
        <v>545</v>
      </c>
      <c r="E655" s="23">
        <v>14</v>
      </c>
      <c r="F655" s="22">
        <v>645</v>
      </c>
      <c r="G655" s="24">
        <v>8.8999999999999996E-2</v>
      </c>
    </row>
    <row r="656" spans="2:7" x14ac:dyDescent="0.2">
      <c r="B656" s="15">
        <v>30.5</v>
      </c>
      <c r="D656" s="22">
        <v>360</v>
      </c>
      <c r="E656" s="23">
        <v>13</v>
      </c>
      <c r="F656" s="22">
        <v>651</v>
      </c>
      <c r="G656" s="24">
        <v>8.5999999999999993E-2</v>
      </c>
    </row>
    <row r="657" spans="2:7" x14ac:dyDescent="0.2">
      <c r="B657" s="15">
        <v>23</v>
      </c>
      <c r="D657" s="22">
        <v>623</v>
      </c>
      <c r="E657" s="23">
        <v>13</v>
      </c>
      <c r="F657" s="22">
        <v>651</v>
      </c>
      <c r="G657" s="24">
        <v>8.5999999999999993E-2</v>
      </c>
    </row>
    <row r="658" spans="2:7" x14ac:dyDescent="0.2">
      <c r="B658" s="15">
        <v>31</v>
      </c>
      <c r="D658" s="22">
        <v>101</v>
      </c>
      <c r="E658" s="23">
        <v>12</v>
      </c>
      <c r="F658" s="22">
        <v>653</v>
      </c>
      <c r="G658" s="24">
        <v>8.5000000000000006E-2</v>
      </c>
    </row>
    <row r="659" spans="2:7" x14ac:dyDescent="0.2">
      <c r="B659" s="15">
        <v>43</v>
      </c>
      <c r="D659" s="22">
        <v>46</v>
      </c>
      <c r="E659" s="23">
        <v>11</v>
      </c>
      <c r="F659" s="22">
        <v>654</v>
      </c>
      <c r="G659" s="24">
        <v>7.9000000000000001E-2</v>
      </c>
    </row>
    <row r="660" spans="2:7" x14ac:dyDescent="0.2">
      <c r="B660" s="15">
        <v>10</v>
      </c>
      <c r="D660" s="22">
        <v>432</v>
      </c>
      <c r="E660" s="23">
        <v>11</v>
      </c>
      <c r="F660" s="22">
        <v>654</v>
      </c>
      <c r="G660" s="24">
        <v>7.9000000000000001E-2</v>
      </c>
    </row>
    <row r="661" spans="2:7" x14ac:dyDescent="0.2">
      <c r="B661" s="15">
        <v>52</v>
      </c>
      <c r="D661" s="22">
        <v>584</v>
      </c>
      <c r="E661" s="23">
        <v>11</v>
      </c>
      <c r="F661" s="22">
        <v>654</v>
      </c>
      <c r="G661" s="24">
        <v>7.9000000000000001E-2</v>
      </c>
    </row>
    <row r="662" spans="2:7" x14ac:dyDescent="0.2">
      <c r="B662" s="15">
        <v>27</v>
      </c>
      <c r="D662" s="22">
        <v>641</v>
      </c>
      <c r="E662" s="23">
        <v>11</v>
      </c>
      <c r="F662" s="22">
        <v>654</v>
      </c>
      <c r="G662" s="24">
        <v>7.9000000000000001E-2</v>
      </c>
    </row>
    <row r="663" spans="2:7" x14ac:dyDescent="0.2">
      <c r="B663" s="15">
        <v>38</v>
      </c>
      <c r="D663" s="22">
        <v>338</v>
      </c>
      <c r="E663" s="23">
        <v>10</v>
      </c>
      <c r="F663" s="22">
        <v>658</v>
      </c>
      <c r="G663" s="24">
        <v>7.6999999999999999E-2</v>
      </c>
    </row>
    <row r="664" spans="2:7" x14ac:dyDescent="0.2">
      <c r="B664" s="15">
        <v>27</v>
      </c>
      <c r="D664" s="22">
        <v>657</v>
      </c>
      <c r="E664" s="23">
        <v>10</v>
      </c>
      <c r="F664" s="22">
        <v>658</v>
      </c>
      <c r="G664" s="24">
        <v>7.6999999999999999E-2</v>
      </c>
    </row>
    <row r="665" spans="2:7" x14ac:dyDescent="0.2">
      <c r="B665" s="15">
        <v>2</v>
      </c>
      <c r="D665" s="22">
        <v>120</v>
      </c>
      <c r="E665" s="23">
        <v>9</v>
      </c>
      <c r="F665" s="22">
        <v>660</v>
      </c>
      <c r="G665" s="24">
        <v>6.5000000000000002E-2</v>
      </c>
    </row>
    <row r="666" spans="2:7" x14ac:dyDescent="0.2">
      <c r="B666" s="15">
        <v>1</v>
      </c>
      <c r="D666" s="22">
        <v>135</v>
      </c>
      <c r="E666" s="23">
        <v>9</v>
      </c>
      <c r="F666" s="22">
        <v>660</v>
      </c>
      <c r="G666" s="24">
        <v>6.5000000000000002E-2</v>
      </c>
    </row>
    <row r="667" spans="2:7" x14ac:dyDescent="0.2">
      <c r="B667" s="15">
        <v>62</v>
      </c>
      <c r="D667" s="22">
        <v>147</v>
      </c>
      <c r="E667" s="23">
        <v>9</v>
      </c>
      <c r="F667" s="22">
        <v>660</v>
      </c>
      <c r="G667" s="24">
        <v>6.5000000000000002E-2</v>
      </c>
    </row>
    <row r="668" spans="2:7" x14ac:dyDescent="0.2">
      <c r="B668" s="15">
        <v>15</v>
      </c>
      <c r="D668" s="22">
        <v>385</v>
      </c>
      <c r="E668" s="23">
        <v>9</v>
      </c>
      <c r="F668" s="22">
        <v>660</v>
      </c>
      <c r="G668" s="24">
        <v>6.5000000000000002E-2</v>
      </c>
    </row>
    <row r="669" spans="2:7" x14ac:dyDescent="0.2">
      <c r="B669" s="15">
        <v>83</v>
      </c>
      <c r="D669" s="22">
        <v>392</v>
      </c>
      <c r="E669" s="23">
        <v>9</v>
      </c>
      <c r="F669" s="22">
        <v>660</v>
      </c>
      <c r="G669" s="24">
        <v>6.5000000000000002E-2</v>
      </c>
    </row>
    <row r="670" spans="2:7" x14ac:dyDescent="0.2">
      <c r="B670" s="15">
        <v>23</v>
      </c>
      <c r="D670" s="22">
        <v>431</v>
      </c>
      <c r="E670" s="23">
        <v>9</v>
      </c>
      <c r="F670" s="22">
        <v>660</v>
      </c>
      <c r="G670" s="24">
        <v>6.5000000000000002E-2</v>
      </c>
    </row>
    <row r="671" spans="2:7" x14ac:dyDescent="0.2">
      <c r="B671" s="15">
        <v>18</v>
      </c>
      <c r="D671" s="22">
        <v>503</v>
      </c>
      <c r="E671" s="23">
        <v>9</v>
      </c>
      <c r="F671" s="22">
        <v>660</v>
      </c>
      <c r="G671" s="24">
        <v>6.5000000000000002E-2</v>
      </c>
    </row>
    <row r="672" spans="2:7" x14ac:dyDescent="0.2">
      <c r="B672" s="15">
        <v>39</v>
      </c>
      <c r="D672" s="22">
        <v>682</v>
      </c>
      <c r="E672" s="23">
        <v>9</v>
      </c>
      <c r="F672" s="22">
        <v>660</v>
      </c>
      <c r="G672" s="24">
        <v>6.5000000000000002E-2</v>
      </c>
    </row>
    <row r="673" spans="2:7" x14ac:dyDescent="0.2">
      <c r="B673" s="15">
        <v>21</v>
      </c>
      <c r="D673" s="22">
        <v>23</v>
      </c>
      <c r="E673" s="23">
        <v>8</v>
      </c>
      <c r="F673" s="22">
        <v>668</v>
      </c>
      <c r="G673" s="24">
        <v>0.06</v>
      </c>
    </row>
    <row r="674" spans="2:7" x14ac:dyDescent="0.2">
      <c r="B674" s="15">
        <v>32</v>
      </c>
      <c r="D674" s="22">
        <v>193</v>
      </c>
      <c r="E674" s="23">
        <v>8</v>
      </c>
      <c r="F674" s="22">
        <v>668</v>
      </c>
      <c r="G674" s="24">
        <v>0.06</v>
      </c>
    </row>
    <row r="675" spans="2:7" x14ac:dyDescent="0.2">
      <c r="B675" s="15">
        <v>20</v>
      </c>
      <c r="D675" s="22">
        <v>438</v>
      </c>
      <c r="E675" s="23">
        <v>8</v>
      </c>
      <c r="F675" s="22">
        <v>668</v>
      </c>
      <c r="G675" s="24">
        <v>0.06</v>
      </c>
    </row>
    <row r="676" spans="2:7" x14ac:dyDescent="0.2">
      <c r="B676" s="15">
        <v>16</v>
      </c>
      <c r="D676" s="22">
        <v>629</v>
      </c>
      <c r="E676" s="23">
        <v>8</v>
      </c>
      <c r="F676" s="22">
        <v>668</v>
      </c>
      <c r="G676" s="24">
        <v>0.06</v>
      </c>
    </row>
    <row r="677" spans="2:7" x14ac:dyDescent="0.2">
      <c r="B677" s="15">
        <v>30</v>
      </c>
      <c r="D677" s="22">
        <v>38</v>
      </c>
      <c r="E677" s="23">
        <v>7</v>
      </c>
      <c r="F677" s="22">
        <v>672</v>
      </c>
      <c r="G677" s="24">
        <v>5.6000000000000001E-2</v>
      </c>
    </row>
    <row r="678" spans="2:7" x14ac:dyDescent="0.2">
      <c r="B678" s="15">
        <v>34.5</v>
      </c>
      <c r="D678" s="22">
        <v>225</v>
      </c>
      <c r="E678" s="23">
        <v>7</v>
      </c>
      <c r="F678" s="22">
        <v>672</v>
      </c>
      <c r="G678" s="24">
        <v>5.6000000000000001E-2</v>
      </c>
    </row>
    <row r="679" spans="2:7" x14ac:dyDescent="0.2">
      <c r="B679" s="15">
        <v>17</v>
      </c>
      <c r="D679" s="22">
        <v>426</v>
      </c>
      <c r="E679" s="23">
        <v>7</v>
      </c>
      <c r="F679" s="22">
        <v>672</v>
      </c>
      <c r="G679" s="24">
        <v>5.6000000000000001E-2</v>
      </c>
    </row>
    <row r="680" spans="2:7" x14ac:dyDescent="0.2">
      <c r="B680" s="15">
        <v>42</v>
      </c>
      <c r="D680" s="22">
        <v>574</v>
      </c>
      <c r="E680" s="23">
        <v>6</v>
      </c>
      <c r="F680" s="22">
        <v>675</v>
      </c>
      <c r="G680" s="24">
        <v>5.0999999999999997E-2</v>
      </c>
    </row>
    <row r="681" spans="2:7" x14ac:dyDescent="0.2">
      <c r="B681" s="15">
        <v>35</v>
      </c>
      <c r="D681" s="22">
        <v>600</v>
      </c>
      <c r="E681" s="23">
        <v>6</v>
      </c>
      <c r="F681" s="22">
        <v>675</v>
      </c>
      <c r="G681" s="24">
        <v>5.0999999999999997E-2</v>
      </c>
    </row>
    <row r="682" spans="2:7" x14ac:dyDescent="0.2">
      <c r="B682" s="15">
        <v>28</v>
      </c>
      <c r="D682" s="22">
        <v>652</v>
      </c>
      <c r="E682" s="23">
        <v>6</v>
      </c>
      <c r="F682" s="22">
        <v>675</v>
      </c>
      <c r="G682" s="24">
        <v>5.0999999999999997E-2</v>
      </c>
    </row>
    <row r="683" spans="2:7" x14ac:dyDescent="0.2">
      <c r="B683" s="15">
        <v>4</v>
      </c>
      <c r="D683" s="22">
        <v>45</v>
      </c>
      <c r="E683" s="23">
        <v>5</v>
      </c>
      <c r="F683" s="22">
        <v>678</v>
      </c>
      <c r="G683" s="24">
        <v>4.5999999999999999E-2</v>
      </c>
    </row>
    <row r="684" spans="2:7" x14ac:dyDescent="0.2">
      <c r="B684" s="15">
        <v>74</v>
      </c>
      <c r="D684" s="22">
        <v>190</v>
      </c>
      <c r="E684" s="23">
        <v>5</v>
      </c>
      <c r="F684" s="22">
        <v>678</v>
      </c>
      <c r="G684" s="24">
        <v>4.5999999999999999E-2</v>
      </c>
    </row>
    <row r="685" spans="2:7" x14ac:dyDescent="0.2">
      <c r="B685" s="15">
        <v>9</v>
      </c>
      <c r="D685" s="22">
        <v>362</v>
      </c>
      <c r="E685" s="23">
        <v>5</v>
      </c>
      <c r="F685" s="22">
        <v>678</v>
      </c>
      <c r="G685" s="24">
        <v>4.5999999999999999E-2</v>
      </c>
    </row>
    <row r="686" spans="2:7" x14ac:dyDescent="0.2">
      <c r="B686" s="15">
        <v>16</v>
      </c>
      <c r="D686" s="22">
        <v>621</v>
      </c>
      <c r="E686" s="23">
        <v>5</v>
      </c>
      <c r="F686" s="22">
        <v>678</v>
      </c>
      <c r="G686" s="24">
        <v>4.5999999999999999E-2</v>
      </c>
    </row>
    <row r="687" spans="2:7" x14ac:dyDescent="0.2">
      <c r="B687" s="15">
        <v>44</v>
      </c>
      <c r="D687" s="22">
        <v>11</v>
      </c>
      <c r="E687" s="23">
        <v>4</v>
      </c>
      <c r="F687" s="22">
        <v>682</v>
      </c>
      <c r="G687" s="24">
        <v>3.2000000000000001E-2</v>
      </c>
    </row>
    <row r="688" spans="2:7" x14ac:dyDescent="0.2">
      <c r="B688" s="15">
        <v>18</v>
      </c>
      <c r="D688" s="22">
        <v>50</v>
      </c>
      <c r="E688" s="23">
        <v>4</v>
      </c>
      <c r="F688" s="22">
        <v>682</v>
      </c>
      <c r="G688" s="24">
        <v>3.2000000000000001E-2</v>
      </c>
    </row>
    <row r="689" spans="2:7" x14ac:dyDescent="0.2">
      <c r="B689" s="15">
        <v>45</v>
      </c>
      <c r="D689" s="22">
        <v>139</v>
      </c>
      <c r="E689" s="23">
        <v>4</v>
      </c>
      <c r="F689" s="22">
        <v>682</v>
      </c>
      <c r="G689" s="24">
        <v>3.2000000000000001E-2</v>
      </c>
    </row>
    <row r="690" spans="2:7" x14ac:dyDescent="0.2">
      <c r="B690" s="15">
        <v>51</v>
      </c>
      <c r="D690" s="22">
        <v>149</v>
      </c>
      <c r="E690" s="23">
        <v>4</v>
      </c>
      <c r="F690" s="22">
        <v>682</v>
      </c>
      <c r="G690" s="24">
        <v>3.2000000000000001E-2</v>
      </c>
    </row>
    <row r="691" spans="2:7" x14ac:dyDescent="0.2">
      <c r="B691" s="15">
        <v>24</v>
      </c>
      <c r="D691" s="22">
        <v>359</v>
      </c>
      <c r="E691" s="23">
        <v>4</v>
      </c>
      <c r="F691" s="22">
        <v>682</v>
      </c>
      <c r="G691" s="24">
        <v>3.2000000000000001E-2</v>
      </c>
    </row>
    <row r="692" spans="2:7" x14ac:dyDescent="0.2">
      <c r="B692" s="15">
        <v>41</v>
      </c>
      <c r="D692" s="22">
        <v>489</v>
      </c>
      <c r="E692" s="23">
        <v>4</v>
      </c>
      <c r="F692" s="22">
        <v>682</v>
      </c>
      <c r="G692" s="24">
        <v>3.2000000000000001E-2</v>
      </c>
    </row>
    <row r="693" spans="2:7" x14ac:dyDescent="0.2">
      <c r="B693" s="15">
        <v>21</v>
      </c>
      <c r="D693" s="22">
        <v>550</v>
      </c>
      <c r="E693" s="23">
        <v>4</v>
      </c>
      <c r="F693" s="22">
        <v>682</v>
      </c>
      <c r="G693" s="24">
        <v>3.2000000000000001E-2</v>
      </c>
    </row>
    <row r="694" spans="2:7" x14ac:dyDescent="0.2">
      <c r="B694" s="15">
        <v>48</v>
      </c>
      <c r="D694" s="22">
        <v>599</v>
      </c>
      <c r="E694" s="23">
        <v>4</v>
      </c>
      <c r="F694" s="22">
        <v>682</v>
      </c>
      <c r="G694" s="24">
        <v>3.2000000000000001E-2</v>
      </c>
    </row>
    <row r="695" spans="2:7" x14ac:dyDescent="0.2">
      <c r="B695" s="15">
        <v>24</v>
      </c>
      <c r="D695" s="22">
        <v>680</v>
      </c>
      <c r="E695" s="23">
        <v>4</v>
      </c>
      <c r="F695" s="22">
        <v>682</v>
      </c>
      <c r="G695" s="24">
        <v>3.2000000000000001E-2</v>
      </c>
    </row>
    <row r="696" spans="2:7" x14ac:dyDescent="0.2">
      <c r="B696" s="15">
        <v>42</v>
      </c>
      <c r="D696" s="22">
        <v>696</v>
      </c>
      <c r="E696" s="23">
        <v>4</v>
      </c>
      <c r="F696" s="22">
        <v>682</v>
      </c>
      <c r="G696" s="24">
        <v>3.2000000000000001E-2</v>
      </c>
    </row>
    <row r="697" spans="2:7" x14ac:dyDescent="0.2">
      <c r="B697" s="15">
        <v>27</v>
      </c>
      <c r="D697" s="22">
        <v>35</v>
      </c>
      <c r="E697" s="23">
        <v>3</v>
      </c>
      <c r="F697" s="22">
        <v>692</v>
      </c>
      <c r="G697" s="24">
        <v>2.3E-2</v>
      </c>
    </row>
    <row r="698" spans="2:7" x14ac:dyDescent="0.2">
      <c r="B698" s="15">
        <v>31</v>
      </c>
      <c r="D698" s="22">
        <v>156</v>
      </c>
      <c r="E698" s="23">
        <v>3</v>
      </c>
      <c r="F698" s="22">
        <v>692</v>
      </c>
      <c r="G698" s="24">
        <v>2.3E-2</v>
      </c>
    </row>
    <row r="699" spans="2:7" x14ac:dyDescent="0.2">
      <c r="B699" s="15">
        <v>4</v>
      </c>
      <c r="D699" s="22">
        <v>212</v>
      </c>
      <c r="E699" s="23">
        <v>3</v>
      </c>
      <c r="F699" s="22">
        <v>692</v>
      </c>
      <c r="G699" s="24">
        <v>2.3E-2</v>
      </c>
    </row>
    <row r="700" spans="2:7" x14ac:dyDescent="0.2">
      <c r="B700" s="15">
        <v>26</v>
      </c>
      <c r="D700" s="22">
        <v>282</v>
      </c>
      <c r="E700" s="23">
        <v>3</v>
      </c>
      <c r="F700" s="22">
        <v>692</v>
      </c>
      <c r="G700" s="24">
        <v>2.3E-2</v>
      </c>
    </row>
    <row r="701" spans="2:7" x14ac:dyDescent="0.2">
      <c r="B701" s="15">
        <v>47</v>
      </c>
      <c r="D701" s="22">
        <v>301</v>
      </c>
      <c r="E701" s="23">
        <v>3</v>
      </c>
      <c r="F701" s="22">
        <v>692</v>
      </c>
      <c r="G701" s="24">
        <v>2.3E-2</v>
      </c>
    </row>
    <row r="702" spans="2:7" x14ac:dyDescent="0.2">
      <c r="B702" s="15">
        <v>33</v>
      </c>
      <c r="D702" s="22">
        <v>331</v>
      </c>
      <c r="E702" s="23">
        <v>3</v>
      </c>
      <c r="F702" s="22">
        <v>692</v>
      </c>
      <c r="G702" s="24">
        <v>2.3E-2</v>
      </c>
    </row>
    <row r="703" spans="2:7" x14ac:dyDescent="0.2">
      <c r="B703" s="15">
        <v>47</v>
      </c>
      <c r="D703" s="22">
        <v>8</v>
      </c>
      <c r="E703" s="23">
        <v>2</v>
      </c>
      <c r="F703" s="22">
        <v>698</v>
      </c>
      <c r="G703" s="24">
        <v>8.9999999999999993E-3</v>
      </c>
    </row>
    <row r="704" spans="2:7" x14ac:dyDescent="0.2">
      <c r="B704" s="15">
        <v>28</v>
      </c>
      <c r="D704" s="22">
        <v>17</v>
      </c>
      <c r="E704" s="23">
        <v>2</v>
      </c>
      <c r="F704" s="22">
        <v>698</v>
      </c>
      <c r="G704" s="24">
        <v>8.9999999999999993E-3</v>
      </c>
    </row>
    <row r="705" spans="2:7" x14ac:dyDescent="0.2">
      <c r="B705" s="15">
        <v>15</v>
      </c>
      <c r="D705" s="22">
        <v>96</v>
      </c>
      <c r="E705" s="23">
        <v>2</v>
      </c>
      <c r="F705" s="22">
        <v>698</v>
      </c>
      <c r="G705" s="24">
        <v>8.9999999999999993E-3</v>
      </c>
    </row>
    <row r="706" spans="2:7" x14ac:dyDescent="0.2">
      <c r="B706" s="15">
        <v>20</v>
      </c>
      <c r="D706" s="22">
        <v>165</v>
      </c>
      <c r="E706" s="23">
        <v>2</v>
      </c>
      <c r="F706" s="22">
        <v>698</v>
      </c>
      <c r="G706" s="24">
        <v>8.9999999999999993E-3</v>
      </c>
    </row>
    <row r="707" spans="2:7" x14ac:dyDescent="0.2">
      <c r="B707" s="15">
        <v>19</v>
      </c>
      <c r="D707" s="22">
        <v>242</v>
      </c>
      <c r="E707" s="23">
        <v>2</v>
      </c>
      <c r="F707" s="22">
        <v>698</v>
      </c>
      <c r="G707" s="24">
        <v>8.9999999999999993E-3</v>
      </c>
    </row>
    <row r="708" spans="2:7" x14ac:dyDescent="0.2">
      <c r="B708" s="15">
        <v>56</v>
      </c>
      <c r="D708" s="22">
        <v>275</v>
      </c>
      <c r="E708" s="23">
        <v>2</v>
      </c>
      <c r="F708" s="22">
        <v>698</v>
      </c>
      <c r="G708" s="24">
        <v>8.9999999999999993E-3</v>
      </c>
    </row>
    <row r="709" spans="2:7" x14ac:dyDescent="0.2">
      <c r="B709" s="15">
        <v>25</v>
      </c>
      <c r="D709" s="22">
        <v>384</v>
      </c>
      <c r="E709" s="23">
        <v>2</v>
      </c>
      <c r="F709" s="22">
        <v>698</v>
      </c>
      <c r="G709" s="24">
        <v>8.9999999999999993E-3</v>
      </c>
    </row>
    <row r="710" spans="2:7" x14ac:dyDescent="0.2">
      <c r="B710" s="15">
        <v>33</v>
      </c>
      <c r="D710" s="22">
        <v>423</v>
      </c>
      <c r="E710" s="23">
        <v>2</v>
      </c>
      <c r="F710" s="22">
        <v>698</v>
      </c>
      <c r="G710" s="24">
        <v>8.9999999999999993E-3</v>
      </c>
    </row>
    <row r="711" spans="2:7" x14ac:dyDescent="0.2">
      <c r="B711" s="15">
        <v>22</v>
      </c>
      <c r="D711" s="22">
        <v>510</v>
      </c>
      <c r="E711" s="23">
        <v>2</v>
      </c>
      <c r="F711" s="22">
        <v>698</v>
      </c>
      <c r="G711" s="24">
        <v>8.9999999999999993E-3</v>
      </c>
    </row>
    <row r="712" spans="2:7" x14ac:dyDescent="0.2">
      <c r="B712" s="15">
        <v>28</v>
      </c>
      <c r="D712" s="22">
        <v>662</v>
      </c>
      <c r="E712" s="23">
        <v>2</v>
      </c>
      <c r="F712" s="22">
        <v>698</v>
      </c>
      <c r="G712" s="24">
        <v>8.9999999999999993E-3</v>
      </c>
    </row>
    <row r="713" spans="2:7" x14ac:dyDescent="0.2">
      <c r="B713" s="15">
        <v>25</v>
      </c>
      <c r="D713" s="22">
        <v>134</v>
      </c>
      <c r="E713" s="23">
        <v>1</v>
      </c>
      <c r="F713" s="22">
        <v>708</v>
      </c>
      <c r="G713" s="24">
        <v>0</v>
      </c>
    </row>
    <row r="714" spans="2:7" x14ac:dyDescent="0.2">
      <c r="B714" s="15">
        <v>39</v>
      </c>
      <c r="D714" s="22">
        <v>140</v>
      </c>
      <c r="E714" s="23">
        <v>1</v>
      </c>
      <c r="F714" s="22">
        <v>708</v>
      </c>
      <c r="G714" s="24">
        <v>0</v>
      </c>
    </row>
    <row r="715" spans="2:7" x14ac:dyDescent="0.2">
      <c r="B715" s="15">
        <v>27</v>
      </c>
      <c r="D715" s="22">
        <v>148</v>
      </c>
      <c r="E715" s="23">
        <v>1</v>
      </c>
      <c r="F715" s="22">
        <v>708</v>
      </c>
      <c r="G715" s="24">
        <v>0</v>
      </c>
    </row>
    <row r="716" spans="2:7" x14ac:dyDescent="0.2">
      <c r="B716" s="15">
        <v>19</v>
      </c>
      <c r="D716" s="22">
        <v>307</v>
      </c>
      <c r="E716" s="23">
        <v>1</v>
      </c>
      <c r="F716" s="22">
        <v>708</v>
      </c>
      <c r="G716" s="24">
        <v>0</v>
      </c>
    </row>
    <row r="717" spans="2:7" x14ac:dyDescent="0.2">
      <c r="B717" s="15">
        <v>26</v>
      </c>
      <c r="D717" s="22">
        <v>311</v>
      </c>
      <c r="E717" s="23">
        <v>1</v>
      </c>
      <c r="F717" s="22">
        <v>708</v>
      </c>
      <c r="G717" s="24">
        <v>0</v>
      </c>
    </row>
    <row r="718" spans="2:7" x14ac:dyDescent="0.2">
      <c r="B718" s="15">
        <v>32</v>
      </c>
      <c r="D718" s="22">
        <v>630</v>
      </c>
      <c r="E718" s="23">
        <v>1</v>
      </c>
      <c r="F718" s="22">
        <v>708</v>
      </c>
      <c r="G718" s="24">
        <v>0</v>
      </c>
    </row>
    <row r="719" spans="2:7" x14ac:dyDescent="0.2">
      <c r="D719" s="22">
        <v>663</v>
      </c>
      <c r="E719" s="23">
        <v>1</v>
      </c>
      <c r="F719" s="22">
        <v>708</v>
      </c>
      <c r="G719" s="24">
        <v>0</v>
      </c>
    </row>
    <row r="720" spans="2:7" x14ac:dyDescent="0.2">
      <c r="D720" s="22">
        <v>1</v>
      </c>
      <c r="E720" s="23"/>
      <c r="F720" s="22" t="e">
        <v>#N/A</v>
      </c>
      <c r="G720" s="24" t="e">
        <v>#N/A</v>
      </c>
    </row>
    <row r="721" spans="4:7" x14ac:dyDescent="0.2">
      <c r="D721" s="22">
        <v>716</v>
      </c>
      <c r="E721" s="23"/>
      <c r="F721" s="22" t="e">
        <v>#N/A</v>
      </c>
      <c r="G721" s="24" t="e">
        <v>#N/A</v>
      </c>
    </row>
    <row r="722" spans="4:7" x14ac:dyDescent="0.2">
      <c r="D722" s="22">
        <v>717</v>
      </c>
      <c r="E722" s="23"/>
      <c r="F722" s="22" t="e">
        <v>#N/A</v>
      </c>
      <c r="G722" s="24" t="e">
        <v>#N/A</v>
      </c>
    </row>
    <row r="723" spans="4:7" x14ac:dyDescent="0.2">
      <c r="D723" s="22">
        <v>718</v>
      </c>
      <c r="E723" s="23"/>
      <c r="F723" s="22" t="e">
        <v>#N/A</v>
      </c>
      <c r="G723" s="24" t="e">
        <v>#N/A</v>
      </c>
    </row>
    <row r="724" spans="4:7" x14ac:dyDescent="0.2">
      <c r="D724" s="22">
        <v>719</v>
      </c>
      <c r="E724" s="23"/>
      <c r="F724" s="22" t="e">
        <v>#N/A</v>
      </c>
      <c r="G724" s="24" t="e">
        <v>#N/A</v>
      </c>
    </row>
    <row r="725" spans="4:7" x14ac:dyDescent="0.2">
      <c r="D725" s="22">
        <v>720</v>
      </c>
      <c r="E725" s="23"/>
      <c r="F725" s="22" t="e">
        <v>#N/A</v>
      </c>
      <c r="G725" s="24" t="e">
        <v>#N/A</v>
      </c>
    </row>
    <row r="726" spans="4:7" x14ac:dyDescent="0.2">
      <c r="D726" s="22">
        <v>721</v>
      </c>
      <c r="E726" s="23"/>
      <c r="F726" s="22" t="e">
        <v>#N/A</v>
      </c>
      <c r="G726" s="24" t="e">
        <v>#N/A</v>
      </c>
    </row>
    <row r="727" spans="4:7" x14ac:dyDescent="0.2">
      <c r="D727" s="22">
        <v>722</v>
      </c>
      <c r="E727" s="23"/>
      <c r="F727" s="22" t="e">
        <v>#N/A</v>
      </c>
      <c r="G727" s="24" t="e">
        <v>#N/A</v>
      </c>
    </row>
    <row r="728" spans="4:7" x14ac:dyDescent="0.2">
      <c r="D728" s="22">
        <v>723</v>
      </c>
      <c r="E728" s="23"/>
      <c r="F728" s="22" t="e">
        <v>#N/A</v>
      </c>
      <c r="G728" s="24" t="e">
        <v>#N/A</v>
      </c>
    </row>
    <row r="729" spans="4:7" x14ac:dyDescent="0.2">
      <c r="D729" s="22">
        <v>724</v>
      </c>
      <c r="E729" s="23"/>
      <c r="F729" s="22" t="e">
        <v>#N/A</v>
      </c>
      <c r="G729" s="24" t="e">
        <v>#N/A</v>
      </c>
    </row>
    <row r="730" spans="4:7" x14ac:dyDescent="0.2">
      <c r="D730" s="22">
        <v>725</v>
      </c>
      <c r="E730" s="23"/>
      <c r="F730" s="22" t="e">
        <v>#N/A</v>
      </c>
      <c r="G730" s="24" t="e">
        <v>#N/A</v>
      </c>
    </row>
    <row r="731" spans="4:7" x14ac:dyDescent="0.2">
      <c r="D731" s="22">
        <v>726</v>
      </c>
      <c r="E731" s="23"/>
      <c r="F731" s="22" t="e">
        <v>#N/A</v>
      </c>
      <c r="G731" s="24" t="e">
        <v>#N/A</v>
      </c>
    </row>
    <row r="732" spans="4:7" x14ac:dyDescent="0.2">
      <c r="D732" s="22">
        <v>727</v>
      </c>
      <c r="E732" s="23"/>
      <c r="F732" s="22" t="e">
        <v>#N/A</v>
      </c>
      <c r="G732" s="24" t="e">
        <v>#N/A</v>
      </c>
    </row>
    <row r="733" spans="4:7" x14ac:dyDescent="0.2">
      <c r="D733" s="22">
        <v>728</v>
      </c>
      <c r="E733" s="23"/>
      <c r="F733" s="22" t="e">
        <v>#N/A</v>
      </c>
      <c r="G733" s="24" t="e">
        <v>#N/A</v>
      </c>
    </row>
    <row r="734" spans="4:7" x14ac:dyDescent="0.2">
      <c r="D734" s="22">
        <v>729</v>
      </c>
      <c r="E734" s="23"/>
      <c r="F734" s="22" t="e">
        <v>#N/A</v>
      </c>
      <c r="G734" s="24" t="e">
        <v>#N/A</v>
      </c>
    </row>
    <row r="735" spans="4:7" x14ac:dyDescent="0.2">
      <c r="D735" s="22">
        <v>730</v>
      </c>
      <c r="E735" s="23"/>
      <c r="F735" s="22" t="e">
        <v>#N/A</v>
      </c>
      <c r="G735" s="24" t="e">
        <v>#N/A</v>
      </c>
    </row>
    <row r="736" spans="4:7" x14ac:dyDescent="0.2">
      <c r="D736" s="22">
        <v>731</v>
      </c>
      <c r="E736" s="23"/>
      <c r="F736" s="22" t="e">
        <v>#N/A</v>
      </c>
      <c r="G736" s="24" t="e">
        <v>#N/A</v>
      </c>
    </row>
    <row r="737" spans="4:7" x14ac:dyDescent="0.2">
      <c r="D737" s="22">
        <v>732</v>
      </c>
      <c r="E737" s="23"/>
      <c r="F737" s="22" t="e">
        <v>#N/A</v>
      </c>
      <c r="G737" s="24" t="e">
        <v>#N/A</v>
      </c>
    </row>
    <row r="738" spans="4:7" x14ac:dyDescent="0.2">
      <c r="D738" s="22">
        <v>733</v>
      </c>
      <c r="E738" s="23"/>
      <c r="F738" s="22" t="e">
        <v>#N/A</v>
      </c>
      <c r="G738" s="24" t="e">
        <v>#N/A</v>
      </c>
    </row>
    <row r="739" spans="4:7" x14ac:dyDescent="0.2">
      <c r="D739" s="22">
        <v>734</v>
      </c>
      <c r="E739" s="23"/>
      <c r="F739" s="22" t="e">
        <v>#N/A</v>
      </c>
      <c r="G739" s="24" t="e">
        <v>#N/A</v>
      </c>
    </row>
    <row r="740" spans="4:7" x14ac:dyDescent="0.2">
      <c r="D740" s="22">
        <v>735</v>
      </c>
      <c r="E740" s="23"/>
      <c r="F740" s="22" t="e">
        <v>#N/A</v>
      </c>
      <c r="G740" s="24" t="e">
        <v>#N/A</v>
      </c>
    </row>
    <row r="741" spans="4:7" x14ac:dyDescent="0.2">
      <c r="D741" s="22">
        <v>736</v>
      </c>
      <c r="E741" s="23"/>
      <c r="F741" s="22" t="e">
        <v>#N/A</v>
      </c>
      <c r="G741" s="24" t="e">
        <v>#N/A</v>
      </c>
    </row>
    <row r="742" spans="4:7" x14ac:dyDescent="0.2">
      <c r="D742" s="22">
        <v>737</v>
      </c>
      <c r="E742" s="23"/>
      <c r="F742" s="22" t="e">
        <v>#N/A</v>
      </c>
      <c r="G742" s="24" t="e">
        <v>#N/A</v>
      </c>
    </row>
    <row r="743" spans="4:7" x14ac:dyDescent="0.2">
      <c r="D743" s="22">
        <v>738</v>
      </c>
      <c r="E743" s="23"/>
      <c r="F743" s="22" t="e">
        <v>#N/A</v>
      </c>
      <c r="G743" s="24" t="e">
        <v>#N/A</v>
      </c>
    </row>
    <row r="744" spans="4:7" x14ac:dyDescent="0.2">
      <c r="D744" s="22">
        <v>739</v>
      </c>
      <c r="E744" s="23"/>
      <c r="F744" s="22" t="e">
        <v>#N/A</v>
      </c>
      <c r="G744" s="24" t="e">
        <v>#N/A</v>
      </c>
    </row>
    <row r="745" spans="4:7" x14ac:dyDescent="0.2">
      <c r="D745" s="22">
        <v>740</v>
      </c>
      <c r="E745" s="23"/>
      <c r="F745" s="22" t="e">
        <v>#N/A</v>
      </c>
      <c r="G745" s="24" t="e">
        <v>#N/A</v>
      </c>
    </row>
    <row r="746" spans="4:7" x14ac:dyDescent="0.2">
      <c r="D746" s="22">
        <v>741</v>
      </c>
      <c r="E746" s="23"/>
      <c r="F746" s="22" t="e">
        <v>#N/A</v>
      </c>
      <c r="G746" s="24" t="e">
        <v>#N/A</v>
      </c>
    </row>
    <row r="747" spans="4:7" x14ac:dyDescent="0.2">
      <c r="D747" s="22">
        <v>742</v>
      </c>
      <c r="E747" s="23"/>
      <c r="F747" s="22" t="e">
        <v>#N/A</v>
      </c>
      <c r="G747" s="24" t="e">
        <v>#N/A</v>
      </c>
    </row>
    <row r="748" spans="4:7" x14ac:dyDescent="0.2">
      <c r="D748" s="22">
        <v>743</v>
      </c>
      <c r="E748" s="23"/>
      <c r="F748" s="22" t="e">
        <v>#N/A</v>
      </c>
      <c r="G748" s="24" t="e">
        <v>#N/A</v>
      </c>
    </row>
    <row r="749" spans="4:7" x14ac:dyDescent="0.2">
      <c r="D749" s="22">
        <v>744</v>
      </c>
      <c r="E749" s="23"/>
      <c r="F749" s="22" t="e">
        <v>#N/A</v>
      </c>
      <c r="G749" s="24" t="e">
        <v>#N/A</v>
      </c>
    </row>
    <row r="750" spans="4:7" x14ac:dyDescent="0.2">
      <c r="D750" s="22">
        <v>745</v>
      </c>
      <c r="E750" s="23"/>
      <c r="F750" s="22" t="e">
        <v>#N/A</v>
      </c>
      <c r="G750" s="24" t="e">
        <v>#N/A</v>
      </c>
    </row>
    <row r="751" spans="4:7" x14ac:dyDescent="0.2">
      <c r="D751" s="22">
        <v>746</v>
      </c>
      <c r="E751" s="23"/>
      <c r="F751" s="22" t="e">
        <v>#N/A</v>
      </c>
      <c r="G751" s="24" t="e">
        <v>#N/A</v>
      </c>
    </row>
    <row r="752" spans="4:7" x14ac:dyDescent="0.2">
      <c r="D752" s="22">
        <v>747</v>
      </c>
      <c r="E752" s="23"/>
      <c r="F752" s="22" t="e">
        <v>#N/A</v>
      </c>
      <c r="G752" s="24" t="e">
        <v>#N/A</v>
      </c>
    </row>
    <row r="753" spans="4:7" x14ac:dyDescent="0.2">
      <c r="D753" s="22">
        <v>748</v>
      </c>
      <c r="E753" s="23"/>
      <c r="F753" s="22" t="e">
        <v>#N/A</v>
      </c>
      <c r="G753" s="24" t="e">
        <v>#N/A</v>
      </c>
    </row>
    <row r="754" spans="4:7" x14ac:dyDescent="0.2">
      <c r="D754" s="22">
        <v>749</v>
      </c>
      <c r="E754" s="23"/>
      <c r="F754" s="22" t="e">
        <v>#N/A</v>
      </c>
      <c r="G754" s="24" t="e">
        <v>#N/A</v>
      </c>
    </row>
    <row r="755" spans="4:7" x14ac:dyDescent="0.2">
      <c r="D755" s="22">
        <v>750</v>
      </c>
      <c r="E755" s="23"/>
      <c r="F755" s="22" t="e">
        <v>#N/A</v>
      </c>
      <c r="G755" s="24" t="e">
        <v>#N/A</v>
      </c>
    </row>
    <row r="756" spans="4:7" x14ac:dyDescent="0.2">
      <c r="D756" s="22">
        <v>751</v>
      </c>
      <c r="E756" s="23"/>
      <c r="F756" s="22" t="e">
        <v>#N/A</v>
      </c>
      <c r="G756" s="24" t="e">
        <v>#N/A</v>
      </c>
    </row>
    <row r="757" spans="4:7" x14ac:dyDescent="0.2">
      <c r="D757" s="22">
        <v>752</v>
      </c>
      <c r="E757" s="23"/>
      <c r="F757" s="22" t="e">
        <v>#N/A</v>
      </c>
      <c r="G757" s="24" t="e">
        <v>#N/A</v>
      </c>
    </row>
    <row r="758" spans="4:7" x14ac:dyDescent="0.2">
      <c r="D758" s="22">
        <v>753</v>
      </c>
      <c r="E758" s="23"/>
      <c r="F758" s="22" t="e">
        <v>#N/A</v>
      </c>
      <c r="G758" s="24" t="e">
        <v>#N/A</v>
      </c>
    </row>
    <row r="759" spans="4:7" x14ac:dyDescent="0.2">
      <c r="D759" s="22">
        <v>754</v>
      </c>
      <c r="E759" s="23"/>
      <c r="F759" s="22" t="e">
        <v>#N/A</v>
      </c>
      <c r="G759" s="24" t="e">
        <v>#N/A</v>
      </c>
    </row>
    <row r="760" spans="4:7" x14ac:dyDescent="0.2">
      <c r="D760" s="22">
        <v>755</v>
      </c>
      <c r="E760" s="23"/>
      <c r="F760" s="22" t="e">
        <v>#N/A</v>
      </c>
      <c r="G760" s="24" t="e">
        <v>#N/A</v>
      </c>
    </row>
    <row r="761" spans="4:7" x14ac:dyDescent="0.2">
      <c r="D761" s="22">
        <v>756</v>
      </c>
      <c r="E761" s="23"/>
      <c r="F761" s="22" t="e">
        <v>#N/A</v>
      </c>
      <c r="G761" s="24" t="e">
        <v>#N/A</v>
      </c>
    </row>
    <row r="762" spans="4:7" x14ac:dyDescent="0.2">
      <c r="D762" s="22">
        <v>757</v>
      </c>
      <c r="E762" s="23"/>
      <c r="F762" s="22" t="e">
        <v>#N/A</v>
      </c>
      <c r="G762" s="24" t="e">
        <v>#N/A</v>
      </c>
    </row>
    <row r="763" spans="4:7" x14ac:dyDescent="0.2">
      <c r="D763" s="22">
        <v>758</v>
      </c>
      <c r="E763" s="23"/>
      <c r="F763" s="22" t="e">
        <v>#N/A</v>
      </c>
      <c r="G763" s="24" t="e">
        <v>#N/A</v>
      </c>
    </row>
    <row r="764" spans="4:7" x14ac:dyDescent="0.2">
      <c r="D764" s="22">
        <v>759</v>
      </c>
      <c r="E764" s="23"/>
      <c r="F764" s="22" t="e">
        <v>#N/A</v>
      </c>
      <c r="G764" s="24" t="e">
        <v>#N/A</v>
      </c>
    </row>
    <row r="765" spans="4:7" x14ac:dyDescent="0.2">
      <c r="D765" s="22">
        <v>760</v>
      </c>
      <c r="E765" s="23"/>
      <c r="F765" s="22" t="e">
        <v>#N/A</v>
      </c>
      <c r="G765" s="24" t="e">
        <v>#N/A</v>
      </c>
    </row>
    <row r="766" spans="4:7" x14ac:dyDescent="0.2">
      <c r="D766" s="22">
        <v>761</v>
      </c>
      <c r="E766" s="23"/>
      <c r="F766" s="22" t="e">
        <v>#N/A</v>
      </c>
      <c r="G766" s="24" t="e">
        <v>#N/A</v>
      </c>
    </row>
    <row r="767" spans="4:7" x14ac:dyDescent="0.2">
      <c r="D767" s="22">
        <v>762</v>
      </c>
      <c r="E767" s="23"/>
      <c r="F767" s="22" t="e">
        <v>#N/A</v>
      </c>
      <c r="G767" s="24" t="e">
        <v>#N/A</v>
      </c>
    </row>
    <row r="768" spans="4:7" x14ac:dyDescent="0.2">
      <c r="D768" s="22">
        <v>763</v>
      </c>
      <c r="E768" s="23"/>
      <c r="F768" s="22" t="e">
        <v>#N/A</v>
      </c>
      <c r="G768" s="24" t="e">
        <v>#N/A</v>
      </c>
    </row>
    <row r="769" spans="4:7" x14ac:dyDescent="0.2">
      <c r="D769" s="22">
        <v>764</v>
      </c>
      <c r="E769" s="23"/>
      <c r="F769" s="22" t="e">
        <v>#N/A</v>
      </c>
      <c r="G769" s="24" t="e">
        <v>#N/A</v>
      </c>
    </row>
    <row r="770" spans="4:7" x14ac:dyDescent="0.2">
      <c r="D770" s="22">
        <v>765</v>
      </c>
      <c r="E770" s="23"/>
      <c r="F770" s="22" t="e">
        <v>#N/A</v>
      </c>
      <c r="G770" s="24" t="e">
        <v>#N/A</v>
      </c>
    </row>
    <row r="771" spans="4:7" x14ac:dyDescent="0.2">
      <c r="D771" s="22">
        <v>766</v>
      </c>
      <c r="E771" s="23"/>
      <c r="F771" s="22" t="e">
        <v>#N/A</v>
      </c>
      <c r="G771" s="24" t="e">
        <v>#N/A</v>
      </c>
    </row>
    <row r="772" spans="4:7" x14ac:dyDescent="0.2">
      <c r="D772" s="22">
        <v>767</v>
      </c>
      <c r="E772" s="23"/>
      <c r="F772" s="22" t="e">
        <v>#N/A</v>
      </c>
      <c r="G772" s="24" t="e">
        <v>#N/A</v>
      </c>
    </row>
    <row r="773" spans="4:7" x14ac:dyDescent="0.2">
      <c r="D773" s="22">
        <v>768</v>
      </c>
      <c r="E773" s="23"/>
      <c r="F773" s="22" t="e">
        <v>#N/A</v>
      </c>
      <c r="G773" s="24" t="e">
        <v>#N/A</v>
      </c>
    </row>
    <row r="774" spans="4:7" x14ac:dyDescent="0.2">
      <c r="D774" s="22">
        <v>769</v>
      </c>
      <c r="E774" s="23"/>
      <c r="F774" s="22" t="e">
        <v>#N/A</v>
      </c>
      <c r="G774" s="24" t="e">
        <v>#N/A</v>
      </c>
    </row>
    <row r="775" spans="4:7" x14ac:dyDescent="0.2">
      <c r="D775" s="22">
        <v>770</v>
      </c>
      <c r="E775" s="23"/>
      <c r="F775" s="22" t="e">
        <v>#N/A</v>
      </c>
      <c r="G775" s="24" t="e">
        <v>#N/A</v>
      </c>
    </row>
    <row r="776" spans="4:7" x14ac:dyDescent="0.2">
      <c r="D776" s="22">
        <v>771</v>
      </c>
      <c r="E776" s="23"/>
      <c r="F776" s="22" t="e">
        <v>#N/A</v>
      </c>
      <c r="G776" s="24" t="e">
        <v>#N/A</v>
      </c>
    </row>
    <row r="777" spans="4:7" x14ac:dyDescent="0.2">
      <c r="D777" s="22">
        <v>772</v>
      </c>
      <c r="E777" s="23"/>
      <c r="F777" s="22" t="e">
        <v>#N/A</v>
      </c>
      <c r="G777" s="24" t="e">
        <v>#N/A</v>
      </c>
    </row>
    <row r="778" spans="4:7" x14ac:dyDescent="0.2">
      <c r="D778" s="22">
        <v>773</v>
      </c>
      <c r="E778" s="23"/>
      <c r="F778" s="22" t="e">
        <v>#N/A</v>
      </c>
      <c r="G778" s="24" t="e">
        <v>#N/A</v>
      </c>
    </row>
    <row r="779" spans="4:7" x14ac:dyDescent="0.2">
      <c r="D779" s="22">
        <v>774</v>
      </c>
      <c r="E779" s="23"/>
      <c r="F779" s="22" t="e">
        <v>#N/A</v>
      </c>
      <c r="G779" s="24" t="e">
        <v>#N/A</v>
      </c>
    </row>
    <row r="780" spans="4:7" x14ac:dyDescent="0.2">
      <c r="D780" s="22">
        <v>775</v>
      </c>
      <c r="E780" s="23"/>
      <c r="F780" s="22" t="e">
        <v>#N/A</v>
      </c>
      <c r="G780" s="24" t="e">
        <v>#N/A</v>
      </c>
    </row>
    <row r="781" spans="4:7" x14ac:dyDescent="0.2">
      <c r="D781" s="22">
        <v>776</v>
      </c>
      <c r="E781" s="23"/>
      <c r="F781" s="22" t="e">
        <v>#N/A</v>
      </c>
      <c r="G781" s="24" t="e">
        <v>#N/A</v>
      </c>
    </row>
    <row r="782" spans="4:7" x14ac:dyDescent="0.2">
      <c r="D782" s="22">
        <v>777</v>
      </c>
      <c r="E782" s="23"/>
      <c r="F782" s="22" t="e">
        <v>#N/A</v>
      </c>
      <c r="G782" s="24" t="e">
        <v>#N/A</v>
      </c>
    </row>
    <row r="783" spans="4:7" x14ac:dyDescent="0.2">
      <c r="D783" s="22">
        <v>778</v>
      </c>
      <c r="E783" s="23"/>
      <c r="F783" s="22" t="e">
        <v>#N/A</v>
      </c>
      <c r="G783" s="24" t="e">
        <v>#N/A</v>
      </c>
    </row>
    <row r="784" spans="4:7" x14ac:dyDescent="0.2">
      <c r="D784" s="22">
        <v>779</v>
      </c>
      <c r="E784" s="23"/>
      <c r="F784" s="22" t="e">
        <v>#N/A</v>
      </c>
      <c r="G784" s="24" t="e">
        <v>#N/A</v>
      </c>
    </row>
    <row r="785" spans="4:7" x14ac:dyDescent="0.2">
      <c r="D785" s="22">
        <v>780</v>
      </c>
      <c r="E785" s="23"/>
      <c r="F785" s="22" t="e">
        <v>#N/A</v>
      </c>
      <c r="G785" s="24" t="e">
        <v>#N/A</v>
      </c>
    </row>
    <row r="786" spans="4:7" x14ac:dyDescent="0.2">
      <c r="D786" s="22">
        <v>781</v>
      </c>
      <c r="E786" s="23"/>
      <c r="F786" s="22" t="e">
        <v>#N/A</v>
      </c>
      <c r="G786" s="24" t="e">
        <v>#N/A</v>
      </c>
    </row>
    <row r="787" spans="4:7" x14ac:dyDescent="0.2">
      <c r="D787" s="22">
        <v>782</v>
      </c>
      <c r="E787" s="23"/>
      <c r="F787" s="22" t="e">
        <v>#N/A</v>
      </c>
      <c r="G787" s="24" t="e">
        <v>#N/A</v>
      </c>
    </row>
    <row r="788" spans="4:7" x14ac:dyDescent="0.2">
      <c r="D788" s="22">
        <v>783</v>
      </c>
      <c r="E788" s="23"/>
      <c r="F788" s="22" t="e">
        <v>#N/A</v>
      </c>
      <c r="G788" s="24" t="e">
        <v>#N/A</v>
      </c>
    </row>
    <row r="789" spans="4:7" x14ac:dyDescent="0.2">
      <c r="D789" s="22">
        <v>784</v>
      </c>
      <c r="E789" s="23"/>
      <c r="F789" s="22" t="e">
        <v>#N/A</v>
      </c>
      <c r="G789" s="24" t="e">
        <v>#N/A</v>
      </c>
    </row>
    <row r="790" spans="4:7" x14ac:dyDescent="0.2">
      <c r="D790" s="22">
        <v>785</v>
      </c>
      <c r="E790" s="23"/>
      <c r="F790" s="22" t="e">
        <v>#N/A</v>
      </c>
      <c r="G790" s="24" t="e">
        <v>#N/A</v>
      </c>
    </row>
    <row r="791" spans="4:7" x14ac:dyDescent="0.2">
      <c r="D791" s="22">
        <v>786</v>
      </c>
      <c r="E791" s="23"/>
      <c r="F791" s="22" t="e">
        <v>#N/A</v>
      </c>
      <c r="G791" s="24" t="e">
        <v>#N/A</v>
      </c>
    </row>
    <row r="792" spans="4:7" x14ac:dyDescent="0.2">
      <c r="D792" s="22">
        <v>787</v>
      </c>
      <c r="E792" s="23"/>
      <c r="F792" s="22" t="e">
        <v>#N/A</v>
      </c>
      <c r="G792" s="24" t="e">
        <v>#N/A</v>
      </c>
    </row>
    <row r="793" spans="4:7" x14ac:dyDescent="0.2">
      <c r="D793" s="22">
        <v>788</v>
      </c>
      <c r="E793" s="23"/>
      <c r="F793" s="22" t="e">
        <v>#N/A</v>
      </c>
      <c r="G793" s="24" t="e">
        <v>#N/A</v>
      </c>
    </row>
    <row r="794" spans="4:7" x14ac:dyDescent="0.2">
      <c r="D794" s="22">
        <v>789</v>
      </c>
      <c r="E794" s="23"/>
      <c r="F794" s="22" t="e">
        <v>#N/A</v>
      </c>
      <c r="G794" s="24" t="e">
        <v>#N/A</v>
      </c>
    </row>
    <row r="795" spans="4:7" x14ac:dyDescent="0.2">
      <c r="D795" s="22">
        <v>790</v>
      </c>
      <c r="E795" s="23"/>
      <c r="F795" s="22" t="e">
        <v>#N/A</v>
      </c>
      <c r="G795" s="24" t="e">
        <v>#N/A</v>
      </c>
    </row>
    <row r="796" spans="4:7" x14ac:dyDescent="0.2">
      <c r="D796" s="22">
        <v>791</v>
      </c>
      <c r="E796" s="23"/>
      <c r="F796" s="22" t="e">
        <v>#N/A</v>
      </c>
      <c r="G796" s="24" t="e">
        <v>#N/A</v>
      </c>
    </row>
    <row r="797" spans="4:7" x14ac:dyDescent="0.2">
      <c r="D797" s="22">
        <v>792</v>
      </c>
      <c r="E797" s="23"/>
      <c r="F797" s="22" t="e">
        <v>#N/A</v>
      </c>
      <c r="G797" s="24" t="e">
        <v>#N/A</v>
      </c>
    </row>
    <row r="798" spans="4:7" x14ac:dyDescent="0.2">
      <c r="D798" s="22">
        <v>793</v>
      </c>
      <c r="E798" s="23"/>
      <c r="F798" s="22" t="e">
        <v>#N/A</v>
      </c>
      <c r="G798" s="24" t="e">
        <v>#N/A</v>
      </c>
    </row>
    <row r="799" spans="4:7" x14ac:dyDescent="0.2">
      <c r="D799" s="22">
        <v>794</v>
      </c>
      <c r="E799" s="23"/>
      <c r="F799" s="22" t="e">
        <v>#N/A</v>
      </c>
      <c r="G799" s="24" t="e">
        <v>#N/A</v>
      </c>
    </row>
    <row r="800" spans="4:7" x14ac:dyDescent="0.2">
      <c r="D800" s="22">
        <v>795</v>
      </c>
      <c r="E800" s="23"/>
      <c r="F800" s="22" t="e">
        <v>#N/A</v>
      </c>
      <c r="G800" s="24" t="e">
        <v>#N/A</v>
      </c>
    </row>
    <row r="801" spans="4:7" x14ac:dyDescent="0.2">
      <c r="D801" s="22">
        <v>796</v>
      </c>
      <c r="E801" s="23"/>
      <c r="F801" s="22" t="e">
        <v>#N/A</v>
      </c>
      <c r="G801" s="24" t="e">
        <v>#N/A</v>
      </c>
    </row>
    <row r="802" spans="4:7" x14ac:dyDescent="0.2">
      <c r="D802" s="22">
        <v>797</v>
      </c>
      <c r="E802" s="23"/>
      <c r="F802" s="22" t="e">
        <v>#N/A</v>
      </c>
      <c r="G802" s="24" t="e">
        <v>#N/A</v>
      </c>
    </row>
    <row r="803" spans="4:7" x14ac:dyDescent="0.2">
      <c r="D803" s="22">
        <v>798</v>
      </c>
      <c r="E803" s="23"/>
      <c r="F803" s="22" t="e">
        <v>#N/A</v>
      </c>
      <c r="G803" s="24" t="e">
        <v>#N/A</v>
      </c>
    </row>
    <row r="804" spans="4:7" x14ac:dyDescent="0.2">
      <c r="D804" s="22">
        <v>799</v>
      </c>
      <c r="E804" s="23"/>
      <c r="F804" s="22" t="e">
        <v>#N/A</v>
      </c>
      <c r="G804" s="24" t="e">
        <v>#N/A</v>
      </c>
    </row>
    <row r="805" spans="4:7" x14ac:dyDescent="0.2">
      <c r="D805" s="22">
        <v>800</v>
      </c>
      <c r="E805" s="23"/>
      <c r="F805" s="22" t="e">
        <v>#N/A</v>
      </c>
      <c r="G805" s="24" t="e">
        <v>#N/A</v>
      </c>
    </row>
    <row r="806" spans="4:7" x14ac:dyDescent="0.2">
      <c r="D806" s="22">
        <v>801</v>
      </c>
      <c r="E806" s="23"/>
      <c r="F806" s="22" t="e">
        <v>#N/A</v>
      </c>
      <c r="G806" s="24" t="e">
        <v>#N/A</v>
      </c>
    </row>
    <row r="807" spans="4:7" x14ac:dyDescent="0.2">
      <c r="D807" s="22">
        <v>802</v>
      </c>
      <c r="E807" s="23"/>
      <c r="F807" s="22" t="e">
        <v>#N/A</v>
      </c>
      <c r="G807" s="24" t="e">
        <v>#N/A</v>
      </c>
    </row>
    <row r="808" spans="4:7" x14ac:dyDescent="0.2">
      <c r="D808" s="22">
        <v>803</v>
      </c>
      <c r="E808" s="23"/>
      <c r="F808" s="22" t="e">
        <v>#N/A</v>
      </c>
      <c r="G808" s="24" t="e">
        <v>#N/A</v>
      </c>
    </row>
    <row r="809" spans="4:7" x14ac:dyDescent="0.2">
      <c r="D809" s="22">
        <v>804</v>
      </c>
      <c r="E809" s="23"/>
      <c r="F809" s="22" t="e">
        <v>#N/A</v>
      </c>
      <c r="G809" s="24" t="e">
        <v>#N/A</v>
      </c>
    </row>
    <row r="810" spans="4:7" x14ac:dyDescent="0.2">
      <c r="D810" s="22">
        <v>805</v>
      </c>
      <c r="E810" s="23"/>
      <c r="F810" s="22" t="e">
        <v>#N/A</v>
      </c>
      <c r="G810" s="24" t="e">
        <v>#N/A</v>
      </c>
    </row>
    <row r="811" spans="4:7" x14ac:dyDescent="0.2">
      <c r="D811" s="22">
        <v>806</v>
      </c>
      <c r="E811" s="23"/>
      <c r="F811" s="22" t="e">
        <v>#N/A</v>
      </c>
      <c r="G811" s="24" t="e">
        <v>#N/A</v>
      </c>
    </row>
    <row r="812" spans="4:7" x14ac:dyDescent="0.2">
      <c r="D812" s="22">
        <v>807</v>
      </c>
      <c r="E812" s="23"/>
      <c r="F812" s="22" t="e">
        <v>#N/A</v>
      </c>
      <c r="G812" s="24" t="e">
        <v>#N/A</v>
      </c>
    </row>
    <row r="813" spans="4:7" x14ac:dyDescent="0.2">
      <c r="D813" s="22">
        <v>808</v>
      </c>
      <c r="E813" s="23"/>
      <c r="F813" s="22" t="e">
        <v>#N/A</v>
      </c>
      <c r="G813" s="24" t="e">
        <v>#N/A</v>
      </c>
    </row>
    <row r="814" spans="4:7" x14ac:dyDescent="0.2">
      <c r="D814" s="22">
        <v>809</v>
      </c>
      <c r="E814" s="23"/>
      <c r="F814" s="22" t="e">
        <v>#N/A</v>
      </c>
      <c r="G814" s="24" t="e">
        <v>#N/A</v>
      </c>
    </row>
    <row r="815" spans="4:7" x14ac:dyDescent="0.2">
      <c r="D815" s="22">
        <v>810</v>
      </c>
      <c r="E815" s="23"/>
      <c r="F815" s="22" t="e">
        <v>#N/A</v>
      </c>
      <c r="G815" s="24" t="e">
        <v>#N/A</v>
      </c>
    </row>
    <row r="816" spans="4:7" x14ac:dyDescent="0.2">
      <c r="D816" s="22">
        <v>811</v>
      </c>
      <c r="E816" s="23"/>
      <c r="F816" s="22" t="e">
        <v>#N/A</v>
      </c>
      <c r="G816" s="24" t="e">
        <v>#N/A</v>
      </c>
    </row>
    <row r="817" spans="4:7" x14ac:dyDescent="0.2">
      <c r="D817" s="22">
        <v>812</v>
      </c>
      <c r="E817" s="23"/>
      <c r="F817" s="22" t="e">
        <v>#N/A</v>
      </c>
      <c r="G817" s="24" t="e">
        <v>#N/A</v>
      </c>
    </row>
    <row r="818" spans="4:7" x14ac:dyDescent="0.2">
      <c r="D818" s="22">
        <v>813</v>
      </c>
      <c r="E818" s="23"/>
      <c r="F818" s="22" t="e">
        <v>#N/A</v>
      </c>
      <c r="G818" s="24" t="e">
        <v>#N/A</v>
      </c>
    </row>
    <row r="819" spans="4:7" x14ac:dyDescent="0.2">
      <c r="D819" s="22">
        <v>814</v>
      </c>
      <c r="E819" s="23"/>
      <c r="F819" s="22" t="e">
        <v>#N/A</v>
      </c>
      <c r="G819" s="24" t="e">
        <v>#N/A</v>
      </c>
    </row>
    <row r="820" spans="4:7" x14ac:dyDescent="0.2">
      <c r="D820" s="22">
        <v>815</v>
      </c>
      <c r="E820" s="23"/>
      <c r="F820" s="22" t="e">
        <v>#N/A</v>
      </c>
      <c r="G820" s="24" t="e">
        <v>#N/A</v>
      </c>
    </row>
    <row r="821" spans="4:7" x14ac:dyDescent="0.2">
      <c r="D821" s="22">
        <v>816</v>
      </c>
      <c r="E821" s="23"/>
      <c r="F821" s="22" t="e">
        <v>#N/A</v>
      </c>
      <c r="G821" s="24" t="e">
        <v>#N/A</v>
      </c>
    </row>
    <row r="822" spans="4:7" x14ac:dyDescent="0.2">
      <c r="D822" s="22">
        <v>817</v>
      </c>
      <c r="E822" s="23"/>
      <c r="F822" s="22" t="e">
        <v>#N/A</v>
      </c>
      <c r="G822" s="24" t="e">
        <v>#N/A</v>
      </c>
    </row>
    <row r="823" spans="4:7" x14ac:dyDescent="0.2">
      <c r="D823" s="22">
        <v>818</v>
      </c>
      <c r="E823" s="23"/>
      <c r="F823" s="22" t="e">
        <v>#N/A</v>
      </c>
      <c r="G823" s="24" t="e">
        <v>#N/A</v>
      </c>
    </row>
    <row r="824" spans="4:7" x14ac:dyDescent="0.2">
      <c r="D824" s="22">
        <v>819</v>
      </c>
      <c r="E824" s="23"/>
      <c r="F824" s="22" t="e">
        <v>#N/A</v>
      </c>
      <c r="G824" s="24" t="e">
        <v>#N/A</v>
      </c>
    </row>
    <row r="825" spans="4:7" x14ac:dyDescent="0.2">
      <c r="D825" s="22">
        <v>820</v>
      </c>
      <c r="E825" s="23"/>
      <c r="F825" s="22" t="e">
        <v>#N/A</v>
      </c>
      <c r="G825" s="24" t="e">
        <v>#N/A</v>
      </c>
    </row>
    <row r="826" spans="4:7" x14ac:dyDescent="0.2">
      <c r="D826" s="22">
        <v>821</v>
      </c>
      <c r="E826" s="23"/>
      <c r="F826" s="22" t="e">
        <v>#N/A</v>
      </c>
      <c r="G826" s="24" t="e">
        <v>#N/A</v>
      </c>
    </row>
    <row r="827" spans="4:7" x14ac:dyDescent="0.2">
      <c r="D827" s="22">
        <v>822</v>
      </c>
      <c r="E827" s="23"/>
      <c r="F827" s="22" t="e">
        <v>#N/A</v>
      </c>
      <c r="G827" s="24" t="e">
        <v>#N/A</v>
      </c>
    </row>
    <row r="828" spans="4:7" x14ac:dyDescent="0.2">
      <c r="D828" s="22">
        <v>823</v>
      </c>
      <c r="E828" s="23"/>
      <c r="F828" s="22" t="e">
        <v>#N/A</v>
      </c>
      <c r="G828" s="24" t="e">
        <v>#N/A</v>
      </c>
    </row>
    <row r="829" spans="4:7" x14ac:dyDescent="0.2">
      <c r="D829" s="22">
        <v>824</v>
      </c>
      <c r="E829" s="23"/>
      <c r="F829" s="22" t="e">
        <v>#N/A</v>
      </c>
      <c r="G829" s="24" t="e">
        <v>#N/A</v>
      </c>
    </row>
    <row r="830" spans="4:7" x14ac:dyDescent="0.2">
      <c r="D830" s="22">
        <v>825</v>
      </c>
      <c r="E830" s="23"/>
      <c r="F830" s="22" t="e">
        <v>#N/A</v>
      </c>
      <c r="G830" s="24" t="e">
        <v>#N/A</v>
      </c>
    </row>
    <row r="831" spans="4:7" x14ac:dyDescent="0.2">
      <c r="D831" s="22">
        <v>826</v>
      </c>
      <c r="E831" s="23"/>
      <c r="F831" s="22" t="e">
        <v>#N/A</v>
      </c>
      <c r="G831" s="24" t="e">
        <v>#N/A</v>
      </c>
    </row>
    <row r="832" spans="4:7" x14ac:dyDescent="0.2">
      <c r="D832" s="22">
        <v>827</v>
      </c>
      <c r="E832" s="23"/>
      <c r="F832" s="22" t="e">
        <v>#N/A</v>
      </c>
      <c r="G832" s="24" t="e">
        <v>#N/A</v>
      </c>
    </row>
    <row r="833" spans="4:7" x14ac:dyDescent="0.2">
      <c r="D833" s="22">
        <v>828</v>
      </c>
      <c r="E833" s="23"/>
      <c r="F833" s="22" t="e">
        <v>#N/A</v>
      </c>
      <c r="G833" s="24" t="e">
        <v>#N/A</v>
      </c>
    </row>
    <row r="834" spans="4:7" x14ac:dyDescent="0.2">
      <c r="D834" s="22">
        <v>829</v>
      </c>
      <c r="E834" s="23"/>
      <c r="F834" s="22" t="e">
        <v>#N/A</v>
      </c>
      <c r="G834" s="24" t="e">
        <v>#N/A</v>
      </c>
    </row>
    <row r="835" spans="4:7" x14ac:dyDescent="0.2">
      <c r="D835" s="22">
        <v>830</v>
      </c>
      <c r="E835" s="23"/>
      <c r="F835" s="22" t="e">
        <v>#N/A</v>
      </c>
      <c r="G835" s="24" t="e">
        <v>#N/A</v>
      </c>
    </row>
    <row r="836" spans="4:7" x14ac:dyDescent="0.2">
      <c r="D836" s="22">
        <v>831</v>
      </c>
      <c r="E836" s="23"/>
      <c r="F836" s="22" t="e">
        <v>#N/A</v>
      </c>
      <c r="G836" s="24" t="e">
        <v>#N/A</v>
      </c>
    </row>
    <row r="837" spans="4:7" x14ac:dyDescent="0.2">
      <c r="D837" s="22">
        <v>832</v>
      </c>
      <c r="E837" s="23"/>
      <c r="F837" s="22" t="e">
        <v>#N/A</v>
      </c>
      <c r="G837" s="24" t="e">
        <v>#N/A</v>
      </c>
    </row>
    <row r="838" spans="4:7" x14ac:dyDescent="0.2">
      <c r="D838" s="22">
        <v>833</v>
      </c>
      <c r="E838" s="23"/>
      <c r="F838" s="22" t="e">
        <v>#N/A</v>
      </c>
      <c r="G838" s="24" t="e">
        <v>#N/A</v>
      </c>
    </row>
    <row r="839" spans="4:7" x14ac:dyDescent="0.2">
      <c r="D839" s="22">
        <v>834</v>
      </c>
      <c r="E839" s="23"/>
      <c r="F839" s="22" t="e">
        <v>#N/A</v>
      </c>
      <c r="G839" s="24" t="e">
        <v>#N/A</v>
      </c>
    </row>
    <row r="840" spans="4:7" x14ac:dyDescent="0.2">
      <c r="D840" s="22">
        <v>835</v>
      </c>
      <c r="E840" s="23"/>
      <c r="F840" s="22" t="e">
        <v>#N/A</v>
      </c>
      <c r="G840" s="24" t="e">
        <v>#N/A</v>
      </c>
    </row>
    <row r="841" spans="4:7" x14ac:dyDescent="0.2">
      <c r="D841" s="22">
        <v>836</v>
      </c>
      <c r="E841" s="23"/>
      <c r="F841" s="22" t="e">
        <v>#N/A</v>
      </c>
      <c r="G841" s="24" t="e">
        <v>#N/A</v>
      </c>
    </row>
    <row r="842" spans="4:7" x14ac:dyDescent="0.2">
      <c r="D842" s="22">
        <v>837</v>
      </c>
      <c r="E842" s="23"/>
      <c r="F842" s="22" t="e">
        <v>#N/A</v>
      </c>
      <c r="G842" s="24" t="e">
        <v>#N/A</v>
      </c>
    </row>
    <row r="843" spans="4:7" x14ac:dyDescent="0.2">
      <c r="D843" s="22">
        <v>838</v>
      </c>
      <c r="E843" s="23"/>
      <c r="F843" s="22" t="e">
        <v>#N/A</v>
      </c>
      <c r="G843" s="24" t="e">
        <v>#N/A</v>
      </c>
    </row>
    <row r="844" spans="4:7" x14ac:dyDescent="0.2">
      <c r="D844" s="22">
        <v>839</v>
      </c>
      <c r="E844" s="23"/>
      <c r="F844" s="22" t="e">
        <v>#N/A</v>
      </c>
      <c r="G844" s="24" t="e">
        <v>#N/A</v>
      </c>
    </row>
    <row r="845" spans="4:7" x14ac:dyDescent="0.2">
      <c r="D845" s="22">
        <v>840</v>
      </c>
      <c r="E845" s="23"/>
      <c r="F845" s="22" t="e">
        <v>#N/A</v>
      </c>
      <c r="G845" s="24" t="e">
        <v>#N/A</v>
      </c>
    </row>
    <row r="846" spans="4:7" x14ac:dyDescent="0.2">
      <c r="D846" s="22">
        <v>841</v>
      </c>
      <c r="E846" s="23"/>
      <c r="F846" s="22" t="e">
        <v>#N/A</v>
      </c>
      <c r="G846" s="24" t="e">
        <v>#N/A</v>
      </c>
    </row>
    <row r="847" spans="4:7" x14ac:dyDescent="0.2">
      <c r="D847" s="22">
        <v>842</v>
      </c>
      <c r="E847" s="23"/>
      <c r="F847" s="22" t="e">
        <v>#N/A</v>
      </c>
      <c r="G847" s="24" t="e">
        <v>#N/A</v>
      </c>
    </row>
    <row r="848" spans="4:7" x14ac:dyDescent="0.2">
      <c r="D848" s="22">
        <v>843</v>
      </c>
      <c r="E848" s="23"/>
      <c r="F848" s="22" t="e">
        <v>#N/A</v>
      </c>
      <c r="G848" s="24" t="e">
        <v>#N/A</v>
      </c>
    </row>
    <row r="849" spans="4:7" x14ac:dyDescent="0.2">
      <c r="D849" s="22">
        <v>844</v>
      </c>
      <c r="E849" s="23"/>
      <c r="F849" s="22" t="e">
        <v>#N/A</v>
      </c>
      <c r="G849" s="24" t="e">
        <v>#N/A</v>
      </c>
    </row>
    <row r="850" spans="4:7" x14ac:dyDescent="0.2">
      <c r="D850" s="22">
        <v>845</v>
      </c>
      <c r="E850" s="23"/>
      <c r="F850" s="22" t="e">
        <v>#N/A</v>
      </c>
      <c r="G850" s="24" t="e">
        <v>#N/A</v>
      </c>
    </row>
    <row r="851" spans="4:7" x14ac:dyDescent="0.2">
      <c r="D851" s="22">
        <v>846</v>
      </c>
      <c r="E851" s="23"/>
      <c r="F851" s="22" t="e">
        <v>#N/A</v>
      </c>
      <c r="G851" s="24" t="e">
        <v>#N/A</v>
      </c>
    </row>
    <row r="852" spans="4:7" x14ac:dyDescent="0.2">
      <c r="D852" s="22">
        <v>847</v>
      </c>
      <c r="E852" s="23"/>
      <c r="F852" s="22" t="e">
        <v>#N/A</v>
      </c>
      <c r="G852" s="24" t="e">
        <v>#N/A</v>
      </c>
    </row>
    <row r="853" spans="4:7" x14ac:dyDescent="0.2">
      <c r="D853" s="22">
        <v>848</v>
      </c>
      <c r="E853" s="23"/>
      <c r="F853" s="22" t="e">
        <v>#N/A</v>
      </c>
      <c r="G853" s="24" t="e">
        <v>#N/A</v>
      </c>
    </row>
    <row r="854" spans="4:7" x14ac:dyDescent="0.2">
      <c r="D854" s="22">
        <v>849</v>
      </c>
      <c r="E854" s="23"/>
      <c r="F854" s="22" t="e">
        <v>#N/A</v>
      </c>
      <c r="G854" s="24" t="e">
        <v>#N/A</v>
      </c>
    </row>
    <row r="855" spans="4:7" x14ac:dyDescent="0.2">
      <c r="D855" s="22">
        <v>850</v>
      </c>
      <c r="E855" s="23"/>
      <c r="F855" s="22" t="e">
        <v>#N/A</v>
      </c>
      <c r="G855" s="24" t="e">
        <v>#N/A</v>
      </c>
    </row>
    <row r="856" spans="4:7" x14ac:dyDescent="0.2">
      <c r="D856" s="22">
        <v>851</v>
      </c>
      <c r="E856" s="23"/>
      <c r="F856" s="22" t="e">
        <v>#N/A</v>
      </c>
      <c r="G856" s="24" t="e">
        <v>#N/A</v>
      </c>
    </row>
    <row r="857" spans="4:7" x14ac:dyDescent="0.2">
      <c r="D857" s="22">
        <v>852</v>
      </c>
      <c r="E857" s="23"/>
      <c r="F857" s="22" t="e">
        <v>#N/A</v>
      </c>
      <c r="G857" s="24" t="e">
        <v>#N/A</v>
      </c>
    </row>
    <row r="858" spans="4:7" x14ac:dyDescent="0.2">
      <c r="D858" s="22">
        <v>853</v>
      </c>
      <c r="E858" s="23"/>
      <c r="F858" s="22" t="e">
        <v>#N/A</v>
      </c>
      <c r="G858" s="24" t="e">
        <v>#N/A</v>
      </c>
    </row>
    <row r="859" spans="4:7" x14ac:dyDescent="0.2">
      <c r="D859" s="22">
        <v>854</v>
      </c>
      <c r="E859" s="23"/>
      <c r="F859" s="22" t="e">
        <v>#N/A</v>
      </c>
      <c r="G859" s="24" t="e">
        <v>#N/A</v>
      </c>
    </row>
    <row r="860" spans="4:7" x14ac:dyDescent="0.2">
      <c r="D860" s="22">
        <v>855</v>
      </c>
      <c r="E860" s="23"/>
      <c r="F860" s="22" t="e">
        <v>#N/A</v>
      </c>
      <c r="G860" s="24" t="e">
        <v>#N/A</v>
      </c>
    </row>
    <row r="861" spans="4:7" x14ac:dyDescent="0.2">
      <c r="D861" s="22">
        <v>856</v>
      </c>
      <c r="E861" s="23"/>
      <c r="F861" s="22" t="e">
        <v>#N/A</v>
      </c>
      <c r="G861" s="24" t="e">
        <v>#N/A</v>
      </c>
    </row>
    <row r="862" spans="4:7" x14ac:dyDescent="0.2">
      <c r="D862" s="22">
        <v>857</v>
      </c>
      <c r="E862" s="23"/>
      <c r="F862" s="22" t="e">
        <v>#N/A</v>
      </c>
      <c r="G862" s="24" t="e">
        <v>#N/A</v>
      </c>
    </row>
    <row r="863" spans="4:7" x14ac:dyDescent="0.2">
      <c r="D863" s="22">
        <v>858</v>
      </c>
      <c r="E863" s="23"/>
      <c r="F863" s="22" t="e">
        <v>#N/A</v>
      </c>
      <c r="G863" s="24" t="e">
        <v>#N/A</v>
      </c>
    </row>
    <row r="864" spans="4:7" x14ac:dyDescent="0.2">
      <c r="D864" s="22">
        <v>859</v>
      </c>
      <c r="E864" s="23"/>
      <c r="F864" s="22" t="e">
        <v>#N/A</v>
      </c>
      <c r="G864" s="24" t="e">
        <v>#N/A</v>
      </c>
    </row>
    <row r="865" spans="4:7" x14ac:dyDescent="0.2">
      <c r="D865" s="22">
        <v>860</v>
      </c>
      <c r="E865" s="23"/>
      <c r="F865" s="22" t="e">
        <v>#N/A</v>
      </c>
      <c r="G865" s="24" t="e">
        <v>#N/A</v>
      </c>
    </row>
    <row r="866" spans="4:7" x14ac:dyDescent="0.2">
      <c r="D866" s="22">
        <v>861</v>
      </c>
      <c r="E866" s="23"/>
      <c r="F866" s="22" t="e">
        <v>#N/A</v>
      </c>
      <c r="G866" s="24" t="e">
        <v>#N/A</v>
      </c>
    </row>
    <row r="867" spans="4:7" x14ac:dyDescent="0.2">
      <c r="D867" s="22">
        <v>862</v>
      </c>
      <c r="E867" s="23"/>
      <c r="F867" s="22" t="e">
        <v>#N/A</v>
      </c>
      <c r="G867" s="24" t="e">
        <v>#N/A</v>
      </c>
    </row>
    <row r="868" spans="4:7" x14ac:dyDescent="0.2">
      <c r="D868" s="22">
        <v>863</v>
      </c>
      <c r="E868" s="23"/>
      <c r="F868" s="22" t="e">
        <v>#N/A</v>
      </c>
      <c r="G868" s="24" t="e">
        <v>#N/A</v>
      </c>
    </row>
    <row r="869" spans="4:7" x14ac:dyDescent="0.2">
      <c r="D869" s="22">
        <v>864</v>
      </c>
      <c r="E869" s="23"/>
      <c r="F869" s="22" t="e">
        <v>#N/A</v>
      </c>
      <c r="G869" s="24" t="e">
        <v>#N/A</v>
      </c>
    </row>
    <row r="870" spans="4:7" x14ac:dyDescent="0.2">
      <c r="D870" s="22">
        <v>865</v>
      </c>
      <c r="E870" s="23"/>
      <c r="F870" s="22" t="e">
        <v>#N/A</v>
      </c>
      <c r="G870" s="24" t="e">
        <v>#N/A</v>
      </c>
    </row>
    <row r="871" spans="4:7" x14ac:dyDescent="0.2">
      <c r="D871" s="22">
        <v>866</v>
      </c>
      <c r="E871" s="23"/>
      <c r="F871" s="22" t="e">
        <v>#N/A</v>
      </c>
      <c r="G871" s="24" t="e">
        <v>#N/A</v>
      </c>
    </row>
    <row r="872" spans="4:7" x14ac:dyDescent="0.2">
      <c r="D872" s="22">
        <v>867</v>
      </c>
      <c r="E872" s="23"/>
      <c r="F872" s="22" t="e">
        <v>#N/A</v>
      </c>
      <c r="G872" s="24" t="e">
        <v>#N/A</v>
      </c>
    </row>
    <row r="873" spans="4:7" x14ac:dyDescent="0.2">
      <c r="D873" s="22">
        <v>868</v>
      </c>
      <c r="E873" s="23"/>
      <c r="F873" s="22" t="e">
        <v>#N/A</v>
      </c>
      <c r="G873" s="24" t="e">
        <v>#N/A</v>
      </c>
    </row>
    <row r="874" spans="4:7" x14ac:dyDescent="0.2">
      <c r="D874" s="22">
        <v>869</v>
      </c>
      <c r="E874" s="23"/>
      <c r="F874" s="22" t="e">
        <v>#N/A</v>
      </c>
      <c r="G874" s="24" t="e">
        <v>#N/A</v>
      </c>
    </row>
    <row r="875" spans="4:7" x14ac:dyDescent="0.2">
      <c r="D875" s="22">
        <v>870</v>
      </c>
      <c r="E875" s="23"/>
      <c r="F875" s="22" t="e">
        <v>#N/A</v>
      </c>
      <c r="G875" s="24" t="e">
        <v>#N/A</v>
      </c>
    </row>
    <row r="876" spans="4:7" x14ac:dyDescent="0.2">
      <c r="D876" s="22">
        <v>871</v>
      </c>
      <c r="E876" s="23"/>
      <c r="F876" s="22" t="e">
        <v>#N/A</v>
      </c>
      <c r="G876" s="24" t="e">
        <v>#N/A</v>
      </c>
    </row>
    <row r="877" spans="4:7" x14ac:dyDescent="0.2">
      <c r="D877" s="22">
        <v>872</v>
      </c>
      <c r="E877" s="23"/>
      <c r="F877" s="22" t="e">
        <v>#N/A</v>
      </c>
      <c r="G877" s="24" t="e">
        <v>#N/A</v>
      </c>
    </row>
    <row r="878" spans="4:7" x14ac:dyDescent="0.2">
      <c r="D878" s="22">
        <v>873</v>
      </c>
      <c r="E878" s="23"/>
      <c r="F878" s="22" t="e">
        <v>#N/A</v>
      </c>
      <c r="G878" s="24" t="e">
        <v>#N/A</v>
      </c>
    </row>
    <row r="879" spans="4:7" x14ac:dyDescent="0.2">
      <c r="D879" s="22">
        <v>874</v>
      </c>
      <c r="E879" s="23"/>
      <c r="F879" s="22" t="e">
        <v>#N/A</v>
      </c>
      <c r="G879" s="24" t="e">
        <v>#N/A</v>
      </c>
    </row>
    <row r="880" spans="4:7" x14ac:dyDescent="0.2">
      <c r="D880" s="22">
        <v>875</v>
      </c>
      <c r="E880" s="23"/>
      <c r="F880" s="22" t="e">
        <v>#N/A</v>
      </c>
      <c r="G880" s="24" t="e">
        <v>#N/A</v>
      </c>
    </row>
    <row r="881" spans="4:7" x14ac:dyDescent="0.2">
      <c r="D881" s="22">
        <v>876</v>
      </c>
      <c r="E881" s="23"/>
      <c r="F881" s="22" t="e">
        <v>#N/A</v>
      </c>
      <c r="G881" s="24" t="e">
        <v>#N/A</v>
      </c>
    </row>
    <row r="882" spans="4:7" x14ac:dyDescent="0.2">
      <c r="D882" s="22">
        <v>877</v>
      </c>
      <c r="E882" s="23"/>
      <c r="F882" s="22" t="e">
        <v>#N/A</v>
      </c>
      <c r="G882" s="24" t="e">
        <v>#N/A</v>
      </c>
    </row>
    <row r="883" spans="4:7" x14ac:dyDescent="0.2">
      <c r="D883" s="22">
        <v>878</v>
      </c>
      <c r="E883" s="23"/>
      <c r="F883" s="22" t="e">
        <v>#N/A</v>
      </c>
      <c r="G883" s="24" t="e">
        <v>#N/A</v>
      </c>
    </row>
    <row r="884" spans="4:7" x14ac:dyDescent="0.2">
      <c r="D884" s="22">
        <v>879</v>
      </c>
      <c r="E884" s="23"/>
      <c r="F884" s="22" t="e">
        <v>#N/A</v>
      </c>
      <c r="G884" s="24" t="e">
        <v>#N/A</v>
      </c>
    </row>
    <row r="885" spans="4:7" x14ac:dyDescent="0.2">
      <c r="D885" s="22">
        <v>880</v>
      </c>
      <c r="E885" s="23"/>
      <c r="F885" s="22" t="e">
        <v>#N/A</v>
      </c>
      <c r="G885" s="24" t="e">
        <v>#N/A</v>
      </c>
    </row>
    <row r="886" spans="4:7" x14ac:dyDescent="0.2">
      <c r="D886" s="22">
        <v>881</v>
      </c>
      <c r="E886" s="23"/>
      <c r="F886" s="22" t="e">
        <v>#N/A</v>
      </c>
      <c r="G886" s="24" t="e">
        <v>#N/A</v>
      </c>
    </row>
    <row r="887" spans="4:7" x14ac:dyDescent="0.2">
      <c r="D887" s="22">
        <v>882</v>
      </c>
      <c r="E887" s="23"/>
      <c r="F887" s="22" t="e">
        <v>#N/A</v>
      </c>
      <c r="G887" s="24" t="e">
        <v>#N/A</v>
      </c>
    </row>
    <row r="888" spans="4:7" x14ac:dyDescent="0.2">
      <c r="D888" s="22">
        <v>883</v>
      </c>
      <c r="E888" s="23"/>
      <c r="F888" s="22" t="e">
        <v>#N/A</v>
      </c>
      <c r="G888" s="24" t="e">
        <v>#N/A</v>
      </c>
    </row>
    <row r="889" spans="4:7" x14ac:dyDescent="0.2">
      <c r="D889" s="22">
        <v>884</v>
      </c>
      <c r="E889" s="23"/>
      <c r="F889" s="22" t="e">
        <v>#N/A</v>
      </c>
      <c r="G889" s="24" t="e">
        <v>#N/A</v>
      </c>
    </row>
    <row r="890" spans="4:7" x14ac:dyDescent="0.2">
      <c r="D890" s="22">
        <v>885</v>
      </c>
      <c r="E890" s="23"/>
      <c r="F890" s="22" t="e">
        <v>#N/A</v>
      </c>
      <c r="G890" s="24" t="e">
        <v>#N/A</v>
      </c>
    </row>
    <row r="891" spans="4:7" x14ac:dyDescent="0.2">
      <c r="D891" s="22">
        <v>886</v>
      </c>
      <c r="E891" s="23"/>
      <c r="F891" s="22" t="e">
        <v>#N/A</v>
      </c>
      <c r="G891" s="24" t="e">
        <v>#N/A</v>
      </c>
    </row>
    <row r="892" spans="4:7" x14ac:dyDescent="0.2">
      <c r="D892" s="22">
        <v>887</v>
      </c>
      <c r="E892" s="23"/>
      <c r="F892" s="22" t="e">
        <v>#N/A</v>
      </c>
      <c r="G892" s="24" t="e">
        <v>#N/A</v>
      </c>
    </row>
    <row r="893" spans="4:7" x14ac:dyDescent="0.2">
      <c r="D893" s="22">
        <v>888</v>
      </c>
      <c r="E893" s="23"/>
      <c r="F893" s="22" t="e">
        <v>#N/A</v>
      </c>
      <c r="G893" s="24" t="e">
        <v>#N/A</v>
      </c>
    </row>
    <row r="894" spans="4:7" x14ac:dyDescent="0.2">
      <c r="D894" s="22">
        <v>889</v>
      </c>
      <c r="E894" s="23"/>
      <c r="F894" s="22" t="e">
        <v>#N/A</v>
      </c>
      <c r="G894" s="24" t="e">
        <v>#N/A</v>
      </c>
    </row>
    <row r="895" spans="4:7" ht="17" thickBot="1" x14ac:dyDescent="0.25">
      <c r="D895" s="25">
        <v>890</v>
      </c>
      <c r="E895" s="26"/>
      <c r="F895" s="25" t="e">
        <v>#N/A</v>
      </c>
      <c r="G895" s="27" t="e">
        <v>#N/A</v>
      </c>
    </row>
  </sheetData>
  <sortState xmlns:xlrd2="http://schemas.microsoft.com/office/spreadsheetml/2017/richdata2" ref="D6:G895">
    <sortCondition ref="F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Tipos de análisis</vt:lpstr>
      <vt:lpstr>Titanic</vt:lpstr>
      <vt:lpstr>Análisis de Edades por Deciles</vt:lpstr>
      <vt:lpstr>Hoja8</vt:lpstr>
      <vt:lpstr>Hoja3</vt:lpstr>
      <vt:lpstr>Práctica 1</vt:lpstr>
      <vt:lpstr>Hoja6</vt:lpstr>
      <vt:lpstr>Hoja7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Badillo Salas</dc:creator>
  <cp:lastModifiedBy>Alan Badillo Salas</cp:lastModifiedBy>
  <dcterms:created xsi:type="dcterms:W3CDTF">2026-06-18T21:06:41Z</dcterms:created>
  <dcterms:modified xsi:type="dcterms:W3CDTF">2026-06-18T23:03:09Z</dcterms:modified>
</cp:coreProperties>
</file>