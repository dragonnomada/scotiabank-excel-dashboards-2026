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GRUPO 1/"/>
    </mc:Choice>
  </mc:AlternateContent>
  <xr:revisionPtr revIDLastSave="0" documentId="8_{ACBC4340-53A8-8B46-B7E5-6D3462D06DF9}" xr6:coauthVersionLast="47" xr6:coauthVersionMax="47" xr10:uidLastSave="{00000000-0000-0000-0000-000000000000}"/>
  <bookViews>
    <workbookView xWindow="0" yWindow="0" windowWidth="38400" windowHeight="21600" activeTab="1" xr2:uid="{051634C6-3AC6-AD4B-8EE6-394DD9C922FC}"/>
  </bookViews>
  <sheets>
    <sheet name="P-001" sheetId="1" r:id="rId1"/>
    <sheet name="P-002" sheetId="2" r:id="rId2"/>
    <sheet name="Hoja7" sheetId="7" r:id="rId3"/>
    <sheet name="Hoja6" sheetId="6" r:id="rId4"/>
    <sheet name="Usuarios" sheetId="3" r:id="rId5"/>
    <sheet name="Ventas" sheetId="4" r:id="rId6"/>
    <sheet name="Reporte Ventas Enero" sheetId="5" r:id="rId7"/>
  </sheets>
  <definedNames>
    <definedName name="_xlnm._FilterDatabase" localSheetId="3" hidden="1">Hoja6!$A$1:$C$1</definedName>
    <definedName name="_xlnm._FilterDatabase" localSheetId="1" hidden="1">'P-002'!$A$5:$D$5</definedName>
    <definedName name="_xlchart.v1.0" hidden="1">Hoja7!$A$2:$A$38</definedName>
    <definedName name="_xlchart.v1.1" hidden="1">Hoja7!$A$2:$A$38</definedName>
    <definedName name="_xlchart.v1.2" hidden="1">Hoja7!$A$2:$A$38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9" i="2" l="1"/>
  <c r="K9" i="2"/>
  <c r="J9" i="2"/>
  <c r="L8" i="2"/>
  <c r="K8" i="2"/>
  <c r="L7" i="2"/>
  <c r="K7" i="2"/>
  <c r="J7" i="2"/>
  <c r="K6" i="2"/>
  <c r="J6" i="2"/>
  <c r="J5" i="2" a="1"/>
  <c r="J5" i="2" s="1"/>
  <c r="I6" i="2" a="1"/>
  <c r="I6" i="2" s="1"/>
  <c r="I5" i="6"/>
  <c r="H5" i="6"/>
  <c r="I3" i="6"/>
  <c r="H3" i="6"/>
  <c r="H6" i="1"/>
  <c r="D36" i="1" a="1"/>
  <c r="D36" i="1" s="1"/>
  <c r="I30" i="1" a="1"/>
  <c r="I30" i="1" s="1"/>
  <c r="D30" i="1" a="1"/>
  <c r="D30" i="1" s="1"/>
  <c r="F12" i="1" a="1"/>
  <c r="D14" i="1" a="1"/>
  <c r="H8" i="1" a="1"/>
  <c r="D39" i="1" a="1"/>
  <c r="K3" i="6" l="1"/>
  <c r="F12" i="1"/>
  <c r="D14" i="1"/>
  <c r="H8" i="1"/>
  <c r="D3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<sst xmlns="http://schemas.openxmlformats.org/spreadsheetml/2006/main" count="243" uniqueCount="81">
  <si>
    <t>H15</t>
  </si>
  <si>
    <t>Nombre</t>
  </si>
  <si>
    <t>Edad</t>
  </si>
  <si>
    <t>Salario</t>
  </si>
  <si>
    <t>Alberto</t>
  </si>
  <si>
    <t>Blanca</t>
  </si>
  <si>
    <t>Carlos</t>
  </si>
  <si>
    <t>Diana</t>
  </si>
  <si>
    <t>Emanuel</t>
  </si>
  <si>
    <t>Celda Inicial</t>
  </si>
  <si>
    <t>B4</t>
  </si>
  <si>
    <t>Celda final</t>
  </si>
  <si>
    <t>D9</t>
  </si>
  <si>
    <t>Coordenadas de matriz</t>
  </si>
  <si>
    <t>B4:D9</t>
  </si>
  <si>
    <t>Rango</t>
  </si>
  <si>
    <t>Columna</t>
  </si>
  <si>
    <t>Fila</t>
  </si>
  <si>
    <t>:</t>
  </si>
  <si>
    <t>Matriz unitaria</t>
  </si>
  <si>
    <t>Vector</t>
  </si>
  <si>
    <t>COLUMNA</t>
  </si>
  <si>
    <t>FILA</t>
  </si>
  <si>
    <t>VERTICAL</t>
  </si>
  <si>
    <t>HORIZONTAL</t>
  </si>
  <si>
    <t>Proyección del rango</t>
  </si>
  <si>
    <t>I</t>
  </si>
  <si>
    <t>Fórmula: I30</t>
  </si>
  <si>
    <t>=</t>
  </si>
  <si>
    <t>FÓRMULA</t>
  </si>
  <si>
    <t>Hola</t>
  </si>
  <si>
    <t>123456789123456789123456789</t>
  </si>
  <si>
    <t>Fila de análisis</t>
  </si>
  <si>
    <t>Celda Indirecta</t>
  </si>
  <si>
    <t>Datos del Empleado</t>
  </si>
  <si>
    <t>PASO 1 - Celda objetivo libre</t>
  </si>
  <si>
    <t>PASO 2 - Concatenación con el operador &amp;</t>
  </si>
  <si>
    <t>"B"&amp;H4&amp;":"&amp;"D"&amp;H4</t>
  </si>
  <si>
    <t>PASO 3 - Proyección del rango (Vector fila)</t>
  </si>
  <si>
    <t>Columna inicial + FILA : Columna final + FILA</t>
  </si>
  <si>
    <t>B7</t>
  </si>
  <si>
    <t>INDIRECTO(RANGO EN TEXTO)</t>
  </si>
  <si>
    <t>ANÁLISIS LARGO</t>
  </si>
  <si>
    <t>ANÁLISIS ANCHO</t>
  </si>
  <si>
    <t>SALARIO</t>
  </si>
  <si>
    <t>PUESTO</t>
  </si>
  <si>
    <t>ANTIGÜEDAD</t>
  </si>
  <si>
    <t>1 A 2 AÑOS</t>
  </si>
  <si>
    <t>0 A 1 AÑO</t>
  </si>
  <si>
    <t>ADMINISTRATIVO</t>
  </si>
  <si>
    <t>GERENCIAL</t>
  </si>
  <si>
    <t>EJECUTIVO</t>
  </si>
  <si>
    <t>TECNOLOGÍAS</t>
  </si>
  <si>
    <t>ANÁLISIS</t>
  </si>
  <si>
    <t>2 MÁS</t>
  </si>
  <si>
    <t>AUMENTO 1ER AÑO</t>
  </si>
  <si>
    <t>ANÁLISIS VERTICAL</t>
  </si>
  <si>
    <t>ANÁLISIS HORIZONTAL</t>
  </si>
  <si>
    <t>EXPLICA EL CAMBIO DE MÁS DE UN EJE CONTINUO</t>
  </si>
  <si>
    <t>PUESTO / ANTIGÜEDAD</t>
  </si>
  <si>
    <t>EXPLICAR LA AGREGACIÓN DE UN VALOR</t>
  </si>
  <si>
    <t>EN EL CONTRASTE ENTRE DOS GRUPOS</t>
  </si>
  <si>
    <t>O DOS EJES POTENCIALMENTE CORTOS</t>
  </si>
  <si>
    <t>AL MENOS EL DE LAS COLUMNAS</t>
  </si>
  <si>
    <t>GRUPO LARGO</t>
  </si>
  <si>
    <t>GRUPO CORTO</t>
  </si>
  <si>
    <t>AGREGACIÓN</t>
  </si>
  <si>
    <t>VALOR REDUCIDO ENTRE LAS CATEGORÍAS</t>
  </si>
  <si>
    <t>INDÍCE</t>
  </si>
  <si>
    <t>RECUENTO</t>
  </si>
  <si>
    <t>SUMA</t>
  </si>
  <si>
    <t>PROMEDIO</t>
  </si>
  <si>
    <t>MÁX</t>
  </si>
  <si>
    <t>MÍN</t>
  </si>
  <si>
    <t>DESV. EST.</t>
  </si>
  <si>
    <t>PERCENTIL</t>
  </si>
  <si>
    <t>VAR</t>
  </si>
  <si>
    <t>CUARTIL</t>
  </si>
  <si>
    <t>K MAYOR</t>
  </si>
  <si>
    <t>K MENOR</t>
  </si>
  <si>
    <t>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</si>
</sst>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70" formatCode="###########################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CED8FF"/>
      <name val="Aptos Narrow"/>
      <family val="2"/>
      <scheme val="minor"/>
    </font>
    <font>
      <sz val="12"/>
      <color rgb="FF7A81FF"/>
      <name val="Aptos Narrow"/>
      <family val="2"/>
      <scheme val="minor"/>
    </font>
    <font>
      <sz val="12"/>
      <color theme="7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ED8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16" fontId="0" fillId="0" borderId="0" xfId="0" applyNumberFormat="1"/>
    <xf numFmtId="170" fontId="0" fillId="0" borderId="0" xfId="0" quotePrefix="1" applyNumberFormat="1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2" borderId="0" xfId="0" applyFill="1"/>
    <xf numFmtId="0" fontId="0" fillId="7" borderId="0" xfId="0" applyFill="1"/>
    <xf numFmtId="0" fontId="0" fillId="8" borderId="0" xfId="0" applyFill="1"/>
    <xf numFmtId="0" fontId="2" fillId="0" borderId="0" xfId="0" applyFont="1"/>
    <xf numFmtId="0" fontId="4" fillId="9" borderId="0" xfId="0" applyFont="1" applyFill="1"/>
    <xf numFmtId="0" fontId="3" fillId="6" borderId="0" xfId="0" applyFont="1" applyFill="1" applyAlignment="1">
      <alignment horizontal="center"/>
    </xf>
    <xf numFmtId="0" fontId="5" fillId="0" borderId="0" xfId="0" applyFont="1"/>
    <xf numFmtId="0" fontId="0" fillId="0" borderId="0" xfId="0" applyFont="1"/>
    <xf numFmtId="44" fontId="0" fillId="0" borderId="0" xfId="1" applyFont="1"/>
    <xf numFmtId="9" fontId="0" fillId="0" borderId="0" xfId="2" applyFont="1"/>
    <xf numFmtId="0" fontId="0" fillId="4" borderId="0" xfId="0" applyFill="1"/>
    <xf numFmtId="0" fontId="0" fillId="2" borderId="0" xfId="0" applyFill="1" applyAlignment="1">
      <alignment horizontal="center" vertical="center" textRotation="90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Border="1"/>
    <xf numFmtId="0" fontId="0" fillId="0" borderId="2" xfId="0" applyBorder="1"/>
    <xf numFmtId="0" fontId="0" fillId="7" borderId="0" xfId="0" applyFill="1" applyBorder="1"/>
    <xf numFmtId="0" fontId="0" fillId="2" borderId="0" xfId="0" applyFill="1" applyBorder="1"/>
    <xf numFmtId="0" fontId="0" fillId="7" borderId="2" xfId="0" applyFill="1" applyBorder="1"/>
    <xf numFmtId="0" fontId="0" fillId="2" borderId="2" xfId="0" applyFill="1" applyBorder="1"/>
    <xf numFmtId="0" fontId="0" fillId="0" borderId="4" xfId="0" applyBorder="1"/>
    <xf numFmtId="0" fontId="0" fillId="7" borderId="4" xfId="0" applyFill="1" applyBorder="1"/>
    <xf numFmtId="16" fontId="0" fillId="4" borderId="4" xfId="0" applyNumberFormat="1" applyFill="1" applyBorder="1"/>
    <xf numFmtId="16" fontId="0" fillId="4" borderId="0" xfId="0" applyNumberFormat="1" applyFill="1" applyBorder="1"/>
    <xf numFmtId="16" fontId="0" fillId="4" borderId="2" xfId="0" applyNumberFormat="1" applyFill="1" applyBorder="1"/>
    <xf numFmtId="0" fontId="0" fillId="11" borderId="4" xfId="0" applyFill="1" applyBorder="1"/>
    <xf numFmtId="0" fontId="0" fillId="2" borderId="4" xfId="0" applyFill="1" applyBorder="1"/>
    <xf numFmtId="0" fontId="0" fillId="11" borderId="0" xfId="0" applyFill="1" applyBorder="1"/>
    <xf numFmtId="0" fontId="0" fillId="11" borderId="2" xfId="0" applyFill="1" applyBorder="1"/>
    <xf numFmtId="0" fontId="0" fillId="10" borderId="4" xfId="0" applyFill="1" applyBorder="1"/>
    <xf numFmtId="0" fontId="0" fillId="10" borderId="0" xfId="0" applyFill="1" applyBorder="1"/>
    <xf numFmtId="0" fontId="0" fillId="10" borderId="2" xfId="0" applyFill="1" applyBorder="1"/>
    <xf numFmtId="0" fontId="0" fillId="0" borderId="3" xfId="0" applyBorder="1"/>
    <xf numFmtId="0" fontId="0" fillId="12" borderId="3" xfId="0" applyFill="1" applyBorder="1"/>
    <xf numFmtId="16" fontId="0" fillId="4" borderId="3" xfId="0" applyNumberFormat="1" applyFill="1" applyBorder="1"/>
    <xf numFmtId="0" fontId="0" fillId="12" borderId="4" xfId="0" applyFill="1" applyBorder="1"/>
    <xf numFmtId="0" fontId="0" fillId="12" borderId="0" xfId="0" applyFill="1" applyBorder="1"/>
    <xf numFmtId="0" fontId="0" fillId="12" borderId="2" xfId="0" applyFill="1" applyBorder="1"/>
    <xf numFmtId="0" fontId="0" fillId="5" borderId="3" xfId="0" applyFill="1" applyBorder="1"/>
    <xf numFmtId="0" fontId="0" fillId="2" borderId="3" xfId="0" applyFill="1" applyBorder="1"/>
    <xf numFmtId="0" fontId="0" fillId="5" borderId="4" xfId="0" applyFill="1" applyBorder="1"/>
    <xf numFmtId="0" fontId="0" fillId="5" borderId="0" xfId="0" applyFill="1" applyBorder="1"/>
    <xf numFmtId="0" fontId="0" fillId="5" borderId="2" xfId="0" applyFill="1" applyBorder="1"/>
    <xf numFmtId="44" fontId="0" fillId="10" borderId="1" xfId="1" applyFont="1" applyFill="1" applyBorder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CED8FF"/>
      <color rgb="FF7A8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Hoja7!$A$2:$A$38</c:f>
              <c:numCache>
                <c:formatCode>General</c:formatCode>
                <c:ptCount val="37"/>
                <c:pt idx="0">
                  <c:v>18000</c:v>
                </c:pt>
                <c:pt idx="1">
                  <c:v>30000</c:v>
                </c:pt>
                <c:pt idx="2">
                  <c:v>34000</c:v>
                </c:pt>
                <c:pt idx="3">
                  <c:v>28000</c:v>
                </c:pt>
                <c:pt idx="4">
                  <c:v>22000</c:v>
                </c:pt>
                <c:pt idx="5">
                  <c:v>28000</c:v>
                </c:pt>
                <c:pt idx="6">
                  <c:v>34000</c:v>
                </c:pt>
                <c:pt idx="7">
                  <c:v>15000</c:v>
                </c:pt>
                <c:pt idx="8">
                  <c:v>15000</c:v>
                </c:pt>
                <c:pt idx="9">
                  <c:v>38000</c:v>
                </c:pt>
                <c:pt idx="10">
                  <c:v>32000</c:v>
                </c:pt>
                <c:pt idx="11">
                  <c:v>28000</c:v>
                </c:pt>
                <c:pt idx="12">
                  <c:v>43000</c:v>
                </c:pt>
                <c:pt idx="13">
                  <c:v>25000</c:v>
                </c:pt>
                <c:pt idx="14">
                  <c:v>23000</c:v>
                </c:pt>
                <c:pt idx="15">
                  <c:v>17000</c:v>
                </c:pt>
                <c:pt idx="16">
                  <c:v>18000</c:v>
                </c:pt>
                <c:pt idx="17">
                  <c:v>19000</c:v>
                </c:pt>
                <c:pt idx="18">
                  <c:v>29000</c:v>
                </c:pt>
                <c:pt idx="19">
                  <c:v>31000</c:v>
                </c:pt>
                <c:pt idx="20">
                  <c:v>36000</c:v>
                </c:pt>
                <c:pt idx="21">
                  <c:v>24000</c:v>
                </c:pt>
                <c:pt idx="22">
                  <c:v>25000</c:v>
                </c:pt>
                <c:pt idx="23">
                  <c:v>28000</c:v>
                </c:pt>
                <c:pt idx="24">
                  <c:v>31000</c:v>
                </c:pt>
                <c:pt idx="25">
                  <c:v>16000</c:v>
                </c:pt>
                <c:pt idx="26">
                  <c:v>28000</c:v>
                </c:pt>
                <c:pt idx="27">
                  <c:v>34000</c:v>
                </c:pt>
                <c:pt idx="28">
                  <c:v>26000</c:v>
                </c:pt>
                <c:pt idx="29">
                  <c:v>42000</c:v>
                </c:pt>
                <c:pt idx="30">
                  <c:v>23000</c:v>
                </c:pt>
                <c:pt idx="31">
                  <c:v>23000</c:v>
                </c:pt>
                <c:pt idx="32">
                  <c:v>25000</c:v>
                </c:pt>
                <c:pt idx="33">
                  <c:v>31000</c:v>
                </c:pt>
                <c:pt idx="34">
                  <c:v>31000</c:v>
                </c:pt>
                <c:pt idx="35">
                  <c:v>18000</c:v>
                </c:pt>
                <c:pt idx="36">
                  <c:v>26000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7F-3A47-B47B-1DB5EEB43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9391807"/>
        <c:axId val="1049385535"/>
      </c:lineChart>
      <c:catAx>
        <c:axId val="1049391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49385535"/>
        <c:crosses val="autoZero"/>
        <c:auto val="1"/>
        <c:lblAlgn val="ctr"/>
        <c:lblOffset val="100"/>
        <c:noMultiLvlLbl val="0"/>
      </c:catAx>
      <c:valAx>
        <c:axId val="104938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4939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928B-4B4D-A514-849FD7236BC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6</xdr:row>
      <xdr:rowOff>0</xdr:rowOff>
    </xdr:from>
    <xdr:to>
      <xdr:col>12</xdr:col>
      <xdr:colOff>450850</xdr:colOff>
      <xdr:row>19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8142890-353D-766A-434C-6B6BD4C06D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84850" y="1219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6</xdr:col>
      <xdr:colOff>806450</xdr:colOff>
      <xdr:row>22</xdr:row>
      <xdr:rowOff>76200</xdr:rowOff>
    </xdr:from>
    <xdr:to>
      <xdr:col>12</xdr:col>
      <xdr:colOff>425450</xdr:colOff>
      <xdr:row>35</xdr:row>
      <xdr:rowOff>177800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B9E1D6-4726-7E76-948A-316C7C404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7E99-F4F9-9142-BA31-0104A87C4E45}">
  <dimension ref="B3:Q39"/>
  <sheetViews>
    <sheetView zoomScale="140" zoomScaleNormal="140" workbookViewId="0">
      <selection activeCell="H8" sqref="H8"/>
    </sheetView>
  </sheetViews>
  <sheetFormatPr baseColWidth="10" defaultRowHeight="16" x14ac:dyDescent="0.2"/>
  <cols>
    <col min="2" max="2" width="14" customWidth="1"/>
    <col min="6" max="6" width="12.83203125" customWidth="1"/>
    <col min="13" max="13" width="37.1640625" customWidth="1"/>
    <col min="15" max="15" width="16.6640625" customWidth="1"/>
  </cols>
  <sheetData>
    <row r="3" spans="2:13" x14ac:dyDescent="0.2">
      <c r="J3" s="13" t="s">
        <v>35</v>
      </c>
    </row>
    <row r="4" spans="2:13" x14ac:dyDescent="0.2">
      <c r="B4" s="8" t="s">
        <v>1</v>
      </c>
      <c r="C4" s="8" t="s">
        <v>2</v>
      </c>
      <c r="D4" s="8" t="s">
        <v>3</v>
      </c>
      <c r="F4" s="3" t="s">
        <v>32</v>
      </c>
      <c r="G4" s="3"/>
      <c r="H4" s="4">
        <v>7</v>
      </c>
    </row>
    <row r="5" spans="2:13" x14ac:dyDescent="0.2">
      <c r="B5" s="9" t="s">
        <v>4</v>
      </c>
      <c r="C5">
        <v>45</v>
      </c>
      <c r="D5">
        <v>18000</v>
      </c>
      <c r="J5" s="13" t="s">
        <v>36</v>
      </c>
    </row>
    <row r="6" spans="2:13" x14ac:dyDescent="0.2">
      <c r="B6" s="9" t="s">
        <v>5</v>
      </c>
      <c r="C6">
        <v>34</v>
      </c>
      <c r="D6">
        <v>23000</v>
      </c>
      <c r="F6" s="5" t="s">
        <v>33</v>
      </c>
      <c r="G6" s="5"/>
      <c r="H6" s="6" t="str">
        <f>"B"&amp;H4&amp;":"&amp;"D"&amp;H4</f>
        <v>B7:D7</v>
      </c>
      <c r="J6" s="10" t="s">
        <v>28</v>
      </c>
      <c r="K6" s="10" t="s">
        <v>37</v>
      </c>
    </row>
    <row r="7" spans="2:13" x14ac:dyDescent="0.2">
      <c r="B7" s="9" t="s">
        <v>6</v>
      </c>
      <c r="C7">
        <v>27</v>
      </c>
      <c r="D7">
        <v>17000</v>
      </c>
    </row>
    <row r="8" spans="2:13" x14ac:dyDescent="0.2">
      <c r="B8" s="9" t="s">
        <v>7</v>
      </c>
      <c r="C8">
        <v>22</v>
      </c>
      <c r="D8">
        <v>22000</v>
      </c>
      <c r="F8" s="12" t="s">
        <v>34</v>
      </c>
      <c r="G8" s="12"/>
      <c r="H8" s="11" t="str" cm="1">
        <f t="array" aca="1" ref="H8:J8" ca="1">INDIRECT(H6)</f>
        <v>Carlos</v>
      </c>
      <c r="I8" s="11">
        <f ca="1"/>
        <v>27</v>
      </c>
      <c r="J8" s="11">
        <f ca="1"/>
        <v>17000</v>
      </c>
      <c r="L8" s="13" t="s">
        <v>38</v>
      </c>
    </row>
    <row r="9" spans="2:13" x14ac:dyDescent="0.2">
      <c r="B9" s="9" t="s">
        <v>8</v>
      </c>
      <c r="C9">
        <v>35</v>
      </c>
      <c r="D9">
        <v>15000</v>
      </c>
    </row>
    <row r="10" spans="2:13" x14ac:dyDescent="0.2">
      <c r="L10" s="14" t="s">
        <v>39</v>
      </c>
    </row>
    <row r="12" spans="2:13" x14ac:dyDescent="0.2">
      <c r="B12" s="9" t="s">
        <v>40</v>
      </c>
      <c r="F12" t="str" cm="1">
        <f t="array" aca="1" ref="F12:H12" ca="1">INDIRECT("B"&amp;H4&amp;":"&amp;"D"&amp;H4)</f>
        <v>Carlos</v>
      </c>
      <c r="G12">
        <f ca="1"/>
        <v>27</v>
      </c>
      <c r="H12">
        <f ca="1"/>
        <v>17000</v>
      </c>
      <c r="L12" t="s">
        <v>28</v>
      </c>
      <c r="M12" t="s">
        <v>41</v>
      </c>
    </row>
    <row r="14" spans="2:13" x14ac:dyDescent="0.2">
      <c r="D14" t="str" cm="1">
        <f t="array" aca="1" ref="D14" ca="1">INDIRECT(B12, TRUE)</f>
        <v>Carlos</v>
      </c>
    </row>
    <row r="15" spans="2:13" x14ac:dyDescent="0.2">
      <c r="H15" t="s">
        <v>0</v>
      </c>
    </row>
    <row r="21" spans="2:17" x14ac:dyDescent="0.2">
      <c r="B21" t="s">
        <v>13</v>
      </c>
      <c r="D21" t="s">
        <v>14</v>
      </c>
    </row>
    <row r="22" spans="2:17" x14ac:dyDescent="0.2">
      <c r="B22" t="s">
        <v>9</v>
      </c>
      <c r="C22" t="s">
        <v>10</v>
      </c>
    </row>
    <row r="23" spans="2:17" x14ac:dyDescent="0.2">
      <c r="B23" t="s">
        <v>11</v>
      </c>
      <c r="C23" t="s">
        <v>12</v>
      </c>
    </row>
    <row r="25" spans="2:17" x14ac:dyDescent="0.2">
      <c r="B25" t="s">
        <v>15</v>
      </c>
      <c r="C25" t="s">
        <v>16</v>
      </c>
      <c r="D25" t="s">
        <v>17</v>
      </c>
      <c r="E25" t="s">
        <v>18</v>
      </c>
      <c r="F25" t="s">
        <v>16</v>
      </c>
      <c r="G25" t="s">
        <v>17</v>
      </c>
    </row>
    <row r="27" spans="2:17" x14ac:dyDescent="0.2">
      <c r="B27" t="s">
        <v>19</v>
      </c>
      <c r="C27" t="s">
        <v>20</v>
      </c>
      <c r="D27" t="s">
        <v>21</v>
      </c>
      <c r="F27" t="s">
        <v>23</v>
      </c>
      <c r="I27" t="s">
        <v>27</v>
      </c>
      <c r="K27" t="s">
        <v>28</v>
      </c>
      <c r="L27" t="s">
        <v>29</v>
      </c>
    </row>
    <row r="28" spans="2:17" x14ac:dyDescent="0.2">
      <c r="D28" t="s">
        <v>22</v>
      </c>
      <c r="F28" t="s">
        <v>24</v>
      </c>
    </row>
    <row r="29" spans="2:17" x14ac:dyDescent="0.2">
      <c r="I29" t="s">
        <v>26</v>
      </c>
    </row>
    <row r="30" spans="2:17" x14ac:dyDescent="0.2">
      <c r="B30" t="s">
        <v>25</v>
      </c>
      <c r="D30" t="str" cm="1">
        <f t="array" ref="D30:D34">B5:B9</f>
        <v>Alberto</v>
      </c>
      <c r="H30">
        <v>30</v>
      </c>
      <c r="I30" t="str" cm="1">
        <f t="array" ref="I30:K34">B5:D9</f>
        <v>Alberto</v>
      </c>
      <c r="J30">
        <v>45</v>
      </c>
      <c r="K30">
        <v>18000</v>
      </c>
      <c r="M30">
        <v>1</v>
      </c>
      <c r="N30" t="s">
        <v>30</v>
      </c>
      <c r="O30" t="b">
        <v>1</v>
      </c>
      <c r="P30" s="1">
        <v>46174</v>
      </c>
      <c r="Q30" s="1">
        <v>46107</v>
      </c>
    </row>
    <row r="31" spans="2:17" x14ac:dyDescent="0.2">
      <c r="D31" t="str">
        <v>Blanca</v>
      </c>
      <c r="I31" t="str">
        <v>Blanca</v>
      </c>
      <c r="J31">
        <v>34</v>
      </c>
      <c r="K31">
        <v>23000</v>
      </c>
      <c r="O31" t="b">
        <v>0</v>
      </c>
    </row>
    <row r="32" spans="2:17" x14ac:dyDescent="0.2">
      <c r="D32" t="str">
        <v>Carlos</v>
      </c>
      <c r="I32" t="str">
        <v>Carlos</v>
      </c>
      <c r="J32">
        <v>27</v>
      </c>
      <c r="K32">
        <v>17000</v>
      </c>
    </row>
    <row r="33" spans="4:13" x14ac:dyDescent="0.2">
      <c r="D33" t="str">
        <v>Diana</v>
      </c>
      <c r="I33" t="str">
        <v>Diana</v>
      </c>
      <c r="J33">
        <v>22</v>
      </c>
      <c r="K33">
        <v>22000</v>
      </c>
      <c r="M33" s="2" t="s">
        <v>31</v>
      </c>
    </row>
    <row r="34" spans="4:13" x14ac:dyDescent="0.2">
      <c r="D34" t="str">
        <v>Emanuel</v>
      </c>
      <c r="I34" t="str">
        <v>Emanuel</v>
      </c>
      <c r="J34">
        <v>35</v>
      </c>
      <c r="K34">
        <v>15000</v>
      </c>
    </row>
    <row r="36" spans="4:13" x14ac:dyDescent="0.2">
      <c r="D36" t="str" cm="1">
        <f t="array" ref="D36:F36">B5:D5</f>
        <v>Alberto</v>
      </c>
      <c r="E36">
        <v>45</v>
      </c>
      <c r="F36">
        <v>18000</v>
      </c>
    </row>
    <row r="39" spans="4:13" x14ac:dyDescent="0.2">
      <c r="D39" t="str" cm="1">
        <f t="array" aca="1" ref="D39:F39" ca="1">INDIRECT("B5"&amp;":" &amp; "D5")</f>
        <v>Alberto</v>
      </c>
      <c r="E39">
        <f ca="1"/>
        <v>45</v>
      </c>
      <c r="F39">
        <f ca="1"/>
        <v>18000</v>
      </c>
    </row>
  </sheetData>
  <mergeCells count="3">
    <mergeCell ref="F4:G4"/>
    <mergeCell ref="F6:G6"/>
    <mergeCell ref="F8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035E-53D0-FE41-93B9-89A02A5CD7BC}">
  <dimension ref="A1:U42"/>
  <sheetViews>
    <sheetView tabSelected="1" topLeftCell="A2" zoomScale="120" zoomScaleNormal="120" workbookViewId="0">
      <selection activeCell="H36" sqref="H36"/>
    </sheetView>
  </sheetViews>
  <sheetFormatPr baseColWidth="10" defaultRowHeight="16" x14ac:dyDescent="0.2"/>
  <cols>
    <col min="2" max="2" width="18.33203125" customWidth="1"/>
    <col min="3" max="3" width="12.33203125" customWidth="1"/>
    <col min="4" max="4" width="20.5" customWidth="1"/>
    <col min="9" max="9" width="21.33203125" customWidth="1"/>
    <col min="10" max="12" width="11.5" bestFit="1" customWidth="1"/>
    <col min="16" max="16" width="18.1640625" customWidth="1"/>
    <col min="17" max="17" width="12.1640625" customWidth="1"/>
    <col min="19" max="19" width="12.33203125" customWidth="1"/>
  </cols>
  <sheetData>
    <row r="1" spans="1:17" ht="24" customHeight="1" x14ac:dyDescent="0.2">
      <c r="I1" s="19" t="s">
        <v>65</v>
      </c>
      <c r="J1" s="19"/>
      <c r="K1" s="19"/>
      <c r="L1" s="19"/>
      <c r="M1" s="19"/>
      <c r="N1" s="19"/>
      <c r="O1" s="19"/>
    </row>
    <row r="3" spans="1:17" x14ac:dyDescent="0.2">
      <c r="B3" t="s">
        <v>42</v>
      </c>
      <c r="D3" t="s">
        <v>56</v>
      </c>
      <c r="I3" t="s">
        <v>43</v>
      </c>
      <c r="K3" t="s">
        <v>57</v>
      </c>
    </row>
    <row r="5" spans="1:17" ht="16" customHeight="1" x14ac:dyDescent="0.2">
      <c r="A5" t="s">
        <v>68</v>
      </c>
      <c r="B5" t="s">
        <v>45</v>
      </c>
      <c r="C5" t="s">
        <v>46</v>
      </c>
      <c r="D5" t="s">
        <v>44</v>
      </c>
      <c r="G5" s="18" t="s">
        <v>64</v>
      </c>
      <c r="I5" s="6" t="s">
        <v>59</v>
      </c>
      <c r="J5" s="17" t="str" cm="1">
        <f t="array" ref="J5:L5">TRANSPOSE(_xlfn.UNIQUE(C6:C42))</f>
        <v>0 A 1 AÑO</v>
      </c>
      <c r="K5" s="17" t="str">
        <v>1 A 2 AÑOS</v>
      </c>
      <c r="L5" s="17" t="str">
        <v>2 MÁS</v>
      </c>
    </row>
    <row r="6" spans="1:17" ht="16" customHeight="1" x14ac:dyDescent="0.2">
      <c r="A6" s="21">
        <v>1</v>
      </c>
      <c r="B6" s="23" t="s">
        <v>49</v>
      </c>
      <c r="C6" s="24" t="s">
        <v>48</v>
      </c>
      <c r="D6" s="21">
        <v>18000</v>
      </c>
      <c r="G6" s="18"/>
      <c r="I6" s="7" t="str" cm="1">
        <f t="array" ref="I6:I9">_xlfn.UNIQUE(B6:B42)</f>
        <v>ADMINISTRATIVO</v>
      </c>
      <c r="J6" s="50">
        <f>AVERAGE(D6:D11)</f>
        <v>17666.666666666668</v>
      </c>
      <c r="K6" s="50">
        <f>AVERAGE(D12:D19)</f>
        <v>23625</v>
      </c>
      <c r="L6" s="50"/>
    </row>
    <row r="7" spans="1:17" x14ac:dyDescent="0.2">
      <c r="A7" s="21">
        <v>5</v>
      </c>
      <c r="B7" s="23" t="s">
        <v>49</v>
      </c>
      <c r="C7" s="24" t="s">
        <v>48</v>
      </c>
      <c r="D7" s="21">
        <v>22000</v>
      </c>
      <c r="G7" s="18"/>
      <c r="I7" s="7" t="str">
        <v>ANÁLISIS</v>
      </c>
      <c r="J7" s="50">
        <f>AVERAGE(D20:D22)</f>
        <v>27333.333333333332</v>
      </c>
      <c r="K7" s="50">
        <f>AVERAGE(D23:D26)</f>
        <v>31250</v>
      </c>
      <c r="L7" s="50">
        <f>AVERAGE(D27:D30)</f>
        <v>31500</v>
      </c>
    </row>
    <row r="8" spans="1:17" x14ac:dyDescent="0.2">
      <c r="A8" s="21">
        <v>9</v>
      </c>
      <c r="B8" s="23" t="s">
        <v>49</v>
      </c>
      <c r="C8" s="24" t="s">
        <v>48</v>
      </c>
      <c r="D8" s="21">
        <v>15000</v>
      </c>
      <c r="G8" s="18"/>
      <c r="I8" s="7" t="str">
        <v>GERENCIAL</v>
      </c>
      <c r="J8" s="50"/>
      <c r="K8" s="50">
        <f>AVERAGE(D31)</f>
        <v>30000</v>
      </c>
      <c r="L8" s="50">
        <f>AVERAGE(D32:D35)</f>
        <v>37750</v>
      </c>
      <c r="P8" t="s">
        <v>56</v>
      </c>
    </row>
    <row r="9" spans="1:17" x14ac:dyDescent="0.2">
      <c r="A9" s="21">
        <v>16</v>
      </c>
      <c r="B9" s="23" t="s">
        <v>49</v>
      </c>
      <c r="C9" s="24" t="s">
        <v>48</v>
      </c>
      <c r="D9" s="21">
        <v>17000</v>
      </c>
      <c r="G9" s="18"/>
      <c r="I9" s="7" t="str">
        <v>TECNOLOGÍAS</v>
      </c>
      <c r="J9" s="50">
        <f>AVERAGE(D36)</f>
        <v>23000</v>
      </c>
      <c r="K9" s="50">
        <f>AVERAGE(D37:D40)</f>
        <v>25000</v>
      </c>
      <c r="L9" s="50">
        <f>AVERAGE(D41:D42)</f>
        <v>31000</v>
      </c>
      <c r="Q9" t="s">
        <v>58</v>
      </c>
    </row>
    <row r="10" spans="1:17" x14ac:dyDescent="0.2">
      <c r="A10" s="21">
        <v>26</v>
      </c>
      <c r="B10" s="23" t="s">
        <v>49</v>
      </c>
      <c r="C10" s="24" t="s">
        <v>48</v>
      </c>
      <c r="D10" s="21">
        <v>16000</v>
      </c>
      <c r="G10" s="18"/>
    </row>
    <row r="11" spans="1:17" ht="17" thickBot="1" x14ac:dyDescent="0.25">
      <c r="A11" s="22">
        <v>36</v>
      </c>
      <c r="B11" s="25" t="s">
        <v>49</v>
      </c>
      <c r="C11" s="26" t="s">
        <v>48</v>
      </c>
      <c r="D11" s="22">
        <v>18000</v>
      </c>
      <c r="G11" s="18"/>
    </row>
    <row r="12" spans="1:17" x14ac:dyDescent="0.2">
      <c r="A12" s="27">
        <v>15</v>
      </c>
      <c r="B12" s="28" t="s">
        <v>49</v>
      </c>
      <c r="C12" s="29" t="s">
        <v>47</v>
      </c>
      <c r="D12" s="27">
        <v>23000</v>
      </c>
      <c r="G12" s="18"/>
      <c r="J12" s="20" t="s">
        <v>66</v>
      </c>
      <c r="K12" s="20"/>
      <c r="L12" s="20"/>
      <c r="P12" t="s">
        <v>57</v>
      </c>
    </row>
    <row r="13" spans="1:17" x14ac:dyDescent="0.2">
      <c r="A13" s="21">
        <v>17</v>
      </c>
      <c r="B13" s="23" t="s">
        <v>49</v>
      </c>
      <c r="C13" s="30" t="s">
        <v>47</v>
      </c>
      <c r="D13" s="21">
        <v>18000</v>
      </c>
      <c r="G13" s="18"/>
      <c r="Q13" t="s">
        <v>60</v>
      </c>
    </row>
    <row r="14" spans="1:17" x14ac:dyDescent="0.2">
      <c r="A14" s="21">
        <v>18</v>
      </c>
      <c r="B14" s="23" t="s">
        <v>49</v>
      </c>
      <c r="C14" s="30" t="s">
        <v>47</v>
      </c>
      <c r="D14" s="21">
        <v>19000</v>
      </c>
      <c r="G14" s="18"/>
      <c r="J14" t="s">
        <v>67</v>
      </c>
      <c r="Q14" t="s">
        <v>61</v>
      </c>
    </row>
    <row r="15" spans="1:17" x14ac:dyDescent="0.2">
      <c r="A15" s="21">
        <v>22</v>
      </c>
      <c r="B15" s="23" t="s">
        <v>49</v>
      </c>
      <c r="C15" s="30" t="s">
        <v>47</v>
      </c>
      <c r="D15" s="21">
        <v>24000</v>
      </c>
      <c r="G15" s="18"/>
      <c r="Q15" t="s">
        <v>62</v>
      </c>
    </row>
    <row r="16" spans="1:17" x14ac:dyDescent="0.2">
      <c r="A16" s="21">
        <v>23</v>
      </c>
      <c r="B16" s="23" t="s">
        <v>49</v>
      </c>
      <c r="C16" s="30" t="s">
        <v>47</v>
      </c>
      <c r="D16" s="21">
        <v>25000</v>
      </c>
      <c r="J16" t="s">
        <v>69</v>
      </c>
      <c r="Q16" t="s">
        <v>63</v>
      </c>
    </row>
    <row r="17" spans="1:10" x14ac:dyDescent="0.2">
      <c r="A17" s="21">
        <v>29</v>
      </c>
      <c r="B17" s="23" t="s">
        <v>49</v>
      </c>
      <c r="C17" s="30" t="s">
        <v>47</v>
      </c>
      <c r="D17" s="21">
        <v>26000</v>
      </c>
      <c r="J17" t="s">
        <v>70</v>
      </c>
    </row>
    <row r="18" spans="1:10" x14ac:dyDescent="0.2">
      <c r="A18" s="21">
        <v>32</v>
      </c>
      <c r="B18" s="23" t="s">
        <v>49</v>
      </c>
      <c r="C18" s="30" t="s">
        <v>47</v>
      </c>
      <c r="D18" s="21">
        <v>23000</v>
      </c>
      <c r="J18" s="10" t="s">
        <v>71</v>
      </c>
    </row>
    <row r="19" spans="1:10" ht="17" thickBot="1" x14ac:dyDescent="0.25">
      <c r="A19" s="22">
        <v>35</v>
      </c>
      <c r="B19" s="25" t="s">
        <v>49</v>
      </c>
      <c r="C19" s="31" t="s">
        <v>47</v>
      </c>
      <c r="D19" s="22">
        <v>31000</v>
      </c>
      <c r="J19" t="s">
        <v>80</v>
      </c>
    </row>
    <row r="20" spans="1:10" x14ac:dyDescent="0.2">
      <c r="A20" s="27">
        <v>12</v>
      </c>
      <c r="B20" s="32" t="s">
        <v>53</v>
      </c>
      <c r="C20" s="33" t="s">
        <v>48</v>
      </c>
      <c r="D20" s="27">
        <v>28000</v>
      </c>
      <c r="J20" t="s">
        <v>73</v>
      </c>
    </row>
    <row r="21" spans="1:10" x14ac:dyDescent="0.2">
      <c r="A21" s="21">
        <v>19</v>
      </c>
      <c r="B21" s="34" t="s">
        <v>53</v>
      </c>
      <c r="C21" s="24" t="s">
        <v>48</v>
      </c>
      <c r="D21" s="21">
        <v>29000</v>
      </c>
      <c r="J21" t="s">
        <v>72</v>
      </c>
    </row>
    <row r="22" spans="1:10" ht="17" thickBot="1" x14ac:dyDescent="0.25">
      <c r="A22" s="22">
        <v>33</v>
      </c>
      <c r="B22" s="35" t="s">
        <v>53</v>
      </c>
      <c r="C22" s="26" t="s">
        <v>48</v>
      </c>
      <c r="D22" s="22">
        <v>25000</v>
      </c>
      <c r="J22" t="s">
        <v>76</v>
      </c>
    </row>
    <row r="23" spans="1:10" x14ac:dyDescent="0.2">
      <c r="A23" s="27">
        <v>7</v>
      </c>
      <c r="B23" s="32" t="s">
        <v>53</v>
      </c>
      <c r="C23" s="29" t="s">
        <v>47</v>
      </c>
      <c r="D23" s="27">
        <v>34000</v>
      </c>
      <c r="J23" t="s">
        <v>74</v>
      </c>
    </row>
    <row r="24" spans="1:10" x14ac:dyDescent="0.2">
      <c r="A24" s="21">
        <v>11</v>
      </c>
      <c r="B24" s="34" t="s">
        <v>53</v>
      </c>
      <c r="C24" s="30" t="s">
        <v>47</v>
      </c>
      <c r="D24" s="21">
        <v>32000</v>
      </c>
      <c r="J24" t="s">
        <v>75</v>
      </c>
    </row>
    <row r="25" spans="1:10" x14ac:dyDescent="0.2">
      <c r="A25" s="21">
        <v>25</v>
      </c>
      <c r="B25" s="34" t="s">
        <v>53</v>
      </c>
      <c r="C25" s="30" t="s">
        <v>47</v>
      </c>
      <c r="D25" s="21">
        <v>31000</v>
      </c>
      <c r="J25" t="s">
        <v>77</v>
      </c>
    </row>
    <row r="26" spans="1:10" ht="17" thickBot="1" x14ac:dyDescent="0.25">
      <c r="A26" s="22">
        <v>27</v>
      </c>
      <c r="B26" s="35" t="s">
        <v>53</v>
      </c>
      <c r="C26" s="31" t="s">
        <v>47</v>
      </c>
      <c r="D26" s="22">
        <v>28000</v>
      </c>
      <c r="J26" t="s">
        <v>78</v>
      </c>
    </row>
    <row r="27" spans="1:10" x14ac:dyDescent="0.2">
      <c r="A27" s="27">
        <v>14</v>
      </c>
      <c r="B27" s="32" t="s">
        <v>53</v>
      </c>
      <c r="C27" s="36" t="s">
        <v>54</v>
      </c>
      <c r="D27" s="27">
        <v>25000</v>
      </c>
      <c r="J27" t="s">
        <v>79</v>
      </c>
    </row>
    <row r="28" spans="1:10" x14ac:dyDescent="0.2">
      <c r="A28" s="21">
        <v>21</v>
      </c>
      <c r="B28" s="34" t="s">
        <v>53</v>
      </c>
      <c r="C28" s="37" t="s">
        <v>54</v>
      </c>
      <c r="D28" s="21">
        <v>36000</v>
      </c>
    </row>
    <row r="29" spans="1:10" x14ac:dyDescent="0.2">
      <c r="A29" s="21">
        <v>28</v>
      </c>
      <c r="B29" s="34" t="s">
        <v>53</v>
      </c>
      <c r="C29" s="37" t="s">
        <v>54</v>
      </c>
      <c r="D29" s="21">
        <v>34000</v>
      </c>
    </row>
    <row r="30" spans="1:10" ht="17" thickBot="1" x14ac:dyDescent="0.25">
      <c r="A30" s="22">
        <v>34</v>
      </c>
      <c r="B30" s="35" t="s">
        <v>53</v>
      </c>
      <c r="C30" s="38" t="s">
        <v>54</v>
      </c>
      <c r="D30" s="22">
        <v>31000</v>
      </c>
    </row>
    <row r="31" spans="1:10" ht="17" thickBot="1" x14ac:dyDescent="0.25">
      <c r="A31" s="39">
        <v>2</v>
      </c>
      <c r="B31" s="40" t="s">
        <v>50</v>
      </c>
      <c r="C31" s="41" t="s">
        <v>47</v>
      </c>
      <c r="D31" s="39">
        <v>30000</v>
      </c>
    </row>
    <row r="32" spans="1:10" x14ac:dyDescent="0.2">
      <c r="A32" s="27">
        <v>6</v>
      </c>
      <c r="B32" s="42" t="s">
        <v>50</v>
      </c>
      <c r="C32" s="36" t="s">
        <v>54</v>
      </c>
      <c r="D32" s="27">
        <v>28000</v>
      </c>
    </row>
    <row r="33" spans="1:21" x14ac:dyDescent="0.2">
      <c r="A33" s="21">
        <v>10</v>
      </c>
      <c r="B33" s="43" t="s">
        <v>50</v>
      </c>
      <c r="C33" s="37" t="s">
        <v>54</v>
      </c>
      <c r="D33" s="21">
        <v>38000</v>
      </c>
    </row>
    <row r="34" spans="1:21" x14ac:dyDescent="0.2">
      <c r="A34" s="21">
        <v>13</v>
      </c>
      <c r="B34" s="43" t="s">
        <v>50</v>
      </c>
      <c r="C34" s="37" t="s">
        <v>54</v>
      </c>
      <c r="D34" s="21">
        <v>43000</v>
      </c>
    </row>
    <row r="35" spans="1:21" ht="17" thickBot="1" x14ac:dyDescent="0.25">
      <c r="A35" s="22">
        <v>30</v>
      </c>
      <c r="B35" s="44" t="s">
        <v>50</v>
      </c>
      <c r="C35" s="38" t="s">
        <v>54</v>
      </c>
      <c r="D35" s="22">
        <v>42000</v>
      </c>
    </row>
    <row r="36" spans="1:21" ht="17" thickBot="1" x14ac:dyDescent="0.25">
      <c r="A36" s="39">
        <v>31</v>
      </c>
      <c r="B36" s="45" t="s">
        <v>52</v>
      </c>
      <c r="C36" s="46" t="s">
        <v>48</v>
      </c>
      <c r="D36" s="39">
        <v>23000</v>
      </c>
    </row>
    <row r="37" spans="1:21" x14ac:dyDescent="0.2">
      <c r="A37" s="27">
        <v>4</v>
      </c>
      <c r="B37" s="47" t="s">
        <v>52</v>
      </c>
      <c r="C37" s="29" t="s">
        <v>47</v>
      </c>
      <c r="D37" s="27">
        <v>28000</v>
      </c>
    </row>
    <row r="38" spans="1:21" x14ac:dyDescent="0.2">
      <c r="A38" s="21">
        <v>8</v>
      </c>
      <c r="B38" s="48" t="s">
        <v>52</v>
      </c>
      <c r="C38" s="30" t="s">
        <v>47</v>
      </c>
      <c r="D38" s="21">
        <v>15000</v>
      </c>
      <c r="S38" t="s">
        <v>49</v>
      </c>
      <c r="U38" t="s">
        <v>48</v>
      </c>
    </row>
    <row r="39" spans="1:21" x14ac:dyDescent="0.2">
      <c r="A39" s="21">
        <v>20</v>
      </c>
      <c r="B39" s="48" t="s">
        <v>52</v>
      </c>
      <c r="C39" s="30" t="s">
        <v>47</v>
      </c>
      <c r="D39" s="21">
        <v>31000</v>
      </c>
      <c r="S39" t="s">
        <v>50</v>
      </c>
      <c r="U39" s="1" t="s">
        <v>47</v>
      </c>
    </row>
    <row r="40" spans="1:21" ht="17" thickBot="1" x14ac:dyDescent="0.25">
      <c r="A40" s="22">
        <v>37</v>
      </c>
      <c r="B40" s="49" t="s">
        <v>52</v>
      </c>
      <c r="C40" s="31" t="s">
        <v>47</v>
      </c>
      <c r="D40" s="22">
        <v>26000</v>
      </c>
      <c r="S40" t="s">
        <v>51</v>
      </c>
      <c r="U40" t="s">
        <v>54</v>
      </c>
    </row>
    <row r="41" spans="1:21" x14ac:dyDescent="0.2">
      <c r="A41" s="27">
        <v>3</v>
      </c>
      <c r="B41" s="47" t="s">
        <v>52</v>
      </c>
      <c r="C41" s="36" t="s">
        <v>54</v>
      </c>
      <c r="D41" s="27">
        <v>34000</v>
      </c>
      <c r="S41" t="s">
        <v>52</v>
      </c>
    </row>
    <row r="42" spans="1:21" ht="17" thickBot="1" x14ac:dyDescent="0.25">
      <c r="A42" s="22">
        <v>24</v>
      </c>
      <c r="B42" s="49" t="s">
        <v>52</v>
      </c>
      <c r="C42" s="38" t="s">
        <v>54</v>
      </c>
      <c r="D42" s="22">
        <v>28000</v>
      </c>
      <c r="S42" t="s">
        <v>53</v>
      </c>
    </row>
  </sheetData>
  <autoFilter ref="A5:D5" xr:uid="{774E035E-53D0-FE41-93B9-89A02A5CD7BC}">
    <sortState xmlns:xlrd2="http://schemas.microsoft.com/office/spreadsheetml/2017/richdata2" ref="A6:D42">
      <sortCondition ref="B5:B42"/>
    </sortState>
  </autoFilter>
  <mergeCells count="3">
    <mergeCell ref="G5:G15"/>
    <mergeCell ref="I1:O1"/>
    <mergeCell ref="J12:L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4C0B-4CEC-694C-A15C-1F5D19854F67}">
  <dimension ref="A1:A38"/>
  <sheetViews>
    <sheetView workbookViewId="0">
      <selection activeCell="Q25" sqref="Q25"/>
    </sheetView>
  </sheetViews>
  <sheetFormatPr baseColWidth="10" defaultRowHeight="16" x14ac:dyDescent="0.2"/>
  <sheetData>
    <row r="1" spans="1:1" x14ac:dyDescent="0.2">
      <c r="A1" t="s">
        <v>44</v>
      </c>
    </row>
    <row r="2" spans="1:1" x14ac:dyDescent="0.2">
      <c r="A2">
        <v>18000</v>
      </c>
    </row>
    <row r="3" spans="1:1" x14ac:dyDescent="0.2">
      <c r="A3">
        <v>30000</v>
      </c>
    </row>
    <row r="4" spans="1:1" x14ac:dyDescent="0.2">
      <c r="A4">
        <v>34000</v>
      </c>
    </row>
    <row r="5" spans="1:1" x14ac:dyDescent="0.2">
      <c r="A5">
        <v>28000</v>
      </c>
    </row>
    <row r="6" spans="1:1" x14ac:dyDescent="0.2">
      <c r="A6">
        <v>22000</v>
      </c>
    </row>
    <row r="7" spans="1:1" x14ac:dyDescent="0.2">
      <c r="A7">
        <v>28000</v>
      </c>
    </row>
    <row r="8" spans="1:1" x14ac:dyDescent="0.2">
      <c r="A8">
        <v>34000</v>
      </c>
    </row>
    <row r="9" spans="1:1" x14ac:dyDescent="0.2">
      <c r="A9">
        <v>15000</v>
      </c>
    </row>
    <row r="10" spans="1:1" x14ac:dyDescent="0.2">
      <c r="A10">
        <v>15000</v>
      </c>
    </row>
    <row r="11" spans="1:1" x14ac:dyDescent="0.2">
      <c r="A11">
        <v>38000</v>
      </c>
    </row>
    <row r="12" spans="1:1" x14ac:dyDescent="0.2">
      <c r="A12">
        <v>32000</v>
      </c>
    </row>
    <row r="13" spans="1:1" x14ac:dyDescent="0.2">
      <c r="A13">
        <v>28000</v>
      </c>
    </row>
    <row r="14" spans="1:1" x14ac:dyDescent="0.2">
      <c r="A14">
        <v>43000</v>
      </c>
    </row>
    <row r="15" spans="1:1" x14ac:dyDescent="0.2">
      <c r="A15">
        <v>25000</v>
      </c>
    </row>
    <row r="16" spans="1:1" x14ac:dyDescent="0.2">
      <c r="A16">
        <v>23000</v>
      </c>
    </row>
    <row r="17" spans="1:1" x14ac:dyDescent="0.2">
      <c r="A17">
        <v>17000</v>
      </c>
    </row>
    <row r="18" spans="1:1" x14ac:dyDescent="0.2">
      <c r="A18">
        <v>18000</v>
      </c>
    </row>
    <row r="19" spans="1:1" x14ac:dyDescent="0.2">
      <c r="A19">
        <v>19000</v>
      </c>
    </row>
    <row r="20" spans="1:1" x14ac:dyDescent="0.2">
      <c r="A20">
        <v>29000</v>
      </c>
    </row>
    <row r="21" spans="1:1" x14ac:dyDescent="0.2">
      <c r="A21">
        <v>31000</v>
      </c>
    </row>
    <row r="22" spans="1:1" x14ac:dyDescent="0.2">
      <c r="A22">
        <v>36000</v>
      </c>
    </row>
    <row r="23" spans="1:1" x14ac:dyDescent="0.2">
      <c r="A23">
        <v>24000</v>
      </c>
    </row>
    <row r="24" spans="1:1" x14ac:dyDescent="0.2">
      <c r="A24">
        <v>25000</v>
      </c>
    </row>
    <row r="25" spans="1:1" x14ac:dyDescent="0.2">
      <c r="A25">
        <v>28000</v>
      </c>
    </row>
    <row r="26" spans="1:1" x14ac:dyDescent="0.2">
      <c r="A26">
        <v>31000</v>
      </c>
    </row>
    <row r="27" spans="1:1" x14ac:dyDescent="0.2">
      <c r="A27">
        <v>16000</v>
      </c>
    </row>
    <row r="28" spans="1:1" x14ac:dyDescent="0.2">
      <c r="A28">
        <v>28000</v>
      </c>
    </row>
    <row r="29" spans="1:1" x14ac:dyDescent="0.2">
      <c r="A29">
        <v>34000</v>
      </c>
    </row>
    <row r="30" spans="1:1" x14ac:dyDescent="0.2">
      <c r="A30">
        <v>26000</v>
      </c>
    </row>
    <row r="31" spans="1:1" x14ac:dyDescent="0.2">
      <c r="A31">
        <v>42000</v>
      </c>
    </row>
    <row r="32" spans="1:1" x14ac:dyDescent="0.2">
      <c r="A32">
        <v>23000</v>
      </c>
    </row>
    <row r="33" spans="1:1" x14ac:dyDescent="0.2">
      <c r="A33">
        <v>23000</v>
      </c>
    </row>
    <row r="34" spans="1:1" x14ac:dyDescent="0.2">
      <c r="A34">
        <v>25000</v>
      </c>
    </row>
    <row r="35" spans="1:1" x14ac:dyDescent="0.2">
      <c r="A35">
        <v>31000</v>
      </c>
    </row>
    <row r="36" spans="1:1" x14ac:dyDescent="0.2">
      <c r="A36">
        <v>31000</v>
      </c>
    </row>
    <row r="37" spans="1:1" x14ac:dyDescent="0.2">
      <c r="A37">
        <v>18000</v>
      </c>
    </row>
    <row r="38" spans="1:1" x14ac:dyDescent="0.2">
      <c r="A38">
        <v>26000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9702-C16A-DD49-B090-30198F14D241}">
  <dimension ref="A1:K38"/>
  <sheetViews>
    <sheetView zoomScale="130" zoomScaleNormal="130" workbookViewId="0">
      <selection activeCell="B27" sqref="B27"/>
    </sheetView>
  </sheetViews>
  <sheetFormatPr baseColWidth="10" defaultRowHeight="16" x14ac:dyDescent="0.2"/>
  <cols>
    <col min="1" max="1" width="16" customWidth="1"/>
    <col min="2" max="2" width="19.1640625" customWidth="1"/>
    <col min="8" max="8" width="14" customWidth="1"/>
    <col min="9" max="9" width="13.5" customWidth="1"/>
    <col min="11" max="11" width="22.5" customWidth="1"/>
  </cols>
  <sheetData>
    <row r="1" spans="1:11" x14ac:dyDescent="0.2">
      <c r="A1" t="s">
        <v>45</v>
      </c>
      <c r="B1" t="s">
        <v>46</v>
      </c>
      <c r="C1" t="s">
        <v>44</v>
      </c>
    </row>
    <row r="2" spans="1:11" x14ac:dyDescent="0.2">
      <c r="A2" t="s">
        <v>49</v>
      </c>
      <c r="B2" t="s">
        <v>48</v>
      </c>
      <c r="C2">
        <v>18000</v>
      </c>
      <c r="H2" t="s">
        <v>48</v>
      </c>
      <c r="I2" s="1" t="s">
        <v>47</v>
      </c>
      <c r="K2" t="s">
        <v>55</v>
      </c>
    </row>
    <row r="3" spans="1:11" x14ac:dyDescent="0.2">
      <c r="A3" t="s">
        <v>49</v>
      </c>
      <c r="B3" t="s">
        <v>48</v>
      </c>
      <c r="C3">
        <v>22000</v>
      </c>
      <c r="F3" t="s">
        <v>49</v>
      </c>
      <c r="H3" s="15">
        <f>AVERAGE(C2:C7)</f>
        <v>17666.666666666668</v>
      </c>
      <c r="I3" s="15">
        <f>AVERAGE(C8:C15)</f>
        <v>23625</v>
      </c>
      <c r="K3" s="16">
        <f>(I3-H3)/H3</f>
        <v>0.33726415094339612</v>
      </c>
    </row>
    <row r="4" spans="1:11" x14ac:dyDescent="0.2">
      <c r="A4" t="s">
        <v>49</v>
      </c>
      <c r="B4" t="s">
        <v>48</v>
      </c>
      <c r="C4">
        <v>15000</v>
      </c>
    </row>
    <row r="5" spans="1:11" x14ac:dyDescent="0.2">
      <c r="A5" t="s">
        <v>49</v>
      </c>
      <c r="B5" t="s">
        <v>48</v>
      </c>
      <c r="C5">
        <v>17000</v>
      </c>
      <c r="F5" t="s">
        <v>53</v>
      </c>
      <c r="H5" s="15">
        <f>AVERAGE(C16:C18)</f>
        <v>27333.333333333332</v>
      </c>
      <c r="I5" s="15">
        <f>AVERAGE(C19:C22)</f>
        <v>31250</v>
      </c>
    </row>
    <row r="6" spans="1:11" x14ac:dyDescent="0.2">
      <c r="A6" t="s">
        <v>49</v>
      </c>
      <c r="B6" t="s">
        <v>48</v>
      </c>
      <c r="C6">
        <v>16000</v>
      </c>
    </row>
    <row r="7" spans="1:11" x14ac:dyDescent="0.2">
      <c r="A7" t="s">
        <v>49</v>
      </c>
      <c r="B7" t="s">
        <v>48</v>
      </c>
      <c r="C7">
        <v>18000</v>
      </c>
    </row>
    <row r="8" spans="1:11" x14ac:dyDescent="0.2">
      <c r="A8" t="s">
        <v>49</v>
      </c>
      <c r="B8" s="1" t="s">
        <v>47</v>
      </c>
      <c r="C8">
        <v>23000</v>
      </c>
    </row>
    <row r="9" spans="1:11" x14ac:dyDescent="0.2">
      <c r="A9" t="s">
        <v>49</v>
      </c>
      <c r="B9" s="1" t="s">
        <v>47</v>
      </c>
      <c r="C9">
        <v>18000</v>
      </c>
    </row>
    <row r="10" spans="1:11" x14ac:dyDescent="0.2">
      <c r="A10" t="s">
        <v>49</v>
      </c>
      <c r="B10" s="1" t="s">
        <v>47</v>
      </c>
      <c r="C10">
        <v>19000</v>
      </c>
    </row>
    <row r="11" spans="1:11" x14ac:dyDescent="0.2">
      <c r="A11" t="s">
        <v>49</v>
      </c>
      <c r="B11" s="1" t="s">
        <v>47</v>
      </c>
      <c r="C11">
        <v>24000</v>
      </c>
    </row>
    <row r="12" spans="1:11" x14ac:dyDescent="0.2">
      <c r="A12" t="s">
        <v>49</v>
      </c>
      <c r="B12" s="1" t="s">
        <v>47</v>
      </c>
      <c r="C12">
        <v>25000</v>
      </c>
    </row>
    <row r="13" spans="1:11" x14ac:dyDescent="0.2">
      <c r="A13" t="s">
        <v>49</v>
      </c>
      <c r="B13" s="1" t="s">
        <v>47</v>
      </c>
      <c r="C13">
        <v>26000</v>
      </c>
    </row>
    <row r="14" spans="1:11" x14ac:dyDescent="0.2">
      <c r="A14" t="s">
        <v>49</v>
      </c>
      <c r="B14" s="1" t="s">
        <v>47</v>
      </c>
      <c r="C14">
        <v>23000</v>
      </c>
    </row>
    <row r="15" spans="1:11" x14ac:dyDescent="0.2">
      <c r="A15" t="s">
        <v>49</v>
      </c>
      <c r="B15" s="1" t="s">
        <v>47</v>
      </c>
      <c r="C15">
        <v>31000</v>
      </c>
    </row>
    <row r="16" spans="1:11" x14ac:dyDescent="0.2">
      <c r="A16" t="s">
        <v>53</v>
      </c>
      <c r="B16" t="s">
        <v>48</v>
      </c>
      <c r="C16">
        <v>28000</v>
      </c>
    </row>
    <row r="17" spans="1:3" x14ac:dyDescent="0.2">
      <c r="A17" t="s">
        <v>53</v>
      </c>
      <c r="B17" t="s">
        <v>48</v>
      </c>
      <c r="C17">
        <v>29000</v>
      </c>
    </row>
    <row r="18" spans="1:3" x14ac:dyDescent="0.2">
      <c r="A18" t="s">
        <v>53</v>
      </c>
      <c r="B18" t="s">
        <v>48</v>
      </c>
      <c r="C18">
        <v>25000</v>
      </c>
    </row>
    <row r="19" spans="1:3" x14ac:dyDescent="0.2">
      <c r="A19" t="s">
        <v>53</v>
      </c>
      <c r="B19" s="1" t="s">
        <v>47</v>
      </c>
      <c r="C19">
        <v>34000</v>
      </c>
    </row>
    <row r="20" spans="1:3" x14ac:dyDescent="0.2">
      <c r="A20" t="s">
        <v>53</v>
      </c>
      <c r="B20" s="1" t="s">
        <v>47</v>
      </c>
      <c r="C20">
        <v>32000</v>
      </c>
    </row>
    <row r="21" spans="1:3" x14ac:dyDescent="0.2">
      <c r="A21" t="s">
        <v>53</v>
      </c>
      <c r="B21" s="1" t="s">
        <v>47</v>
      </c>
      <c r="C21">
        <v>31000</v>
      </c>
    </row>
    <row r="22" spans="1:3" x14ac:dyDescent="0.2">
      <c r="A22" t="s">
        <v>53</v>
      </c>
      <c r="B22" s="1" t="s">
        <v>47</v>
      </c>
      <c r="C22">
        <v>28000</v>
      </c>
    </row>
    <row r="23" spans="1:3" x14ac:dyDescent="0.2">
      <c r="A23" t="s">
        <v>53</v>
      </c>
      <c r="B23" t="s">
        <v>54</v>
      </c>
      <c r="C23">
        <v>25000</v>
      </c>
    </row>
    <row r="24" spans="1:3" x14ac:dyDescent="0.2">
      <c r="A24" t="s">
        <v>53</v>
      </c>
      <c r="B24" t="s">
        <v>54</v>
      </c>
      <c r="C24">
        <v>36000</v>
      </c>
    </row>
    <row r="25" spans="1:3" x14ac:dyDescent="0.2">
      <c r="A25" t="s">
        <v>53</v>
      </c>
      <c r="B25" t="s">
        <v>54</v>
      </c>
      <c r="C25">
        <v>34000</v>
      </c>
    </row>
    <row r="26" spans="1:3" x14ac:dyDescent="0.2">
      <c r="A26" t="s">
        <v>53</v>
      </c>
      <c r="B26" t="s">
        <v>54</v>
      </c>
      <c r="C26">
        <v>31000</v>
      </c>
    </row>
    <row r="27" spans="1:3" x14ac:dyDescent="0.2">
      <c r="A27" t="s">
        <v>50</v>
      </c>
      <c r="B27" s="1" t="s">
        <v>47</v>
      </c>
      <c r="C27">
        <v>30000</v>
      </c>
    </row>
    <row r="28" spans="1:3" x14ac:dyDescent="0.2">
      <c r="A28" t="s">
        <v>50</v>
      </c>
      <c r="B28" t="s">
        <v>54</v>
      </c>
      <c r="C28">
        <v>28000</v>
      </c>
    </row>
    <row r="29" spans="1:3" x14ac:dyDescent="0.2">
      <c r="A29" t="s">
        <v>50</v>
      </c>
      <c r="B29" t="s">
        <v>54</v>
      </c>
      <c r="C29">
        <v>38000</v>
      </c>
    </row>
    <row r="30" spans="1:3" x14ac:dyDescent="0.2">
      <c r="A30" t="s">
        <v>50</v>
      </c>
      <c r="B30" t="s">
        <v>54</v>
      </c>
      <c r="C30">
        <v>43000</v>
      </c>
    </row>
    <row r="31" spans="1:3" x14ac:dyDescent="0.2">
      <c r="A31" t="s">
        <v>50</v>
      </c>
      <c r="B31" t="s">
        <v>54</v>
      </c>
      <c r="C31">
        <v>42000</v>
      </c>
    </row>
    <row r="32" spans="1:3" x14ac:dyDescent="0.2">
      <c r="A32" t="s">
        <v>52</v>
      </c>
      <c r="B32" t="s">
        <v>48</v>
      </c>
      <c r="C32">
        <v>23000</v>
      </c>
    </row>
    <row r="33" spans="1:3" x14ac:dyDescent="0.2">
      <c r="A33" t="s">
        <v>52</v>
      </c>
      <c r="B33" s="1" t="s">
        <v>47</v>
      </c>
      <c r="C33">
        <v>28000</v>
      </c>
    </row>
    <row r="34" spans="1:3" x14ac:dyDescent="0.2">
      <c r="A34" t="s">
        <v>52</v>
      </c>
      <c r="B34" s="1" t="s">
        <v>47</v>
      </c>
      <c r="C34">
        <v>15000</v>
      </c>
    </row>
    <row r="35" spans="1:3" x14ac:dyDescent="0.2">
      <c r="A35" t="s">
        <v>52</v>
      </c>
      <c r="B35" s="1" t="s">
        <v>47</v>
      </c>
      <c r="C35">
        <v>31000</v>
      </c>
    </row>
    <row r="36" spans="1:3" x14ac:dyDescent="0.2">
      <c r="A36" t="s">
        <v>52</v>
      </c>
      <c r="B36" s="1" t="s">
        <v>47</v>
      </c>
      <c r="C36">
        <v>26000</v>
      </c>
    </row>
    <row r="37" spans="1:3" x14ac:dyDescent="0.2">
      <c r="A37" t="s">
        <v>52</v>
      </c>
      <c r="B37" t="s">
        <v>54</v>
      </c>
      <c r="C37">
        <v>34000</v>
      </c>
    </row>
    <row r="38" spans="1:3" x14ac:dyDescent="0.2">
      <c r="A38" t="s">
        <v>52</v>
      </c>
      <c r="B38" t="s">
        <v>54</v>
      </c>
      <c r="C38">
        <v>28000</v>
      </c>
    </row>
  </sheetData>
  <autoFilter ref="A1:C1" xr:uid="{39599702-C16A-DD49-B090-30198F14D241}">
    <sortState xmlns:xlrd2="http://schemas.microsoft.com/office/spreadsheetml/2017/richdata2" ref="A2:C38">
      <sortCondition ref="A1:A3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6785-9EF9-F340-AF5F-52B1503B563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7E058-14C9-3B4C-B217-DA01ED6501A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4D98-FE0F-0243-BD16-32D9EDC3C5B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P-001</vt:lpstr>
      <vt:lpstr>P-002</vt:lpstr>
      <vt:lpstr>Hoja7</vt:lpstr>
      <vt:lpstr>Hoja6</vt:lpstr>
      <vt:lpstr>Usuarios</vt:lpstr>
      <vt:lpstr>Ventas</vt:lpstr>
      <vt:lpstr>Reporte Ventas Enero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2026-06-15T21:30:34Z</dcterms:created>
  <dcterms:modified xsi:type="dcterms:W3CDTF">2026-06-15T23:03:53Z</dcterms:modified>
</cp:coreProperties>
</file>